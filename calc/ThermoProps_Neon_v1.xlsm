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166" documentId="8_{B0C8A4BE-9622-4CEE-91F7-C2B4B71EBE2F}" xr6:coauthVersionLast="47" xr6:coauthVersionMax="47" xr10:uidLastSave="{8C7B185B-FE44-45BC-8C42-0040AE4E6D42}"/>
  <bookViews>
    <workbookView xWindow="28680" yWindow="-120" windowWidth="29040" windowHeight="15720" activeTab="3" xr2:uid="{00000000-000D-0000-FFFF-FFFF00000000}"/>
  </bookViews>
  <sheets>
    <sheet name="Inputs" sheetId="1" r:id="rId1"/>
    <sheet name="Parameters" sheetId="2" r:id="rId2"/>
    <sheet name="Outputs" sheetId="3" r:id="rId3"/>
    <sheet name="Sweep" sheetId="4" r:id="rId4"/>
  </sheets>
  <functionGroups builtInGroupCount="19"/>
  <definedNames>
    <definedName name="p_in">Inputs!$B$3</definedName>
    <definedName name="ParametersRange">Parameters!$B$2:$B$32</definedName>
    <definedName name="T_in">Inputs!$B$2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4" l="1" a="1"/>
  <c r="A18" i="4" s="1"/>
  <c r="B18" i="4" s="1"/>
  <c r="B16" i="3"/>
  <c r="D18" i="4" a="1"/>
  <c r="J18" i="4" a="1"/>
  <c r="K18" i="4" a="1"/>
  <c r="H18" i="4" a="1"/>
  <c r="E18" i="4" a="1"/>
  <c r="I18" i="4" a="1"/>
  <c r="L18" i="4" a="1"/>
  <c r="N18" i="4" a="1"/>
  <c r="F18" i="4" a="1"/>
  <c r="M18" i="4" a="1"/>
  <c r="G18" i="4" a="1"/>
  <c r="C18" i="4" a="1"/>
  <c r="B2" i="3"/>
  <c r="B13" i="3"/>
  <c r="B12" i="3"/>
  <c r="B11" i="3"/>
  <c r="B10" i="3"/>
  <c r="B9" i="3"/>
  <c r="B8" i="3"/>
  <c r="B7" i="3"/>
  <c r="B6" i="3"/>
  <c r="B5" i="3"/>
  <c r="B4" i="3"/>
  <c r="B3" i="3"/>
  <c r="B76" i="4" l="1"/>
  <c r="B99" i="4"/>
  <c r="B114" i="4"/>
  <c r="B102" i="4"/>
  <c r="B90" i="4"/>
  <c r="B78" i="4"/>
  <c r="B66" i="4"/>
  <c r="B54" i="4"/>
  <c r="B42" i="4"/>
  <c r="B30" i="4"/>
  <c r="B112" i="4"/>
  <c r="B40" i="4"/>
  <c r="B63" i="4"/>
  <c r="B113" i="4"/>
  <c r="B101" i="4"/>
  <c r="B89" i="4"/>
  <c r="B77" i="4"/>
  <c r="B65" i="4"/>
  <c r="B53" i="4"/>
  <c r="B41" i="4"/>
  <c r="B29" i="4"/>
  <c r="B28" i="4"/>
  <c r="B88" i="4"/>
  <c r="B52" i="4"/>
  <c r="B75" i="4"/>
  <c r="B39" i="4"/>
  <c r="B110" i="4"/>
  <c r="B86" i="4"/>
  <c r="B62" i="4"/>
  <c r="B38" i="4"/>
  <c r="B109" i="4"/>
  <c r="B85" i="4"/>
  <c r="B61" i="4"/>
  <c r="B37" i="4"/>
  <c r="B108" i="4"/>
  <c r="B72" i="4"/>
  <c r="B60" i="4"/>
  <c r="B36" i="4"/>
  <c r="B95" i="4"/>
  <c r="B59" i="4"/>
  <c r="B35" i="4"/>
  <c r="B82" i="4"/>
  <c r="B46" i="4"/>
  <c r="B22" i="4"/>
  <c r="B117" i="4"/>
  <c r="B105" i="4"/>
  <c r="B93" i="4"/>
  <c r="B81" i="4"/>
  <c r="B69" i="4"/>
  <c r="B57" i="4"/>
  <c r="B45" i="4"/>
  <c r="B33" i="4"/>
  <c r="B21" i="4"/>
  <c r="B83" i="4"/>
  <c r="B94" i="4"/>
  <c r="B58" i="4"/>
  <c r="B34" i="4"/>
  <c r="B116" i="4"/>
  <c r="B104" i="4"/>
  <c r="B92" i="4"/>
  <c r="B80" i="4"/>
  <c r="B68" i="4"/>
  <c r="B56" i="4"/>
  <c r="B44" i="4"/>
  <c r="B32" i="4"/>
  <c r="B20" i="4"/>
  <c r="B100" i="4"/>
  <c r="B64" i="4"/>
  <c r="B111" i="4"/>
  <c r="B87" i="4"/>
  <c r="B51" i="4"/>
  <c r="B27" i="4"/>
  <c r="B98" i="4"/>
  <c r="B74" i="4"/>
  <c r="B50" i="4"/>
  <c r="B26" i="4"/>
  <c r="B97" i="4"/>
  <c r="B73" i="4"/>
  <c r="B49" i="4"/>
  <c r="B25" i="4"/>
  <c r="B96" i="4"/>
  <c r="B84" i="4"/>
  <c r="B48" i="4"/>
  <c r="B24" i="4"/>
  <c r="B107" i="4"/>
  <c r="B71" i="4"/>
  <c r="B47" i="4"/>
  <c r="B23" i="4"/>
  <c r="B106" i="4"/>
  <c r="B70" i="4"/>
  <c r="B115" i="4"/>
  <c r="B103" i="4"/>
  <c r="B91" i="4"/>
  <c r="B79" i="4"/>
  <c r="B67" i="4"/>
  <c r="B55" i="4"/>
  <c r="B43" i="4"/>
  <c r="B31" i="4"/>
  <c r="B19" i="4"/>
  <c r="G18" i="4"/>
  <c r="M18" i="4"/>
  <c r="F18" i="4"/>
  <c r="N18" i="4"/>
  <c r="L18" i="4"/>
  <c r="I18" i="4"/>
  <c r="E18" i="4"/>
  <c r="H18" i="4"/>
  <c r="K18" i="4"/>
  <c r="J18" i="4"/>
  <c r="D18" i="4"/>
  <c r="C18" i="4"/>
  <c r="C76" i="4" a="1"/>
  <c r="D76" i="4" a="1"/>
  <c r="E76" i="4" a="1"/>
  <c r="F76" i="4" a="1"/>
  <c r="G76" i="4" a="1"/>
  <c r="H76" i="4" a="1"/>
  <c r="I76" i="4" a="1"/>
  <c r="J76" i="4" a="1"/>
  <c r="K76" i="4" a="1"/>
  <c r="L76" i="4" a="1"/>
  <c r="M76" i="4" a="1"/>
  <c r="N76" i="4" a="1"/>
  <c r="C63" i="4" a="1"/>
  <c r="D63" i="4" a="1"/>
  <c r="E63" i="4" a="1"/>
  <c r="F63" i="4" a="1"/>
  <c r="G63" i="4" a="1"/>
  <c r="H63" i="4" a="1"/>
  <c r="I63" i="4" a="1"/>
  <c r="J63" i="4" a="1"/>
  <c r="K63" i="4" a="1"/>
  <c r="L63" i="4" a="1"/>
  <c r="M63" i="4" a="1"/>
  <c r="N63" i="4" a="1"/>
  <c r="C75" i="4" a="1"/>
  <c r="D75" i="4" a="1"/>
  <c r="E75" i="4" a="1"/>
  <c r="F75" i="4" a="1"/>
  <c r="G75" i="4" a="1"/>
  <c r="H75" i="4" a="1"/>
  <c r="I75" i="4" a="1"/>
  <c r="J75" i="4" a="1"/>
  <c r="K75" i="4" a="1"/>
  <c r="L75" i="4" a="1"/>
  <c r="M75" i="4" a="1"/>
  <c r="N75" i="4" a="1"/>
  <c r="C60" i="4" a="1"/>
  <c r="D60" i="4" a="1"/>
  <c r="E60" i="4" a="1"/>
  <c r="F60" i="4" a="1"/>
  <c r="G60" i="4" a="1"/>
  <c r="H60" i="4" a="1"/>
  <c r="I60" i="4" a="1"/>
  <c r="J60" i="4" a="1"/>
  <c r="K60" i="4" a="1"/>
  <c r="L60" i="4" a="1"/>
  <c r="M60" i="4" a="1"/>
  <c r="N60" i="4" a="1"/>
  <c r="C69" i="4" a="1"/>
  <c r="D69" i="4" a="1"/>
  <c r="E69" i="4" a="1"/>
  <c r="F69" i="4" a="1"/>
  <c r="G69" i="4" a="1"/>
  <c r="H69" i="4" a="1"/>
  <c r="I69" i="4" a="1"/>
  <c r="J69" i="4" a="1"/>
  <c r="K69" i="4" a="1"/>
  <c r="L69" i="4" a="1"/>
  <c r="M69" i="4" a="1"/>
  <c r="N69" i="4" a="1"/>
  <c r="C80" i="4" a="1"/>
  <c r="D80" i="4" a="1"/>
  <c r="E80" i="4" a="1"/>
  <c r="F80" i="4" a="1"/>
  <c r="G80" i="4" a="1"/>
  <c r="H80" i="4" a="1"/>
  <c r="I80" i="4" a="1"/>
  <c r="J80" i="4" a="1"/>
  <c r="K80" i="4" a="1"/>
  <c r="L80" i="4" a="1"/>
  <c r="M80" i="4" a="1"/>
  <c r="N80" i="4" a="1"/>
  <c r="C98" i="4" a="1"/>
  <c r="D98" i="4" a="1"/>
  <c r="E98" i="4" a="1"/>
  <c r="F98" i="4" a="1"/>
  <c r="G98" i="4" a="1"/>
  <c r="H98" i="4" a="1"/>
  <c r="I98" i="4" a="1"/>
  <c r="J98" i="4" a="1"/>
  <c r="K98" i="4" a="1"/>
  <c r="L98" i="4" a="1"/>
  <c r="M98" i="4" a="1"/>
  <c r="N98" i="4" a="1"/>
  <c r="C107" i="4" a="1"/>
  <c r="D107" i="4" a="1"/>
  <c r="E107" i="4" a="1"/>
  <c r="F107" i="4" a="1"/>
  <c r="G107" i="4" a="1"/>
  <c r="H107" i="4" a="1"/>
  <c r="I107" i="4" a="1"/>
  <c r="J107" i="4" a="1"/>
  <c r="K107" i="4" a="1"/>
  <c r="L107" i="4" a="1"/>
  <c r="M107" i="4" a="1"/>
  <c r="N107" i="4" a="1"/>
  <c r="C43" i="4" a="1"/>
  <c r="D43" i="4" a="1"/>
  <c r="E43" i="4" a="1"/>
  <c r="F43" i="4" a="1"/>
  <c r="G43" i="4" a="1"/>
  <c r="H43" i="4" a="1"/>
  <c r="I43" i="4" a="1"/>
  <c r="J43" i="4" a="1"/>
  <c r="K43" i="4" a="1"/>
  <c r="L43" i="4" a="1"/>
  <c r="M43" i="4" a="1"/>
  <c r="N43" i="4" a="1"/>
  <c r="C99" i="4" a="1"/>
  <c r="D99" i="4" a="1"/>
  <c r="E99" i="4" a="1"/>
  <c r="F99" i="4" a="1"/>
  <c r="G99" i="4" a="1"/>
  <c r="H99" i="4" a="1"/>
  <c r="I99" i="4" a="1"/>
  <c r="J99" i="4" a="1"/>
  <c r="K99" i="4" a="1"/>
  <c r="L99" i="4" a="1"/>
  <c r="M99" i="4" a="1"/>
  <c r="N99" i="4" a="1"/>
  <c r="C113" i="4" a="1"/>
  <c r="D113" i="4" a="1"/>
  <c r="E113" i="4" a="1"/>
  <c r="F113" i="4" a="1"/>
  <c r="G113" i="4" a="1"/>
  <c r="H113" i="4" a="1"/>
  <c r="I113" i="4" a="1"/>
  <c r="J113" i="4" a="1"/>
  <c r="K113" i="4" a="1"/>
  <c r="L113" i="4" a="1"/>
  <c r="M113" i="4" a="1"/>
  <c r="N113" i="4" a="1"/>
  <c r="C39" i="4" a="1"/>
  <c r="D39" i="4" a="1"/>
  <c r="E39" i="4" a="1"/>
  <c r="F39" i="4" a="1"/>
  <c r="G39" i="4" a="1"/>
  <c r="H39" i="4" a="1"/>
  <c r="I39" i="4" a="1"/>
  <c r="J39" i="4" a="1"/>
  <c r="K39" i="4" a="1"/>
  <c r="L39" i="4" a="1"/>
  <c r="M39" i="4" a="1"/>
  <c r="N39" i="4" a="1"/>
  <c r="C36" i="4" a="1"/>
  <c r="D36" i="4" a="1"/>
  <c r="E36" i="4" a="1"/>
  <c r="F36" i="4" a="1"/>
  <c r="G36" i="4" a="1"/>
  <c r="H36" i="4" a="1"/>
  <c r="I36" i="4" a="1"/>
  <c r="J36" i="4" a="1"/>
  <c r="K36" i="4" a="1"/>
  <c r="L36" i="4" a="1"/>
  <c r="M36" i="4" a="1"/>
  <c r="N36" i="4" a="1"/>
  <c r="C57" i="4" a="1"/>
  <c r="D57" i="4" a="1"/>
  <c r="E57" i="4" a="1"/>
  <c r="F57" i="4" a="1"/>
  <c r="G57" i="4" a="1"/>
  <c r="H57" i="4" a="1"/>
  <c r="I57" i="4" a="1"/>
  <c r="J57" i="4" a="1"/>
  <c r="K57" i="4" a="1"/>
  <c r="L57" i="4" a="1"/>
  <c r="M57" i="4" a="1"/>
  <c r="N57" i="4" a="1"/>
  <c r="C68" i="4" a="1"/>
  <c r="D68" i="4" a="1"/>
  <c r="E68" i="4" a="1"/>
  <c r="F68" i="4" a="1"/>
  <c r="G68" i="4" a="1"/>
  <c r="H68" i="4" a="1"/>
  <c r="I68" i="4" a="1"/>
  <c r="J68" i="4" a="1"/>
  <c r="K68" i="4" a="1"/>
  <c r="L68" i="4" a="1"/>
  <c r="M68" i="4" a="1"/>
  <c r="N68" i="4" a="1"/>
  <c r="C74" i="4" a="1"/>
  <c r="D74" i="4" a="1"/>
  <c r="E74" i="4" a="1"/>
  <c r="F74" i="4" a="1"/>
  <c r="G74" i="4" a="1"/>
  <c r="H74" i="4" a="1"/>
  <c r="I74" i="4" a="1"/>
  <c r="J74" i="4" a="1"/>
  <c r="K74" i="4" a="1"/>
  <c r="L74" i="4" a="1"/>
  <c r="M74" i="4" a="1"/>
  <c r="N74" i="4" a="1"/>
  <c r="C71" i="4" a="1"/>
  <c r="D71" i="4" a="1"/>
  <c r="E71" i="4" a="1"/>
  <c r="F71" i="4" a="1"/>
  <c r="G71" i="4" a="1"/>
  <c r="H71" i="4" a="1"/>
  <c r="I71" i="4" a="1"/>
  <c r="J71" i="4" a="1"/>
  <c r="K71" i="4" a="1"/>
  <c r="L71" i="4" a="1"/>
  <c r="M71" i="4" a="1"/>
  <c r="N71" i="4" a="1"/>
  <c r="C31" i="4" a="1"/>
  <c r="D31" i="4" a="1"/>
  <c r="E31" i="4" a="1"/>
  <c r="F31" i="4" a="1"/>
  <c r="G31" i="4" a="1"/>
  <c r="H31" i="4" a="1"/>
  <c r="I31" i="4" a="1"/>
  <c r="J31" i="4" a="1"/>
  <c r="K31" i="4" a="1"/>
  <c r="L31" i="4" a="1"/>
  <c r="M31" i="4" a="1"/>
  <c r="N31" i="4" a="1"/>
  <c r="C114" i="4" a="1"/>
  <c r="D114" i="4" a="1"/>
  <c r="E114" i="4" a="1"/>
  <c r="F114" i="4" a="1"/>
  <c r="G114" i="4" a="1"/>
  <c r="H114" i="4" a="1"/>
  <c r="I114" i="4" a="1"/>
  <c r="J114" i="4" a="1"/>
  <c r="K114" i="4" a="1"/>
  <c r="L114" i="4" a="1"/>
  <c r="M114" i="4" a="1"/>
  <c r="N114" i="4" a="1"/>
  <c r="C101" i="4" a="1"/>
  <c r="D101" i="4" a="1"/>
  <c r="E101" i="4" a="1"/>
  <c r="F101" i="4" a="1"/>
  <c r="G101" i="4" a="1"/>
  <c r="H101" i="4" a="1"/>
  <c r="I101" i="4" a="1"/>
  <c r="J101" i="4" a="1"/>
  <c r="K101" i="4" a="1"/>
  <c r="L101" i="4" a="1"/>
  <c r="M101" i="4" a="1"/>
  <c r="N101" i="4" a="1"/>
  <c r="C110" i="4" a="1"/>
  <c r="D110" i="4" a="1"/>
  <c r="E110" i="4" a="1"/>
  <c r="F110" i="4" a="1"/>
  <c r="G110" i="4" a="1"/>
  <c r="H110" i="4" a="1"/>
  <c r="I110" i="4" a="1"/>
  <c r="J110" i="4" a="1"/>
  <c r="K110" i="4" a="1"/>
  <c r="L110" i="4" a="1"/>
  <c r="M110" i="4" a="1"/>
  <c r="N110" i="4" a="1"/>
  <c r="C95" i="4" a="1"/>
  <c r="D95" i="4" a="1"/>
  <c r="E95" i="4" a="1"/>
  <c r="F95" i="4" a="1"/>
  <c r="G95" i="4" a="1"/>
  <c r="H95" i="4" a="1"/>
  <c r="I95" i="4" a="1"/>
  <c r="J95" i="4" a="1"/>
  <c r="K95" i="4" a="1"/>
  <c r="L95" i="4" a="1"/>
  <c r="M95" i="4" a="1"/>
  <c r="N95" i="4" a="1"/>
  <c r="C45" i="4" a="1"/>
  <c r="D45" i="4" a="1"/>
  <c r="E45" i="4" a="1"/>
  <c r="F45" i="4" a="1"/>
  <c r="G45" i="4" a="1"/>
  <c r="H45" i="4" a="1"/>
  <c r="I45" i="4" a="1"/>
  <c r="J45" i="4" a="1"/>
  <c r="K45" i="4" a="1"/>
  <c r="L45" i="4" a="1"/>
  <c r="M45" i="4" a="1"/>
  <c r="N45" i="4" a="1"/>
  <c r="C56" i="4" a="1"/>
  <c r="D56" i="4" a="1"/>
  <c r="E56" i="4" a="1"/>
  <c r="F56" i="4" a="1"/>
  <c r="G56" i="4" a="1"/>
  <c r="H56" i="4" a="1"/>
  <c r="I56" i="4" a="1"/>
  <c r="J56" i="4" a="1"/>
  <c r="K56" i="4" a="1"/>
  <c r="L56" i="4" a="1"/>
  <c r="M56" i="4" a="1"/>
  <c r="N56" i="4" a="1"/>
  <c r="C50" i="4" a="1"/>
  <c r="D50" i="4" a="1"/>
  <c r="E50" i="4" a="1"/>
  <c r="F50" i="4" a="1"/>
  <c r="G50" i="4" a="1"/>
  <c r="H50" i="4" a="1"/>
  <c r="I50" i="4" a="1"/>
  <c r="J50" i="4" a="1"/>
  <c r="K50" i="4" a="1"/>
  <c r="L50" i="4" a="1"/>
  <c r="M50" i="4" a="1"/>
  <c r="N50" i="4" a="1"/>
  <c r="C47" i="4" a="1"/>
  <c r="D47" i="4" a="1"/>
  <c r="E47" i="4" a="1"/>
  <c r="F47" i="4" a="1"/>
  <c r="G47" i="4" a="1"/>
  <c r="H47" i="4" a="1"/>
  <c r="I47" i="4" a="1"/>
  <c r="J47" i="4" a="1"/>
  <c r="K47" i="4" a="1"/>
  <c r="L47" i="4" a="1"/>
  <c r="M47" i="4" a="1"/>
  <c r="N47" i="4" a="1"/>
  <c r="C19" i="4" a="1"/>
  <c r="D19" i="4" a="1"/>
  <c r="E19" i="4" a="1"/>
  <c r="F19" i="4" a="1"/>
  <c r="G19" i="4" a="1"/>
  <c r="H19" i="4" a="1"/>
  <c r="I19" i="4" a="1"/>
  <c r="J19" i="4" a="1"/>
  <c r="K19" i="4" a="1"/>
  <c r="L19" i="4" a="1"/>
  <c r="M19" i="4" a="1"/>
  <c r="N19" i="4" a="1"/>
  <c r="C102" i="4" a="1"/>
  <c r="D102" i="4" a="1"/>
  <c r="E102" i="4" a="1"/>
  <c r="F102" i="4" a="1"/>
  <c r="G102" i="4" a="1"/>
  <c r="H102" i="4" a="1"/>
  <c r="I102" i="4" a="1"/>
  <c r="J102" i="4" a="1"/>
  <c r="K102" i="4" a="1"/>
  <c r="L102" i="4" a="1"/>
  <c r="M102" i="4" a="1"/>
  <c r="N102" i="4" a="1"/>
  <c r="C89" i="4" a="1"/>
  <c r="D89" i="4" a="1"/>
  <c r="E89" i="4" a="1"/>
  <c r="F89" i="4" a="1"/>
  <c r="G89" i="4" a="1"/>
  <c r="H89" i="4" a="1"/>
  <c r="I89" i="4" a="1"/>
  <c r="J89" i="4" a="1"/>
  <c r="K89" i="4" a="1"/>
  <c r="L89" i="4" a="1"/>
  <c r="M89" i="4" a="1"/>
  <c r="N89" i="4" a="1"/>
  <c r="C86" i="4" a="1"/>
  <c r="D86" i="4" a="1"/>
  <c r="E86" i="4" a="1"/>
  <c r="F86" i="4" a="1"/>
  <c r="G86" i="4" a="1"/>
  <c r="H86" i="4" a="1"/>
  <c r="I86" i="4" a="1"/>
  <c r="J86" i="4" a="1"/>
  <c r="K86" i="4" a="1"/>
  <c r="L86" i="4" a="1"/>
  <c r="M86" i="4" a="1"/>
  <c r="N86" i="4" a="1"/>
  <c r="C59" i="4" a="1"/>
  <c r="D59" i="4" a="1"/>
  <c r="E59" i="4" a="1"/>
  <c r="F59" i="4" a="1"/>
  <c r="G59" i="4" a="1"/>
  <c r="H59" i="4" a="1"/>
  <c r="I59" i="4" a="1"/>
  <c r="J59" i="4" a="1"/>
  <c r="K59" i="4" a="1"/>
  <c r="L59" i="4" a="1"/>
  <c r="M59" i="4" a="1"/>
  <c r="N59" i="4" a="1"/>
  <c r="C33" i="4" a="1"/>
  <c r="D33" i="4" a="1"/>
  <c r="E33" i="4" a="1"/>
  <c r="F33" i="4" a="1"/>
  <c r="G33" i="4" a="1"/>
  <c r="H33" i="4" a="1"/>
  <c r="I33" i="4" a="1"/>
  <c r="J33" i="4" a="1"/>
  <c r="K33" i="4" a="1"/>
  <c r="L33" i="4" a="1"/>
  <c r="M33" i="4" a="1"/>
  <c r="N33" i="4" a="1"/>
  <c r="C44" i="4" a="1"/>
  <c r="D44" i="4" a="1"/>
  <c r="E44" i="4" a="1"/>
  <c r="F44" i="4" a="1"/>
  <c r="G44" i="4" a="1"/>
  <c r="H44" i="4" a="1"/>
  <c r="I44" i="4" a="1"/>
  <c r="J44" i="4" a="1"/>
  <c r="K44" i="4" a="1"/>
  <c r="L44" i="4" a="1"/>
  <c r="M44" i="4" a="1"/>
  <c r="N44" i="4" a="1"/>
  <c r="C26" i="4" a="1"/>
  <c r="D26" i="4" a="1"/>
  <c r="E26" i="4" a="1"/>
  <c r="F26" i="4" a="1"/>
  <c r="G26" i="4" a="1"/>
  <c r="H26" i="4" a="1"/>
  <c r="I26" i="4" a="1"/>
  <c r="J26" i="4" a="1"/>
  <c r="K26" i="4" a="1"/>
  <c r="L26" i="4" a="1"/>
  <c r="M26" i="4" a="1"/>
  <c r="N26" i="4" a="1"/>
  <c r="C23" i="4" a="1"/>
  <c r="D23" i="4" a="1"/>
  <c r="E23" i="4" a="1"/>
  <c r="F23" i="4" a="1"/>
  <c r="G23" i="4" a="1"/>
  <c r="H23" i="4" a="1"/>
  <c r="I23" i="4" a="1"/>
  <c r="J23" i="4" a="1"/>
  <c r="K23" i="4" a="1"/>
  <c r="L23" i="4" a="1"/>
  <c r="M23" i="4" a="1"/>
  <c r="N23" i="4" a="1"/>
  <c r="C90" i="4" a="1"/>
  <c r="D90" i="4" a="1"/>
  <c r="E90" i="4" a="1"/>
  <c r="F90" i="4" a="1"/>
  <c r="G90" i="4" a="1"/>
  <c r="H90" i="4" a="1"/>
  <c r="I90" i="4" a="1"/>
  <c r="J90" i="4" a="1"/>
  <c r="K90" i="4" a="1"/>
  <c r="L90" i="4" a="1"/>
  <c r="M90" i="4" a="1"/>
  <c r="N90" i="4" a="1"/>
  <c r="C77" i="4" a="1"/>
  <c r="D77" i="4" a="1"/>
  <c r="E77" i="4" a="1"/>
  <c r="F77" i="4" a="1"/>
  <c r="G77" i="4" a="1"/>
  <c r="H77" i="4" a="1"/>
  <c r="I77" i="4" a="1"/>
  <c r="J77" i="4" a="1"/>
  <c r="K77" i="4" a="1"/>
  <c r="L77" i="4" a="1"/>
  <c r="M77" i="4" a="1"/>
  <c r="N77" i="4" a="1"/>
  <c r="C62" i="4" a="1"/>
  <c r="D62" i="4" a="1"/>
  <c r="E62" i="4" a="1"/>
  <c r="F62" i="4" a="1"/>
  <c r="G62" i="4" a="1"/>
  <c r="H62" i="4" a="1"/>
  <c r="I62" i="4" a="1"/>
  <c r="J62" i="4" a="1"/>
  <c r="K62" i="4" a="1"/>
  <c r="L62" i="4" a="1"/>
  <c r="M62" i="4" a="1"/>
  <c r="N62" i="4" a="1"/>
  <c r="C35" i="4" a="1"/>
  <c r="D35" i="4" a="1"/>
  <c r="E35" i="4" a="1"/>
  <c r="F35" i="4" a="1"/>
  <c r="G35" i="4" a="1"/>
  <c r="H35" i="4" a="1"/>
  <c r="I35" i="4" a="1"/>
  <c r="J35" i="4" a="1"/>
  <c r="K35" i="4" a="1"/>
  <c r="L35" i="4" a="1"/>
  <c r="M35" i="4" a="1"/>
  <c r="N35" i="4" a="1"/>
  <c r="C21" i="4" a="1"/>
  <c r="D21" i="4" a="1"/>
  <c r="E21" i="4" a="1"/>
  <c r="F21" i="4" a="1"/>
  <c r="G21" i="4" a="1"/>
  <c r="H21" i="4" a="1"/>
  <c r="I21" i="4" a="1"/>
  <c r="J21" i="4" a="1"/>
  <c r="K21" i="4" a="1"/>
  <c r="L21" i="4" a="1"/>
  <c r="M21" i="4" a="1"/>
  <c r="N21" i="4" a="1"/>
  <c r="C32" i="4" a="1"/>
  <c r="D32" i="4" a="1"/>
  <c r="E32" i="4" a="1"/>
  <c r="F32" i="4" a="1"/>
  <c r="G32" i="4" a="1"/>
  <c r="H32" i="4" a="1"/>
  <c r="I32" i="4" a="1"/>
  <c r="J32" i="4" a="1"/>
  <c r="K32" i="4" a="1"/>
  <c r="L32" i="4" a="1"/>
  <c r="M32" i="4" a="1"/>
  <c r="N32" i="4" a="1"/>
  <c r="C97" i="4" a="1"/>
  <c r="D97" i="4" a="1"/>
  <c r="E97" i="4" a="1"/>
  <c r="F97" i="4" a="1"/>
  <c r="G97" i="4" a="1"/>
  <c r="H97" i="4" a="1"/>
  <c r="I97" i="4" a="1"/>
  <c r="J97" i="4" a="1"/>
  <c r="K97" i="4" a="1"/>
  <c r="L97" i="4" a="1"/>
  <c r="M97" i="4" a="1"/>
  <c r="N97" i="4" a="1"/>
  <c r="C106" i="4" a="1"/>
  <c r="D106" i="4" a="1"/>
  <c r="E106" i="4" a="1"/>
  <c r="F106" i="4" a="1"/>
  <c r="G106" i="4" a="1"/>
  <c r="H106" i="4" a="1"/>
  <c r="I106" i="4" a="1"/>
  <c r="J106" i="4" a="1"/>
  <c r="K106" i="4" a="1"/>
  <c r="L106" i="4" a="1"/>
  <c r="M106" i="4" a="1"/>
  <c r="N106" i="4" a="1"/>
  <c r="C78" i="4" a="1"/>
  <c r="D78" i="4" a="1"/>
  <c r="E78" i="4" a="1"/>
  <c r="F78" i="4" a="1"/>
  <c r="G78" i="4" a="1"/>
  <c r="H78" i="4" a="1"/>
  <c r="I78" i="4" a="1"/>
  <c r="J78" i="4" a="1"/>
  <c r="K78" i="4" a="1"/>
  <c r="L78" i="4" a="1"/>
  <c r="M78" i="4" a="1"/>
  <c r="N78" i="4" a="1"/>
  <c r="C65" i="4" a="1"/>
  <c r="D65" i="4" a="1"/>
  <c r="E65" i="4" a="1"/>
  <c r="F65" i="4" a="1"/>
  <c r="G65" i="4" a="1"/>
  <c r="H65" i="4" a="1"/>
  <c r="I65" i="4" a="1"/>
  <c r="J65" i="4" a="1"/>
  <c r="K65" i="4" a="1"/>
  <c r="L65" i="4" a="1"/>
  <c r="M65" i="4" a="1"/>
  <c r="N65" i="4" a="1"/>
  <c r="C38" i="4" a="1"/>
  <c r="D38" i="4" a="1"/>
  <c r="E38" i="4" a="1"/>
  <c r="F38" i="4" a="1"/>
  <c r="G38" i="4" a="1"/>
  <c r="H38" i="4" a="1"/>
  <c r="I38" i="4" a="1"/>
  <c r="J38" i="4" a="1"/>
  <c r="K38" i="4" a="1"/>
  <c r="L38" i="4" a="1"/>
  <c r="M38" i="4" a="1"/>
  <c r="N38" i="4" a="1"/>
  <c r="C82" i="4" a="1"/>
  <c r="D82" i="4" a="1"/>
  <c r="E82" i="4" a="1"/>
  <c r="F82" i="4" a="1"/>
  <c r="G82" i="4" a="1"/>
  <c r="H82" i="4" a="1"/>
  <c r="I82" i="4" a="1"/>
  <c r="J82" i="4" a="1"/>
  <c r="K82" i="4" a="1"/>
  <c r="L82" i="4" a="1"/>
  <c r="M82" i="4" a="1"/>
  <c r="N82" i="4" a="1"/>
  <c r="C83" i="4" a="1"/>
  <c r="D83" i="4" a="1"/>
  <c r="E83" i="4" a="1"/>
  <c r="F83" i="4" a="1"/>
  <c r="G83" i="4" a="1"/>
  <c r="H83" i="4" a="1"/>
  <c r="I83" i="4" a="1"/>
  <c r="J83" i="4" a="1"/>
  <c r="K83" i="4" a="1"/>
  <c r="L83" i="4" a="1"/>
  <c r="M83" i="4" a="1"/>
  <c r="N83" i="4" a="1"/>
  <c r="C20" i="4" a="1"/>
  <c r="D20" i="4" a="1"/>
  <c r="E20" i="4" a="1"/>
  <c r="F20" i="4" a="1"/>
  <c r="G20" i="4" a="1"/>
  <c r="H20" i="4" a="1"/>
  <c r="I20" i="4" a="1"/>
  <c r="J20" i="4" a="1"/>
  <c r="K20" i="4" a="1"/>
  <c r="L20" i="4" a="1"/>
  <c r="M20" i="4" a="1"/>
  <c r="N20" i="4" a="1"/>
  <c r="C73" i="4" a="1"/>
  <c r="D73" i="4" a="1"/>
  <c r="E73" i="4" a="1"/>
  <c r="F73" i="4" a="1"/>
  <c r="G73" i="4" a="1"/>
  <c r="H73" i="4" a="1"/>
  <c r="I73" i="4" a="1"/>
  <c r="J73" i="4" a="1"/>
  <c r="K73" i="4" a="1"/>
  <c r="L73" i="4" a="1"/>
  <c r="M73" i="4" a="1"/>
  <c r="N73" i="4" a="1"/>
  <c r="C70" i="4" a="1"/>
  <c r="D70" i="4" a="1"/>
  <c r="E70" i="4" a="1"/>
  <c r="F70" i="4" a="1"/>
  <c r="G70" i="4" a="1"/>
  <c r="H70" i="4" a="1"/>
  <c r="I70" i="4" a="1"/>
  <c r="J70" i="4" a="1"/>
  <c r="K70" i="4" a="1"/>
  <c r="L70" i="4" a="1"/>
  <c r="M70" i="4" a="1"/>
  <c r="N70" i="4" a="1"/>
  <c r="C66" i="4" a="1"/>
  <c r="D66" i="4" a="1"/>
  <c r="E66" i="4" a="1"/>
  <c r="F66" i="4" a="1"/>
  <c r="G66" i="4" a="1"/>
  <c r="H66" i="4" a="1"/>
  <c r="I66" i="4" a="1"/>
  <c r="J66" i="4" a="1"/>
  <c r="K66" i="4" a="1"/>
  <c r="L66" i="4" a="1"/>
  <c r="M66" i="4" a="1"/>
  <c r="N66" i="4" a="1"/>
  <c r="C53" i="4" a="1"/>
  <c r="D53" i="4" a="1"/>
  <c r="E53" i="4" a="1"/>
  <c r="F53" i="4" a="1"/>
  <c r="G53" i="4" a="1"/>
  <c r="H53" i="4" a="1"/>
  <c r="I53" i="4" a="1"/>
  <c r="J53" i="4" a="1"/>
  <c r="K53" i="4" a="1"/>
  <c r="L53" i="4" a="1"/>
  <c r="M53" i="4" a="1"/>
  <c r="N53" i="4" a="1"/>
  <c r="C109" i="4" a="1"/>
  <c r="D109" i="4" a="1"/>
  <c r="E109" i="4" a="1"/>
  <c r="F109" i="4" a="1"/>
  <c r="G109" i="4" a="1"/>
  <c r="H109" i="4" a="1"/>
  <c r="I109" i="4" a="1"/>
  <c r="J109" i="4" a="1"/>
  <c r="K109" i="4" a="1"/>
  <c r="L109" i="4" a="1"/>
  <c r="M109" i="4" a="1"/>
  <c r="N109" i="4" a="1"/>
  <c r="C46" i="4" a="1"/>
  <c r="D46" i="4" a="1"/>
  <c r="E46" i="4" a="1"/>
  <c r="F46" i="4" a="1"/>
  <c r="G46" i="4" a="1"/>
  <c r="H46" i="4" a="1"/>
  <c r="I46" i="4" a="1"/>
  <c r="J46" i="4" a="1"/>
  <c r="K46" i="4" a="1"/>
  <c r="L46" i="4" a="1"/>
  <c r="M46" i="4" a="1"/>
  <c r="N46" i="4" a="1"/>
  <c r="C94" i="4" a="1"/>
  <c r="D94" i="4" a="1"/>
  <c r="E94" i="4" a="1"/>
  <c r="F94" i="4" a="1"/>
  <c r="G94" i="4" a="1"/>
  <c r="H94" i="4" a="1"/>
  <c r="I94" i="4" a="1"/>
  <c r="J94" i="4" a="1"/>
  <c r="K94" i="4" a="1"/>
  <c r="L94" i="4" a="1"/>
  <c r="M94" i="4" a="1"/>
  <c r="N94" i="4" a="1"/>
  <c r="C100" i="4" a="1"/>
  <c r="D100" i="4" a="1"/>
  <c r="E100" i="4" a="1"/>
  <c r="F100" i="4" a="1"/>
  <c r="G100" i="4" a="1"/>
  <c r="H100" i="4" a="1"/>
  <c r="I100" i="4" a="1"/>
  <c r="J100" i="4" a="1"/>
  <c r="K100" i="4" a="1"/>
  <c r="L100" i="4" a="1"/>
  <c r="M100" i="4" a="1"/>
  <c r="N100" i="4" a="1"/>
  <c r="C49" i="4" a="1"/>
  <c r="D49" i="4" a="1"/>
  <c r="E49" i="4" a="1"/>
  <c r="F49" i="4" a="1"/>
  <c r="G49" i="4" a="1"/>
  <c r="H49" i="4" a="1"/>
  <c r="I49" i="4" a="1"/>
  <c r="J49" i="4" a="1"/>
  <c r="K49" i="4" a="1"/>
  <c r="L49" i="4" a="1"/>
  <c r="M49" i="4" a="1"/>
  <c r="N49" i="4" a="1"/>
  <c r="C115" i="4" a="1"/>
  <c r="D115" i="4" a="1"/>
  <c r="E115" i="4" a="1"/>
  <c r="F115" i="4" a="1"/>
  <c r="G115" i="4" a="1"/>
  <c r="H115" i="4" a="1"/>
  <c r="I115" i="4" a="1"/>
  <c r="J115" i="4" a="1"/>
  <c r="K115" i="4" a="1"/>
  <c r="L115" i="4" a="1"/>
  <c r="M115" i="4" a="1"/>
  <c r="N115" i="4" a="1"/>
  <c r="C54" i="4" a="1"/>
  <c r="D54" i="4" a="1"/>
  <c r="E54" i="4" a="1"/>
  <c r="F54" i="4" a="1"/>
  <c r="G54" i="4" a="1"/>
  <c r="H54" i="4" a="1"/>
  <c r="I54" i="4" a="1"/>
  <c r="J54" i="4" a="1"/>
  <c r="K54" i="4" a="1"/>
  <c r="L54" i="4" a="1"/>
  <c r="M54" i="4" a="1"/>
  <c r="N54" i="4" a="1"/>
  <c r="C41" i="4" a="1"/>
  <c r="D41" i="4" a="1"/>
  <c r="E41" i="4" a="1"/>
  <c r="F41" i="4" a="1"/>
  <c r="G41" i="4" a="1"/>
  <c r="H41" i="4" a="1"/>
  <c r="I41" i="4" a="1"/>
  <c r="J41" i="4" a="1"/>
  <c r="K41" i="4" a="1"/>
  <c r="L41" i="4" a="1"/>
  <c r="M41" i="4" a="1"/>
  <c r="N41" i="4" a="1"/>
  <c r="C85" i="4" a="1"/>
  <c r="D85" i="4" a="1"/>
  <c r="E85" i="4" a="1"/>
  <c r="F85" i="4" a="1"/>
  <c r="G85" i="4" a="1"/>
  <c r="H85" i="4" a="1"/>
  <c r="I85" i="4" a="1"/>
  <c r="J85" i="4" a="1"/>
  <c r="K85" i="4" a="1"/>
  <c r="L85" i="4" a="1"/>
  <c r="M85" i="4" a="1"/>
  <c r="N85" i="4" a="1"/>
  <c r="C22" i="4" a="1"/>
  <c r="D22" i="4" a="1"/>
  <c r="E22" i="4" a="1"/>
  <c r="F22" i="4" a="1"/>
  <c r="G22" i="4" a="1"/>
  <c r="H22" i="4" a="1"/>
  <c r="I22" i="4" a="1"/>
  <c r="J22" i="4" a="1"/>
  <c r="K22" i="4" a="1"/>
  <c r="L22" i="4" a="1"/>
  <c r="M22" i="4" a="1"/>
  <c r="N22" i="4" a="1"/>
  <c r="C58" i="4" a="1"/>
  <c r="D58" i="4" a="1"/>
  <c r="E58" i="4" a="1"/>
  <c r="F58" i="4" a="1"/>
  <c r="G58" i="4" a="1"/>
  <c r="H58" i="4" a="1"/>
  <c r="I58" i="4" a="1"/>
  <c r="J58" i="4" a="1"/>
  <c r="K58" i="4" a="1"/>
  <c r="L58" i="4" a="1"/>
  <c r="M58" i="4" a="1"/>
  <c r="N58" i="4" a="1"/>
  <c r="C64" i="4" a="1"/>
  <c r="D64" i="4" a="1"/>
  <c r="E64" i="4" a="1"/>
  <c r="F64" i="4" a="1"/>
  <c r="G64" i="4" a="1"/>
  <c r="H64" i="4" a="1"/>
  <c r="I64" i="4" a="1"/>
  <c r="J64" i="4" a="1"/>
  <c r="K64" i="4" a="1"/>
  <c r="L64" i="4" a="1"/>
  <c r="M64" i="4" a="1"/>
  <c r="N64" i="4" a="1"/>
  <c r="C25" i="4" a="1"/>
  <c r="D25" i="4" a="1"/>
  <c r="E25" i="4" a="1"/>
  <c r="F25" i="4" a="1"/>
  <c r="G25" i="4" a="1"/>
  <c r="H25" i="4" a="1"/>
  <c r="I25" i="4" a="1"/>
  <c r="J25" i="4" a="1"/>
  <c r="K25" i="4" a="1"/>
  <c r="L25" i="4" a="1"/>
  <c r="M25" i="4" a="1"/>
  <c r="N25" i="4" a="1"/>
  <c r="C103" i="4" a="1"/>
  <c r="D103" i="4" a="1"/>
  <c r="E103" i="4" a="1"/>
  <c r="F103" i="4" a="1"/>
  <c r="G103" i="4" a="1"/>
  <c r="H103" i="4" a="1"/>
  <c r="I103" i="4" a="1"/>
  <c r="J103" i="4" a="1"/>
  <c r="K103" i="4" a="1"/>
  <c r="L103" i="4" a="1"/>
  <c r="M103" i="4" a="1"/>
  <c r="N103" i="4" a="1"/>
  <c r="C42" i="4" a="1"/>
  <c r="D42" i="4" a="1"/>
  <c r="E42" i="4" a="1"/>
  <c r="F42" i="4" a="1"/>
  <c r="G42" i="4" a="1"/>
  <c r="H42" i="4" a="1"/>
  <c r="I42" i="4" a="1"/>
  <c r="J42" i="4" a="1"/>
  <c r="K42" i="4" a="1"/>
  <c r="L42" i="4" a="1"/>
  <c r="M42" i="4" a="1"/>
  <c r="N42" i="4" a="1"/>
  <c r="C29" i="4" a="1"/>
  <c r="D29" i="4" a="1"/>
  <c r="E29" i="4" a="1"/>
  <c r="F29" i="4" a="1"/>
  <c r="G29" i="4" a="1"/>
  <c r="H29" i="4" a="1"/>
  <c r="I29" i="4" a="1"/>
  <c r="J29" i="4" a="1"/>
  <c r="K29" i="4" a="1"/>
  <c r="L29" i="4" a="1"/>
  <c r="M29" i="4" a="1"/>
  <c r="N29" i="4" a="1"/>
  <c r="C61" i="4" a="1"/>
  <c r="D61" i="4" a="1"/>
  <c r="E61" i="4" a="1"/>
  <c r="F61" i="4" a="1"/>
  <c r="G61" i="4" a="1"/>
  <c r="H61" i="4" a="1"/>
  <c r="I61" i="4" a="1"/>
  <c r="J61" i="4" a="1"/>
  <c r="K61" i="4" a="1"/>
  <c r="L61" i="4" a="1"/>
  <c r="M61" i="4" a="1"/>
  <c r="N61" i="4" a="1"/>
  <c r="C117" i="4" a="1"/>
  <c r="D117" i="4" a="1"/>
  <c r="E117" i="4" a="1"/>
  <c r="F117" i="4" a="1"/>
  <c r="G117" i="4" a="1"/>
  <c r="H117" i="4" a="1"/>
  <c r="I117" i="4" a="1"/>
  <c r="J117" i="4" a="1"/>
  <c r="K117" i="4" a="1"/>
  <c r="L117" i="4" a="1"/>
  <c r="M117" i="4" a="1"/>
  <c r="N117" i="4" a="1"/>
  <c r="C34" i="4" a="1"/>
  <c r="D34" i="4" a="1"/>
  <c r="E34" i="4" a="1"/>
  <c r="F34" i="4" a="1"/>
  <c r="G34" i="4" a="1"/>
  <c r="H34" i="4" a="1"/>
  <c r="I34" i="4" a="1"/>
  <c r="J34" i="4" a="1"/>
  <c r="K34" i="4" a="1"/>
  <c r="L34" i="4" a="1"/>
  <c r="M34" i="4" a="1"/>
  <c r="N34" i="4" a="1"/>
  <c r="C111" i="4" a="1"/>
  <c r="D111" i="4" a="1"/>
  <c r="E111" i="4" a="1"/>
  <c r="F111" i="4" a="1"/>
  <c r="G111" i="4" a="1"/>
  <c r="H111" i="4" a="1"/>
  <c r="I111" i="4" a="1"/>
  <c r="J111" i="4" a="1"/>
  <c r="K111" i="4" a="1"/>
  <c r="L111" i="4" a="1"/>
  <c r="M111" i="4" a="1"/>
  <c r="N111" i="4" a="1"/>
  <c r="C96" i="4" a="1"/>
  <c r="D96" i="4" a="1"/>
  <c r="E96" i="4" a="1"/>
  <c r="F96" i="4" a="1"/>
  <c r="G96" i="4" a="1"/>
  <c r="H96" i="4" a="1"/>
  <c r="I96" i="4" a="1"/>
  <c r="J96" i="4" a="1"/>
  <c r="K96" i="4" a="1"/>
  <c r="L96" i="4" a="1"/>
  <c r="M96" i="4" a="1"/>
  <c r="N96" i="4" a="1"/>
  <c r="C91" i="4" a="1"/>
  <c r="D91" i="4" a="1"/>
  <c r="E91" i="4" a="1"/>
  <c r="F91" i="4" a="1"/>
  <c r="G91" i="4" a="1"/>
  <c r="H91" i="4" a="1"/>
  <c r="I91" i="4" a="1"/>
  <c r="J91" i="4" a="1"/>
  <c r="K91" i="4" a="1"/>
  <c r="L91" i="4" a="1"/>
  <c r="M91" i="4" a="1"/>
  <c r="N91" i="4" a="1"/>
  <c r="C30" i="4" a="1"/>
  <c r="D30" i="4" a="1"/>
  <c r="E30" i="4" a="1"/>
  <c r="F30" i="4" a="1"/>
  <c r="G30" i="4" a="1"/>
  <c r="H30" i="4" a="1"/>
  <c r="I30" i="4" a="1"/>
  <c r="J30" i="4" a="1"/>
  <c r="K30" i="4" a="1"/>
  <c r="L30" i="4" a="1"/>
  <c r="M30" i="4" a="1"/>
  <c r="N30" i="4" a="1"/>
  <c r="C28" i="4" a="1"/>
  <c r="D28" i="4" a="1"/>
  <c r="E28" i="4" a="1"/>
  <c r="F28" i="4" a="1"/>
  <c r="G28" i="4" a="1"/>
  <c r="H28" i="4" a="1"/>
  <c r="I28" i="4" a="1"/>
  <c r="J28" i="4" a="1"/>
  <c r="K28" i="4" a="1"/>
  <c r="L28" i="4" a="1"/>
  <c r="M28" i="4" a="1"/>
  <c r="N28" i="4" a="1"/>
  <c r="C37" i="4" a="1"/>
  <c r="D37" i="4" a="1"/>
  <c r="E37" i="4" a="1"/>
  <c r="F37" i="4" a="1"/>
  <c r="G37" i="4" a="1"/>
  <c r="H37" i="4" a="1"/>
  <c r="I37" i="4" a="1"/>
  <c r="J37" i="4" a="1"/>
  <c r="K37" i="4" a="1"/>
  <c r="L37" i="4" a="1"/>
  <c r="M37" i="4" a="1"/>
  <c r="N37" i="4" a="1"/>
  <c r="C105" i="4" a="1"/>
  <c r="D105" i="4" a="1"/>
  <c r="E105" i="4" a="1"/>
  <c r="F105" i="4" a="1"/>
  <c r="G105" i="4" a="1"/>
  <c r="H105" i="4" a="1"/>
  <c r="I105" i="4" a="1"/>
  <c r="J105" i="4" a="1"/>
  <c r="K105" i="4" a="1"/>
  <c r="L105" i="4" a="1"/>
  <c r="M105" i="4" a="1"/>
  <c r="N105" i="4" a="1"/>
  <c r="C116" i="4" a="1"/>
  <c r="D116" i="4" a="1"/>
  <c r="E116" i="4" a="1"/>
  <c r="F116" i="4" a="1"/>
  <c r="G116" i="4" a="1"/>
  <c r="H116" i="4" a="1"/>
  <c r="I116" i="4" a="1"/>
  <c r="J116" i="4" a="1"/>
  <c r="K116" i="4" a="1"/>
  <c r="L116" i="4" a="1"/>
  <c r="M116" i="4" a="1"/>
  <c r="N116" i="4" a="1"/>
  <c r="C87" i="4" a="1"/>
  <c r="D87" i="4" a="1"/>
  <c r="E87" i="4" a="1"/>
  <c r="F87" i="4" a="1"/>
  <c r="G87" i="4" a="1"/>
  <c r="H87" i="4" a="1"/>
  <c r="I87" i="4" a="1"/>
  <c r="J87" i="4" a="1"/>
  <c r="K87" i="4" a="1"/>
  <c r="L87" i="4" a="1"/>
  <c r="M87" i="4" a="1"/>
  <c r="N87" i="4" a="1"/>
  <c r="C84" i="4" a="1"/>
  <c r="D84" i="4" a="1"/>
  <c r="E84" i="4" a="1"/>
  <c r="F84" i="4" a="1"/>
  <c r="G84" i="4" a="1"/>
  <c r="H84" i="4" a="1"/>
  <c r="I84" i="4" a="1"/>
  <c r="J84" i="4" a="1"/>
  <c r="K84" i="4" a="1"/>
  <c r="L84" i="4" a="1"/>
  <c r="M84" i="4" a="1"/>
  <c r="N84" i="4" a="1"/>
  <c r="C79" i="4" a="1"/>
  <c r="D79" i="4" a="1"/>
  <c r="E79" i="4" a="1"/>
  <c r="F79" i="4" a="1"/>
  <c r="G79" i="4" a="1"/>
  <c r="H79" i="4" a="1"/>
  <c r="I79" i="4" a="1"/>
  <c r="J79" i="4" a="1"/>
  <c r="K79" i="4" a="1"/>
  <c r="L79" i="4" a="1"/>
  <c r="M79" i="4" a="1"/>
  <c r="N79" i="4" a="1"/>
  <c r="C40" i="4" a="1"/>
  <c r="D40" i="4" a="1"/>
  <c r="E40" i="4" a="1"/>
  <c r="F40" i="4" a="1"/>
  <c r="G40" i="4" a="1"/>
  <c r="H40" i="4" a="1"/>
  <c r="I40" i="4" a="1"/>
  <c r="J40" i="4" a="1"/>
  <c r="K40" i="4" a="1"/>
  <c r="L40" i="4" a="1"/>
  <c r="M40" i="4" a="1"/>
  <c r="N40" i="4" a="1"/>
  <c r="C52" i="4" a="1"/>
  <c r="D52" i="4" a="1"/>
  <c r="E52" i="4" a="1"/>
  <c r="F52" i="4" a="1"/>
  <c r="G52" i="4" a="1"/>
  <c r="H52" i="4" a="1"/>
  <c r="I52" i="4" a="1"/>
  <c r="J52" i="4" a="1"/>
  <c r="K52" i="4" a="1"/>
  <c r="L52" i="4" a="1"/>
  <c r="M52" i="4" a="1"/>
  <c r="N52" i="4" a="1"/>
  <c r="C72" i="4" a="1"/>
  <c r="D72" i="4" a="1"/>
  <c r="E72" i="4" a="1"/>
  <c r="F72" i="4" a="1"/>
  <c r="G72" i="4" a="1"/>
  <c r="H72" i="4" a="1"/>
  <c r="I72" i="4" a="1"/>
  <c r="J72" i="4" a="1"/>
  <c r="K72" i="4" a="1"/>
  <c r="L72" i="4" a="1"/>
  <c r="M72" i="4" a="1"/>
  <c r="N72" i="4" a="1"/>
  <c r="C81" i="4" a="1"/>
  <c r="D81" i="4" a="1"/>
  <c r="E81" i="4" a="1"/>
  <c r="F81" i="4" a="1"/>
  <c r="G81" i="4" a="1"/>
  <c r="H81" i="4" a="1"/>
  <c r="I81" i="4" a="1"/>
  <c r="J81" i="4" a="1"/>
  <c r="K81" i="4" a="1"/>
  <c r="L81" i="4" a="1"/>
  <c r="M81" i="4" a="1"/>
  <c r="N81" i="4" a="1"/>
  <c r="C92" i="4" a="1"/>
  <c r="D92" i="4" a="1"/>
  <c r="E92" i="4" a="1"/>
  <c r="F92" i="4" a="1"/>
  <c r="G92" i="4" a="1"/>
  <c r="H92" i="4" a="1"/>
  <c r="I92" i="4" a="1"/>
  <c r="J92" i="4" a="1"/>
  <c r="K92" i="4" a="1"/>
  <c r="L92" i="4" a="1"/>
  <c r="M92" i="4" a="1"/>
  <c r="N92" i="4" a="1"/>
  <c r="C27" i="4" a="1"/>
  <c r="D27" i="4" a="1"/>
  <c r="E27" i="4" a="1"/>
  <c r="F27" i="4" a="1"/>
  <c r="G27" i="4" a="1"/>
  <c r="H27" i="4" a="1"/>
  <c r="I27" i="4" a="1"/>
  <c r="J27" i="4" a="1"/>
  <c r="K27" i="4" a="1"/>
  <c r="L27" i="4" a="1"/>
  <c r="M27" i="4" a="1"/>
  <c r="N27" i="4" a="1"/>
  <c r="C24" i="4" a="1"/>
  <c r="D24" i="4" a="1"/>
  <c r="E24" i="4" a="1"/>
  <c r="F24" i="4" a="1"/>
  <c r="G24" i="4" a="1"/>
  <c r="H24" i="4" a="1"/>
  <c r="I24" i="4" a="1"/>
  <c r="J24" i="4" a="1"/>
  <c r="K24" i="4" a="1"/>
  <c r="L24" i="4" a="1"/>
  <c r="M24" i="4" a="1"/>
  <c r="N24" i="4" a="1"/>
  <c r="C55" i="4" a="1"/>
  <c r="D55" i="4" a="1"/>
  <c r="E55" i="4" a="1"/>
  <c r="F55" i="4" a="1"/>
  <c r="G55" i="4" a="1"/>
  <c r="H55" i="4" a="1"/>
  <c r="I55" i="4" a="1"/>
  <c r="J55" i="4" a="1"/>
  <c r="K55" i="4" a="1"/>
  <c r="L55" i="4" a="1"/>
  <c r="M55" i="4" a="1"/>
  <c r="N55" i="4" a="1"/>
  <c r="C104" i="4" a="1"/>
  <c r="D104" i="4" a="1"/>
  <c r="E104" i="4" a="1"/>
  <c r="F104" i="4" a="1"/>
  <c r="G104" i="4" a="1"/>
  <c r="H104" i="4" a="1"/>
  <c r="I104" i="4" a="1"/>
  <c r="J104" i="4" a="1"/>
  <c r="K104" i="4" a="1"/>
  <c r="L104" i="4" a="1"/>
  <c r="M104" i="4" a="1"/>
  <c r="N104" i="4" a="1"/>
  <c r="C48" i="4" a="1"/>
  <c r="D48" i="4" a="1"/>
  <c r="E48" i="4" a="1"/>
  <c r="F48" i="4" a="1"/>
  <c r="G48" i="4" a="1"/>
  <c r="H48" i="4" a="1"/>
  <c r="I48" i="4" a="1"/>
  <c r="J48" i="4" a="1"/>
  <c r="K48" i="4" a="1"/>
  <c r="L48" i="4" a="1"/>
  <c r="M48" i="4" a="1"/>
  <c r="N48" i="4" a="1"/>
  <c r="C67" i="4" a="1"/>
  <c r="D67" i="4" a="1"/>
  <c r="E67" i="4" a="1"/>
  <c r="F67" i="4" a="1"/>
  <c r="G67" i="4" a="1"/>
  <c r="H67" i="4" a="1"/>
  <c r="I67" i="4" a="1"/>
  <c r="J67" i="4" a="1"/>
  <c r="K67" i="4" a="1"/>
  <c r="L67" i="4" a="1"/>
  <c r="M67" i="4" a="1"/>
  <c r="N67" i="4" a="1"/>
  <c r="C93" i="4" a="1"/>
  <c r="D93" i="4" a="1"/>
  <c r="E93" i="4" a="1"/>
  <c r="F93" i="4" a="1"/>
  <c r="G93" i="4" a="1"/>
  <c r="H93" i="4" a="1"/>
  <c r="I93" i="4" a="1"/>
  <c r="J93" i="4" a="1"/>
  <c r="K93" i="4" a="1"/>
  <c r="L93" i="4" a="1"/>
  <c r="M93" i="4" a="1"/>
  <c r="N93" i="4" a="1"/>
  <c r="C88" i="4" a="1"/>
  <c r="D88" i="4" a="1"/>
  <c r="E88" i="4" a="1"/>
  <c r="F88" i="4" a="1"/>
  <c r="G88" i="4" a="1"/>
  <c r="H88" i="4" a="1"/>
  <c r="I88" i="4" a="1"/>
  <c r="J88" i="4" a="1"/>
  <c r="K88" i="4" a="1"/>
  <c r="L88" i="4" a="1"/>
  <c r="M88" i="4" a="1"/>
  <c r="N88" i="4" a="1"/>
  <c r="C108" i="4" a="1"/>
  <c r="D108" i="4" a="1"/>
  <c r="E108" i="4" a="1"/>
  <c r="F108" i="4" a="1"/>
  <c r="G108" i="4" a="1"/>
  <c r="H108" i="4" a="1"/>
  <c r="I108" i="4" a="1"/>
  <c r="J108" i="4" a="1"/>
  <c r="K108" i="4" a="1"/>
  <c r="L108" i="4" a="1"/>
  <c r="M108" i="4" a="1"/>
  <c r="N108" i="4" a="1"/>
  <c r="C51" i="4" a="1"/>
  <c r="D51" i="4" a="1"/>
  <c r="E51" i="4" a="1"/>
  <c r="F51" i="4" a="1"/>
  <c r="G51" i="4" a="1"/>
  <c r="H51" i="4" a="1"/>
  <c r="I51" i="4" a="1"/>
  <c r="J51" i="4" a="1"/>
  <c r="K51" i="4" a="1"/>
  <c r="L51" i="4" a="1"/>
  <c r="M51" i="4" a="1"/>
  <c r="N51" i="4" a="1"/>
  <c r="C112" i="4" a="1"/>
  <c r="D112" i="4" a="1"/>
  <c r="E112" i="4" a="1"/>
  <c r="F112" i="4" a="1"/>
  <c r="G112" i="4" a="1"/>
  <c r="H112" i="4" a="1"/>
  <c r="I112" i="4" a="1"/>
  <c r="J112" i="4" a="1"/>
  <c r="K112" i="4" a="1"/>
  <c r="L112" i="4" a="1"/>
  <c r="M112" i="4" a="1"/>
  <c r="N112" i="4" a="1"/>
  <c r="N112" i="4" l="1"/>
  <c r="M112" i="4"/>
  <c r="L112" i="4"/>
  <c r="K112" i="4"/>
  <c r="J112" i="4"/>
  <c r="I112" i="4"/>
  <c r="H112" i="4"/>
  <c r="G112" i="4"/>
  <c r="F112" i="4"/>
  <c r="E112" i="4"/>
  <c r="D112" i="4"/>
  <c r="C112" i="4"/>
  <c r="N51" i="4"/>
  <c r="M51" i="4"/>
  <c r="L51" i="4"/>
  <c r="K51" i="4"/>
  <c r="J51" i="4"/>
  <c r="I51" i="4"/>
  <c r="H51" i="4"/>
  <c r="G51" i="4"/>
  <c r="F51" i="4"/>
  <c r="E51" i="4"/>
  <c r="D51" i="4"/>
  <c r="C51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N88" i="4"/>
  <c r="M88" i="4"/>
  <c r="L88" i="4"/>
  <c r="K88" i="4"/>
  <c r="J88" i="4"/>
  <c r="I88" i="4"/>
  <c r="H88" i="4"/>
  <c r="G88" i="4"/>
  <c r="F88" i="4"/>
  <c r="E88" i="4"/>
  <c r="D88" i="4"/>
  <c r="C88" i="4"/>
  <c r="N93" i="4"/>
  <c r="M93" i="4"/>
  <c r="L93" i="4"/>
  <c r="K93" i="4"/>
  <c r="J93" i="4"/>
  <c r="I93" i="4"/>
  <c r="H93" i="4"/>
  <c r="G93" i="4"/>
  <c r="F93" i="4"/>
  <c r="E93" i="4"/>
  <c r="D93" i="4"/>
  <c r="C93" i="4"/>
  <c r="N67" i="4"/>
  <c r="M67" i="4"/>
  <c r="L67" i="4"/>
  <c r="K67" i="4"/>
  <c r="J67" i="4"/>
  <c r="I67" i="4"/>
  <c r="H67" i="4"/>
  <c r="G67" i="4"/>
  <c r="F67" i="4"/>
  <c r="E67" i="4"/>
  <c r="D67" i="4"/>
  <c r="C67" i="4"/>
  <c r="N48" i="4"/>
  <c r="M48" i="4"/>
  <c r="L48" i="4"/>
  <c r="K48" i="4"/>
  <c r="J48" i="4"/>
  <c r="I48" i="4"/>
  <c r="H48" i="4"/>
  <c r="G48" i="4"/>
  <c r="F48" i="4"/>
  <c r="E48" i="4"/>
  <c r="D48" i="4"/>
  <c r="C48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N55" i="4"/>
  <c r="M55" i="4"/>
  <c r="L55" i="4"/>
  <c r="K55" i="4"/>
  <c r="J55" i="4"/>
  <c r="I55" i="4"/>
  <c r="H55" i="4"/>
  <c r="G55" i="4"/>
  <c r="F55" i="4"/>
  <c r="E55" i="4"/>
  <c r="D55" i="4"/>
  <c r="C55" i="4"/>
  <c r="N24" i="4"/>
  <c r="M24" i="4"/>
  <c r="L24" i="4"/>
  <c r="K24" i="4"/>
  <c r="J24" i="4"/>
  <c r="I24" i="4"/>
  <c r="H24" i="4"/>
  <c r="G24" i="4"/>
  <c r="F24" i="4"/>
  <c r="E24" i="4"/>
  <c r="D24" i="4"/>
  <c r="C24" i="4"/>
  <c r="N27" i="4"/>
  <c r="M27" i="4"/>
  <c r="L27" i="4"/>
  <c r="K27" i="4"/>
  <c r="J27" i="4"/>
  <c r="I27" i="4"/>
  <c r="H27" i="4"/>
  <c r="G27" i="4"/>
  <c r="F27" i="4"/>
  <c r="E27" i="4"/>
  <c r="D27" i="4"/>
  <c r="C27" i="4"/>
  <c r="N92" i="4"/>
  <c r="M92" i="4"/>
  <c r="L92" i="4"/>
  <c r="K92" i="4"/>
  <c r="J92" i="4"/>
  <c r="I92" i="4"/>
  <c r="H92" i="4"/>
  <c r="G92" i="4"/>
  <c r="F92" i="4"/>
  <c r="E92" i="4"/>
  <c r="D92" i="4"/>
  <c r="C92" i="4"/>
  <c r="N81" i="4"/>
  <c r="M81" i="4"/>
  <c r="L81" i="4"/>
  <c r="K81" i="4"/>
  <c r="J81" i="4"/>
  <c r="I81" i="4"/>
  <c r="H81" i="4"/>
  <c r="G81" i="4"/>
  <c r="F81" i="4"/>
  <c r="E81" i="4"/>
  <c r="D81" i="4"/>
  <c r="C81" i="4"/>
  <c r="N72" i="4"/>
  <c r="M72" i="4"/>
  <c r="L72" i="4"/>
  <c r="K72" i="4"/>
  <c r="J72" i="4"/>
  <c r="I72" i="4"/>
  <c r="H72" i="4"/>
  <c r="G72" i="4"/>
  <c r="F72" i="4"/>
  <c r="E72" i="4"/>
  <c r="D72" i="4"/>
  <c r="C72" i="4"/>
  <c r="N52" i="4"/>
  <c r="M52" i="4"/>
  <c r="L52" i="4"/>
  <c r="K52" i="4"/>
  <c r="J52" i="4"/>
  <c r="I52" i="4"/>
  <c r="H52" i="4"/>
  <c r="G52" i="4"/>
  <c r="F52" i="4"/>
  <c r="E52" i="4"/>
  <c r="D52" i="4"/>
  <c r="C52" i="4"/>
  <c r="N40" i="4"/>
  <c r="M40" i="4"/>
  <c r="L40" i="4"/>
  <c r="K40" i="4"/>
  <c r="J40" i="4"/>
  <c r="I40" i="4"/>
  <c r="H40" i="4"/>
  <c r="G40" i="4"/>
  <c r="F40" i="4"/>
  <c r="E40" i="4"/>
  <c r="D40" i="4"/>
  <c r="C40" i="4"/>
  <c r="N79" i="4"/>
  <c r="M79" i="4"/>
  <c r="L79" i="4"/>
  <c r="K79" i="4"/>
  <c r="J79" i="4"/>
  <c r="I79" i="4"/>
  <c r="H79" i="4"/>
  <c r="G79" i="4"/>
  <c r="F79" i="4"/>
  <c r="E79" i="4"/>
  <c r="D79" i="4"/>
  <c r="C79" i="4"/>
  <c r="N84" i="4"/>
  <c r="M84" i="4"/>
  <c r="L84" i="4"/>
  <c r="K84" i="4"/>
  <c r="J84" i="4"/>
  <c r="I84" i="4"/>
  <c r="H84" i="4"/>
  <c r="G84" i="4"/>
  <c r="F84" i="4"/>
  <c r="E84" i="4"/>
  <c r="D84" i="4"/>
  <c r="C84" i="4"/>
  <c r="N87" i="4"/>
  <c r="M87" i="4"/>
  <c r="L87" i="4"/>
  <c r="K87" i="4"/>
  <c r="J87" i="4"/>
  <c r="I87" i="4"/>
  <c r="H87" i="4"/>
  <c r="G87" i="4"/>
  <c r="F87" i="4"/>
  <c r="E87" i="4"/>
  <c r="D87" i="4"/>
  <c r="C8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N37" i="4"/>
  <c r="M37" i="4"/>
  <c r="L37" i="4"/>
  <c r="K37" i="4"/>
  <c r="J37" i="4"/>
  <c r="I37" i="4"/>
  <c r="H37" i="4"/>
  <c r="G37" i="4"/>
  <c r="F37" i="4"/>
  <c r="E37" i="4"/>
  <c r="D37" i="4"/>
  <c r="C37" i="4"/>
  <c r="N28" i="4"/>
  <c r="M28" i="4"/>
  <c r="L28" i="4"/>
  <c r="K28" i="4"/>
  <c r="J28" i="4"/>
  <c r="I28" i="4"/>
  <c r="H28" i="4"/>
  <c r="G28" i="4"/>
  <c r="F28" i="4"/>
  <c r="E28" i="4"/>
  <c r="D28" i="4"/>
  <c r="C28" i="4"/>
  <c r="N30" i="4"/>
  <c r="M30" i="4"/>
  <c r="L30" i="4"/>
  <c r="K30" i="4"/>
  <c r="J30" i="4"/>
  <c r="I30" i="4"/>
  <c r="H30" i="4"/>
  <c r="G30" i="4"/>
  <c r="F30" i="4"/>
  <c r="E30" i="4"/>
  <c r="D30" i="4"/>
  <c r="C30" i="4"/>
  <c r="N91" i="4"/>
  <c r="M91" i="4"/>
  <c r="L91" i="4"/>
  <c r="K91" i="4"/>
  <c r="J91" i="4"/>
  <c r="I91" i="4"/>
  <c r="H91" i="4"/>
  <c r="G91" i="4"/>
  <c r="F91" i="4"/>
  <c r="E91" i="4"/>
  <c r="D91" i="4"/>
  <c r="C91" i="4"/>
  <c r="N96" i="4"/>
  <c r="M96" i="4"/>
  <c r="L96" i="4"/>
  <c r="K96" i="4"/>
  <c r="J96" i="4"/>
  <c r="I96" i="4"/>
  <c r="H96" i="4"/>
  <c r="G96" i="4"/>
  <c r="F96" i="4"/>
  <c r="E96" i="4"/>
  <c r="D96" i="4"/>
  <c r="C96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N34" i="4"/>
  <c r="M34" i="4"/>
  <c r="L34" i="4"/>
  <c r="K34" i="4"/>
  <c r="J34" i="4"/>
  <c r="I34" i="4"/>
  <c r="H34" i="4"/>
  <c r="G34" i="4"/>
  <c r="F34" i="4"/>
  <c r="E34" i="4"/>
  <c r="D34" i="4"/>
  <c r="C34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N61" i="4"/>
  <c r="M61" i="4"/>
  <c r="L61" i="4"/>
  <c r="K61" i="4"/>
  <c r="J61" i="4"/>
  <c r="I61" i="4"/>
  <c r="H61" i="4"/>
  <c r="G61" i="4"/>
  <c r="F61" i="4"/>
  <c r="E61" i="4"/>
  <c r="D61" i="4"/>
  <c r="C61" i="4"/>
  <c r="N29" i="4"/>
  <c r="M29" i="4"/>
  <c r="L29" i="4"/>
  <c r="K29" i="4"/>
  <c r="J29" i="4"/>
  <c r="I29" i="4"/>
  <c r="H29" i="4"/>
  <c r="G29" i="4"/>
  <c r="F29" i="4"/>
  <c r="E29" i="4"/>
  <c r="D29" i="4"/>
  <c r="C29" i="4"/>
  <c r="N42" i="4"/>
  <c r="M42" i="4"/>
  <c r="L42" i="4"/>
  <c r="K42" i="4"/>
  <c r="J42" i="4"/>
  <c r="I42" i="4"/>
  <c r="H42" i="4"/>
  <c r="G42" i="4"/>
  <c r="F42" i="4"/>
  <c r="E42" i="4"/>
  <c r="D42" i="4"/>
  <c r="C42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N25" i="4"/>
  <c r="M25" i="4"/>
  <c r="L25" i="4"/>
  <c r="K25" i="4"/>
  <c r="J25" i="4"/>
  <c r="I25" i="4"/>
  <c r="H25" i="4"/>
  <c r="G25" i="4"/>
  <c r="F25" i="4"/>
  <c r="E25" i="4"/>
  <c r="D25" i="4"/>
  <c r="C25" i="4"/>
  <c r="N64" i="4"/>
  <c r="M64" i="4"/>
  <c r="L64" i="4"/>
  <c r="K64" i="4"/>
  <c r="J64" i="4"/>
  <c r="I64" i="4"/>
  <c r="H64" i="4"/>
  <c r="G64" i="4"/>
  <c r="F64" i="4"/>
  <c r="E64" i="4"/>
  <c r="D64" i="4"/>
  <c r="C64" i="4"/>
  <c r="N58" i="4"/>
  <c r="M58" i="4"/>
  <c r="L58" i="4"/>
  <c r="K58" i="4"/>
  <c r="J58" i="4"/>
  <c r="I58" i="4"/>
  <c r="H58" i="4"/>
  <c r="G58" i="4"/>
  <c r="F58" i="4"/>
  <c r="E58" i="4"/>
  <c r="D58" i="4"/>
  <c r="C58" i="4"/>
  <c r="N22" i="4"/>
  <c r="M22" i="4"/>
  <c r="L22" i="4"/>
  <c r="K22" i="4"/>
  <c r="J22" i="4"/>
  <c r="I22" i="4"/>
  <c r="H22" i="4"/>
  <c r="G22" i="4"/>
  <c r="F22" i="4"/>
  <c r="E22" i="4"/>
  <c r="D22" i="4"/>
  <c r="C22" i="4"/>
  <c r="N85" i="4"/>
  <c r="M85" i="4"/>
  <c r="L85" i="4"/>
  <c r="K85" i="4"/>
  <c r="J85" i="4"/>
  <c r="I85" i="4"/>
  <c r="H85" i="4"/>
  <c r="G85" i="4"/>
  <c r="F85" i="4"/>
  <c r="E85" i="4"/>
  <c r="D85" i="4"/>
  <c r="C85" i="4"/>
  <c r="N41" i="4"/>
  <c r="M41" i="4"/>
  <c r="L41" i="4"/>
  <c r="K41" i="4"/>
  <c r="J41" i="4"/>
  <c r="I41" i="4"/>
  <c r="H41" i="4"/>
  <c r="G41" i="4"/>
  <c r="F41" i="4"/>
  <c r="E41" i="4"/>
  <c r="D41" i="4"/>
  <c r="C41" i="4"/>
  <c r="N54" i="4"/>
  <c r="M54" i="4"/>
  <c r="L54" i="4"/>
  <c r="K54" i="4"/>
  <c r="J54" i="4"/>
  <c r="I54" i="4"/>
  <c r="H54" i="4"/>
  <c r="G54" i="4"/>
  <c r="F54" i="4"/>
  <c r="E54" i="4"/>
  <c r="D54" i="4"/>
  <c r="C54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N49" i="4"/>
  <c r="M49" i="4"/>
  <c r="L49" i="4"/>
  <c r="K49" i="4"/>
  <c r="J49" i="4"/>
  <c r="I49" i="4"/>
  <c r="H49" i="4"/>
  <c r="G49" i="4"/>
  <c r="F49" i="4"/>
  <c r="E49" i="4"/>
  <c r="D49" i="4"/>
  <c r="C49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N94" i="4"/>
  <c r="M94" i="4"/>
  <c r="L94" i="4"/>
  <c r="K94" i="4"/>
  <c r="J94" i="4"/>
  <c r="I94" i="4"/>
  <c r="H94" i="4"/>
  <c r="G94" i="4"/>
  <c r="F94" i="4"/>
  <c r="E94" i="4"/>
  <c r="D94" i="4"/>
  <c r="C94" i="4"/>
  <c r="N46" i="4"/>
  <c r="M46" i="4"/>
  <c r="L46" i="4"/>
  <c r="K46" i="4"/>
  <c r="J46" i="4"/>
  <c r="I46" i="4"/>
  <c r="H46" i="4"/>
  <c r="G46" i="4"/>
  <c r="F46" i="4"/>
  <c r="E46" i="4"/>
  <c r="D46" i="4"/>
  <c r="C46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N53" i="4"/>
  <c r="M53" i="4"/>
  <c r="L53" i="4"/>
  <c r="K53" i="4"/>
  <c r="J53" i="4"/>
  <c r="I53" i="4"/>
  <c r="H53" i="4"/>
  <c r="G53" i="4"/>
  <c r="F53" i="4"/>
  <c r="E53" i="4"/>
  <c r="D53" i="4"/>
  <c r="C53" i="4"/>
  <c r="N66" i="4"/>
  <c r="M66" i="4"/>
  <c r="L66" i="4"/>
  <c r="K66" i="4"/>
  <c r="J66" i="4"/>
  <c r="I66" i="4"/>
  <c r="H66" i="4"/>
  <c r="G66" i="4"/>
  <c r="F66" i="4"/>
  <c r="E66" i="4"/>
  <c r="D66" i="4"/>
  <c r="C66" i="4"/>
  <c r="N70" i="4"/>
  <c r="M70" i="4"/>
  <c r="L70" i="4"/>
  <c r="K70" i="4"/>
  <c r="J70" i="4"/>
  <c r="I70" i="4"/>
  <c r="H70" i="4"/>
  <c r="G70" i="4"/>
  <c r="F70" i="4"/>
  <c r="E70" i="4"/>
  <c r="D70" i="4"/>
  <c r="C70" i="4"/>
  <c r="N73" i="4"/>
  <c r="M73" i="4"/>
  <c r="L73" i="4"/>
  <c r="K73" i="4"/>
  <c r="J73" i="4"/>
  <c r="I73" i="4"/>
  <c r="H73" i="4"/>
  <c r="G73" i="4"/>
  <c r="F73" i="4"/>
  <c r="E73" i="4"/>
  <c r="D73" i="4"/>
  <c r="C73" i="4"/>
  <c r="N20" i="4"/>
  <c r="M20" i="4"/>
  <c r="L20" i="4"/>
  <c r="K20" i="4"/>
  <c r="J20" i="4"/>
  <c r="I20" i="4"/>
  <c r="H20" i="4"/>
  <c r="G20" i="4"/>
  <c r="F20" i="4"/>
  <c r="E20" i="4"/>
  <c r="D20" i="4"/>
  <c r="C20" i="4"/>
  <c r="N83" i="4"/>
  <c r="M83" i="4"/>
  <c r="L83" i="4"/>
  <c r="K83" i="4"/>
  <c r="J83" i="4"/>
  <c r="I83" i="4"/>
  <c r="H83" i="4"/>
  <c r="G83" i="4"/>
  <c r="F83" i="4"/>
  <c r="E83" i="4"/>
  <c r="D83" i="4"/>
  <c r="C83" i="4"/>
  <c r="N82" i="4"/>
  <c r="M82" i="4"/>
  <c r="L82" i="4"/>
  <c r="K82" i="4"/>
  <c r="J82" i="4"/>
  <c r="I82" i="4"/>
  <c r="H82" i="4"/>
  <c r="G82" i="4"/>
  <c r="F82" i="4"/>
  <c r="E82" i="4"/>
  <c r="D82" i="4"/>
  <c r="C82" i="4"/>
  <c r="N38" i="4"/>
  <c r="M38" i="4"/>
  <c r="L38" i="4"/>
  <c r="K38" i="4"/>
  <c r="J38" i="4"/>
  <c r="I38" i="4"/>
  <c r="H38" i="4"/>
  <c r="G38" i="4"/>
  <c r="F38" i="4"/>
  <c r="E38" i="4"/>
  <c r="D38" i="4"/>
  <c r="C38" i="4"/>
  <c r="N65" i="4"/>
  <c r="M65" i="4"/>
  <c r="L65" i="4"/>
  <c r="K65" i="4"/>
  <c r="J65" i="4"/>
  <c r="I65" i="4"/>
  <c r="H65" i="4"/>
  <c r="G65" i="4"/>
  <c r="F65" i="4"/>
  <c r="E65" i="4"/>
  <c r="D65" i="4"/>
  <c r="C65" i="4"/>
  <c r="N78" i="4"/>
  <c r="M78" i="4"/>
  <c r="L78" i="4"/>
  <c r="K78" i="4"/>
  <c r="J78" i="4"/>
  <c r="I78" i="4"/>
  <c r="H78" i="4"/>
  <c r="G78" i="4"/>
  <c r="F78" i="4"/>
  <c r="E78" i="4"/>
  <c r="D78" i="4"/>
  <c r="C78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N97" i="4"/>
  <c r="M97" i="4"/>
  <c r="L97" i="4"/>
  <c r="K97" i="4"/>
  <c r="J97" i="4"/>
  <c r="I97" i="4"/>
  <c r="H97" i="4"/>
  <c r="G97" i="4"/>
  <c r="F97" i="4"/>
  <c r="E97" i="4"/>
  <c r="D97" i="4"/>
  <c r="C97" i="4"/>
  <c r="N32" i="4"/>
  <c r="M32" i="4"/>
  <c r="L32" i="4"/>
  <c r="K32" i="4"/>
  <c r="J32" i="4"/>
  <c r="I32" i="4"/>
  <c r="H32" i="4"/>
  <c r="G32" i="4"/>
  <c r="F32" i="4"/>
  <c r="E32" i="4"/>
  <c r="D32" i="4"/>
  <c r="C32" i="4"/>
  <c r="N21" i="4"/>
  <c r="M21" i="4"/>
  <c r="L21" i="4"/>
  <c r="K21" i="4"/>
  <c r="J21" i="4"/>
  <c r="I21" i="4"/>
  <c r="H21" i="4"/>
  <c r="G21" i="4"/>
  <c r="F21" i="4"/>
  <c r="E21" i="4"/>
  <c r="D21" i="4"/>
  <c r="C21" i="4"/>
  <c r="N35" i="4"/>
  <c r="M35" i="4"/>
  <c r="L35" i="4"/>
  <c r="K35" i="4"/>
  <c r="J35" i="4"/>
  <c r="I35" i="4"/>
  <c r="H35" i="4"/>
  <c r="G35" i="4"/>
  <c r="F35" i="4"/>
  <c r="E35" i="4"/>
  <c r="D35" i="4"/>
  <c r="C35" i="4"/>
  <c r="N62" i="4"/>
  <c r="M62" i="4"/>
  <c r="L62" i="4"/>
  <c r="K62" i="4"/>
  <c r="J62" i="4"/>
  <c r="I62" i="4"/>
  <c r="H62" i="4"/>
  <c r="G62" i="4"/>
  <c r="F62" i="4"/>
  <c r="E62" i="4"/>
  <c r="D62" i="4"/>
  <c r="C62" i="4"/>
  <c r="N77" i="4"/>
  <c r="M77" i="4"/>
  <c r="L77" i="4"/>
  <c r="K77" i="4"/>
  <c r="J77" i="4"/>
  <c r="I77" i="4"/>
  <c r="H77" i="4"/>
  <c r="G77" i="4"/>
  <c r="F77" i="4"/>
  <c r="E77" i="4"/>
  <c r="D77" i="4"/>
  <c r="C77" i="4"/>
  <c r="N90" i="4"/>
  <c r="M90" i="4"/>
  <c r="L90" i="4"/>
  <c r="K90" i="4"/>
  <c r="J90" i="4"/>
  <c r="I90" i="4"/>
  <c r="H90" i="4"/>
  <c r="G90" i="4"/>
  <c r="F90" i="4"/>
  <c r="E90" i="4"/>
  <c r="D90" i="4"/>
  <c r="C90" i="4"/>
  <c r="N23" i="4"/>
  <c r="M23" i="4"/>
  <c r="L23" i="4"/>
  <c r="K23" i="4"/>
  <c r="J23" i="4"/>
  <c r="I23" i="4"/>
  <c r="H23" i="4"/>
  <c r="G23" i="4"/>
  <c r="F23" i="4"/>
  <c r="E23" i="4"/>
  <c r="D23" i="4"/>
  <c r="C23" i="4"/>
  <c r="N26" i="4"/>
  <c r="M26" i="4"/>
  <c r="L26" i="4"/>
  <c r="K26" i="4"/>
  <c r="J26" i="4"/>
  <c r="I26" i="4"/>
  <c r="H26" i="4"/>
  <c r="G26" i="4"/>
  <c r="F26" i="4"/>
  <c r="E26" i="4"/>
  <c r="D26" i="4"/>
  <c r="C26" i="4"/>
  <c r="N44" i="4"/>
  <c r="M44" i="4"/>
  <c r="L44" i="4"/>
  <c r="K44" i="4"/>
  <c r="J44" i="4"/>
  <c r="I44" i="4"/>
  <c r="H44" i="4"/>
  <c r="G44" i="4"/>
  <c r="F44" i="4"/>
  <c r="E44" i="4"/>
  <c r="D44" i="4"/>
  <c r="C44" i="4"/>
  <c r="N33" i="4"/>
  <c r="M33" i="4"/>
  <c r="L33" i="4"/>
  <c r="K33" i="4"/>
  <c r="J33" i="4"/>
  <c r="I33" i="4"/>
  <c r="H33" i="4"/>
  <c r="G33" i="4"/>
  <c r="F33" i="4"/>
  <c r="E33" i="4"/>
  <c r="D33" i="4"/>
  <c r="C33" i="4"/>
  <c r="N59" i="4"/>
  <c r="M59" i="4"/>
  <c r="L59" i="4"/>
  <c r="K59" i="4"/>
  <c r="J59" i="4"/>
  <c r="I59" i="4"/>
  <c r="H59" i="4"/>
  <c r="G59" i="4"/>
  <c r="F59" i="4"/>
  <c r="E59" i="4"/>
  <c r="D59" i="4"/>
  <c r="C59" i="4"/>
  <c r="N86" i="4"/>
  <c r="M86" i="4"/>
  <c r="L86" i="4"/>
  <c r="K86" i="4"/>
  <c r="J86" i="4"/>
  <c r="I86" i="4"/>
  <c r="H86" i="4"/>
  <c r="G86" i="4"/>
  <c r="F86" i="4"/>
  <c r="E86" i="4"/>
  <c r="D86" i="4"/>
  <c r="C86" i="4"/>
  <c r="N89" i="4"/>
  <c r="M89" i="4"/>
  <c r="L89" i="4"/>
  <c r="K89" i="4"/>
  <c r="J89" i="4"/>
  <c r="I89" i="4"/>
  <c r="H89" i="4"/>
  <c r="G89" i="4"/>
  <c r="F89" i="4"/>
  <c r="E89" i="4"/>
  <c r="D89" i="4"/>
  <c r="C89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N19" i="4"/>
  <c r="M19" i="4"/>
  <c r="L19" i="4"/>
  <c r="K19" i="4"/>
  <c r="J19" i="4"/>
  <c r="I19" i="4"/>
  <c r="H19" i="4"/>
  <c r="G19" i="4"/>
  <c r="F19" i="4"/>
  <c r="E19" i="4"/>
  <c r="D19" i="4"/>
  <c r="C19" i="4"/>
  <c r="N47" i="4"/>
  <c r="M47" i="4"/>
  <c r="L47" i="4"/>
  <c r="K47" i="4"/>
  <c r="J47" i="4"/>
  <c r="I47" i="4"/>
  <c r="H47" i="4"/>
  <c r="G47" i="4"/>
  <c r="F47" i="4"/>
  <c r="E47" i="4"/>
  <c r="D47" i="4"/>
  <c r="C47" i="4"/>
  <c r="N50" i="4"/>
  <c r="M50" i="4"/>
  <c r="L50" i="4"/>
  <c r="K50" i="4"/>
  <c r="J50" i="4"/>
  <c r="I50" i="4"/>
  <c r="H50" i="4"/>
  <c r="G50" i="4"/>
  <c r="F50" i="4"/>
  <c r="E50" i="4"/>
  <c r="D50" i="4"/>
  <c r="C50" i="4"/>
  <c r="N56" i="4"/>
  <c r="M56" i="4"/>
  <c r="L56" i="4"/>
  <c r="K56" i="4"/>
  <c r="J56" i="4"/>
  <c r="I56" i="4"/>
  <c r="H56" i="4"/>
  <c r="G56" i="4"/>
  <c r="F56" i="4"/>
  <c r="E56" i="4"/>
  <c r="D56" i="4"/>
  <c r="C56" i="4"/>
  <c r="N45" i="4"/>
  <c r="M45" i="4"/>
  <c r="L45" i="4"/>
  <c r="K45" i="4"/>
  <c r="J45" i="4"/>
  <c r="I45" i="4"/>
  <c r="H45" i="4"/>
  <c r="G45" i="4"/>
  <c r="F45" i="4"/>
  <c r="E45" i="4"/>
  <c r="D45" i="4"/>
  <c r="C45" i="4"/>
  <c r="N95" i="4"/>
  <c r="M95" i="4"/>
  <c r="L95" i="4"/>
  <c r="K95" i="4"/>
  <c r="J95" i="4"/>
  <c r="I95" i="4"/>
  <c r="H95" i="4"/>
  <c r="G95" i="4"/>
  <c r="F95" i="4"/>
  <c r="E95" i="4"/>
  <c r="D95" i="4"/>
  <c r="C95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N31" i="4"/>
  <c r="M31" i="4"/>
  <c r="L31" i="4"/>
  <c r="K31" i="4"/>
  <c r="J31" i="4"/>
  <c r="I31" i="4"/>
  <c r="H31" i="4"/>
  <c r="G31" i="4"/>
  <c r="F31" i="4"/>
  <c r="E31" i="4"/>
  <c r="D31" i="4"/>
  <c r="C31" i="4"/>
  <c r="N71" i="4"/>
  <c r="M71" i="4"/>
  <c r="L71" i="4"/>
  <c r="K71" i="4"/>
  <c r="J71" i="4"/>
  <c r="I71" i="4"/>
  <c r="H71" i="4"/>
  <c r="G71" i="4"/>
  <c r="F71" i="4"/>
  <c r="E71" i="4"/>
  <c r="D71" i="4"/>
  <c r="C71" i="4"/>
  <c r="N74" i="4"/>
  <c r="M74" i="4"/>
  <c r="L74" i="4"/>
  <c r="K74" i="4"/>
  <c r="J74" i="4"/>
  <c r="I74" i="4"/>
  <c r="H74" i="4"/>
  <c r="G74" i="4"/>
  <c r="F74" i="4"/>
  <c r="E74" i="4"/>
  <c r="D74" i="4"/>
  <c r="C74" i="4"/>
  <c r="N68" i="4"/>
  <c r="M68" i="4"/>
  <c r="L68" i="4"/>
  <c r="K68" i="4"/>
  <c r="J68" i="4"/>
  <c r="I68" i="4"/>
  <c r="H68" i="4"/>
  <c r="G68" i="4"/>
  <c r="F68" i="4"/>
  <c r="E68" i="4"/>
  <c r="D68" i="4"/>
  <c r="C68" i="4"/>
  <c r="N57" i="4"/>
  <c r="M57" i="4"/>
  <c r="L57" i="4"/>
  <c r="K57" i="4"/>
  <c r="J57" i="4"/>
  <c r="I57" i="4"/>
  <c r="H57" i="4"/>
  <c r="G57" i="4"/>
  <c r="F57" i="4"/>
  <c r="E57" i="4"/>
  <c r="D57" i="4"/>
  <c r="C57" i="4"/>
  <c r="N36" i="4"/>
  <c r="M36" i="4"/>
  <c r="L36" i="4"/>
  <c r="K36" i="4"/>
  <c r="J36" i="4"/>
  <c r="I36" i="4"/>
  <c r="H36" i="4"/>
  <c r="G36" i="4"/>
  <c r="F36" i="4"/>
  <c r="E36" i="4"/>
  <c r="D36" i="4"/>
  <c r="C36" i="4"/>
  <c r="N39" i="4"/>
  <c r="M39" i="4"/>
  <c r="L39" i="4"/>
  <c r="K39" i="4"/>
  <c r="J39" i="4"/>
  <c r="I39" i="4"/>
  <c r="H39" i="4"/>
  <c r="G39" i="4"/>
  <c r="F39" i="4"/>
  <c r="E39" i="4"/>
  <c r="D39" i="4"/>
  <c r="C39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N99" i="4"/>
  <c r="M99" i="4"/>
  <c r="L99" i="4"/>
  <c r="K99" i="4"/>
  <c r="J99" i="4"/>
  <c r="I99" i="4"/>
  <c r="H99" i="4"/>
  <c r="G99" i="4"/>
  <c r="F99" i="4"/>
  <c r="E99" i="4"/>
  <c r="D99" i="4"/>
  <c r="C99" i="4"/>
  <c r="N43" i="4"/>
  <c r="M43" i="4"/>
  <c r="L43" i="4"/>
  <c r="K43" i="4"/>
  <c r="J43" i="4"/>
  <c r="I43" i="4"/>
  <c r="H43" i="4"/>
  <c r="G43" i="4"/>
  <c r="F43" i="4"/>
  <c r="E43" i="4"/>
  <c r="D43" i="4"/>
  <c r="C43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N98" i="4"/>
  <c r="M98" i="4"/>
  <c r="L98" i="4"/>
  <c r="K98" i="4"/>
  <c r="J98" i="4"/>
  <c r="I98" i="4"/>
  <c r="H98" i="4"/>
  <c r="G98" i="4"/>
  <c r="F98" i="4"/>
  <c r="E98" i="4"/>
  <c r="D98" i="4"/>
  <c r="C98" i="4"/>
  <c r="N80" i="4"/>
  <c r="M80" i="4"/>
  <c r="L80" i="4"/>
  <c r="K80" i="4"/>
  <c r="J80" i="4"/>
  <c r="I80" i="4"/>
  <c r="H80" i="4"/>
  <c r="G80" i="4"/>
  <c r="F80" i="4"/>
  <c r="E80" i="4"/>
  <c r="D80" i="4"/>
  <c r="C80" i="4"/>
  <c r="N69" i="4"/>
  <c r="M69" i="4"/>
  <c r="L69" i="4"/>
  <c r="K69" i="4"/>
  <c r="J69" i="4"/>
  <c r="I69" i="4"/>
  <c r="H69" i="4"/>
  <c r="G69" i="4"/>
  <c r="F69" i="4"/>
  <c r="E69" i="4"/>
  <c r="D69" i="4"/>
  <c r="C69" i="4"/>
  <c r="N60" i="4"/>
  <c r="M60" i="4"/>
  <c r="L60" i="4"/>
  <c r="K60" i="4"/>
  <c r="J60" i="4"/>
  <c r="I60" i="4"/>
  <c r="H60" i="4"/>
  <c r="G60" i="4"/>
  <c r="F60" i="4"/>
  <c r="E60" i="4"/>
  <c r="D60" i="4"/>
  <c r="C60" i="4"/>
  <c r="N75" i="4"/>
  <c r="M75" i="4"/>
  <c r="L75" i="4"/>
  <c r="K75" i="4"/>
  <c r="J75" i="4"/>
  <c r="I75" i="4"/>
  <c r="H75" i="4"/>
  <c r="G75" i="4"/>
  <c r="F75" i="4"/>
  <c r="E75" i="4"/>
  <c r="D75" i="4"/>
  <c r="C75" i="4"/>
  <c r="N63" i="4"/>
  <c r="M63" i="4"/>
  <c r="L63" i="4"/>
  <c r="K63" i="4"/>
  <c r="J63" i="4"/>
  <c r="I63" i="4"/>
  <c r="H63" i="4"/>
  <c r="G63" i="4"/>
  <c r="F63" i="4"/>
  <c r="E63" i="4"/>
  <c r="D63" i="4"/>
  <c r="C63" i="4"/>
  <c r="N76" i="4"/>
  <c r="M76" i="4"/>
  <c r="L76" i="4"/>
  <c r="K76" i="4"/>
  <c r="J76" i="4"/>
  <c r="I76" i="4"/>
  <c r="H76" i="4"/>
  <c r="G76" i="4"/>
  <c r="F76" i="4"/>
  <c r="E76" i="4"/>
  <c r="D76" i="4"/>
  <c r="C7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<sst xmlns="http://schemas.openxmlformats.org/spreadsheetml/2006/main" count="83" uniqueCount="81">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</sst>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1" xfId="0" applyFill="1" applyBorder="1"/>
    <xf numFmtId="0" fontId="2" fillId="2" borderId="1" xfId="1" applyBorder="1"/>
  </cellXfs>
  <cellStyles count="2"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Sublimation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Sweep!$A$18:$A$119</c:f>
              <c:numCache>
                <c:formatCode>General</c:formatCode>
                <c:ptCount val="102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Sweep!$C$18:$C$119</c:f>
              <c:numCache>
                <c:formatCode>General</c:formatCode>
                <c:ptCount val="102"/>
                <c:pt idx="0">
                  <c:v>13.380000000570604</c:v>
                </c:pt>
                <c:pt idx="1">
                  <c:v>13.380008340668576</c:v>
                </c:pt>
                <c:pt idx="2">
                  <c:v>13.380110790965931</c:v>
                </c:pt>
                <c:pt idx="3">
                  <c:v>13.380526241406804</c:v>
                </c:pt>
                <c:pt idx="4">
                  <c:v>13.381611036266651</c:v>
                </c:pt>
                <c:pt idx="5">
                  <c:v>13.383855597315454</c:v>
                </c:pt>
                <c:pt idx="6">
                  <c:v>13.387855309031591</c:v>
                </c:pt>
                <c:pt idx="7">
                  <c:v>13.394239265258955</c:v>
                </c:pt>
                <c:pt idx="8">
                  <c:v>13.403584655179589</c:v>
                </c:pt>
                <c:pt idx="9">
                  <c:v>13.416356988577071</c:v>
                </c:pt>
                <c:pt idx="10">
                  <c:v>13.432888901786258</c:v>
                </c:pt>
                <c:pt idx="11">
                  <c:v>13.453387622466257</c:v>
                </c:pt>
                <c:pt idx="12">
                  <c:v>13.477956402219032</c:v>
                </c:pt>
                <c:pt idx="13">
                  <c:v>13.506619315687933</c:v>
                </c:pt>
                <c:pt idx="14">
                  <c:v>13.539343921387699</c:v>
                </c:pt>
                <c:pt idx="15">
                  <c:v>13.576059749320956</c:v>
                </c:pt>
                <c:pt idx="16">
                  <c:v>13.616672392252273</c:v>
                </c:pt>
                <c:pt idx="17">
                  <c:v>13.661073722752112</c:v>
                </c:pt>
                <c:pt idx="18">
                  <c:v>13.709148942601386</c:v>
                </c:pt>
                <c:pt idx="19">
                  <c:v>13.760781100786531</c:v>
                </c:pt>
                <c:pt idx="20">
                  <c:v>13.81585353161239</c:v>
                </c:pt>
                <c:pt idx="21">
                  <c:v>13.874250419293462</c:v>
                </c:pt>
                <c:pt idx="22">
                  <c:v>13.935855325680034</c:v>
                </c:pt>
                <c:pt idx="23">
                  <c:v>14.000546771575513</c:v>
                </c:pt>
                <c:pt idx="24">
                  <c:v>14.068187338324984</c:v>
                </c:pt>
                <c:pt idx="25">
                  <c:v>13.891684916372521</c:v>
                </c:pt>
                <c:pt idx="26">
                  <c:v>13.861310573474452</c:v>
                </c:pt>
                <c:pt idx="27">
                  <c:v>13.83598849196483</c:v>
                </c:pt>
                <c:pt idx="28">
                  <c:v>13.807622211502036</c:v>
                </c:pt>
                <c:pt idx="29">
                  <c:v>13.775250218420727</c:v>
                </c:pt>
                <c:pt idx="30">
                  <c:v>13.738931024273111</c:v>
                </c:pt>
                <c:pt idx="31">
                  <c:v>13.698955698363099</c:v>
                </c:pt>
                <c:pt idx="32">
                  <c:v>13.655665262246128</c:v>
                </c:pt>
                <c:pt idx="33">
                  <c:v>13.609397635543893</c:v>
                </c:pt>
                <c:pt idx="34">
                  <c:v>13.560471133535891</c:v>
                </c:pt>
                <c:pt idx="35">
                  <c:v>13.509179937934523</c:v>
                </c:pt>
                <c:pt idx="36">
                  <c:v>13.455793794661272</c:v>
                </c:pt>
                <c:pt idx="37">
                  <c:v>13.400559212340056</c:v>
                </c:pt>
                <c:pt idx="38">
                  <c:v>13.343701136300931</c:v>
                </c:pt>
                <c:pt idx="39">
                  <c:v>13.285424701755792</c:v>
                </c:pt>
                <c:pt idx="40">
                  <c:v>13.225916915955633</c:v>
                </c:pt>
                <c:pt idx="41">
                  <c:v>13.16534821850377</c:v>
                </c:pt>
                <c:pt idx="42">
                  <c:v>13.10387390919516</c:v>
                </c:pt>
                <c:pt idx="43">
                  <c:v>13.041635448361355</c:v>
                </c:pt>
                <c:pt idx="44">
                  <c:v>12.978761639996421</c:v>
                </c:pt>
                <c:pt idx="45">
                  <c:v>12.915369708986495</c:v>
                </c:pt>
                <c:pt idx="46">
                  <c:v>12.85156628317424</c:v>
                </c:pt>
                <c:pt idx="47">
                  <c:v>12.78744828987527</c:v>
                </c:pt>
                <c:pt idx="48">
                  <c:v>12.72310377528609</c:v>
                </c:pt>
                <c:pt idx="49">
                  <c:v>12.658612654152003</c:v>
                </c:pt>
                <c:pt idx="50">
                  <c:v>12.594047396146328</c:v>
                </c:pt>
                <c:pt idx="51">
                  <c:v>12.529473654644926</c:v>
                </c:pt>
                <c:pt idx="52">
                  <c:v>12.464950842942393</c:v>
                </c:pt>
                <c:pt idx="53">
                  <c:v>12.400532662423798</c:v>
                </c:pt>
                <c:pt idx="54">
                  <c:v>12.336267586756968</c:v>
                </c:pt>
                <c:pt idx="55">
                  <c:v>12.272199305786867</c:v>
                </c:pt>
                <c:pt idx="56">
                  <c:v>12.208367132481511</c:v>
                </c:pt>
                <c:pt idx="57">
                  <c:v>12.144806375987306</c:v>
                </c:pt>
                <c:pt idx="58">
                  <c:v>12.081548683592608</c:v>
                </c:pt>
                <c:pt idx="59">
                  <c:v>12.018622354165684</c:v>
                </c:pt>
                <c:pt idx="60">
                  <c:v>11.956052625422821</c:v>
                </c:pt>
                <c:pt idx="61">
                  <c:v>11.893861937190499</c:v>
                </c:pt>
                <c:pt idx="62">
                  <c:v>11.832070172650003</c:v>
                </c:pt>
                <c:pt idx="63">
                  <c:v>11.770694879391847</c:v>
                </c:pt>
                <c:pt idx="64">
                  <c:v>11.70975147195891</c:v>
                </c:pt>
                <c:pt idx="65">
                  <c:v>11.649253417420704</c:v>
                </c:pt>
                <c:pt idx="66">
                  <c:v>11.589212405395164</c:v>
                </c:pt>
                <c:pt idx="67">
                  <c:v>11.529638503818239</c:v>
                </c:pt>
                <c:pt idx="68">
                  <c:v>11.470540301654422</c:v>
                </c:pt>
                <c:pt idx="69">
                  <c:v>11.411925039642808</c:v>
                </c:pt>
                <c:pt idx="70">
                  <c:v>11.353798730082225</c:v>
                </c:pt>
                <c:pt idx="71">
                  <c:v>11.29616626657546</c:v>
                </c:pt>
                <c:pt idx="72">
                  <c:v>11.239031524575619</c:v>
                </c:pt>
                <c:pt idx="73">
                  <c:v>11.18239745350691</c:v>
                </c:pt>
                <c:pt idx="74">
                  <c:v>11.126266161167246</c:v>
                </c:pt>
                <c:pt idx="75">
                  <c:v>11.070638991060385</c:v>
                </c:pt>
                <c:pt idx="76">
                  <c:v>11.015516593250601</c:v>
                </c:pt>
                <c:pt idx="77">
                  <c:v>10.960898989282876</c:v>
                </c:pt>
                <c:pt idx="78">
                  <c:v>10.906785631665418</c:v>
                </c:pt>
                <c:pt idx="79">
                  <c:v>10.853175458369405</c:v>
                </c:pt>
                <c:pt idx="80">
                  <c:v>10.800066942762216</c:v>
                </c:pt>
                <c:pt idx="81">
                  <c:v>10.74745813935518</c:v>
                </c:pt>
                <c:pt idx="82">
                  <c:v>10.695346725714511</c:v>
                </c:pt>
                <c:pt idx="83">
                  <c:v>10.643730040854706</c:v>
                </c:pt>
                <c:pt idx="84">
                  <c:v>10.592605120406484</c:v>
                </c:pt>
                <c:pt idx="85">
                  <c:v>10.541968728826861</c:v>
                </c:pt>
                <c:pt idx="86">
                  <c:v>10.491817388896198</c:v>
                </c:pt>
                <c:pt idx="87">
                  <c:v>10.442147408726459</c:v>
                </c:pt>
                <c:pt idx="88">
                  <c:v>10.392954906486139</c:v>
                </c:pt>
                <c:pt idx="89">
                  <c:v>10.34423583302986</c:v>
                </c:pt>
                <c:pt idx="90">
                  <c:v>10.295985992605097</c:v>
                </c:pt>
                <c:pt idx="91">
                  <c:v>10.248201061793829</c:v>
                </c:pt>
                <c:pt idx="92">
                  <c:v>10.200876606833923</c:v>
                </c:pt>
                <c:pt idx="93">
                  <c:v>10.154008099452849</c:v>
                </c:pt>
                <c:pt idx="94">
                  <c:v>10.107590931335372</c:v>
                </c:pt>
                <c:pt idx="95">
                  <c:v>10.061620427336743</c:v>
                </c:pt>
                <c:pt idx="96">
                  <c:v>10.016091857543698</c:v>
                </c:pt>
                <c:pt idx="97">
                  <c:v>9.9710004482770884</c:v>
                </c:pt>
                <c:pt idx="98">
                  <c:v>9.9263413921222785</c:v>
                </c:pt>
                <c:pt idx="99">
                  <c:v>9.8821098570663732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Sweep!$G$18:$G$117</c:f>
              <c:numCache>
                <c:formatCode>General</c:formatCode>
                <c:ptCount val="100"/>
                <c:pt idx="0">
                  <c:v>8.4622706982746492E-6</c:v>
                </c:pt>
                <c:pt idx="1">
                  <c:v>1.1249674584558446E-2</c:v>
                </c:pt>
                <c:pt idx="2">
                  <c:v>7.8281138669585373E-2</c:v>
                </c:pt>
                <c:pt idx="3">
                  <c:v>0.25195388711889277</c:v>
                </c:pt>
                <c:pt idx="4">
                  <c:v>0.58330275036413182</c:v>
                </c:pt>
                <c:pt idx="5">
                  <c:v>1.1192463851404502</c:v>
                </c:pt>
                <c:pt idx="6">
                  <c:v>1.8879070927313164</c:v>
                </c:pt>
                <c:pt idx="7">
                  <c:v>2.8855545667940348</c:v>
                </c:pt>
                <c:pt idx="8">
                  <c:v>4.0797934129812443</c:v>
                </c:pt>
                <c:pt idx="9">
                  <c:v>5.4234594847521178</c:v>
                </c:pt>
                <c:pt idx="10">
                  <c:v>6.8678245327203564</c:v>
                </c:pt>
                <c:pt idx="11">
                  <c:v>8.3703379029778198</c:v>
                </c:pt>
                <c:pt idx="12">
                  <c:v>9.8974582686885899</c:v>
                </c:pt>
                <c:pt idx="13">
                  <c:v>11.424584848334062</c:v>
                </c:pt>
                <c:pt idx="14">
                  <c:v>12.934726341740854</c:v>
                </c:pt>
                <c:pt idx="15">
                  <c:v>14.416854664493449</c:v>
                </c:pt>
                <c:pt idx="16">
                  <c:v>15.864380514693062</c:v>
                </c:pt>
                <c:pt idx="17">
                  <c:v>17.273901031823669</c:v>
                </c:pt>
                <c:pt idx="18">
                  <c:v>18.644234297317965</c:v>
                </c:pt>
                <c:pt idx="19">
                  <c:v>19.975702392858569</c:v>
                </c:pt>
                <c:pt idx="20">
                  <c:v>21.269611283031164</c:v>
                </c:pt>
                <c:pt idx="21">
                  <c:v>22.527878379471275</c:v>
                </c:pt>
                <c:pt idx="22">
                  <c:v>23.752766077419924</c:v>
                </c:pt>
                <c:pt idx="23">
                  <c:v>24.946686093288939</c:v>
                </c:pt>
                <c:pt idx="24">
                  <c:v>26.112037169051618</c:v>
                </c:pt>
                <c:pt idx="25">
                  <c:v>26.271447891278545</c:v>
                </c:pt>
                <c:pt idx="26">
                  <c:v>26.979507269209556</c:v>
                </c:pt>
                <c:pt idx="27">
                  <c:v>27.677662921751089</c:v>
                </c:pt>
                <c:pt idx="28">
                  <c:v>28.335782504894738</c:v>
                </c:pt>
                <c:pt idx="29">
                  <c:v>28.952011750824216</c:v>
                </c:pt>
                <c:pt idx="30">
                  <c:v>29.52835477777732</c:v>
                </c:pt>
                <c:pt idx="31">
                  <c:v>30.067552312260389</c:v>
                </c:pt>
                <c:pt idx="32">
                  <c:v>30.572377139315293</c:v>
                </c:pt>
                <c:pt idx="33">
                  <c:v>31.045444613177761</c:v>
                </c:pt>
                <c:pt idx="34">
                  <c:v>31.489166311756264</c:v>
                </c:pt>
                <c:pt idx="35">
                  <c:v>31.905748651076209</c:v>
                </c:pt>
                <c:pt idx="36">
                  <c:v>32.297205913747504</c:v>
                </c:pt>
                <c:pt idx="37">
                  <c:v>32.665377127067906</c:v>
                </c:pt>
                <c:pt idx="38">
                  <c:v>33.011942974514874</c:v>
                </c:pt>
                <c:pt idx="39">
                  <c:v>33.338441497908235</c:v>
                </c:pt>
                <c:pt idx="40">
                  <c:v>33.646282210330156</c:v>
                </c:pt>
                <c:pt idx="41">
                  <c:v>33.936758653407772</c:v>
                </c:pt>
                <c:pt idx="42">
                  <c:v>34.211059507264153</c:v>
                </c:pt>
                <c:pt idx="43">
                  <c:v>34.470278437117692</c:v>
                </c:pt>
                <c:pt idx="44">
                  <c:v>34.715422865458514</c:v>
                </c:pt>
                <c:pt idx="45">
                  <c:v>34.947421725365743</c:v>
                </c:pt>
                <c:pt idx="46">
                  <c:v>35.167132452688186</c:v>
                </c:pt>
                <c:pt idx="47">
                  <c:v>35.375347226656153</c:v>
                </c:pt>
                <c:pt idx="48">
                  <c:v>35.57279857235126</c:v>
                </c:pt>
                <c:pt idx="49">
                  <c:v>35.760164450905727</c:v>
                </c:pt>
                <c:pt idx="50">
                  <c:v>35.938072797775128</c:v>
                </c:pt>
                <c:pt idx="51">
                  <c:v>36.107105684895416</c:v>
                </c:pt>
                <c:pt idx="52">
                  <c:v>36.267803083551044</c:v>
                </c:pt>
                <c:pt idx="53">
                  <c:v>36.420666287344687</c:v>
                </c:pt>
                <c:pt idx="54">
                  <c:v>36.566160983142666</c:v>
                </c:pt>
                <c:pt idx="55">
                  <c:v>36.704720135411911</c:v>
                </c:pt>
                <c:pt idx="56">
                  <c:v>36.836746548613071</c:v>
                </c:pt>
                <c:pt idx="57">
                  <c:v>36.96261520065999</c:v>
                </c:pt>
                <c:pt idx="58">
                  <c:v>37.082675468860018</c:v>
                </c:pt>
                <c:pt idx="59">
                  <c:v>37.197253018979914</c:v>
                </c:pt>
                <c:pt idx="60">
                  <c:v>37.306651695983568</c:v>
                </c:pt>
                <c:pt idx="61">
                  <c:v>37.411155114352468</c:v>
                </c:pt>
                <c:pt idx="62">
                  <c:v>37.511028215421156</c:v>
                </c:pt>
                <c:pt idx="63">
                  <c:v>37.606518646306327</c:v>
                </c:pt>
                <c:pt idx="64">
                  <c:v>37.697858051603973</c:v>
                </c:pt>
                <c:pt idx="65">
                  <c:v>37.785263225444233</c:v>
                </c:pt>
                <c:pt idx="66">
                  <c:v>37.868937223417142</c:v>
                </c:pt>
                <c:pt idx="67">
                  <c:v>37.949070326691277</c:v>
                </c:pt>
                <c:pt idx="68">
                  <c:v>38.025840987898228</c:v>
                </c:pt>
                <c:pt idx="69">
                  <c:v>38.099416629407457</c:v>
                </c:pt>
                <c:pt idx="70">
                  <c:v>38.169954467028418</c:v>
                </c:pt>
                <c:pt idx="71">
                  <c:v>38.237602202296976</c:v>
                </c:pt>
                <c:pt idx="72">
                  <c:v>38.302498687311747</c:v>
                </c:pt>
                <c:pt idx="73">
                  <c:v>38.364774523820557</c:v>
                </c:pt>
                <c:pt idx="74">
                  <c:v>38.424552651187582</c:v>
                </c:pt>
                <c:pt idx="75">
                  <c:v>38.481948833290936</c:v>
                </c:pt>
                <c:pt idx="76">
                  <c:v>38.537072173027084</c:v>
                </c:pt>
                <c:pt idx="77">
                  <c:v>38.590025528569058</c:v>
                </c:pt>
                <c:pt idx="78">
                  <c:v>38.640905936525051</c:v>
                </c:pt>
                <c:pt idx="79">
                  <c:v>38.689805021912491</c:v>
                </c:pt>
                <c:pt idx="80">
                  <c:v>38.736809298390028</c:v>
                </c:pt>
                <c:pt idx="81">
                  <c:v>38.782000523833936</c:v>
                </c:pt>
                <c:pt idx="82">
                  <c:v>38.825456019011064</c:v>
                </c:pt>
                <c:pt idx="83">
                  <c:v>38.867248927328838</c:v>
                </c:pt>
                <c:pt idx="84">
                  <c:v>38.907448481608455</c:v>
                </c:pt>
                <c:pt idx="85">
                  <c:v>38.946120252109438</c:v>
                </c:pt>
                <c:pt idx="86">
                  <c:v>38.983326374342148</c:v>
                </c:pt>
                <c:pt idx="87">
                  <c:v>39.019125760739868</c:v>
                </c:pt>
                <c:pt idx="88">
                  <c:v>39.053574300814624</c:v>
                </c:pt>
                <c:pt idx="89">
                  <c:v>39.086725001698113</c:v>
                </c:pt>
                <c:pt idx="90">
                  <c:v>39.118628231695574</c:v>
                </c:pt>
                <c:pt idx="91">
                  <c:v>39.149331825797717</c:v>
                </c:pt>
                <c:pt idx="92">
                  <c:v>39.178881256038103</c:v>
                </c:pt>
                <c:pt idx="93">
                  <c:v>39.207319758245859</c:v>
                </c:pt>
                <c:pt idx="94">
                  <c:v>39.234688465031525</c:v>
                </c:pt>
                <c:pt idx="95">
                  <c:v>39.261026542057166</c:v>
                </c:pt>
                <c:pt idx="96">
                  <c:v>39.286371266885133</c:v>
                </c:pt>
                <c:pt idx="97">
                  <c:v>39.310758161973709</c:v>
                </c:pt>
                <c:pt idx="98">
                  <c:v>39.334221092464425</c:v>
                </c:pt>
                <c:pt idx="99">
                  <c:v>39.356792333283636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Sweep!$F$18:$F$117</c:f>
              <c:numCache>
                <c:formatCode>General</c:formatCode>
                <c:ptCount val="100"/>
                <c:pt idx="0">
                  <c:v>1.7050767530359128E-9</c:v>
                </c:pt>
                <c:pt idx="1">
                  <c:v>2.2667134106501973E-6</c:v>
                </c:pt>
                <c:pt idx="2">
                  <c:v>1.5772818297398142E-5</c:v>
                </c:pt>
                <c:pt idx="3">
                  <c:v>5.0763905899004894E-5</c:v>
                </c:pt>
                <c:pt idx="4">
                  <c:v>1.1751153007451356E-4</c:v>
                </c:pt>
                <c:pt idx="5">
                  <c:v>2.2543113207074443E-4</c:v>
                </c:pt>
                <c:pt idx="6">
                  <c:v>3.8009646967795046E-4</c:v>
                </c:pt>
                <c:pt idx="7">
                  <c:v>5.8058201670007519E-4</c:v>
                </c:pt>
                <c:pt idx="8">
                  <c:v>8.2009640135349631E-4</c:v>
                </c:pt>
                <c:pt idx="9">
                  <c:v>1.0887987112574477E-3</c:v>
                </c:pt>
                <c:pt idx="10">
                  <c:v>1.3764924543683734E-3</c:v>
                </c:pt>
                <c:pt idx="11">
                  <c:v>1.6742220078596538E-3</c:v>
                </c:pt>
                <c:pt idx="12">
                  <c:v>1.9748729292220994E-3</c:v>
                </c:pt>
                <c:pt idx="13">
                  <c:v>2.2731772341858633E-3</c:v>
                </c:pt>
                <c:pt idx="14">
                  <c:v>2.5654543439885737E-3</c:v>
                </c:pt>
                <c:pt idx="15">
                  <c:v>2.8492810034170583E-3</c:v>
                </c:pt>
                <c:pt idx="16">
                  <c:v>3.1231809088788681E-3</c:v>
                </c:pt>
                <c:pt idx="17">
                  <c:v>3.3863664942967928E-3</c:v>
                </c:pt>
                <c:pt idx="18">
                  <c:v>3.638537352244568E-3</c:v>
                </c:pt>
                <c:pt idx="19">
                  <c:v>3.8797284980836254E-3</c:v>
                </c:pt>
                <c:pt idx="20">
                  <c:v>4.110198532674564E-3</c:v>
                </c:pt>
                <c:pt idx="21">
                  <c:v>4.3303479545074974E-3</c:v>
                </c:pt>
                <c:pt idx="22">
                  <c:v>4.5406590948808235E-3</c:v>
                </c:pt>
                <c:pt idx="23">
                  <c:v>4.7416500866861999E-3</c:v>
                </c:pt>
                <c:pt idx="24">
                  <c:v>4.9338336457884864E-3</c:v>
                </c:pt>
                <c:pt idx="25">
                  <c:v>4.8126155027810001E-3</c:v>
                </c:pt>
                <c:pt idx="26">
                  <c:v>4.8649892195809924E-3</c:v>
                </c:pt>
                <c:pt idx="27">
                  <c:v>4.915691404224925E-3</c:v>
                </c:pt>
                <c:pt idx="28">
                  <c:v>4.9557712905541115E-3</c:v>
                </c:pt>
                <c:pt idx="29">
                  <c:v>4.9849752055763519E-3</c:v>
                </c:pt>
                <c:pt idx="30">
                  <c:v>5.0042027382316756E-3</c:v>
                </c:pt>
                <c:pt idx="31">
                  <c:v>5.0145424989374585E-3</c:v>
                </c:pt>
                <c:pt idx="32">
                  <c:v>5.01705525797574E-3</c:v>
                </c:pt>
                <c:pt idx="33">
                  <c:v>5.01271709232874E-3</c:v>
                </c:pt>
                <c:pt idx="34">
                  <c:v>5.0024074031076978E-3</c:v>
                </c:pt>
                <c:pt idx="35">
                  <c:v>4.9869112354036906E-3</c:v>
                </c:pt>
                <c:pt idx="36">
                  <c:v>4.9669262449005781E-3</c:v>
                </c:pt>
                <c:pt idx="37">
                  <c:v>4.9430708970608266E-3</c:v>
                </c:pt>
                <c:pt idx="38">
                  <c:v>4.9158926197802625E-3</c:v>
                </c:pt>
                <c:pt idx="39">
                  <c:v>4.8858754459422098E-3</c:v>
                </c:pt>
                <c:pt idx="40">
                  <c:v>4.853446987833682E-3</c:v>
                </c:pt>
                <c:pt idx="41">
                  <c:v>4.818984724272877E-3</c:v>
                </c:pt>
                <c:pt idx="42">
                  <c:v>4.7828216269231788E-3</c:v>
                </c:pt>
                <c:pt idx="43">
                  <c:v>4.7452511788636988E-3</c:v>
                </c:pt>
                <c:pt idx="44">
                  <c:v>4.7065318451080191E-3</c:v>
                </c:pt>
                <c:pt idx="45">
                  <c:v>4.6668910381497892E-3</c:v>
                </c:pt>
                <c:pt idx="46">
                  <c:v>4.6265286489815529E-3</c:v>
                </c:pt>
                <c:pt idx="47">
                  <c:v>4.5856201778859554E-3</c:v>
                </c:pt>
                <c:pt idx="48">
                  <c:v>4.5443195116669638E-3</c:v>
                </c:pt>
                <c:pt idx="49">
                  <c:v>4.5027613931016295E-3</c:v>
                </c:pt>
                <c:pt idx="50">
                  <c:v>4.4610636026909539E-3</c:v>
                </c:pt>
                <c:pt idx="51">
                  <c:v>4.4193289015457774E-3</c:v>
                </c:pt>
                <c:pt idx="52">
                  <c:v>4.3776467520345377E-3</c:v>
                </c:pt>
                <c:pt idx="53">
                  <c:v>4.3360948443118214E-3</c:v>
                </c:pt>
                <c:pt idx="54">
                  <c:v>4.2947404448377899E-3</c:v>
                </c:pt>
                <c:pt idx="55">
                  <c:v>4.2536416024944561E-3</c:v>
                </c:pt>
                <c:pt idx="56">
                  <c:v>4.2128482100621898E-3</c:v>
                </c:pt>
                <c:pt idx="57">
                  <c:v>4.1724029450333775E-3</c:v>
                </c:pt>
                <c:pt idx="58">
                  <c:v>4.1323421145900551E-3</c:v>
                </c:pt>
                <c:pt idx="59">
                  <c:v>4.0926963885565609E-3</c:v>
                </c:pt>
                <c:pt idx="60">
                  <c:v>4.0534914675124127E-3</c:v>
                </c:pt>
                <c:pt idx="61">
                  <c:v>4.0147486603250336E-3</c:v>
                </c:pt>
                <c:pt idx="62">
                  <c:v>3.9764854058953062E-3</c:v>
                </c:pt>
                <c:pt idx="63">
                  <c:v>3.9387157329548962E-3</c:v>
                </c:pt>
                <c:pt idx="64">
                  <c:v>3.901450668991743E-3</c:v>
                </c:pt>
                <c:pt idx="65">
                  <c:v>3.8646986003016436E-3</c:v>
                </c:pt>
                <c:pt idx="66">
                  <c:v>3.8284655968232667E-3</c:v>
                </c:pt>
                <c:pt idx="67">
                  <c:v>3.7927556944507613E-3</c:v>
                </c:pt>
                <c:pt idx="68">
                  <c:v>3.7575711514587079E-3</c:v>
                </c:pt>
                <c:pt idx="69">
                  <c:v>3.7229126688519782E-3</c:v>
                </c:pt>
                <c:pt idx="70">
                  <c:v>3.6887795945443904E-3</c:v>
                </c:pt>
                <c:pt idx="71">
                  <c:v>3.6551700979711513E-3</c:v>
                </c:pt>
                <c:pt idx="72">
                  <c:v>3.6220813275270282E-3</c:v>
                </c:pt>
                <c:pt idx="73">
                  <c:v>3.5895095488287202E-3</c:v>
                </c:pt>
                <c:pt idx="74">
                  <c:v>3.5574502705456616E-3</c:v>
                </c:pt>
                <c:pt idx="75">
                  <c:v>3.5258983507125189E-3</c:v>
                </c:pt>
                <c:pt idx="76">
                  <c:v>3.4948480968216939E-3</c:v>
                </c:pt>
                <c:pt idx="77">
                  <c:v>3.4642933490457834E-3</c:v>
                </c:pt>
                <c:pt idx="78">
                  <c:v>3.4342275573046319E-3</c:v>
                </c:pt>
                <c:pt idx="79">
                  <c:v>3.4046438510048462E-3</c:v>
                </c:pt>
                <c:pt idx="80">
                  <c:v>3.3755350936929994E-3</c:v>
                </c:pt>
                <c:pt idx="81">
                  <c:v>3.3468939380280737E-3</c:v>
                </c:pt>
                <c:pt idx="82">
                  <c:v>3.3187128732906994E-3</c:v>
                </c:pt>
                <c:pt idx="83">
                  <c:v>3.2909842641713227E-3</c:v>
                </c:pt>
                <c:pt idx="84">
                  <c:v>3.2637003870404982E-3</c:v>
                </c:pt>
                <c:pt idx="85">
                  <c:v>3.2368534618128996E-3</c:v>
                </c:pt>
                <c:pt idx="86">
                  <c:v>3.2104356798796931E-3</c:v>
                </c:pt>
                <c:pt idx="87">
                  <c:v>3.1844392275137039E-3</c:v>
                </c:pt>
                <c:pt idx="88">
                  <c:v>3.1588563083205117E-3</c:v>
                </c:pt>
                <c:pt idx="89">
                  <c:v>3.1336791575075512E-3</c:v>
                </c:pt>
                <c:pt idx="90">
                  <c:v>3.1089000638705221E-3</c:v>
                </c:pt>
                <c:pt idx="91">
                  <c:v>3.0845113791863775E-3</c:v>
                </c:pt>
                <c:pt idx="92">
                  <c:v>3.0605055317999628E-3</c:v>
                </c:pt>
                <c:pt idx="93">
                  <c:v>3.0368750357942318E-3</c:v>
                </c:pt>
                <c:pt idx="94">
                  <c:v>3.0136124998664127E-3</c:v>
                </c:pt>
                <c:pt idx="95">
                  <c:v>2.9907106357340936E-3</c:v>
                </c:pt>
                <c:pt idx="96">
                  <c:v>2.9681622615404979E-3</c:v>
                </c:pt>
                <c:pt idx="97">
                  <c:v>2.9459603089295474E-3</c:v>
                </c:pt>
                <c:pt idx="98">
                  <c:v>2.9240978269643343E-3</c:v>
                </c:pt>
                <c:pt idx="99">
                  <c:v>2.9025679834194218E-3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Sweep!$D$18:$D$117</c:f>
              <c:numCache>
                <c:formatCode>General</c:formatCode>
                <c:ptCount val="100"/>
                <c:pt idx="0">
                  <c:v>1.002214895353957E-3</c:v>
                </c:pt>
                <c:pt idx="1">
                  <c:v>1.0022212735770651E-3</c:v>
                </c:pt>
                <c:pt idx="2">
                  <c:v>1.0022996313213545E-3</c:v>
                </c:pt>
                <c:pt idx="3">
                  <c:v>1.0026174835428981E-3</c:v>
                </c:pt>
                <c:pt idx="4">
                  <c:v>1.00344744398012E-3</c:v>
                </c:pt>
                <c:pt idx="5">
                  <c:v>1.0051555398835849E-3</c:v>
                </c:pt>
                <c:pt idx="6">
                  <c:v>1.0081416755195192E-3</c:v>
                </c:pt>
                <c:pt idx="7">
                  <c:v>1.0127397877571994E-3</c:v>
                </c:pt>
                <c:pt idx="8">
                  <c:v>1.0191475241573093E-3</c:v>
                </c:pt>
                <c:pt idx="9">
                  <c:v>1.0274187825217713E-3</c:v>
                </c:pt>
                <c:pt idx="10">
                  <c:v>1.0374970181268302E-3</c:v>
                </c:pt>
                <c:pt idx="11">
                  <c:v>1.0492581808010683E-3</c:v>
                </c:pt>
                <c:pt idx="12">
                  <c:v>1.0625464117264376E-3</c:v>
                </c:pt>
                <c:pt idx="13">
                  <c:v>1.0771982522900696E-3</c:v>
                </c:pt>
                <c:pt idx="14">
                  <c:v>1.0930569083755658E-3</c:v>
                </c:pt>
                <c:pt idx="15">
                  <c:v>1.1099795286497176E-3</c:v>
                </c:pt>
                <c:pt idx="16">
                  <c:v>1.1278401070377658E-3</c:v>
                </c:pt>
                <c:pt idx="17">
                  <c:v>1.1465298594092485E-3</c:v>
                </c:pt>
                <c:pt idx="18">
                  <c:v>1.1659562468391076E-3</c:v>
                </c:pt>
                <c:pt idx="19">
                  <c:v>1.1860413269093384E-3</c:v>
                </c:pt>
                <c:pt idx="20">
                  <c:v>1.2067197878161422E-3</c:v>
                </c:pt>
                <c:pt idx="21">
                  <c:v>1.2279367962224122E-3</c:v>
                </c:pt>
                <c:pt idx="22">
                  <c:v>1.2496456041675283E-3</c:v>
                </c:pt>
                <c:pt idx="23">
                  <c:v>1.2718046020464739E-3</c:v>
                </c:pt>
                <c:pt idx="24">
                  <c:v>1.2943727069625443E-3</c:v>
                </c:pt>
                <c:pt idx="25">
                  <c:v>1.2463469508405545E-3</c:v>
                </c:pt>
                <c:pt idx="26">
                  <c:v>1.2400120256904211E-3</c:v>
                </c:pt>
                <c:pt idx="27">
                  <c:v>1.2347625816483525E-3</c:v>
                </c:pt>
                <c:pt idx="28">
                  <c:v>1.2283818314742332E-3</c:v>
                </c:pt>
                <c:pt idx="29">
                  <c:v>1.220667087651328E-3</c:v>
                </c:pt>
                <c:pt idx="30">
                  <c:v>1.2116991712944997E-3</c:v>
                </c:pt>
                <c:pt idx="31">
                  <c:v>1.2016191613849285E-3</c:v>
                </c:pt>
                <c:pt idx="32">
                  <c:v>1.1905763736372314E-3</c:v>
                </c:pt>
                <c:pt idx="33">
                  <c:v>1.1787132271275928E-3</c:v>
                </c:pt>
                <c:pt idx="34">
                  <c:v>1.1661606565716294E-3</c:v>
                </c:pt>
                <c:pt idx="35">
                  <c:v>1.1530370599808629E-3</c:v>
                </c:pt>
                <c:pt idx="36">
                  <c:v>1.1394485425125511E-3</c:v>
                </c:pt>
                <c:pt idx="37">
                  <c:v>1.1254896467009687E-3</c:v>
                </c:pt>
                <c:pt idx="38">
                  <c:v>1.1112442496003252E-3</c:v>
                </c:pt>
                <c:pt idx="39">
                  <c:v>1.096786494019479E-3</c:v>
                </c:pt>
                <c:pt idx="40">
                  <c:v>1.0821816956944792E-3</c:v>
                </c:pt>
                <c:pt idx="41">
                  <c:v>1.0674872015928657E-3</c:v>
                </c:pt>
                <c:pt idx="42">
                  <c:v>1.0527531888705668E-3</c:v>
                </c:pt>
                <c:pt idx="43">
                  <c:v>1.0380234015892771E-3</c:v>
                </c:pt>
                <c:pt idx="44">
                  <c:v>1.0233358258955234E-3</c:v>
                </c:pt>
                <c:pt idx="45">
                  <c:v>1.0087233049130217E-3</c:v>
                </c:pt>
                <c:pt idx="46">
                  <c:v>9.9421409788585696E-4</c:v>
                </c:pt>
                <c:pt idx="47">
                  <c:v>9.7983238609598107E-4</c:v>
                </c:pt>
                <c:pt idx="48">
                  <c:v>9.6559872954757667E-4</c:v>
                </c:pt>
                <c:pt idx="49">
                  <c:v>9.5153047881986919E-4</c:v>
                </c:pt>
                <c:pt idx="50">
                  <c:v>9.3764214436624859E-4</c:v>
                </c:pt>
                <c:pt idx="51">
                  <c:v>9.239457286295854E-4</c:v>
                </c:pt>
                <c:pt idx="52">
                  <c:v>9.1045102310833019E-4</c:v>
                </c:pt>
                <c:pt idx="53">
                  <c:v>8.9716587403283331E-4</c:v>
                </c:pt>
                <c:pt idx="54">
                  <c:v>8.8409641912362438E-4</c:v>
                </c:pt>
                <c:pt idx="55">
                  <c:v>8.7124729945764858E-4</c:v>
                </c:pt>
                <c:pt idx="56">
                  <c:v>8.5862184745679664E-4</c:v>
                </c:pt>
                <c:pt idx="57">
                  <c:v>8.4622225401044429E-4</c:v>
                </c:pt>
                <c:pt idx="58">
                  <c:v>8.3404971774246335E-4</c:v>
                </c:pt>
                <c:pt idx="59">
                  <c:v>8.2210457614999603E-4</c:v>
                </c:pt>
                <c:pt idx="60">
                  <c:v>8.103864232304668E-4</c:v>
                </c:pt>
                <c:pt idx="61">
                  <c:v>7.988942125166361E-4</c:v>
                </c:pt>
                <c:pt idx="62">
                  <c:v>7.876263486564436E-4</c:v>
                </c:pt>
                <c:pt idx="63">
                  <c:v>7.7658076849426055E-4</c:v>
                </c:pt>
                <c:pt idx="64">
                  <c:v>7.6575501235951599E-4</c:v>
                </c:pt>
                <c:pt idx="65">
                  <c:v>7.5514628682689388E-4</c:v>
                </c:pt>
                <c:pt idx="66">
                  <c:v>7.4475152035990749E-4</c:v>
                </c:pt>
                <c:pt idx="67">
                  <c:v>7.3456741177705537E-4</c:v>
                </c:pt>
                <c:pt idx="68">
                  <c:v>7.2459047326374102E-4</c:v>
                </c:pt>
                <c:pt idx="69">
                  <c:v>7.1481706752908733E-4</c:v>
                </c:pt>
                <c:pt idx="70">
                  <c:v>7.0524344099526064E-4</c:v>
                </c:pt>
                <c:pt idx="71">
                  <c:v>6.9586575229531496E-4</c:v>
                </c:pt>
                <c:pt idx="72">
                  <c:v>6.8668009731612007E-4</c:v>
                </c:pt>
                <c:pt idx="73">
                  <c:v>6.7768253088084794E-4</c:v>
                </c:pt>
                <c:pt idx="74">
                  <c:v>6.6886908581065773E-4</c:v>
                </c:pt>
                <c:pt idx="75">
                  <c:v>6.6023578902136475E-4</c:v>
                </c:pt>
                <c:pt idx="76">
                  <c:v>6.5177867584934501E-4</c:v>
                </c:pt>
                <c:pt idx="77">
                  <c:v>6.4349380194987193E-4</c:v>
                </c:pt>
                <c:pt idx="78">
                  <c:v>6.3537725372581056E-4</c:v>
                </c:pt>
                <c:pt idx="79">
                  <c:v>6.2742515731885589E-4</c:v>
                </c:pt>
                <c:pt idx="80">
                  <c:v>6.1963368568759836E-4</c:v>
                </c:pt>
                <c:pt idx="81">
                  <c:v>6.1199906503784372E-4</c:v>
                </c:pt>
                <c:pt idx="82">
                  <c:v>6.0451758010007556E-4</c:v>
                </c:pt>
                <c:pt idx="83">
                  <c:v>5.9718557823858957E-4</c:v>
                </c:pt>
                <c:pt idx="84">
                  <c:v>5.8999947292804017E-4</c:v>
                </c:pt>
                <c:pt idx="85">
                  <c:v>5.8295574651444934E-4</c:v>
                </c:pt>
                <c:pt idx="86">
                  <c:v>5.7605095238836049E-4</c:v>
                </c:pt>
                <c:pt idx="87">
                  <c:v>5.692817163612682E-4</c:v>
                </c:pt>
                <c:pt idx="88">
                  <c:v>5.6264473804196072E-4</c:v>
                </c:pt>
                <c:pt idx="89">
                  <c:v>5.5613679110754627E-4</c:v>
                </c:pt>
                <c:pt idx="90">
                  <c:v>5.497547241046255E-4</c:v>
                </c:pt>
                <c:pt idx="91">
                  <c:v>5.434954601439638E-4</c:v>
                </c:pt>
                <c:pt idx="92">
                  <c:v>5.3735599678312641E-4</c:v>
                </c:pt>
                <c:pt idx="93">
                  <c:v>5.3133340548159344E-4</c:v>
                </c:pt>
                <c:pt idx="94">
                  <c:v>5.2542483095209655E-4</c:v>
                </c:pt>
                <c:pt idx="95">
                  <c:v>5.1962749041092361E-4</c:v>
                </c:pt>
                <c:pt idx="96">
                  <c:v>5.1393867241155496E-4</c:v>
                </c:pt>
                <c:pt idx="97">
                  <c:v>5.0835573590815477E-4</c:v>
                </c:pt>
                <c:pt idx="98">
                  <c:v>5.0287610906054572E-4</c:v>
                </c:pt>
                <c:pt idx="99">
                  <c:v>4.9749728783138531E-4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Sweep!$E$18:$E$117</c:f>
              <c:numCache>
                <c:formatCode>General</c:formatCode>
                <c:ptCount val="100"/>
                <c:pt idx="0">
                  <c:v>1.0022148948942756E-3</c:v>
                </c:pt>
                <c:pt idx="1">
                  <c:v>1.0022145515177941E-3</c:v>
                </c:pt>
                <c:pt idx="2">
                  <c:v>1.0022103335807502E-3</c:v>
                </c:pt>
                <c:pt idx="3">
                  <c:v>1.0021932315552355E-3</c:v>
                </c:pt>
                <c:pt idx="4">
                  <c:v>1.0021485933877177E-3</c:v>
                </c:pt>
                <c:pt idx="5">
                  <c:v>1.0020563120629799E-3</c:v>
                </c:pt>
                <c:pt idx="6">
                  <c:v>1.0018921377259176E-3</c:v>
                </c:pt>
                <c:pt idx="7">
                  <c:v>1.0016308056018683E-3</c:v>
                </c:pt>
                <c:pt idx="8">
                  <c:v>1.0012498078275458E-3</c:v>
                </c:pt>
                <c:pt idx="9">
                  <c:v>1.000732087400671E-3</c:v>
                </c:pt>
                <c:pt idx="10">
                  <c:v>1.0000670656285235E-3</c:v>
                </c:pt>
                <c:pt idx="11">
                  <c:v>9.9925038221464007E-4</c:v>
                </c:pt>
                <c:pt idx="12">
                  <c:v>9.982829595637521E-4</c:v>
                </c:pt>
                <c:pt idx="13">
                  <c:v>9.9716985424872125E-4</c:v>
                </c:pt>
                <c:pt idx="14">
                  <c:v>9.9591915197999353E-4</c:v>
                </c:pt>
                <c:pt idx="15">
                  <c:v>9.9454101327475851E-4</c:v>
                </c:pt>
                <c:pt idx="16">
                  <c:v>9.9304689287006611E-4</c:v>
                </c:pt>
                <c:pt idx="17">
                  <c:v>9.9144891564917196E-4</c:v>
                </c:pt>
                <c:pt idx="18">
                  <c:v>9.8975937531400209E-4</c:v>
                </c:pt>
                <c:pt idx="19">
                  <c:v>9.8799031561890255E-4</c:v>
                </c:pt>
                <c:pt idx="20">
                  <c:v>9.8615314922359185E-4</c:v>
                </c:pt>
                <c:pt idx="21">
                  <c:v>9.8425825831265122E-4</c:v>
                </c:pt>
                <c:pt idx="22">
                  <c:v>9.8231449206344465E-4</c:v>
                </c:pt>
                <c:pt idx="23">
                  <c:v>9.8032838934097302E-4</c:v>
                </c:pt>
                <c:pt idx="24">
                  <c:v>9.7830259170100342E-4</c:v>
                </c:pt>
                <c:pt idx="25">
                  <c:v>9.3894475274560927E-4</c:v>
                </c:pt>
                <c:pt idx="26">
                  <c:v>9.226356821713539E-4</c:v>
                </c:pt>
                <c:pt idx="27">
                  <c:v>9.0740734756847264E-4</c:v>
                </c:pt>
                <c:pt idx="28">
                  <c:v>8.9209294417999789E-4</c:v>
                </c:pt>
                <c:pt idx="29">
                  <c:v>8.7660268364971234E-4</c:v>
                </c:pt>
                <c:pt idx="30">
                  <c:v>8.6098769216102035E-4</c:v>
                </c:pt>
                <c:pt idx="31">
                  <c:v>8.4532196277699561E-4</c:v>
                </c:pt>
                <c:pt idx="32">
                  <c:v>8.2967672828935829E-4</c:v>
                </c:pt>
                <c:pt idx="33">
                  <c:v>8.1411428652739155E-4</c:v>
                </c:pt>
                <c:pt idx="34">
                  <c:v>7.9868708394138929E-4</c:v>
                </c:pt>
                <c:pt idx="35">
                  <c:v>7.8343835623119614E-4</c:v>
                </c:pt>
                <c:pt idx="36">
                  <c:v>7.6840319124473497E-4</c:v>
                </c:pt>
                <c:pt idx="37">
                  <c:v>7.536096366075473E-4</c:v>
                </c:pt>
                <c:pt idx="38">
                  <c:v>7.3907972637241265E-4</c:v>
                </c:pt>
                <c:pt idx="39">
                  <c:v>7.2483039100731256E-4</c:v>
                </c:pt>
                <c:pt idx="40">
                  <c:v>7.1087424812435506E-4</c:v>
                </c:pt>
                <c:pt idx="41">
                  <c:v>6.9722028307608441E-4</c:v>
                </c:pt>
                <c:pt idx="42">
                  <c:v>6.8387443196757272E-4</c:v>
                </c:pt>
                <c:pt idx="43">
                  <c:v>6.7084007982302451E-4</c:v>
                </c:pt>
                <c:pt idx="44">
                  <c:v>6.5811848564659961E-4</c:v>
                </c:pt>
                <c:pt idx="45">
                  <c:v>6.457091447641648E-4</c:v>
                </c:pt>
                <c:pt idx="46">
                  <c:v>6.3361009746279863E-4</c:v>
                </c:pt>
                <c:pt idx="47">
                  <c:v>6.2181819168507732E-4</c:v>
                </c:pt>
                <c:pt idx="48">
                  <c:v>6.10329306415089E-4</c:v>
                </c:pt>
                <c:pt idx="49">
                  <c:v>5.9913854149597819E-4</c:v>
                </c:pt>
                <c:pt idx="50">
                  <c:v>5.8824037857397107E-4</c:v>
                </c:pt>
                <c:pt idx="51">
                  <c:v>5.7762881757958461E-4</c:v>
                </c:pt>
                <c:pt idx="52">
                  <c:v>5.6729749206243857E-4</c:v>
                </c:pt>
                <c:pt idx="53">
                  <c:v>5.5723976654294041E-4</c:v>
                </c:pt>
                <c:pt idx="54">
                  <c:v>5.4744881845428782E-4</c:v>
                </c:pt>
                <c:pt idx="55">
                  <c:v>5.3791770690596438E-4</c:v>
                </c:pt>
                <c:pt idx="56">
                  <c:v>5.2863943018072862E-4</c:v>
                </c:pt>
                <c:pt idx="57">
                  <c:v>5.1960697360417724E-4</c:v>
                </c:pt>
                <c:pt idx="58">
                  <c:v>5.1081334919234891E-4</c:v>
                </c:pt>
                <c:pt idx="59">
                  <c:v>5.0225162828278962E-4</c:v>
                </c:pt>
                <c:pt idx="60">
                  <c:v>4.9391496818307692E-4</c:v>
                </c:pt>
                <c:pt idx="61">
                  <c:v>4.8579663377308732E-4</c:v>
                </c:pt>
                <c:pt idx="62">
                  <c:v>4.7789001460952764E-4</c:v>
                </c:pt>
                <c:pt idx="63">
                  <c:v>4.7018863861030398E-4</c:v>
                </c:pt>
                <c:pt idx="64">
                  <c:v>4.6268618240804019E-4</c:v>
                </c:pt>
                <c:pt idx="65">
                  <c:v>4.5537647915693734E-4</c:v>
                </c:pt>
                <c:pt idx="66">
                  <c:v>4.4825352409888042E-4</c:v>
                </c:pt>
                <c:pt idx="67">
                  <c:v>4.4131147825794546E-4</c:v>
                </c:pt>
                <c:pt idx="68">
                  <c:v>4.3454467056608435E-4</c:v>
                </c:pt>
                <c:pt idx="69">
                  <c:v>4.2794759867922021E-4</c:v>
                </c:pt>
                <c:pt idx="70">
                  <c:v>4.2151492870560168E-4</c:v>
                </c:pt>
                <c:pt idx="71">
                  <c:v>4.1524149403608044E-4</c:v>
                </c:pt>
                <c:pt idx="72">
                  <c:v>4.0912229343832821E-4</c:v>
                </c:pt>
                <c:pt idx="73">
                  <c:v>4.0315248855322976E-4</c:v>
                </c:pt>
                <c:pt idx="74">
                  <c:v>3.9732740091123325E-4</c:v>
                </c:pt>
                <c:pt idx="75">
                  <c:v>3.9164250856886989E-4</c:v>
                </c:pt>
                <c:pt idx="76">
                  <c:v>3.8609344245054713E-4</c:v>
                </c:pt>
                <c:pt idx="77">
                  <c:v>3.8067598246772287E-4</c:v>
                </c:pt>
                <c:pt idx="78">
                  <c:v>3.7538605347643082E-4</c:v>
                </c:pt>
                <c:pt idx="79">
                  <c:v>3.7021972112453549E-4</c:v>
                </c:pt>
                <c:pt idx="80">
                  <c:v>3.651731876318784E-4</c:v>
                </c:pt>
                <c:pt idx="81">
                  <c:v>3.6024278753942222E-4</c:v>
                </c:pt>
                <c:pt idx="82">
                  <c:v>3.5542498345745335E-4</c:v>
                </c:pt>
                <c:pt idx="83">
                  <c:v>3.5071636183772102E-4</c:v>
                </c:pt>
                <c:pt idx="84">
                  <c:v>3.4611362878996671E-4</c:v>
                </c:pt>
                <c:pt idx="85">
                  <c:v>3.4161360595949531E-4</c:v>
                </c:pt>
                <c:pt idx="86">
                  <c:v>3.3721322650073456E-4</c:v>
                </c:pt>
                <c:pt idx="87">
                  <c:v>3.3290953103954463E-4</c:v>
                </c:pt>
                <c:pt idx="88">
                  <c:v>3.2869966390450034E-4</c:v>
                </c:pt>
                <c:pt idx="89">
                  <c:v>3.245808692966506E-4</c:v>
                </c:pt>
                <c:pt idx="90">
                  <c:v>3.2055048763849915E-4</c:v>
                </c:pt>
                <c:pt idx="91">
                  <c:v>3.1660595201675067E-4</c:v>
                </c:pt>
                <c:pt idx="92">
                  <c:v>3.1274478473478757E-4</c:v>
                </c:pt>
                <c:pt idx="93">
                  <c:v>3.089645939759097E-4</c:v>
                </c:pt>
                <c:pt idx="94">
                  <c:v>3.0526307057751915E-4</c:v>
                </c:pt>
                <c:pt idx="95">
                  <c:v>3.0163798491575036E-4</c:v>
                </c:pt>
                <c:pt idx="96">
                  <c:v>2.9808718389946276E-4</c:v>
                </c:pt>
                <c:pt idx="97">
                  <c:v>2.9460858807205727E-4</c:v>
                </c:pt>
                <c:pt idx="98">
                  <c:v>2.9120018881918563E-4</c:v>
                </c:pt>
                <c:pt idx="99">
                  <c:v>2.8786004568013434E-4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6803</xdr:colOff>
      <xdr:row>15</xdr:row>
      <xdr:rowOff>179613</xdr:rowOff>
    </xdr:from>
    <xdr:to>
      <xdr:col>31</xdr:col>
      <xdr:colOff>40822</xdr:colOff>
      <xdr:row>48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20410</xdr:colOff>
      <xdr:row>49</xdr:row>
      <xdr:rowOff>2720</xdr:rowOff>
    </xdr:from>
    <xdr:to>
      <xdr:col>31</xdr:col>
      <xdr:colOff>54429</xdr:colOff>
      <xdr:row>79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39729</xdr:colOff>
      <xdr:row>81</xdr:row>
      <xdr:rowOff>47472</xdr:rowOff>
    </xdr:from>
    <xdr:to>
      <xdr:col>31</xdr:col>
      <xdr:colOff>23429</xdr:colOff>
      <xdr:row>115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</xdr:colOff>
      <xdr:row>15</xdr:row>
      <xdr:rowOff>187037</xdr:rowOff>
    </xdr:from>
    <xdr:to>
      <xdr:col>46</xdr:col>
      <xdr:colOff>0</xdr:colOff>
      <xdr:row>48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23813</xdr:colOff>
      <xdr:row>49</xdr:row>
      <xdr:rowOff>23812</xdr:rowOff>
    </xdr:from>
    <xdr:to>
      <xdr:col>46</xdr:col>
      <xdr:colOff>1</xdr:colOff>
      <xdr:row>80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2"/>
  <sheetViews>
    <sheetView topLeftCell="A19" zoomScale="190" zoomScaleNormal="190" workbookViewId="0">
      <selection activeCell="C32" sqref="C32"/>
    </sheetView>
  </sheetViews>
  <sheetFormatPr defaultRowHeight="15" x14ac:dyDescent="0.25"/>
  <cols>
    <col min="1" max="1" width="23.42578125" bestFit="1" customWidth="1"/>
  </cols>
  <sheetData>
    <row r="1" spans="1:2" x14ac:dyDescent="0.25">
      <c r="A1" s="1" t="s">
        <v>9</v>
      </c>
      <c r="B1" s="1" t="s">
        <v>1</v>
      </c>
    </row>
    <row r="2" spans="1:2" x14ac:dyDescent="0.25">
      <c r="A2" t="s">
        <v>10</v>
      </c>
      <c r="B2">
        <v>13.38</v>
      </c>
    </row>
    <row r="3" spans="1:2" x14ac:dyDescent="0.25">
      <c r="A3" t="s">
        <v>11</v>
      </c>
      <c r="B3">
        <v>997.79</v>
      </c>
    </row>
    <row r="4" spans="1:2" x14ac:dyDescent="0.25">
      <c r="A4" t="s">
        <v>12</v>
      </c>
      <c r="B4">
        <v>469.13</v>
      </c>
    </row>
    <row r="5" spans="1:2" x14ac:dyDescent="0.25">
      <c r="A5" t="s">
        <v>13</v>
      </c>
      <c r="B5">
        <v>114.76</v>
      </c>
    </row>
    <row r="6" spans="1:2" x14ac:dyDescent="0.25">
      <c r="A6" t="s">
        <v>14</v>
      </c>
      <c r="B6">
        <v>0</v>
      </c>
    </row>
    <row r="7" spans="1:2" x14ac:dyDescent="0.25">
      <c r="A7" t="s">
        <v>15</v>
      </c>
      <c r="B7">
        <v>0</v>
      </c>
    </row>
    <row r="8" spans="1:2" x14ac:dyDescent="0.25">
      <c r="A8" t="s">
        <v>16</v>
      </c>
      <c r="B8">
        <v>0</v>
      </c>
    </row>
    <row r="9" spans="1:2" x14ac:dyDescent="0.25">
      <c r="A9" t="s">
        <v>17</v>
      </c>
      <c r="B9">
        <v>0</v>
      </c>
    </row>
    <row r="10" spans="1:2" x14ac:dyDescent="0.25">
      <c r="A10" t="s">
        <v>18</v>
      </c>
      <c r="B10">
        <v>0</v>
      </c>
    </row>
    <row r="11" spans="1:2" x14ac:dyDescent="0.25">
      <c r="A11" t="s">
        <v>19</v>
      </c>
      <c r="B11">
        <v>61.27</v>
      </c>
    </row>
    <row r="12" spans="1:2" x14ac:dyDescent="0.25">
      <c r="A12" t="s">
        <v>20</v>
      </c>
      <c r="B12">
        <v>0</v>
      </c>
    </row>
    <row r="13" spans="1:2" x14ac:dyDescent="0.25">
      <c r="A13" t="s">
        <v>21</v>
      </c>
      <c r="B13">
        <v>0</v>
      </c>
    </row>
    <row r="14" spans="1:2" x14ac:dyDescent="0.25">
      <c r="A14" t="s">
        <v>22</v>
      </c>
      <c r="B14">
        <v>0</v>
      </c>
    </row>
    <row r="15" spans="1:2" x14ac:dyDescent="0.25">
      <c r="A15" t="s">
        <v>23</v>
      </c>
      <c r="B15">
        <v>0</v>
      </c>
    </row>
    <row r="16" spans="1:2" x14ac:dyDescent="0.25">
      <c r="A16" t="s">
        <v>24</v>
      </c>
      <c r="B16">
        <v>0</v>
      </c>
    </row>
    <row r="17" spans="1:2" x14ac:dyDescent="0.25">
      <c r="A17" t="s">
        <v>25</v>
      </c>
      <c r="B17">
        <v>2.69</v>
      </c>
    </row>
    <row r="18" spans="1:2" x14ac:dyDescent="0.25">
      <c r="A18" t="s">
        <v>26</v>
      </c>
      <c r="B18">
        <v>0</v>
      </c>
    </row>
    <row r="19" spans="1:2" x14ac:dyDescent="0.25">
      <c r="A19" t="s">
        <v>27</v>
      </c>
      <c r="B19">
        <v>0</v>
      </c>
    </row>
    <row r="20" spans="1:2" x14ac:dyDescent="0.25">
      <c r="A20" t="s">
        <v>28</v>
      </c>
      <c r="B20">
        <v>0</v>
      </c>
    </row>
    <row r="21" spans="1:2" x14ac:dyDescent="0.25">
      <c r="A21" t="s">
        <v>29</v>
      </c>
      <c r="B21">
        <v>0</v>
      </c>
    </row>
    <row r="22" spans="1:2" x14ac:dyDescent="0.25">
      <c r="A22" t="s">
        <v>30</v>
      </c>
      <c r="B22">
        <v>0</v>
      </c>
    </row>
    <row r="23" spans="1:2" x14ac:dyDescent="0.25">
      <c r="A23" t="s">
        <v>31</v>
      </c>
      <c r="B23">
        <v>0.2</v>
      </c>
    </row>
    <row r="24" spans="1:2" x14ac:dyDescent="0.25">
      <c r="A24" t="s">
        <v>32</v>
      </c>
      <c r="B24">
        <v>0</v>
      </c>
    </row>
    <row r="25" spans="1:2" x14ac:dyDescent="0.25">
      <c r="A25" t="s">
        <v>33</v>
      </c>
      <c r="B25">
        <v>0</v>
      </c>
    </row>
    <row r="26" spans="1:2" x14ac:dyDescent="0.25">
      <c r="A26" t="s">
        <v>34</v>
      </c>
      <c r="B26">
        <v>0</v>
      </c>
    </row>
    <row r="27" spans="1:2" x14ac:dyDescent="0.25">
      <c r="A27" t="s">
        <v>35</v>
      </c>
      <c r="B27">
        <v>0</v>
      </c>
    </row>
    <row r="28" spans="1:2" x14ac:dyDescent="0.25">
      <c r="A28" t="s">
        <v>36</v>
      </c>
      <c r="B28">
        <v>0</v>
      </c>
    </row>
    <row r="29" spans="1:2" x14ac:dyDescent="0.25">
      <c r="A29" t="s">
        <v>37</v>
      </c>
      <c r="B29">
        <v>0</v>
      </c>
    </row>
    <row r="30" spans="1:2" x14ac:dyDescent="0.25">
      <c r="A30" t="s">
        <v>38</v>
      </c>
      <c r="B30">
        <v>0</v>
      </c>
    </row>
    <row r="31" spans="1:2" x14ac:dyDescent="0.25">
      <c r="A31" t="s">
        <v>39</v>
      </c>
      <c r="B31">
        <v>0</v>
      </c>
    </row>
    <row r="32" spans="1:2" x14ac:dyDescent="0.25">
      <c r="A32" t="s">
        <v>40</v>
      </c>
      <c r="B32">
        <v>69.25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F14" sqref="F14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13.429668013573778</v>
      </c>
    </row>
    <row r="3" spans="1:2" x14ac:dyDescent="0.25">
      <c r="A3" t="s">
        <v>43</v>
      </c>
      <c r="B3">
        <f>INDEX(ComputeThermoProps(T_in,p_in,ParametersRange),1,2)</f>
        <v>1.0360772908632155E-3</v>
      </c>
    </row>
    <row r="4" spans="1:2" x14ac:dyDescent="0.25">
      <c r="A4" t="s">
        <v>44</v>
      </c>
      <c r="B4">
        <f>INDEX(ComputeThermoProps(T_in,p_in,ParametersRange),1,3)</f>
        <v>9.9984696784036252E-4</v>
      </c>
    </row>
    <row r="5" spans="1:2" x14ac:dyDescent="0.25">
      <c r="A5" t="s">
        <v>45</v>
      </c>
      <c r="B5">
        <f>INDEX(ComputeThermoProps(T_in,p_in,ParametersRange),1,4)</f>
        <v>1.3460604362834729E-3</v>
      </c>
    </row>
    <row r="6" spans="1:2" x14ac:dyDescent="0.25">
      <c r="A6" t="s">
        <v>46</v>
      </c>
      <c r="B6">
        <f>INDEX(ComputeThermoProps(T_in,p_in,ParametersRange),1,5)</f>
        <v>6.716177877125781</v>
      </c>
    </row>
    <row r="7" spans="1:2" x14ac:dyDescent="0.25">
      <c r="A7" t="s">
        <v>47</v>
      </c>
      <c r="B7">
        <f>INDEX(ComputeThermoProps(T_in,p_in,ParametersRange),1,6)</f>
        <v>6.4813215627242995</v>
      </c>
    </row>
    <row r="8" spans="1:2" x14ac:dyDescent="0.25">
      <c r="A8" t="s">
        <v>48</v>
      </c>
      <c r="B8">
        <f>INDEX(ComputeThermoProps(T_in,p_in,ParametersRange),1,7)</f>
        <v>2.691994155632444</v>
      </c>
    </row>
    <row r="9" spans="1:2" x14ac:dyDescent="0.25">
      <c r="A9" t="s">
        <v>49</v>
      </c>
      <c r="B9">
        <f>INDEX(ComputeThermoProps(T_in,p_in,ParametersRange),1,8)</f>
        <v>18.933836128368426</v>
      </c>
    </row>
    <row r="10" spans="1:2" x14ac:dyDescent="0.25">
      <c r="A10" t="s">
        <v>50</v>
      </c>
      <c r="B10">
        <f>INDEX(ComputeThermoProps(T_in,p_in,ParametersRange),1,9)</f>
        <v>2.5702414647711924</v>
      </c>
    </row>
    <row r="11" spans="1:2" x14ac:dyDescent="0.25">
      <c r="A11" t="s">
        <v>51</v>
      </c>
      <c r="B11">
        <f>INDEX(ComputeThermoProps(T_in,p_in,ParametersRange),1,10)</f>
        <v>-6.7685785193434977</v>
      </c>
    </row>
    <row r="12" spans="1:2" x14ac:dyDescent="0.25">
      <c r="A12" t="s">
        <v>52</v>
      </c>
      <c r="B12">
        <f>INDEX(ComputeThermoProps(T_in,p_in,ParametersRange),1,11)</f>
        <v>20.276802929725804</v>
      </c>
    </row>
    <row r="13" spans="1:2" x14ac:dyDescent="0.25">
      <c r="A13" t="s">
        <v>53</v>
      </c>
      <c r="B13">
        <f>INDEX(ComputeThermoProps(T_in,p_in,ParametersRange),1,12)</f>
        <v>-5.4256117179861203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13.429668013573778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N118"/>
  <sheetViews>
    <sheetView tabSelected="1" topLeftCell="A41" zoomScaleNormal="100" workbookViewId="0">
      <selection activeCell="BC47" sqref="BC47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</cols>
  <sheetData>
    <row r="2" spans="1:2" x14ac:dyDescent="0.25">
      <c r="A2" s="2" t="s">
        <v>55</v>
      </c>
      <c r="B2" s="6">
        <v>0.1</v>
      </c>
    </row>
    <row r="3" spans="1:2" x14ac:dyDescent="0.25">
      <c r="A3" s="2" t="s">
        <v>56</v>
      </c>
      <c r="B3" s="6">
        <v>100</v>
      </c>
    </row>
    <row r="4" spans="1:2" x14ac:dyDescent="0.25">
      <c r="A4" s="2" t="s">
        <v>57</v>
      </c>
      <c r="B4" s="6">
        <v>1</v>
      </c>
    </row>
    <row r="5" spans="1:2" x14ac:dyDescent="0.25">
      <c r="A5" s="5" t="s">
        <v>70</v>
      </c>
      <c r="B5" s="6">
        <v>24.556100000000001</v>
      </c>
    </row>
    <row r="6" spans="1:2" x14ac:dyDescent="0.25">
      <c r="A6" s="5" t="s">
        <v>71</v>
      </c>
      <c r="B6" s="6">
        <v>4.3332000000000002E-2</v>
      </c>
    </row>
    <row r="7" spans="1:2" x14ac:dyDescent="0.25">
      <c r="A7" s="4"/>
      <c r="B7" s="3"/>
    </row>
    <row r="8" spans="1:2" x14ac:dyDescent="0.25">
      <c r="A8" s="5" t="s">
        <v>72</v>
      </c>
      <c r="B8" s="6">
        <v>-14.883845098313699</v>
      </c>
    </row>
    <row r="9" spans="1:2" x14ac:dyDescent="0.25">
      <c r="A9" s="5" t="s">
        <v>73</v>
      </c>
      <c r="B9" s="6">
        <v>5.8217591179742998</v>
      </c>
    </row>
    <row r="10" spans="1:2" x14ac:dyDescent="0.25">
      <c r="A10" s="5" t="s">
        <v>74</v>
      </c>
      <c r="B10" s="6">
        <v>-0.39834285015300502</v>
      </c>
    </row>
    <row r="11" spans="1:2" x14ac:dyDescent="0.25">
      <c r="A11" s="4"/>
      <c r="B11" s="3"/>
    </row>
    <row r="12" spans="1:2" x14ac:dyDescent="0.25">
      <c r="A12" s="5" t="s">
        <v>75</v>
      </c>
      <c r="B12" s="6">
        <v>4151.2700000000004</v>
      </c>
    </row>
    <row r="13" spans="1:2" x14ac:dyDescent="0.25">
      <c r="A13" s="5" t="s">
        <v>76</v>
      </c>
      <c r="B13" s="6">
        <v>1.355</v>
      </c>
    </row>
    <row r="14" spans="1:2" x14ac:dyDescent="0.25">
      <c r="A14" s="5" t="s">
        <v>77</v>
      </c>
      <c r="B14" s="6">
        <v>558.6</v>
      </c>
    </row>
    <row r="15" spans="1:2" x14ac:dyDescent="0.25">
      <c r="A15" s="5" t="s">
        <v>78</v>
      </c>
      <c r="B15" s="6">
        <v>0.16850999999999999</v>
      </c>
    </row>
    <row r="17" spans="1:14" x14ac:dyDescent="0.25">
      <c r="A17" s="2" t="s">
        <v>80</v>
      </c>
      <c r="B17" s="2" t="s">
        <v>79</v>
      </c>
      <c r="C17" s="2" t="s">
        <v>58</v>
      </c>
      <c r="D17" s="2" t="s">
        <v>59</v>
      </c>
      <c r="E17" s="2" t="s">
        <v>60</v>
      </c>
      <c r="F17" s="2" t="s">
        <v>61</v>
      </c>
      <c r="G17" s="2" t="s">
        <v>62</v>
      </c>
      <c r="H17" s="2" t="s">
        <v>63</v>
      </c>
      <c r="I17" s="2" t="s">
        <v>64</v>
      </c>
      <c r="J17" s="2" t="s">
        <v>65</v>
      </c>
      <c r="K17" s="2" t="s">
        <v>66</v>
      </c>
      <c r="L17" s="2" t="s">
        <v>67</v>
      </c>
      <c r="M17" s="2" t="s">
        <v>68</v>
      </c>
      <c r="N17" s="2" t="s">
        <v>69</v>
      </c>
    </row>
    <row r="18" spans="1:14" x14ac:dyDescent="0.25">
      <c r="A18" s="2" cm="1">
        <f t="array" ref="A18:A117">_xlfn.SEQUENCE( 1+INT( (B3-B2)/B4 ), 1, B2, B4 )</f>
        <v>0.1</v>
      </c>
      <c r="B18" s="2">
        <f>IF(
  A18 &lt;= $B$5,
  $B$6 * EXP( ($B$5/A18) * ( $B$8*(1 - A18/$B$5) + $B$9*(1 - A18/$B$5)^1.5 + $B$10*(1 - A18/$B$5)^5 ) ),
  $B$6 * ( 1 + $B$12 * MAX(A18/$B$5 - 1, 0)^$B$13 + $B$14 * MAX(A18/$B$5 - 1, 0)^$B$15 )
)</f>
        <v>0</v>
      </c>
      <c r="C18" s="2" cm="1">
        <f t="array" ref="C18">INDEX( ComputeThermoProps($A18, $B18, ParametersRange), 1, COLUMN()-2 )</f>
        <v>13.380000000570604</v>
      </c>
      <c r="D18" s="2" cm="1">
        <f t="array" ref="D18">INDEX( ComputeThermoProps($A18, $B18, ParametersRange), 1, COLUMN()-2 )</f>
        <v>1.002214895353957E-3</v>
      </c>
      <c r="E18" s="2" cm="1">
        <f t="array" ref="E18">INDEX( ComputeThermoProps($A18, $B18, ParametersRange), 1, COLUMN()-2 )</f>
        <v>1.0022148948942756E-3</v>
      </c>
      <c r="F18" s="2" cm="1">
        <f t="array" ref="F18">INDEX( ComputeThermoProps($A18, $B18, ParametersRange), 1, COLUMN()-2 )</f>
        <v>1.7050767530359128E-9</v>
      </c>
      <c r="G18" s="2" cm="1">
        <f t="array" ref="G18">INDEX( ComputeThermoProps($A18, $B18, ParametersRange), 1, COLUMN()-2 )</f>
        <v>8.4622706982746492E-6</v>
      </c>
      <c r="H18" s="2" cm="1">
        <f t="array" ref="H18">INDEX( ComputeThermoProps($A18, $B18, ParametersRange), 1, COLUMN()-2 )</f>
        <v>8.4622706943932969E-6</v>
      </c>
      <c r="I18" s="2" cm="1">
        <f t="array" ref="I18">INDEX( ComputeThermoProps($A18, $B18, ParametersRange), 1, COLUMN()-2 )</f>
        <v>2.6900000000229434</v>
      </c>
      <c r="J18" s="2" cm="1">
        <f t="array" ref="J18">INDEX( ComputeThermoProps($A18, $B18, ParametersRange), 1, COLUMN()-2 )</f>
        <v>2.1165139522521057E-7</v>
      </c>
      <c r="K18" s="2" cm="1">
        <f t="array" ref="K18">INDEX( ComputeThermoProps($A18, $B18, ParametersRange), 1, COLUMN()-2 )</f>
        <v>2.8220186028409396E-6</v>
      </c>
      <c r="L18" s="2" cm="1">
        <f t="array" ref="L18">INDEX( ComputeThermoProps($A18, $B18, ParametersRange), 1, COLUMN()-2 )</f>
        <v>-7.05504650588834E-8</v>
      </c>
      <c r="M18" s="2" cm="1">
        <f t="array" ref="M18">INDEX( ComputeThermoProps($A18, $B18, ParametersRange), 1, COLUMN()-2 )</f>
        <v>2.1165139522521057E-7</v>
      </c>
      <c r="N18" s="2" cm="1">
        <f t="array" ref="N18">INDEX( ComputeThermoProps($A18, $B18, ParametersRange), 1, COLUMN()-2 )</f>
        <v>-7.05504650588834E-8</v>
      </c>
    </row>
    <row r="19" spans="1:14" x14ac:dyDescent="0.25">
      <c r="A19" s="2">
        <v>1.1000000000000001</v>
      </c>
      <c r="B19" s="2">
        <f t="shared" ref="B19:B82" si="0">IF(
  A19 &lt;= $B$5,
  $B$6 * EXP( ($B$5/A19) * ( $B$8*(1 - A19/$B$5) + $B$9*(1 - A19/$B$5)^1.5 + $B$10*(1 - A19/$B$5)^5 ) ),
  $B$6 * ( 1 + $B$12 * MAX(A19/$B$5 - 1, 0)^$B$13 + $B$14 * MAX(A19/$B$5 - 1, 0)^$B$15 )
)</f>
        <v>2.6448036454247749E-90</v>
      </c>
      <c r="C19" s="2" cm="1">
        <f t="array" ref="C19">INDEX( ComputeThermoProps($A19, $B19, ParametersRange), 1, COLUMN()-2 )</f>
        <v>13.380008340668576</v>
      </c>
      <c r="D19" s="2" cm="1">
        <f t="array" ref="D19">INDEX( ComputeThermoProps($A19, $B19, ParametersRange), 1, COLUMN()-2 )</f>
        <v>1.0022212735770651E-3</v>
      </c>
      <c r="E19" s="2" cm="1">
        <f t="array" ref="E19">INDEX( ComputeThermoProps($A19, $B19, ParametersRange), 1, COLUMN()-2 )</f>
        <v>1.0022145515177941E-3</v>
      </c>
      <c r="F19" s="2" cm="1">
        <f t="array" ref="F19">INDEX( ComputeThermoProps($A19, $B19, ParametersRange), 1, COLUMN()-2 )</f>
        <v>2.2667134106501973E-6</v>
      </c>
      <c r="G19" s="2" cm="1">
        <f t="array" ref="G19">INDEX( ComputeThermoProps($A19, $B19, ParametersRange), 1, COLUMN()-2 )</f>
        <v>1.1249674584558446E-2</v>
      </c>
      <c r="H19" s="2" cm="1">
        <f t="array" ref="H19">INDEX( ComputeThermoProps($A19, $B19, ParametersRange), 1, COLUMN()-2 )</f>
        <v>1.12495991311817E-2</v>
      </c>
      <c r="I19" s="2" cm="1">
        <f t="array" ref="I19">INDEX( ComputeThermoProps($A19, $B19, ParametersRange), 1, COLUMN()-2 )</f>
        <v>2.6900003353720909</v>
      </c>
      <c r="J19" s="2" cm="1">
        <f t="array" ref="J19">INDEX( ComputeThermoProps($A19, $B19, ParametersRange), 1, COLUMN()-2 )</f>
        <v>3.0937682545484242E-3</v>
      </c>
      <c r="K19" s="2" cm="1">
        <f t="array" ref="K19">INDEX( ComputeThermoProps($A19, $B19, ParametersRange), 1, COLUMN()-2 )</f>
        <v>3.7500189825955921E-3</v>
      </c>
      <c r="L19" s="2" cm="1">
        <f t="array" ref="L19">INDEX( ComputeThermoProps($A19, $B19, ParametersRange), 1, COLUMN()-2 )</f>
        <v>-1.0312526263067275E-3</v>
      </c>
      <c r="M19" s="2" cm="1">
        <f t="array" ref="M19">INDEX( ComputeThermoProps($A19, $B19, ParametersRange), 1, COLUMN()-2 )</f>
        <v>3.0937682545484242E-3</v>
      </c>
      <c r="N19" s="2" cm="1">
        <f t="array" ref="N19">INDEX( ComputeThermoProps($A19, $B19, ParametersRange), 1, COLUMN()-2 )</f>
        <v>-1.0312526263067275E-3</v>
      </c>
    </row>
    <row r="20" spans="1:14" x14ac:dyDescent="0.25">
      <c r="A20" s="2">
        <v>2.1</v>
      </c>
      <c r="B20" s="2">
        <f t="shared" si="0"/>
        <v>1.1915736706224596E-46</v>
      </c>
      <c r="C20" s="2" cm="1">
        <f t="array" ref="C20">INDEX( ComputeThermoProps($A20, $B20, ParametersRange), 1, COLUMN()-2 )</f>
        <v>13.380110790965931</v>
      </c>
      <c r="D20" s="2" cm="1">
        <f t="array" ref="D20">INDEX( ComputeThermoProps($A20, $B20, ParametersRange), 1, COLUMN()-2 )</f>
        <v>1.0022996313213545E-3</v>
      </c>
      <c r="E20" s="2" cm="1">
        <f t="array" ref="E20">INDEX( ComputeThermoProps($A20, $B20, ParametersRange), 1, COLUMN()-2 )</f>
        <v>1.0022103335807502E-3</v>
      </c>
      <c r="F20" s="2" cm="1">
        <f t="array" ref="F20">INDEX( ComputeThermoProps($A20, $B20, ParametersRange), 1, COLUMN()-2 )</f>
        <v>1.5772818297398142E-5</v>
      </c>
      <c r="G20" s="2" cm="1">
        <f t="array" ref="G20">INDEX( ComputeThermoProps($A20, $B20, ParametersRange), 1, COLUMN()-2 )</f>
        <v>7.8281138669585373E-2</v>
      </c>
      <c r="H20" s="2" cm="1">
        <f t="array" ref="H20">INDEX( ComputeThermoProps($A20, $B20, ParametersRange), 1, COLUMN()-2 )</f>
        <v>7.827416437906716E-2</v>
      </c>
      <c r="I20" s="2" cm="1">
        <f t="array" ref="I20">INDEX( ComputeThermoProps($A20, $B20, ParametersRange), 1, COLUMN()-2 )</f>
        <v>2.6900044548088382</v>
      </c>
      <c r="J20" s="2" cm="1">
        <f t="array" ref="J20">INDEX( ComputeThermoProps($A20, $B20, ParametersRange), 1, COLUMN()-2 )</f>
        <v>4.1095270603576789E-2</v>
      </c>
      <c r="K20" s="2" cm="1">
        <f t="array" ref="K20">INDEX( ComputeThermoProps($A20, $B20, ParametersRange), 1, COLUMN()-2 )</f>
        <v>2.6091944721998345E-2</v>
      </c>
      <c r="L20" s="2" cm="1">
        <f t="array" ref="L20">INDEX( ComputeThermoProps($A20, $B20, ParametersRange), 1, COLUMN()-2 )</f>
        <v>-1.3697813312619739E-2</v>
      </c>
      <c r="M20" s="2" cm="1">
        <f t="array" ref="M20">INDEX( ComputeThermoProps($A20, $B20, ParametersRange), 1, COLUMN()-2 )</f>
        <v>4.1095270603576789E-2</v>
      </c>
      <c r="N20" s="2" cm="1">
        <f t="array" ref="N20">INDEX( ComputeThermoProps($A20, $B20, ParametersRange), 1, COLUMN()-2 )</f>
        <v>-1.3697813312619739E-2</v>
      </c>
    </row>
    <row r="21" spans="1:14" x14ac:dyDescent="0.25">
      <c r="A21" s="2">
        <v>3.1</v>
      </c>
      <c r="B21" s="2">
        <f t="shared" si="0"/>
        <v>3.6092035634128807E-31</v>
      </c>
      <c r="C21" s="2" cm="1">
        <f t="array" ref="C21">INDEX( ComputeThermoProps($A21, $B21, ParametersRange), 1, COLUMN()-2 )</f>
        <v>13.380526241406804</v>
      </c>
      <c r="D21" s="2" cm="1">
        <f t="array" ref="D21">INDEX( ComputeThermoProps($A21, $B21, ParametersRange), 1, COLUMN()-2 )</f>
        <v>1.0026174835428981E-3</v>
      </c>
      <c r="E21" s="2" cm="1">
        <f t="array" ref="E21">INDEX( ComputeThermoProps($A21, $B21, ParametersRange), 1, COLUMN()-2 )</f>
        <v>1.0021932315552355E-3</v>
      </c>
      <c r="F21" s="2" cm="1">
        <f t="array" ref="F21">INDEX( ComputeThermoProps($A21, $B21, ParametersRange), 1, COLUMN()-2 )</f>
        <v>5.0763905899004894E-5</v>
      </c>
      <c r="G21" s="2" cm="1">
        <f t="array" ref="G21">INDEX( ComputeThermoProps($A21, $B21, ParametersRange), 1, COLUMN()-2 )</f>
        <v>0.25195388711889277</v>
      </c>
      <c r="H21" s="2" cm="1">
        <f t="array" ref="H21">INDEX( ComputeThermoProps($A21, $B21, ParametersRange), 1, COLUMN()-2 )</f>
        <v>0.25184727423894199</v>
      </c>
      <c r="I21" s="2" cm="1">
        <f t="array" ref="I21">INDEX( ComputeThermoProps($A21, $B21, ParametersRange), 1, COLUMN()-2 )</f>
        <v>2.6900211594486474</v>
      </c>
      <c r="J21" s="2" cm="1">
        <f t="array" ref="J21">INDEX( ComputeThermoProps($A21, $B21, ParametersRange), 1, COLUMN()-2 )</f>
        <v>0.1951977782128749</v>
      </c>
      <c r="K21" s="2" cm="1">
        <f t="array" ref="K21">INDEX( ComputeThermoProps($A21, $B21, ParametersRange), 1, COLUMN()-2 )</f>
        <v>8.3951657871287194E-2</v>
      </c>
      <c r="L21" s="2" cm="1">
        <f t="array" ref="L21">INDEX( ComputeThermoProps($A21, $B21, ParametersRange), 1, COLUMN()-2 )</f>
        <v>-6.5052361188115415E-2</v>
      </c>
      <c r="M21" s="2" cm="1">
        <f t="array" ref="M21">INDEX( ComputeThermoProps($A21, $B21, ParametersRange), 1, COLUMN()-2 )</f>
        <v>0.1951977782128749</v>
      </c>
      <c r="N21" s="2" cm="1">
        <f t="array" ref="N21">INDEX( ComputeThermoProps($A21, $B21, ParametersRange), 1, COLUMN()-2 )</f>
        <v>-6.5052361188115415E-2</v>
      </c>
    </row>
    <row r="22" spans="1:14" x14ac:dyDescent="0.25">
      <c r="A22" s="2">
        <v>4.0999999999999996</v>
      </c>
      <c r="B22" s="2">
        <f t="shared" si="0"/>
        <v>3.0482837930433757E-23</v>
      </c>
      <c r="C22" s="2" cm="1">
        <f t="array" ref="C22">INDEX( ComputeThermoProps($A22, $B22, ParametersRange), 1, COLUMN()-2 )</f>
        <v>13.381611036266651</v>
      </c>
      <c r="D22" s="2" cm="1">
        <f t="array" ref="D22">INDEX( ComputeThermoProps($A22, $B22, ParametersRange), 1, COLUMN()-2 )</f>
        <v>1.00344744398012E-3</v>
      </c>
      <c r="E22" s="2" cm="1">
        <f t="array" ref="E22">INDEX( ComputeThermoProps($A22, $B22, ParametersRange), 1, COLUMN()-2 )</f>
        <v>1.0021485933877177E-3</v>
      </c>
      <c r="F22" s="2" cm="1">
        <f t="array" ref="F22">INDEX( ComputeThermoProps($A22, $B22, ParametersRange), 1, COLUMN()-2 )</f>
        <v>1.1751153007451356E-4</v>
      </c>
      <c r="G22" s="2" cm="1">
        <f t="array" ref="G22">INDEX( ComputeThermoProps($A22, $B22, ParametersRange), 1, COLUMN()-2 )</f>
        <v>0.58330275036413182</v>
      </c>
      <c r="H22" s="2" cm="1">
        <f t="array" ref="H22">INDEX( ComputeThermoProps($A22, $B22, ParametersRange), 1, COLUMN()-2 )</f>
        <v>0.58254773013122818</v>
      </c>
      <c r="I22" s="2" cm="1">
        <f t="array" ref="I22">INDEX( ComputeThermoProps($A22, $B22, ParametersRange), 1, COLUMN()-2 )</f>
        <v>2.6900647754686253</v>
      </c>
      <c r="J22" s="2" cm="1">
        <f t="array" ref="J22">INDEX( ComputeThermoProps($A22, $B22, ParametersRange), 1, COLUMN()-2 )</f>
        <v>0.59758725004498559</v>
      </c>
      <c r="K22" s="2" cm="1">
        <f t="array" ref="K22">INDEX( ComputeThermoProps($A22, $B22, ParametersRange), 1, COLUMN()-2 )</f>
        <v>0.19431396019268657</v>
      </c>
      <c r="L22" s="2" cm="1">
        <f t="array" ref="L22">INDEX( ComputeThermoProps($A22, $B22, ParametersRange), 1, COLUMN()-2 )</f>
        <v>-0.19909998674502927</v>
      </c>
      <c r="M22" s="2" cm="1">
        <f t="array" ref="M22">INDEX( ComputeThermoProps($A22, $B22, ParametersRange), 1, COLUMN()-2 )</f>
        <v>0.59758725004498559</v>
      </c>
      <c r="N22" s="2" cm="1">
        <f t="array" ref="N22">INDEX( ComputeThermoProps($A22, $B22, ParametersRange), 1, COLUMN()-2 )</f>
        <v>-0.19909998674502927</v>
      </c>
    </row>
    <row r="23" spans="1:14" x14ac:dyDescent="0.25">
      <c r="A23" s="2">
        <v>5.0999999999999996</v>
      </c>
      <c r="B23" s="2">
        <f t="shared" si="0"/>
        <v>2.0082309765629534E-18</v>
      </c>
      <c r="C23" s="2" cm="1">
        <f t="array" ref="C23">INDEX( ComputeThermoProps($A23, $B23, ParametersRange), 1, COLUMN()-2 )</f>
        <v>13.383855597315454</v>
      </c>
      <c r="D23" s="2" cm="1">
        <f t="array" ref="D23">INDEX( ComputeThermoProps($A23, $B23, ParametersRange), 1, COLUMN()-2 )</f>
        <v>1.0051555398835849E-3</v>
      </c>
      <c r="E23" s="2" cm="1">
        <f t="array" ref="E23">INDEX( ComputeThermoProps($A23, $B23, ParametersRange), 1, COLUMN()-2 )</f>
        <v>1.0020563120629799E-3</v>
      </c>
      <c r="F23" s="2" cm="1">
        <f t="array" ref="F23">INDEX( ComputeThermoProps($A23, $B23, ParametersRange), 1, COLUMN()-2 )</f>
        <v>2.2543113207074443E-4</v>
      </c>
      <c r="G23" s="2" cm="1">
        <f t="array" ref="G23">INDEX( ComputeThermoProps($A23, $B23, ParametersRange), 1, COLUMN()-2 )</f>
        <v>1.1192463851404502</v>
      </c>
      <c r="H23" s="2" cm="1">
        <f t="array" ref="H23">INDEX( ComputeThermoProps($A23, $B23, ParametersRange), 1, COLUMN()-2 )</f>
        <v>1.1157953774134863</v>
      </c>
      <c r="I23" s="2" cm="1">
        <f t="array" ref="I23">INDEX( ComputeThermoProps($A23, $B23, ParametersRange), 1, COLUMN()-2 )</f>
        <v>2.6901550128776233</v>
      </c>
      <c r="J23" s="2" cm="1">
        <f t="array" ref="J23">INDEX( ComputeThermoProps($A23, $B23, ParametersRange), 1, COLUMN()-2 )</f>
        <v>1.4302119288569153</v>
      </c>
      <c r="K23" s="2" cm="1">
        <f t="array" ref="K23">INDEX( ComputeThermoProps($A23, $B23, ParametersRange), 1, COLUMN()-2 )</f>
        <v>0.37391934127908605</v>
      </c>
      <c r="L23" s="2" cm="1">
        <f t="array" ref="L23">INDEX( ComputeThermoProps($A23, $B23, ParametersRange), 1, COLUMN()-2 )</f>
        <v>-0.47677671166642344</v>
      </c>
      <c r="M23" s="2" cm="1">
        <f t="array" ref="M23">INDEX( ComputeThermoProps($A23, $B23, ParametersRange), 1, COLUMN()-2 )</f>
        <v>1.4302119288569153</v>
      </c>
      <c r="N23" s="2" cm="1">
        <f t="array" ref="N23">INDEX( ComputeThermoProps($A23, $B23, ParametersRange), 1, COLUMN()-2 )</f>
        <v>-0.47677671166642344</v>
      </c>
    </row>
    <row r="24" spans="1:14" x14ac:dyDescent="0.25">
      <c r="A24" s="2">
        <v>6.1</v>
      </c>
      <c r="B24" s="2">
        <f t="shared" si="0"/>
        <v>3.5024480627789821E-15</v>
      </c>
      <c r="C24" s="2" cm="1">
        <f t="array" ref="C24">INDEX( ComputeThermoProps($A24, $B24, ParametersRange), 1, COLUMN()-2 )</f>
        <v>13.387855309031591</v>
      </c>
      <c r="D24" s="2" cm="1">
        <f t="array" ref="D24">INDEX( ComputeThermoProps($A24, $B24, ParametersRange), 1, COLUMN()-2 )</f>
        <v>1.0081416755195192E-3</v>
      </c>
      <c r="E24" s="2" cm="1">
        <f t="array" ref="E24">INDEX( ComputeThermoProps($A24, $B24, ParametersRange), 1, COLUMN()-2 )</f>
        <v>1.0018921377259176E-3</v>
      </c>
      <c r="F24" s="2" cm="1">
        <f t="array" ref="F24">INDEX( ComputeThermoProps($A24, $B24, ParametersRange), 1, COLUMN()-2 )</f>
        <v>3.8009646967795046E-4</v>
      </c>
      <c r="G24" s="2" cm="1">
        <f t="array" ref="G24">INDEX( ComputeThermoProps($A24, $B24, ParametersRange), 1, COLUMN()-2 )</f>
        <v>1.8879070927313164</v>
      </c>
      <c r="H24" s="2" cm="1">
        <f t="array" ref="H24">INDEX( ComputeThermoProps($A24, $B24, ParametersRange), 1, COLUMN()-2 )</f>
        <v>1.8762038301707713</v>
      </c>
      <c r="I24" s="2" cm="1">
        <f t="array" ref="I24">INDEX( ComputeThermoProps($A24, $B24, ParametersRange), 1, COLUMN()-2 )</f>
        <v>2.6903157820739274</v>
      </c>
      <c r="J24" s="2" cm="1">
        <f t="array" ref="J24">INDEX( ComputeThermoProps($A24, $B24, ParametersRange), 1, COLUMN()-2 )</f>
        <v>2.9140341488224104</v>
      </c>
      <c r="K24" s="2" cm="1">
        <f t="array" ref="K24">INDEX( ComputeThermoProps($A24, $B24, ParametersRange), 1, COLUMN()-2 )</f>
        <v>0.63754556718718025</v>
      </c>
      <c r="L24" s="2" cm="1">
        <f t="array" ref="L24">INDEX( ComputeThermoProps($A24, $B24, ParametersRange), 1, COLUMN()-2 )</f>
        <v>-0.97499381101938887</v>
      </c>
      <c r="M24" s="2" cm="1">
        <f t="array" ref="M24">INDEX( ComputeThermoProps($A24, $B24, ParametersRange), 1, COLUMN()-2 )</f>
        <v>2.9140341488224575</v>
      </c>
      <c r="N24" s="2" cm="1">
        <f t="array" ref="N24">INDEX( ComputeThermoProps($A24, $B24, ParametersRange), 1, COLUMN()-2 )</f>
        <v>-0.97499381101934179</v>
      </c>
    </row>
    <row r="25" spans="1:14" x14ac:dyDescent="0.25">
      <c r="A25" s="2">
        <v>7.1</v>
      </c>
      <c r="B25" s="2">
        <f t="shared" si="0"/>
        <v>7.5322523292031271E-13</v>
      </c>
      <c r="C25" s="2" cm="1">
        <f t="array" ref="C25">INDEX( ComputeThermoProps($A25, $B25, ParametersRange), 1, COLUMN()-2 )</f>
        <v>13.394239265258955</v>
      </c>
      <c r="D25" s="2" cm="1">
        <f t="array" ref="D25">INDEX( ComputeThermoProps($A25, $B25, ParametersRange), 1, COLUMN()-2 )</f>
        <v>1.0127397877571994E-3</v>
      </c>
      <c r="E25" s="2" cm="1">
        <f t="array" ref="E25">INDEX( ComputeThermoProps($A25, $B25, ParametersRange), 1, COLUMN()-2 )</f>
        <v>1.0016308056018683E-3</v>
      </c>
      <c r="F25" s="2" cm="1">
        <f t="array" ref="F25">INDEX( ComputeThermoProps($A25, $B25, ParametersRange), 1, COLUMN()-2 )</f>
        <v>5.8058201670007519E-4</v>
      </c>
      <c r="G25" s="2" cm="1">
        <f t="array" ref="G25">INDEX( ComputeThermoProps($A25, $B25, ParametersRange), 1, COLUMN()-2 )</f>
        <v>2.8855545667940348</v>
      </c>
      <c r="H25" s="2" cm="1">
        <f t="array" ref="H25">INDEX( ComputeThermoProps($A25, $B25, ParametersRange), 1, COLUMN()-2 )</f>
        <v>2.8539022365723308</v>
      </c>
      <c r="I25" s="2" cm="1">
        <f t="array" ref="I25">INDEX( ComputeThermoProps($A25, $B25, ParametersRange), 1, COLUMN()-2 )</f>
        <v>2.6905723068543432</v>
      </c>
      <c r="J25" s="2" cm="1">
        <f t="array" ref="J25">INDEX( ComputeThermoProps($A25, $B25, ParametersRange), 1, COLUMN()-2 )</f>
        <v>5.2826882468527039</v>
      </c>
      <c r="K25" s="2" cm="1">
        <f t="array" ref="K25">INDEX( ComputeThermoProps($A25, $B25, ParametersRange), 1, COLUMN()-2 )</f>
        <v>0.99520650735208982</v>
      </c>
      <c r="L25" s="2" cm="1">
        <f t="array" ref="L25">INDEX( ComputeThermoProps($A25, $B25, ParametersRange), 1, COLUMN()-2 )</f>
        <v>-1.7832779553471334</v>
      </c>
      <c r="M25" s="2" cm="1">
        <f t="array" ref="M25">INDEX( ComputeThermoProps($A25, $B25, ParametersRange), 1, COLUMN()-2 )</f>
        <v>5.2826882468627927</v>
      </c>
      <c r="N25" s="2" cm="1">
        <f t="array" ref="N25">INDEX( ComputeThermoProps($A25, $B25, ParametersRange), 1, COLUMN()-2 )</f>
        <v>-1.7832779553370446</v>
      </c>
    </row>
    <row r="26" spans="1:14" x14ac:dyDescent="0.25">
      <c r="A26" s="2">
        <v>8.1</v>
      </c>
      <c r="B26" s="2">
        <f t="shared" si="0"/>
        <v>4.3510060810813322E-11</v>
      </c>
      <c r="C26" s="2" cm="1">
        <f t="array" ref="C26">INDEX( ComputeThermoProps($A26, $B26, ParametersRange), 1, COLUMN()-2 )</f>
        <v>13.403584655179589</v>
      </c>
      <c r="D26" s="2" cm="1">
        <f t="array" ref="D26">INDEX( ComputeThermoProps($A26, $B26, ParametersRange), 1, COLUMN()-2 )</f>
        <v>1.0191475241573093E-3</v>
      </c>
      <c r="E26" s="2" cm="1">
        <f t="array" ref="E26">INDEX( ComputeThermoProps($A26, $B26, ParametersRange), 1, COLUMN()-2 )</f>
        <v>1.0012498078275458E-3</v>
      </c>
      <c r="F26" s="2" cm="1">
        <f t="array" ref="F26">INDEX( ComputeThermoProps($A26, $B26, ParametersRange), 1, COLUMN()-2 )</f>
        <v>8.2009640135349631E-4</v>
      </c>
      <c r="G26" s="2" cm="1">
        <f t="array" ref="G26">INDEX( ComputeThermoProps($A26, $B26, ParametersRange), 1, COLUMN()-2 )</f>
        <v>4.0797934129812443</v>
      </c>
      <c r="H26" s="2" cm="1">
        <f t="array" ref="H26">INDEX( ComputeThermoProps($A26, $B26, ParametersRange), 1, COLUMN()-2 )</f>
        <v>4.0081462927569644</v>
      </c>
      <c r="I26" s="2" cm="1">
        <f t="array" ref="I26">INDEX( ComputeThermoProps($A26, $B26, ParametersRange), 1, COLUMN()-2 )</f>
        <v>2.690947653781798</v>
      </c>
      <c r="J26" s="2" cm="1">
        <f t="array" ref="J26">INDEX( ComputeThermoProps($A26, $B26, ParametersRange), 1, COLUMN()-2 )</f>
        <v>8.7508350105489203</v>
      </c>
      <c r="K26" s="2" cm="1">
        <f t="array" ref="K26">INDEX( ComputeThermoProps($A26, $B26, ParametersRange), 1, COLUMN()-2 )</f>
        <v>1.4504731783469267</v>
      </c>
      <c r="L26" s="2" cm="1">
        <f t="array" ref="L26">INDEX( ComputeThermoProps($A26, $B26, ParametersRange), 1, COLUMN()-2 )</f>
        <v>-2.9979977340611854</v>
      </c>
      <c r="M26" s="2" cm="1">
        <f t="array" ref="M26">INDEX( ComputeThermoProps($A26, $B26, ParametersRange), 1, COLUMN()-2 )</f>
        <v>8.7508350111321107</v>
      </c>
      <c r="N26" s="2" cm="1">
        <f t="array" ref="N26">INDEX( ComputeThermoProps($A26, $B26, ParametersRange), 1, COLUMN()-2 )</f>
        <v>-2.997997733477995</v>
      </c>
    </row>
    <row r="27" spans="1:14" x14ac:dyDescent="0.25">
      <c r="A27" s="2">
        <v>9.1</v>
      </c>
      <c r="B27" s="2">
        <f t="shared" si="0"/>
        <v>1.0441802197839621E-9</v>
      </c>
      <c r="C27" s="2" cm="1">
        <f t="array" ref="C27">INDEX( ComputeThermoProps($A27, $B27, ParametersRange), 1, COLUMN()-2 )</f>
        <v>13.416356988577071</v>
      </c>
      <c r="D27" s="2" cm="1">
        <f t="array" ref="D27">INDEX( ComputeThermoProps($A27, $B27, ParametersRange), 1, COLUMN()-2 )</f>
        <v>1.0274187825217713E-3</v>
      </c>
      <c r="E27" s="2" cm="1">
        <f t="array" ref="E27">INDEX( ComputeThermoProps($A27, $B27, ParametersRange), 1, COLUMN()-2 )</f>
        <v>1.000732087400671E-3</v>
      </c>
      <c r="F27" s="2" cm="1">
        <f t="array" ref="F27">INDEX( ComputeThermoProps($A27, $B27, ParametersRange), 1, COLUMN()-2 )</f>
        <v>1.0887987112574477E-3</v>
      </c>
      <c r="G27" s="2" cm="1">
        <f t="array" ref="G27">INDEX( ComputeThermoProps($A27, $B27, ParametersRange), 1, COLUMN()-2 )</f>
        <v>5.4234594847521178</v>
      </c>
      <c r="H27" s="2" cm="1">
        <f t="array" ref="H27">INDEX( ComputeThermoProps($A27, $B27, ParametersRange), 1, COLUMN()-2 )</f>
        <v>5.2825878049333266</v>
      </c>
      <c r="I27" s="2" cm="1">
        <f t="array" ref="I27">INDEX( ComputeThermoProps($A27, $B27, ParametersRange), 1, COLUMN()-2 )</f>
        <v>2.6914603015331529</v>
      </c>
      <c r="J27" s="2" cm="1">
        <f t="array" ref="J27">INDEX( ComputeThermoProps($A27, $B27, ParametersRange), 1, COLUMN()-2 )</f>
        <v>13.492093218389176</v>
      </c>
      <c r="K27" s="2" cm="1">
        <f t="array" ref="K27">INDEX( ComputeThermoProps($A27, $B27, ParametersRange), 1, COLUMN()-2 )</f>
        <v>2.0008861714657034</v>
      </c>
      <c r="L27" s="2" cm="1">
        <f t="array" ref="L27">INDEX( ComputeThermoProps($A27, $B27, ParametersRange), 1, COLUMN()-2 )</f>
        <v>-4.7159709419487239</v>
      </c>
      <c r="M27" s="2" cm="1">
        <f t="array" ref="M27">INDEX( ComputeThermoProps($A27, $B27, ParametersRange), 1, COLUMN()-2 )</f>
        <v>13.49209323239827</v>
      </c>
      <c r="N27" s="2" cm="1">
        <f t="array" ref="N27">INDEX( ComputeThermoProps($A27, $B27, ParametersRange), 1, COLUMN()-2 )</f>
        <v>-4.7159709279396296</v>
      </c>
    </row>
    <row r="28" spans="1:14" x14ac:dyDescent="0.25">
      <c r="A28" s="2">
        <v>10.1</v>
      </c>
      <c r="B28" s="2">
        <f t="shared" si="0"/>
        <v>1.354599329384741E-8</v>
      </c>
      <c r="C28" s="2" cm="1">
        <f t="array" ref="C28">INDEX( ComputeThermoProps($A28, $B28, ParametersRange), 1, COLUMN()-2 )</f>
        <v>13.432888901786258</v>
      </c>
      <c r="D28" s="2" cm="1">
        <f t="array" ref="D28">INDEX( ComputeThermoProps($A28, $B28, ParametersRange), 1, COLUMN()-2 )</f>
        <v>1.0374970181268302E-3</v>
      </c>
      <c r="E28" s="2" cm="1">
        <f t="array" ref="E28">INDEX( ComputeThermoProps($A28, $B28, ParametersRange), 1, COLUMN()-2 )</f>
        <v>1.0000670656285235E-3</v>
      </c>
      <c r="F28" s="2" cm="1">
        <f t="array" ref="F28">INDEX( ComputeThermoProps($A28, $B28, ParametersRange), 1, COLUMN()-2 )</f>
        <v>1.3764924543683734E-3</v>
      </c>
      <c r="G28" s="2" cm="1">
        <f t="array" ref="G28">INDEX( ComputeThermoProps($A28, $B28, ParametersRange), 1, COLUMN()-2 )</f>
        <v>6.8678245327203564</v>
      </c>
      <c r="H28" s="2" cm="1">
        <f t="array" ref="H28">INDEX( ComputeThermoProps($A28, $B28, ParametersRange), 1, COLUMN()-2 )</f>
        <v>6.6200528846721074</v>
      </c>
      <c r="I28" s="2" cm="1">
        <f t="array" ref="I28">INDEX( ComputeThermoProps($A28, $B28, ParametersRange), 1, COLUMN()-2 )</f>
        <v>2.6921232694802701</v>
      </c>
      <c r="J28" s="2" cm="1">
        <f t="array" ref="J28">INDEX( ComputeThermoProps($A28, $B28, ParametersRange), 1, COLUMN()-2 )</f>
        <v>19.631244972838658</v>
      </c>
      <c r="K28" s="2" cm="1">
        <f t="array" ref="K28">INDEX( ComputeThermoProps($A28, $B28, ParametersRange), 1, COLUMN()-2 )</f>
        <v>2.6396505021794625</v>
      </c>
      <c r="L28" s="2" cm="1">
        <f t="array" ref="L28">INDEX( ComputeThermoProps($A28, $B28, ParametersRange), 1, COLUMN()-2 )</f>
        <v>-7.029225099173912</v>
      </c>
      <c r="M28" s="2" cm="1">
        <f t="array" ref="M28">INDEX( ComputeThermoProps($A28, $B28, ParametersRange), 1, COLUMN()-2 )</f>
        <v>19.631245154800482</v>
      </c>
      <c r="N28" s="2" cm="1">
        <f t="array" ref="N28">INDEX( ComputeThermoProps($A28, $B28, ParametersRange), 1, COLUMN()-2 )</f>
        <v>-7.0292249172120886</v>
      </c>
    </row>
    <row r="29" spans="1:14" x14ac:dyDescent="0.25">
      <c r="A29" s="2">
        <v>11.1</v>
      </c>
      <c r="B29" s="2">
        <f t="shared" si="0"/>
        <v>1.1240179060268277E-7</v>
      </c>
      <c r="C29" s="2" cm="1">
        <f t="array" ref="C29">INDEX( ComputeThermoProps($A29, $B29, ParametersRange), 1, COLUMN()-2 )</f>
        <v>13.453387622466257</v>
      </c>
      <c r="D29" s="2" cm="1">
        <f t="array" ref="D29">INDEX( ComputeThermoProps($A29, $B29, ParametersRange), 1, COLUMN()-2 )</f>
        <v>1.0492581808010683E-3</v>
      </c>
      <c r="E29" s="2" cm="1">
        <f t="array" ref="E29">INDEX( ComputeThermoProps($A29, $B29, ParametersRange), 1, COLUMN()-2 )</f>
        <v>9.9925038221464007E-4</v>
      </c>
      <c r="F29" s="2" cm="1">
        <f t="array" ref="F29">INDEX( ComputeThermoProps($A29, $B29, ParametersRange), 1, COLUMN()-2 )</f>
        <v>1.6742220078596538E-3</v>
      </c>
      <c r="G29" s="2" cm="1">
        <f t="array" ref="G29">INDEX( ComputeThermoProps($A29, $B29, ParametersRange), 1, COLUMN()-2 )</f>
        <v>8.3703379029778198</v>
      </c>
      <c r="H29" s="2" cm="1">
        <f t="array" ref="H29">INDEX( ComputeThermoProps($A29, $B29, ParametersRange), 1, COLUMN()-2 )</f>
        <v>7.9714063724817796</v>
      </c>
      <c r="I29" s="2" cm="1">
        <f t="array" ref="I29">INDEX( ComputeThermoProps($A29, $B29, ParametersRange), 1, COLUMN()-2 )</f>
        <v>2.6929444097272861</v>
      </c>
      <c r="J29" s="2" cm="1">
        <f t="array" ref="J29">INDEX( ComputeThermoProps($A29, $B29, ParametersRange), 1, COLUMN()-2 )</f>
        <v>27.247021217992913</v>
      </c>
      <c r="K29" s="2" cm="1">
        <f t="array" ref="K29">INDEX( ComputeThermoProps($A29, $B29, ParametersRange), 1, COLUMN()-2 )</f>
        <v>3.3575359312848176</v>
      </c>
      <c r="L29" s="2" cm="1">
        <f t="array" ref="L29">INDEX( ComputeThermoProps($A29, $B29, ParametersRange), 1, COLUMN()-2 )</f>
        <v>-10.021627619268562</v>
      </c>
      <c r="M29" s="2" cm="1">
        <f t="array" ref="M29">INDEX( ComputeThermoProps($A29, $B29, ParametersRange), 1, COLUMN()-2 )</f>
        <v>27.247022730177772</v>
      </c>
      <c r="N29" s="2" cm="1">
        <f t="array" ref="N29">INDEX( ComputeThermoProps($A29, $B29, ParametersRange), 1, COLUMN()-2 )</f>
        <v>-10.021626107083703</v>
      </c>
    </row>
    <row r="30" spans="1:14" x14ac:dyDescent="0.25">
      <c r="A30" s="2">
        <v>12.1</v>
      </c>
      <c r="B30" s="2">
        <f t="shared" si="0"/>
        <v>6.6764251838809963E-7</v>
      </c>
      <c r="C30" s="2" cm="1">
        <f t="array" ref="C30">INDEX( ComputeThermoProps($A30, $B30, ParametersRange), 1, COLUMN()-2 )</f>
        <v>13.477956402219032</v>
      </c>
      <c r="D30" s="2" cm="1">
        <f t="array" ref="D30">INDEX( ComputeThermoProps($A30, $B30, ParametersRange), 1, COLUMN()-2 )</f>
        <v>1.0625464117264376E-3</v>
      </c>
      <c r="E30" s="2" cm="1">
        <f t="array" ref="E30">INDEX( ComputeThermoProps($A30, $B30, ParametersRange), 1, COLUMN()-2 )</f>
        <v>9.982829595637521E-4</v>
      </c>
      <c r="F30" s="2" cm="1">
        <f t="array" ref="F30">INDEX( ComputeThermoProps($A30, $B30, ParametersRange), 1, COLUMN()-2 )</f>
        <v>1.9748729292220994E-3</v>
      </c>
      <c r="G30" s="2" cm="1">
        <f t="array" ref="G30">INDEX( ComputeThermoProps($A30, $B30, ParametersRange), 1, COLUMN()-2 )</f>
        <v>9.8974582686885899</v>
      </c>
      <c r="H30" s="2" cm="1">
        <f t="array" ref="H30">INDEX( ComputeThermoProps($A30, $B30, ParametersRange), 1, COLUMN()-2 )</f>
        <v>9.2988539828310035</v>
      </c>
      <c r="I30" s="2" cm="1">
        <f t="array" ref="I30">INDEX( ComputeThermoProps($A30, $B30, ParametersRange), 1, COLUMN()-2 )</f>
        <v>2.6939272711768316</v>
      </c>
      <c r="J30" s="2" cm="1">
        <f t="array" ref="J30">INDEX( ComputeThermoProps($A30, $B30, ParametersRange), 1, COLUMN()-2 )</f>
        <v>36.380022059306278</v>
      </c>
      <c r="K30" s="2" cm="1">
        <f t="array" ref="K30">INDEX( ComputeThermoProps($A30, $B30, ParametersRange), 1, COLUMN()-2 )</f>
        <v>4.1444030893796029</v>
      </c>
      <c r="L30" s="2" cm="1">
        <f t="array" ref="L30">INDEX( ComputeThermoProps($A30, $B30, ParametersRange), 1, COLUMN()-2 )</f>
        <v>-13.767255322186916</v>
      </c>
      <c r="M30" s="2" cm="1">
        <f t="array" ref="M30">INDEX( ComputeThermoProps($A30, $B30, ParametersRange), 1, COLUMN()-2 )</f>
        <v>36.380031057763034</v>
      </c>
      <c r="N30" s="2" cm="1">
        <f t="array" ref="N30">INDEX( ComputeThermoProps($A30, $B30, ParametersRange), 1, COLUMN()-2 )</f>
        <v>-13.767246323730159</v>
      </c>
    </row>
    <row r="31" spans="1:14" x14ac:dyDescent="0.25">
      <c r="A31" s="2">
        <v>13.1</v>
      </c>
      <c r="B31" s="2">
        <f t="shared" si="0"/>
        <v>3.0694002160721521E-6</v>
      </c>
      <c r="C31" s="2" cm="1">
        <f t="array" ref="C31">INDEX( ComputeThermoProps($A31, $B31, ParametersRange), 1, COLUMN()-2 )</f>
        <v>13.506619315687933</v>
      </c>
      <c r="D31" s="2" cm="1">
        <f t="array" ref="D31">INDEX( ComputeThermoProps($A31, $B31, ParametersRange), 1, COLUMN()-2 )</f>
        <v>1.0771982522900696E-3</v>
      </c>
      <c r="E31" s="2" cm="1">
        <f t="array" ref="E31">INDEX( ComputeThermoProps($A31, $B31, ParametersRange), 1, COLUMN()-2 )</f>
        <v>9.9716985424872125E-4</v>
      </c>
      <c r="F31" s="2" cm="1">
        <f t="array" ref="F31">INDEX( ComputeThermoProps($A31, $B31, ParametersRange), 1, COLUMN()-2 )</f>
        <v>2.2731772341858633E-3</v>
      </c>
      <c r="G31" s="2" cm="1">
        <f t="array" ref="G31">INDEX( ComputeThermoProps($A31, $B31, ParametersRange), 1, COLUMN()-2 )</f>
        <v>11.424584848334062</v>
      </c>
      <c r="H31" s="2" cm="1">
        <f t="array" ref="H31">INDEX( ComputeThermoProps($A31, $B31, ParametersRange), 1, COLUMN()-2 )</f>
        <v>10.575817017755153</v>
      </c>
      <c r="I31" s="2" cm="1">
        <f t="array" ref="I31">INDEX( ComputeThermoProps($A31, $B31, ParametersRange), 1, COLUMN()-2 )</f>
        <v>2.6950721065096515</v>
      </c>
      <c r="J31" s="2" cm="1">
        <f t="array" ref="J31">INDEX( ComputeThermoProps($A31, $B31, ParametersRange), 1, COLUMN()-2 )</f>
        <v>47.041853855959019</v>
      </c>
      <c r="K31" s="2" cm="1">
        <f t="array" ref="K31">INDEX( ComputeThermoProps($A31, $B31, ParametersRange), 1, COLUMN()-2 )</f>
        <v>4.9902205073440369</v>
      </c>
      <c r="L31" s="2" cm="1">
        <f t="array" ref="L31">INDEX( ComputeThermoProps($A31, $B31, ParametersRange), 1, COLUMN()-2 )</f>
        <v>-18.330034790247861</v>
      </c>
      <c r="M31" s="2" cm="1">
        <f t="array" ref="M31">INDEX( ComputeThermoProps($A31, $B31, ParametersRange), 1, COLUMN()-2 )</f>
        <v>47.041895313179268</v>
      </c>
      <c r="N31" s="2" cm="1">
        <f t="array" ref="N31">INDEX( ComputeThermoProps($A31, $B31, ParametersRange), 1, COLUMN()-2 )</f>
        <v>-18.329993333027613</v>
      </c>
    </row>
    <row r="32" spans="1:14" x14ac:dyDescent="0.25">
      <c r="A32" s="2">
        <v>14.1</v>
      </c>
      <c r="B32" s="2">
        <f t="shared" si="0"/>
        <v>1.155031065365764E-5</v>
      </c>
      <c r="C32" s="2" cm="1">
        <f t="array" ref="C32">INDEX( ComputeThermoProps($A32, $B32, ParametersRange), 1, COLUMN()-2 )</f>
        <v>13.539343921387699</v>
      </c>
      <c r="D32" s="2" cm="1">
        <f t="array" ref="D32">INDEX( ComputeThermoProps($A32, $B32, ParametersRange), 1, COLUMN()-2 )</f>
        <v>1.0930569083755658E-3</v>
      </c>
      <c r="E32" s="2" cm="1">
        <f t="array" ref="E32">INDEX( ComputeThermoProps($A32, $B32, ParametersRange), 1, COLUMN()-2 )</f>
        <v>9.9591915197999353E-4</v>
      </c>
      <c r="F32" s="2" cm="1">
        <f t="array" ref="F32">INDEX( ComputeThermoProps($A32, $B32, ParametersRange), 1, COLUMN()-2 )</f>
        <v>2.5654543439885737E-3</v>
      </c>
      <c r="G32" s="2" cm="1">
        <f t="array" ref="G32">INDEX( ComputeThermoProps($A32, $B32, ParametersRange), 1, COLUMN()-2 )</f>
        <v>12.934726341740854</v>
      </c>
      <c r="H32" s="2" cm="1">
        <f t="array" ref="H32">INDEX( ComputeThermoProps($A32, $B32, ParametersRange), 1, COLUMN()-2 )</f>
        <v>11.785243376307083</v>
      </c>
      <c r="I32" s="2" cm="1">
        <f t="array" ref="I32">INDEX( ComputeThermoProps($A32, $B32, ParametersRange), 1, COLUMN()-2 )</f>
        <v>2.6963767974954629</v>
      </c>
      <c r="J32" s="2" cm="1">
        <f t="array" ref="J32">INDEX( ComputeThermoProps($A32, $B32, ParametersRange), 1, COLUMN()-2 )</f>
        <v>59.223459019045791</v>
      </c>
      <c r="K32" s="2" cm="1">
        <f t="array" ref="K32">INDEX( ComputeThermoProps($A32, $B32, ParametersRange), 1, COLUMN()-2 )</f>
        <v>5.8856476442273387</v>
      </c>
      <c r="L32" s="2" cm="1">
        <f t="array" ref="L32">INDEX( ComputeThermoProps($A32, $B32, ParametersRange), 1, COLUMN()-2 )</f>
        <v>-23.764172764559682</v>
      </c>
      <c r="M32" s="2" cm="1">
        <f t="array" ref="M32">INDEX( ComputeThermoProps($A32, $B32, ParametersRange), 1, COLUMN()-2 )</f>
        <v>59.223615402674127</v>
      </c>
      <c r="N32" s="2" cm="1">
        <f t="array" ref="N32">INDEX( ComputeThermoProps($A32, $B32, ParametersRange), 1, COLUMN()-2 )</f>
        <v>-23.764016380931345</v>
      </c>
    </row>
    <row r="33" spans="1:14" x14ac:dyDescent="0.25">
      <c r="A33" s="2">
        <v>15.1</v>
      </c>
      <c r="B33" s="2">
        <f t="shared" si="0"/>
        <v>3.7069889444936479E-5</v>
      </c>
      <c r="C33" s="2" cm="1">
        <f t="array" ref="C33">INDEX( ComputeThermoProps($A33, $B33, ParametersRange), 1, COLUMN()-2 )</f>
        <v>13.576059749320956</v>
      </c>
      <c r="D33" s="2" cm="1">
        <f t="array" ref="D33">INDEX( ComputeThermoProps($A33, $B33, ParametersRange), 1, COLUMN()-2 )</f>
        <v>1.1099795286497176E-3</v>
      </c>
      <c r="E33" s="2" cm="1">
        <f t="array" ref="E33">INDEX( ComputeThermoProps($A33, $B33, ParametersRange), 1, COLUMN()-2 )</f>
        <v>9.9454101327475851E-4</v>
      </c>
      <c r="F33" s="2" cm="1">
        <f t="array" ref="F33">INDEX( ComputeThermoProps($A33, $B33, ParametersRange), 1, COLUMN()-2 )</f>
        <v>2.8492810034170583E-3</v>
      </c>
      <c r="G33" s="2" cm="1">
        <f t="array" ref="G33">INDEX( ComputeThermoProps($A33, $B33, ParametersRange), 1, COLUMN()-2 )</f>
        <v>14.416854664493449</v>
      </c>
      <c r="H33" s="2" cm="1">
        <f t="array" ref="H33">INDEX( ComputeThermoProps($A33, $B33, ParametersRange), 1, COLUMN()-2 )</f>
        <v>12.917493409723066</v>
      </c>
      <c r="I33" s="2" cm="1">
        <f t="array" ref="I33">INDEX( ComputeThermoProps($A33, $B33, ParametersRange), 1, COLUMN()-2 )</f>
        <v>2.6978376141351683</v>
      </c>
      <c r="J33" s="2" cm="1">
        <f t="array" ref="J33">INDEX( ComputeThermoProps($A33, $B33, ParametersRange), 1, COLUMN()-2 )</f>
        <v>72.901901102589648</v>
      </c>
      <c r="K33" s="2" cm="1">
        <f t="array" ref="K33">INDEX( ComputeThermoProps($A33, $B33, ParametersRange), 1, COLUMN()-2 )</f>
        <v>6.8223117308997994</v>
      </c>
      <c r="L33" s="2" cm="1">
        <f t="array" ref="L33">INDEX( ComputeThermoProps($A33, $B33, ParametersRange), 1, COLUMN()-2 )</f>
        <v>-30.115006033997322</v>
      </c>
      <c r="M33" s="2" cm="1">
        <f t="array" ref="M33">INDEX( ComputeThermoProps($A33, $B33, ParametersRange), 1, COLUMN()-2 )</f>
        <v>72.902404365623653</v>
      </c>
      <c r="N33" s="2" cm="1">
        <f t="array" ref="N33">INDEX( ComputeThermoProps($A33, $B33, ParametersRange), 1, COLUMN()-2 )</f>
        <v>-30.114502770963316</v>
      </c>
    </row>
    <row r="34" spans="1:14" x14ac:dyDescent="0.25">
      <c r="A34" s="2">
        <v>16.100000000000001</v>
      </c>
      <c r="B34" s="2">
        <f t="shared" si="0"/>
        <v>1.0465760776566444E-4</v>
      </c>
      <c r="C34" s="2" cm="1">
        <f t="array" ref="C34">INDEX( ComputeThermoProps($A34, $B34, ParametersRange), 1, COLUMN()-2 )</f>
        <v>13.616672392252273</v>
      </c>
      <c r="D34" s="2" cm="1">
        <f t="array" ref="D34">INDEX( ComputeThermoProps($A34, $B34, ParametersRange), 1, COLUMN()-2 )</f>
        <v>1.1278401070377658E-3</v>
      </c>
      <c r="E34" s="2" cm="1">
        <f t="array" ref="E34">INDEX( ComputeThermoProps($A34, $B34, ParametersRange), 1, COLUMN()-2 )</f>
        <v>9.9304689287006611E-4</v>
      </c>
      <c r="F34" s="2" cm="1">
        <f t="array" ref="F34">INDEX( ComputeThermoProps($A34, $B34, ParametersRange), 1, COLUMN()-2 )</f>
        <v>3.1231809088788681E-3</v>
      </c>
      <c r="G34" s="2" cm="1">
        <f t="array" ref="G34">INDEX( ComputeThermoProps($A34, $B34, ParametersRange), 1, COLUMN()-2 )</f>
        <v>15.864380514693062</v>
      </c>
      <c r="H34" s="2" cm="1">
        <f t="array" ref="H34">INDEX( ComputeThermoProps($A34, $B34, ParametersRange), 1, COLUMN()-2 )</f>
        <v>13.968357464075217</v>
      </c>
      <c r="I34" s="2" cm="1">
        <f t="array" ref="I34">INDEX( ComputeThermoProps($A34, $B34, ParametersRange), 1, COLUMN()-2 )</f>
        <v>2.699449796844422</v>
      </c>
      <c r="J34" s="2" cm="1">
        <f t="array" ref="J34">INDEX( ComputeThermoProps($A34, $B34, ParametersRange), 1, COLUMN()-2 )</f>
        <v>88.0455384100255</v>
      </c>
      <c r="K34" s="2" cm="1">
        <f t="array" ref="K34">INDEX( ComputeThermoProps($A34, $B34, ParametersRange), 1, COLUMN()-2 )</f>
        <v>7.7928920748837092</v>
      </c>
      <c r="L34" s="2" cm="1">
        <f t="array" ref="L34">INDEX( ComputeThermoProps($A34, $B34, ParametersRange), 1, COLUMN()-2 )</f>
        <v>-37.420023995602229</v>
      </c>
      <c r="M34" s="2" cm="1">
        <f t="array" ref="M34">INDEX( ComputeThermoProps($A34, $B34, ParametersRange), 1, COLUMN()-2 )</f>
        <v>88.046963498383803</v>
      </c>
      <c r="N34" s="2" cm="1">
        <f t="array" ref="N34">INDEX( ComputeThermoProps($A34, $B34, ParametersRange), 1, COLUMN()-2 )</f>
        <v>-37.418598907243926</v>
      </c>
    </row>
    <row r="35" spans="1:14" x14ac:dyDescent="0.25">
      <c r="A35" s="2">
        <v>17.100000000000001</v>
      </c>
      <c r="B35" s="2">
        <f t="shared" si="0"/>
        <v>2.6617333259291922E-4</v>
      </c>
      <c r="C35" s="2" cm="1">
        <f t="array" ref="C35">INDEX( ComputeThermoProps($A35, $B35, ParametersRange), 1, COLUMN()-2 )</f>
        <v>13.661073722752112</v>
      </c>
      <c r="D35" s="2" cm="1">
        <f t="array" ref="D35">INDEX( ComputeThermoProps($A35, $B35, ParametersRange), 1, COLUMN()-2 )</f>
        <v>1.1465298594092485E-3</v>
      </c>
      <c r="E35" s="2" cm="1">
        <f t="array" ref="E35">INDEX( ComputeThermoProps($A35, $B35, ParametersRange), 1, COLUMN()-2 )</f>
        <v>9.9144891564917196E-4</v>
      </c>
      <c r="F35" s="2" cm="1">
        <f t="array" ref="F35">INDEX( ComputeThermoProps($A35, $B35, ParametersRange), 1, COLUMN()-2 )</f>
        <v>3.3863664942967928E-3</v>
      </c>
      <c r="G35" s="2" cm="1">
        <f t="array" ref="G35">INDEX( ComputeThermoProps($A35, $B35, ParametersRange), 1, COLUMN()-2 )</f>
        <v>17.273901031823669</v>
      </c>
      <c r="H35" s="2" cm="1">
        <f t="array" ref="H35">INDEX( ComputeThermoProps($A35, $B35, ParametersRange), 1, COLUMN()-2 )</f>
        <v>14.937413366501412</v>
      </c>
      <c r="I35" s="2" cm="1">
        <f t="array" ref="I35">INDEX( ComputeThermoProps($A35, $B35, ParametersRange), 1, COLUMN()-2 )</f>
        <v>2.7012079816537029</v>
      </c>
      <c r="J35" s="2" cm="1">
        <f t="array" ref="J35">INDEX( ComputeThermoProps($A35, $B35, ParametersRange), 1, COLUMN()-2 )</f>
        <v>104.6177952392685</v>
      </c>
      <c r="K35" s="2" cm="1">
        <f t="array" ref="K35">INDEX( ComputeThermoProps($A35, $B35, ParametersRange), 1, COLUMN()-2 )</f>
        <v>8.791094195234967</v>
      </c>
      <c r="L35" s="2" cm="1">
        <f t="array" ref="L35">INDEX( ComputeThermoProps($A35, $B35, ParametersRange), 1, COLUMN()-2 )</f>
        <v>-45.709915499249448</v>
      </c>
      <c r="M35" s="2" cm="1">
        <f t="array" ref="M35">INDEX( ComputeThermoProps($A35, $B35, ParametersRange), 1, COLUMN()-2 )</f>
        <v>104.62143145278809</v>
      </c>
      <c r="N35" s="2" cm="1">
        <f t="array" ref="N35">INDEX( ComputeThermoProps($A35, $B35, ParametersRange), 1, COLUMN()-2 )</f>
        <v>-45.706279285729863</v>
      </c>
    </row>
    <row r="36" spans="1:14" x14ac:dyDescent="0.25">
      <c r="A36" s="2">
        <v>18.100000000000001</v>
      </c>
      <c r="B36" s="2">
        <f t="shared" si="0"/>
        <v>6.2129069033045018E-4</v>
      </c>
      <c r="C36" s="2" cm="1">
        <f t="array" ref="C36">INDEX( ComputeThermoProps($A36, $B36, ParametersRange), 1, COLUMN()-2 )</f>
        <v>13.709148942601386</v>
      </c>
      <c r="D36" s="2" cm="1">
        <f t="array" ref="D36">INDEX( ComputeThermoProps($A36, $B36, ParametersRange), 1, COLUMN()-2 )</f>
        <v>1.1659562468391076E-3</v>
      </c>
      <c r="E36" s="2" cm="1">
        <f t="array" ref="E36">INDEX( ComputeThermoProps($A36, $B36, ParametersRange), 1, COLUMN()-2 )</f>
        <v>9.8975937531400209E-4</v>
      </c>
      <c r="F36" s="2" cm="1">
        <f t="array" ref="F36">INDEX( ComputeThermoProps($A36, $B36, ParametersRange), 1, COLUMN()-2 )</f>
        <v>3.638537352244568E-3</v>
      </c>
      <c r="G36" s="2" cm="1">
        <f t="array" ref="G36">INDEX( ComputeThermoProps($A36, $B36, ParametersRange), 1, COLUMN()-2 )</f>
        <v>18.644234297317965</v>
      </c>
      <c r="H36" s="2" cm="1">
        <f t="array" ref="H36">INDEX( ComputeThermoProps($A36, $B36, ParametersRange), 1, COLUMN()-2 )</f>
        <v>15.826756571138922</v>
      </c>
      <c r="I36" s="2" cm="1">
        <f t="array" ref="I36">INDEX( ComputeThermoProps($A36, $B36, ParametersRange), 1, COLUMN()-2 )</f>
        <v>2.7031064964473361</v>
      </c>
      <c r="J36" s="2" cm="1">
        <f t="array" ref="J36">INDEX( ComputeThermoProps($A36, $B36, ParametersRange), 1, COLUMN()-2 )</f>
        <v>122.57981007156143</v>
      </c>
      <c r="K36" s="2" cm="1">
        <f t="array" ref="K36">INDEX( ComputeThermoProps($A36, $B36, ParametersRange), 1, COLUMN()-2 )</f>
        <v>9.8115673621908552</v>
      </c>
      <c r="L36" s="2" cm="1">
        <f t="array" ref="L36">INDEX( ComputeThermoProps($A36, $B36, ParametersRange), 1, COLUMN()-2 )</f>
        <v>-55.009559184093071</v>
      </c>
      <c r="M36" s="2" cm="1">
        <f t="array" ref="M36">INDEX( ComputeThermoProps($A36, $B36, ParametersRange), 1, COLUMN()-2 )</f>
        <v>122.58832743817182</v>
      </c>
      <c r="N36" s="2" cm="1">
        <f t="array" ref="N36">INDEX( ComputeThermoProps($A36, $B36, ParametersRange), 1, COLUMN()-2 )</f>
        <v>-55.00104181748268</v>
      </c>
    </row>
    <row r="37" spans="1:14" x14ac:dyDescent="0.25">
      <c r="A37" s="2">
        <v>19.100000000000001</v>
      </c>
      <c r="B37" s="2">
        <f t="shared" si="0"/>
        <v>1.3509482334256285E-3</v>
      </c>
      <c r="C37" s="2" cm="1">
        <f t="array" ref="C37">INDEX( ComputeThermoProps($A37, $B37, ParametersRange), 1, COLUMN()-2 )</f>
        <v>13.760781100786531</v>
      </c>
      <c r="D37" s="2" cm="1">
        <f t="array" ref="D37">INDEX( ComputeThermoProps($A37, $B37, ParametersRange), 1, COLUMN()-2 )</f>
        <v>1.1860413269093384E-3</v>
      </c>
      <c r="E37" s="2" cm="1">
        <f t="array" ref="E37">INDEX( ComputeThermoProps($A37, $B37, ParametersRange), 1, COLUMN()-2 )</f>
        <v>9.8799031561890255E-4</v>
      </c>
      <c r="F37" s="2" cm="1">
        <f t="array" ref="F37">INDEX( ComputeThermoProps($A37, $B37, ParametersRange), 1, COLUMN()-2 )</f>
        <v>3.8797284980836254E-3</v>
      </c>
      <c r="G37" s="2" cm="1">
        <f t="array" ref="G37">INDEX( ComputeThermoProps($A37, $B37, ParametersRange), 1, COLUMN()-2 )</f>
        <v>19.975702392858569</v>
      </c>
      <c r="H37" s="2" cm="1">
        <f t="array" ref="H37">INDEX( ComputeThermoProps($A37, $B37, ParametersRange), 1, COLUMN()-2 )</f>
        <v>16.640061407690069</v>
      </c>
      <c r="I37" s="2" cm="1">
        <f t="array" ref="I37">INDEX( ComputeThermoProps($A37, $B37, ParametersRange), 1, COLUMN()-2 )</f>
        <v>2.7051395539092185</v>
      </c>
      <c r="J37" s="2" cm="1">
        <f t="array" ref="J37">INDEX( ComputeThermoProps($A37, $B37, ParametersRange), 1, COLUMN()-2 )</f>
        <v>141.89221959752626</v>
      </c>
      <c r="K37" s="2" cm="1">
        <f t="array" ref="K37">INDEX( ComputeThermoProps($A37, $B37, ParametersRange), 1, COLUMN()-2 )</f>
        <v>10.849797847015925</v>
      </c>
      <c r="L37" s="2" cm="1">
        <f t="array" ref="L37">INDEX( ComputeThermoProps($A37, $B37, ParametersRange), 1, COLUMN()-2 )</f>
        <v>-65.33891928047791</v>
      </c>
      <c r="M37" s="2" cm="1">
        <f t="array" ref="M37">INDEX( ComputeThermoProps($A37, $B37, ParametersRange), 1, COLUMN()-2 )</f>
        <v>141.91080970044493</v>
      </c>
      <c r="N37" s="2" cm="1">
        <f t="array" ref="N37">INDEX( ComputeThermoProps($A37, $B37, ParametersRange), 1, COLUMN()-2 )</f>
        <v>-65.320329177559245</v>
      </c>
    </row>
    <row r="38" spans="1:14" x14ac:dyDescent="0.25">
      <c r="A38" s="2">
        <v>20.100000000000001</v>
      </c>
      <c r="B38" s="2">
        <f t="shared" si="0"/>
        <v>2.770164685567214E-3</v>
      </c>
      <c r="C38" s="2" cm="1">
        <f t="array" ref="C38">INDEX( ComputeThermoProps($A38, $B38, ParametersRange), 1, COLUMN()-2 )</f>
        <v>13.81585353161239</v>
      </c>
      <c r="D38" s="2" cm="1">
        <f t="array" ref="D38">INDEX( ComputeThermoProps($A38, $B38, ParametersRange), 1, COLUMN()-2 )</f>
        <v>1.2067197878161422E-3</v>
      </c>
      <c r="E38" s="2" cm="1">
        <f t="array" ref="E38">INDEX( ComputeThermoProps($A38, $B38, ParametersRange), 1, COLUMN()-2 )</f>
        <v>9.8615314922359185E-4</v>
      </c>
      <c r="F38" s="2" cm="1">
        <f t="array" ref="F38">INDEX( ComputeThermoProps($A38, $B38, ParametersRange), 1, COLUMN()-2 )</f>
        <v>4.110198532674564E-3</v>
      </c>
      <c r="G38" s="2" cm="1">
        <f t="array" ref="G38">INDEX( ComputeThermoProps($A38, $B38, ParametersRange), 1, COLUMN()-2 )</f>
        <v>21.269611283031164</v>
      </c>
      <c r="H38" s="2" cm="1">
        <f t="array" ref="H38">INDEX( ComputeThermoProps($A38, $B38, ParametersRange), 1, COLUMN()-2 )</f>
        <v>17.381909504842415</v>
      </c>
      <c r="I38" s="2" cm="1">
        <f t="array" ref="I38">INDEX( ComputeThermoProps($A38, $B38, ParametersRange), 1, COLUMN()-2 )</f>
        <v>2.7073013598163898</v>
      </c>
      <c r="J38" s="2" cm="1">
        <f t="array" ref="J38">INDEX( ComputeThermoProps($A38, $B38, ParametersRange), 1, COLUMN()-2 )</f>
        <v>162.51628161251642</v>
      </c>
      <c r="K38" s="2" cm="1">
        <f t="array" ref="K38">INDEX( ComputeThermoProps($A38, $B38, ParametersRange), 1, COLUMN()-2 )</f>
        <v>11.901995784105605</v>
      </c>
      <c r="L38" s="2" cm="1">
        <f t="array" ref="L38">INDEX( ComputeThermoProps($A38, $B38, ParametersRange), 1, COLUMN()-2 )</f>
        <v>-76.713833648006243</v>
      </c>
      <c r="M38" s="2" cm="1">
        <f t="array" ref="M38">INDEX( ComputeThermoProps($A38, $B38, ParametersRange), 1, COLUMN()-2 )</f>
        <v>162.55455380207067</v>
      </c>
      <c r="N38" s="2" cm="1">
        <f t="array" ref="N38">INDEX( ComputeThermoProps($A38, $B38, ParametersRange), 1, COLUMN()-2 )</f>
        <v>-76.675561458451995</v>
      </c>
    </row>
    <row r="39" spans="1:14" x14ac:dyDescent="0.25">
      <c r="A39" s="2">
        <v>21.1</v>
      </c>
      <c r="B39" s="2">
        <f t="shared" si="0"/>
        <v>5.4123951021896833E-3</v>
      </c>
      <c r="C39" s="2" cm="1">
        <f t="array" ref="C39">INDEX( ComputeThermoProps($A39, $B39, ParametersRange), 1, COLUMN()-2 )</f>
        <v>13.874250419293462</v>
      </c>
      <c r="D39" s="2" cm="1">
        <f t="array" ref="D39">INDEX( ComputeThermoProps($A39, $B39, ParametersRange), 1, COLUMN()-2 )</f>
        <v>1.2279367962224122E-3</v>
      </c>
      <c r="E39" s="2" cm="1">
        <f t="array" ref="E39">INDEX( ComputeThermoProps($A39, $B39, ParametersRange), 1, COLUMN()-2 )</f>
        <v>9.8425825831265122E-4</v>
      </c>
      <c r="F39" s="2" cm="1">
        <f t="array" ref="F39">INDEX( ComputeThermoProps($A39, $B39, ParametersRange), 1, COLUMN()-2 )</f>
        <v>4.3303479545074974E-3</v>
      </c>
      <c r="G39" s="2" cm="1">
        <f t="array" ref="G39">INDEX( ComputeThermoProps($A39, $B39, ParametersRange), 1, COLUMN()-2 )</f>
        <v>22.527878379471275</v>
      </c>
      <c r="H39" s="2" cm="1">
        <f t="array" ref="H39">INDEX( ComputeThermoProps($A39, $B39, ParametersRange), 1, COLUMN()-2 )</f>
        <v>18.057322172827419</v>
      </c>
      <c r="I39" s="2" cm="1">
        <f t="array" ref="I39">INDEX( ComputeThermoProps($A39, $B39, ParametersRange), 1, COLUMN()-2 )</f>
        <v>2.7095861459048014</v>
      </c>
      <c r="J39" s="2" cm="1">
        <f t="array" ref="J39">INDEX( ComputeThermoProps($A39, $B39, ParametersRange), 1, COLUMN()-2 )</f>
        <v>184.4144756275652</v>
      </c>
      <c r="K39" s="2" cm="1">
        <f t="array" ref="K39">INDEX( ComputeThermoProps($A39, $B39, ParametersRange), 1, COLUMN()-2 )</f>
        <v>12.964984391835918</v>
      </c>
      <c r="L39" s="2" cm="1">
        <f t="array" ref="L39">INDEX( ComputeThermoProps($A39, $B39, ParametersRange), 1, COLUMN()-2 )</f>
        <v>-89.146695040172688</v>
      </c>
      <c r="M39" s="2" cm="1">
        <f t="array" ref="M39">INDEX( ComputeThermoProps($A39, $B39, ParametersRange), 1, COLUMN()-2 )</f>
        <v>184.48956855258112</v>
      </c>
      <c r="N39" s="2" cm="1">
        <f t="array" ref="N39">INDEX( ComputeThermoProps($A39, $B39, ParametersRange), 1, COLUMN()-2 )</f>
        <v>-89.071602115156765</v>
      </c>
    </row>
    <row r="40" spans="1:14" x14ac:dyDescent="0.25">
      <c r="A40" s="2">
        <v>22.1</v>
      </c>
      <c r="B40" s="2">
        <f t="shared" si="0"/>
        <v>1.0169380105608659E-2</v>
      </c>
      <c r="C40" s="2" cm="1">
        <f t="array" ref="C40">INDEX( ComputeThermoProps($A40, $B40, ParametersRange), 1, COLUMN()-2 )</f>
        <v>13.935855325680034</v>
      </c>
      <c r="D40" s="2" cm="1">
        <f t="array" ref="D40">INDEX( ComputeThermoProps($A40, $B40, ParametersRange), 1, COLUMN()-2 )</f>
        <v>1.2496456041675283E-3</v>
      </c>
      <c r="E40" s="2" cm="1">
        <f t="array" ref="E40">INDEX( ComputeThermoProps($A40, $B40, ParametersRange), 1, COLUMN()-2 )</f>
        <v>9.8231449206344465E-4</v>
      </c>
      <c r="F40" s="2" cm="1">
        <f t="array" ref="F40">INDEX( ComputeThermoProps($A40, $B40, ParametersRange), 1, COLUMN()-2 )</f>
        <v>4.5406590948808235E-3</v>
      </c>
      <c r="G40" s="2" cm="1">
        <f t="array" ref="G40">INDEX( ComputeThermoProps($A40, $B40, ParametersRange), 1, COLUMN()-2 )</f>
        <v>23.752766077419924</v>
      </c>
      <c r="H40" s="2" cm="1">
        <f t="array" ref="H40">INDEX( ComputeThermoProps($A40, $B40, ParametersRange), 1, COLUMN()-2 )</f>
        <v>18.671442740748901</v>
      </c>
      <c r="I40" s="2" cm="1">
        <f t="array" ref="I40">INDEX( ComputeThermoProps($A40, $B40, ParametersRange), 1, COLUMN()-2 )</f>
        <v>2.7119881223862632</v>
      </c>
      <c r="J40" s="2" cm="1">
        <f t="array" ref="J40">INDEX( ComputeThermoProps($A40, $B40, ParametersRange), 1, COLUMN()-2 )</f>
        <v>207.55064345193895</v>
      </c>
      <c r="K40" s="2" cm="1">
        <f t="array" ref="K40">INDEX( ComputeThermoProps($A40, $B40, ParametersRange), 1, COLUMN()-2 )</f>
        <v>14.036093965453274</v>
      </c>
      <c r="L40" s="2" cm="1">
        <f t="array" ref="L40">INDEX( ComputeThermoProps($A40, $B40, ParametersRange), 1, COLUMN()-2 )</f>
        <v>-102.64703318457842</v>
      </c>
      <c r="M40" s="2" cm="1">
        <f t="array" ref="M40">INDEX( ComputeThermoProps($A40, $B40, ParametersRange), 1, COLUMN()-2 )</f>
        <v>207.69236246184258</v>
      </c>
      <c r="N40" s="2" cm="1">
        <f t="array" ref="N40">INDEX( ComputeThermoProps($A40, $B40, ParametersRange), 1, COLUMN()-2 )</f>
        <v>-102.50531417467479</v>
      </c>
    </row>
    <row r="41" spans="1:14" x14ac:dyDescent="0.25">
      <c r="A41" s="2">
        <v>23.1</v>
      </c>
      <c r="B41" s="2">
        <f t="shared" si="0"/>
        <v>1.8542300916479761E-2</v>
      </c>
      <c r="C41" s="2" cm="1">
        <f t="array" ref="C41">INDEX( ComputeThermoProps($A41, $B41, ParametersRange), 1, COLUMN()-2 )</f>
        <v>14.000546771575513</v>
      </c>
      <c r="D41" s="2" cm="1">
        <f t="array" ref="D41">INDEX( ComputeThermoProps($A41, $B41, ParametersRange), 1, COLUMN()-2 )</f>
        <v>1.2718046020464739E-3</v>
      </c>
      <c r="E41" s="2" cm="1">
        <f t="array" ref="E41">INDEX( ComputeThermoProps($A41, $B41, ParametersRange), 1, COLUMN()-2 )</f>
        <v>9.8032838934097302E-4</v>
      </c>
      <c r="F41" s="2" cm="1">
        <f t="array" ref="F41">INDEX( ComputeThermoProps($A41, $B41, ParametersRange), 1, COLUMN()-2 )</f>
        <v>4.7416500866861999E-3</v>
      </c>
      <c r="G41" s="2" cm="1">
        <f t="array" ref="G41">INDEX( ComputeThermoProps($A41, $B41, ParametersRange), 1, COLUMN()-2 )</f>
        <v>24.946686093288939</v>
      </c>
      <c r="H41" s="2" cm="1">
        <f t="array" ref="H41">INDEX( ComputeThermoProps($A41, $B41, ParametersRange), 1, COLUMN()-2 )</f>
        <v>19.229325446594927</v>
      </c>
      <c r="I41" s="2" cm="1">
        <f t="array" ref="I41">INDEX( ComputeThermoProps($A41, $B41, ParametersRange), 1, COLUMN()-2 )</f>
        <v>2.7145013168134859</v>
      </c>
      <c r="J41" s="2" cm="1">
        <f t="array" ref="J41">INDEX( ComputeThermoProps($A41, $B41, ParametersRange), 1, COLUMN()-2 )</f>
        <v>231.8896191674595</v>
      </c>
      <c r="K41" s="2" cm="1">
        <f t="array" ref="K41">INDEX( ComputeThermoProps($A41, $B41, ParametersRange), 1, COLUMN()-2 )</f>
        <v>15.113057462907333</v>
      </c>
      <c r="L41" s="2" cm="1">
        <f t="array" ref="L41">INDEX( ComputeThermoProps($A41, $B41, ParametersRange), 1, COLUMN()-2 )</f>
        <v>-117.22200822569992</v>
      </c>
      <c r="M41" s="2" cm="1">
        <f t="array" ref="M41">INDEX( ComputeThermoProps($A41, $B41, ParametersRange), 1, COLUMN()-2 )</f>
        <v>232.14922151869331</v>
      </c>
      <c r="N41" s="2" cm="1">
        <f t="array" ref="N41">INDEX( ComputeThermoProps($A41, $B41, ParametersRange), 1, COLUMN()-2 )</f>
        <v>-116.96240587446611</v>
      </c>
    </row>
    <row r="42" spans="1:14" x14ac:dyDescent="0.25">
      <c r="A42" s="2">
        <v>24.1</v>
      </c>
      <c r="B42" s="2">
        <f t="shared" si="0"/>
        <v>3.3189241114309674E-2</v>
      </c>
      <c r="C42" s="2" cm="1">
        <f t="array" ref="C42">INDEX( ComputeThermoProps($A42, $B42, ParametersRange), 1, COLUMN()-2 )</f>
        <v>14.068187338324984</v>
      </c>
      <c r="D42" s="2" cm="1">
        <f t="array" ref="D42">INDEX( ComputeThermoProps($A42, $B42, ParametersRange), 1, COLUMN()-2 )</f>
        <v>1.2943727069625443E-3</v>
      </c>
      <c r="E42" s="2" cm="1">
        <f t="array" ref="E42">INDEX( ComputeThermoProps($A42, $B42, ParametersRange), 1, COLUMN()-2 )</f>
        <v>9.7830259170100342E-4</v>
      </c>
      <c r="F42" s="2" cm="1">
        <f t="array" ref="F42">INDEX( ComputeThermoProps($A42, $B42, ParametersRange), 1, COLUMN()-2 )</f>
        <v>4.9338336457884864E-3</v>
      </c>
      <c r="G42" s="2" cm="1">
        <f t="array" ref="G42">INDEX( ComputeThermoProps($A42, $B42, ParametersRange), 1, COLUMN()-2 )</f>
        <v>26.112037169051618</v>
      </c>
      <c r="H42" s="2" cm="1">
        <f t="array" ref="H42">INDEX( ComputeThermoProps($A42, $B42, ParametersRange), 1, COLUMN()-2 )</f>
        <v>19.735794411968662</v>
      </c>
      <c r="I42" s="2" cm="1">
        <f t="array" ref="I42">INDEX( ComputeThermoProps($A42, $B42, ParametersRange), 1, COLUMN()-2 )</f>
        <v>2.7171191660483878</v>
      </c>
      <c r="J42" s="2" cm="1">
        <f t="array" ref="J42">INDEX( ComputeThermoProps($A42, $B42, ParametersRange), 1, COLUMN()-2 )</f>
        <v>257.39598692228049</v>
      </c>
      <c r="K42" s="2" cm="1">
        <f t="array" ref="K42">INDEX( ComputeThermoProps($A42, $B42, ParametersRange), 1, COLUMN()-2 )</f>
        <v>16.193892662155879</v>
      </c>
      <c r="L42" s="2" cm="1">
        <f t="array" ref="L42">INDEX( ComputeThermoProps($A42, $B42, ParametersRange), 1, COLUMN()-2 )</f>
        <v>-132.87682623567622</v>
      </c>
      <c r="M42" s="2" cm="1">
        <f t="array" ref="M42">INDEX( ComputeThermoProps($A42, $B42, ParametersRange), 1, COLUMN()-2 )</f>
        <v>257.86289938389342</v>
      </c>
      <c r="N42" s="2" cm="1">
        <f t="array" ref="N42">INDEX( ComputeThermoProps($A42, $B42, ParametersRange), 1, COLUMN()-2 )</f>
        <v>-132.40991377406328</v>
      </c>
    </row>
    <row r="43" spans="1:14" x14ac:dyDescent="0.25">
      <c r="A43" s="2">
        <v>25.1</v>
      </c>
      <c r="B43" s="2">
        <f t="shared" si="0"/>
        <v>13.81116381471697</v>
      </c>
      <c r="C43" s="2" cm="1">
        <f t="array" ref="C43">INDEX( ComputeThermoProps($A43, $B43, ParametersRange), 1, COLUMN()-2 )</f>
        <v>13.891684916372521</v>
      </c>
      <c r="D43" s="2" cm="1">
        <f t="array" ref="D43">INDEX( ComputeThermoProps($A43, $B43, ParametersRange), 1, COLUMN()-2 )</f>
        <v>1.2463469508405545E-3</v>
      </c>
      <c r="E43" s="2" cm="1">
        <f t="array" ref="E43">INDEX( ComputeThermoProps($A43, $B43, ParametersRange), 1, COLUMN()-2 )</f>
        <v>9.3894475274560927E-4</v>
      </c>
      <c r="F43" s="2" cm="1">
        <f t="array" ref="F43">INDEX( ComputeThermoProps($A43, $B43, ParametersRange), 1, COLUMN()-2 )</f>
        <v>4.8126155027810001E-3</v>
      </c>
      <c r="G43" s="2" cm="1">
        <f t="array" ref="G43">INDEX( ComputeThermoProps($A43, $B43, ParametersRange), 1, COLUMN()-2 )</f>
        <v>26.271447891278545</v>
      </c>
      <c r="H43" s="2" cm="1">
        <f t="array" ref="H43">INDEX( ComputeThermoProps($A43, $B43, ParametersRange), 1, COLUMN()-2 )</f>
        <v>19.791790823501923</v>
      </c>
      <c r="I43" s="2" cm="1">
        <f t="array" ref="I43">INDEX( ComputeThermoProps($A43, $B43, ParametersRange), 1, COLUMN()-2 )</f>
        <v>2.710266781516832</v>
      </c>
      <c r="J43" s="2" cm="1">
        <f t="array" ref="J43">INDEX( ComputeThermoProps($A43, $B43, ParametersRange), 1, COLUMN()-2 )</f>
        <v>261.71514229269417</v>
      </c>
      <c r="K43" s="2" cm="1">
        <f t="array" ref="K43">INDEX( ComputeThermoProps($A43, $B43, ParametersRange), 1, COLUMN()-2 )</f>
        <v>16.320263634162441</v>
      </c>
      <c r="L43" s="2" cm="1">
        <f t="array" ref="L43">INDEX( ComputeThermoProps($A43, $B43, ParametersRange), 1, COLUMN()-2 )</f>
        <v>-147.92347492478311</v>
      </c>
      <c r="M43" s="2" cm="1">
        <f t="array" ref="M43">INDEX( ComputeThermoProps($A43, $B43, ParametersRange), 1, COLUMN()-2 )</f>
        <v>453.57547833514786</v>
      </c>
      <c r="N43" s="2" cm="1">
        <f t="array" ref="N43">INDEX( ComputeThermoProps($A43, $B43, ParametersRange), 1, COLUMN()-2 )</f>
        <v>43.936861117670581</v>
      </c>
    </row>
    <row r="44" spans="1:14" x14ac:dyDescent="0.25">
      <c r="A44" s="2">
        <v>26.1</v>
      </c>
      <c r="B44" s="2">
        <f t="shared" si="0"/>
        <v>19.464628332074657</v>
      </c>
      <c r="C44" s="2" cm="1">
        <f t="array" ref="C44">INDEX( ComputeThermoProps($A44, $B44, ParametersRange), 1, COLUMN()-2 )</f>
        <v>13.861310573474452</v>
      </c>
      <c r="D44" s="2" cm="1">
        <f t="array" ref="D44">INDEX( ComputeThermoProps($A44, $B44, ParametersRange), 1, COLUMN()-2 )</f>
        <v>1.2400120256904211E-3</v>
      </c>
      <c r="E44" s="2" cm="1">
        <f t="array" ref="E44">INDEX( ComputeThermoProps($A44, $B44, ParametersRange), 1, COLUMN()-2 )</f>
        <v>9.226356821713539E-4</v>
      </c>
      <c r="F44" s="2" cm="1">
        <f t="array" ref="F44">INDEX( ComputeThermoProps($A44, $B44, ParametersRange), 1, COLUMN()-2 )</f>
        <v>4.8649892195809924E-3</v>
      </c>
      <c r="G44" s="2" cm="1">
        <f t="array" ref="G44">INDEX( ComputeThermoProps($A44, $B44, ParametersRange), 1, COLUMN()-2 )</f>
        <v>26.979507269209556</v>
      </c>
      <c r="H44" s="2" cm="1">
        <f t="array" ref="H44">INDEX( ComputeThermoProps($A44, $B44, ParametersRange), 1, COLUMN()-2 )</f>
        <v>20.074205393382783</v>
      </c>
      <c r="I44" s="2" cm="1">
        <f t="array" ref="I44">INDEX( ComputeThermoProps($A44, $B44, ParametersRange), 1, COLUMN()-2 )</f>
        <v>2.7090805371210087</v>
      </c>
      <c r="J44" s="2" cm="1">
        <f t="array" ref="J44">INDEX( ComputeThermoProps($A44, $B44, ParametersRange), 1, COLUMN()-2 )</f>
        <v>279.12838421585343</v>
      </c>
      <c r="K44" s="2" cm="1">
        <f t="array" ref="K44">INDEX( ComputeThermoProps($A44, $B44, ParametersRange), 1, COLUMN()-2 )</f>
        <v>16.980800879631111</v>
      </c>
      <c r="L44" s="2" cm="1">
        <f t="array" ref="L44">INDEX( ComputeThermoProps($A44, $B44, ParametersRange), 1, COLUMN()-2 )</f>
        <v>-164.0705187425186</v>
      </c>
      <c r="M44" s="2" cm="1">
        <f t="array" ref="M44">INDEX( ComputeThermoProps($A44, $B44, ParametersRange), 1, COLUMN()-2 )</f>
        <v>548.93364272399026</v>
      </c>
      <c r="N44" s="2" cm="1">
        <f t="array" ref="N44">INDEX( ComputeThermoProps($A44, $B44, ParametersRange), 1, COLUMN()-2 )</f>
        <v>105.73473976561823</v>
      </c>
    </row>
    <row r="45" spans="1:14" x14ac:dyDescent="0.25">
      <c r="A45" s="2">
        <v>27.1</v>
      </c>
      <c r="B45" s="2">
        <f t="shared" si="0"/>
        <v>24.894887153870684</v>
      </c>
      <c r="C45" s="2" cm="1">
        <f t="array" ref="C45">INDEX( ComputeThermoProps($A45, $B45, ParametersRange), 1, COLUMN()-2 )</f>
        <v>13.83598849196483</v>
      </c>
      <c r="D45" s="2" cm="1">
        <f t="array" ref="D45">INDEX( ComputeThermoProps($A45, $B45, ParametersRange), 1, COLUMN()-2 )</f>
        <v>1.2347625816483525E-3</v>
      </c>
      <c r="E45" s="2" cm="1">
        <f t="array" ref="E45">INDEX( ComputeThermoProps($A45, $B45, ParametersRange), 1, COLUMN()-2 )</f>
        <v>9.0740734756847264E-4</v>
      </c>
      <c r="F45" s="2" cm="1">
        <f t="array" ref="F45">INDEX( ComputeThermoProps($A45, $B45, ParametersRange), 1, COLUMN()-2 )</f>
        <v>4.915691404224925E-3</v>
      </c>
      <c r="G45" s="2" cm="1">
        <f t="array" ref="G45">INDEX( ComputeThermoProps($A45, $B45, ParametersRange), 1, COLUMN()-2 )</f>
        <v>27.677662921751089</v>
      </c>
      <c r="H45" s="2" cm="1">
        <f t="array" ref="H45">INDEX( ComputeThermoProps($A45, $B45, ParametersRange), 1, COLUMN()-2 )</f>
        <v>20.339873488224061</v>
      </c>
      <c r="I45" s="2" cm="1">
        <f t="array" ref="I45">INDEX( ComputeThermoProps($A45, $B45, ParametersRange), 1, COLUMN()-2 )</f>
        <v>2.7080900140334427</v>
      </c>
      <c r="J45" s="2" cm="1">
        <f t="array" ref="J45">INDEX( ComputeThermoProps($A45, $B45, ParametersRange), 1, COLUMN()-2 )</f>
        <v>297.23645716604443</v>
      </c>
      <c r="K45" s="2" cm="1">
        <f t="array" ref="K45">INDEX( ComputeThermoProps($A45, $B45, ParametersRange), 1, COLUMN()-2 )</f>
        <v>17.640505871296359</v>
      </c>
      <c r="L45" s="2" cm="1">
        <f t="array" ref="L45">INDEX( ComputeThermoProps($A45, $B45, ParametersRange), 1, COLUMN()-2 )</f>
        <v>-180.8212519460869</v>
      </c>
      <c r="M45" s="2" cm="1">
        <f t="array" ref="M45">INDEX( ComputeThermoProps($A45, $B45, ParametersRange), 1, COLUMN()-2 )</f>
        <v>641.68182933576225</v>
      </c>
      <c r="N45" s="2" cm="1">
        <f t="array" ref="N45">INDEX( ComputeThermoProps($A45, $B45, ParametersRange), 1, COLUMN()-2 )</f>
        <v>163.62412022363091</v>
      </c>
    </row>
    <row r="46" spans="1:14" x14ac:dyDescent="0.25">
      <c r="A46" s="2">
        <v>28.1</v>
      </c>
      <c r="B46" s="2">
        <f t="shared" si="0"/>
        <v>30.569319726806857</v>
      </c>
      <c r="C46" s="2" cm="1">
        <f t="array" ref="C46">INDEX( ComputeThermoProps($A46, $B46, ParametersRange), 1, COLUMN()-2 )</f>
        <v>13.807622211502036</v>
      </c>
      <c r="D46" s="2" cm="1">
        <f t="array" ref="D46">INDEX( ComputeThermoProps($A46, $B46, ParametersRange), 1, COLUMN()-2 )</f>
        <v>1.2283818314742332E-3</v>
      </c>
      <c r="E46" s="2" cm="1">
        <f t="array" ref="E46">INDEX( ComputeThermoProps($A46, $B46, ParametersRange), 1, COLUMN()-2 )</f>
        <v>8.9209294417999789E-4</v>
      </c>
      <c r="F46" s="2" cm="1">
        <f t="array" ref="F46">INDEX( ComputeThermoProps($A46, $B46, ParametersRange), 1, COLUMN()-2 )</f>
        <v>4.9557712905541115E-3</v>
      </c>
      <c r="G46" s="2" cm="1">
        <f t="array" ref="G46">INDEX( ComputeThermoProps($A46, $B46, ParametersRange), 1, COLUMN()-2 )</f>
        <v>28.335782504894738</v>
      </c>
      <c r="H46" s="2" cm="1">
        <f t="array" ref="H46">INDEX( ComputeThermoProps($A46, $B46, ParametersRange), 1, COLUMN()-2 )</f>
        <v>20.578415434635858</v>
      </c>
      <c r="I46" s="2" cm="1">
        <f t="array" ref="I46">INDEX( ComputeThermoProps($A46, $B46, ParametersRange), 1, COLUMN()-2 )</f>
        <v>2.7069786873625952</v>
      </c>
      <c r="J46" s="2" cm="1">
        <f t="array" ref="J46">INDEX( ComputeThermoProps($A46, $B46, ParametersRange), 1, COLUMN()-2 )</f>
        <v>315.34577198251924</v>
      </c>
      <c r="K46" s="2" cm="1">
        <f t="array" ref="K46">INDEX( ComputeThermoProps($A46, $B46, ParametersRange), 1, COLUMN()-2 )</f>
        <v>18.268200079749299</v>
      </c>
      <c r="L46" s="2" cm="1">
        <f t="array" ref="L46">INDEX( ComputeThermoProps($A46, $B46, ParametersRange), 1, COLUMN()-2 )</f>
        <v>-197.99065025843609</v>
      </c>
      <c r="M46" s="2" cm="1">
        <f t="array" ref="M46">INDEX( ComputeThermoProps($A46, $B46, ParametersRange), 1, COLUMN()-2 )</f>
        <v>737.43539003288492</v>
      </c>
      <c r="N46" s="2" cm="1">
        <f t="array" ref="N46">INDEX( ComputeThermoProps($A46, $B46, ParametersRange), 1, COLUMN()-2 )</f>
        <v>224.0989677919296</v>
      </c>
    </row>
    <row r="47" spans="1:14" x14ac:dyDescent="0.25">
      <c r="A47" s="2">
        <v>29.1</v>
      </c>
      <c r="B47" s="2">
        <f t="shared" si="0"/>
        <v>36.545553895931427</v>
      </c>
      <c r="C47" s="2" cm="1">
        <f t="array" ref="C47">INDEX( ComputeThermoProps($A47, $B47, ParametersRange), 1, COLUMN()-2 )</f>
        <v>13.775250218420727</v>
      </c>
      <c r="D47" s="2" cm="1">
        <f t="array" ref="D47">INDEX( ComputeThermoProps($A47, $B47, ParametersRange), 1, COLUMN()-2 )</f>
        <v>1.220667087651328E-3</v>
      </c>
      <c r="E47" s="2" cm="1">
        <f t="array" ref="E47">INDEX( ComputeThermoProps($A47, $B47, ParametersRange), 1, COLUMN()-2 )</f>
        <v>8.7660268364971234E-4</v>
      </c>
      <c r="F47" s="2" cm="1">
        <f t="array" ref="F47">INDEX( ComputeThermoProps($A47, $B47, ParametersRange), 1, COLUMN()-2 )</f>
        <v>4.9849752055763519E-3</v>
      </c>
      <c r="G47" s="2" cm="1">
        <f t="array" ref="G47">INDEX( ComputeThermoProps($A47, $B47, ParametersRange), 1, COLUMN()-2 )</f>
        <v>28.952011750824216</v>
      </c>
      <c r="H47" s="2" cm="1">
        <f t="array" ref="H47">INDEX( ComputeThermoProps($A47, $B47, ParametersRange), 1, COLUMN()-2 )</f>
        <v>20.791427453543257</v>
      </c>
      <c r="I47" s="2" cm="1">
        <f t="array" ref="I47">INDEX( ComputeThermoProps($A47, $B47, ParametersRange), 1, COLUMN()-2 )</f>
        <v>2.7057081921312478</v>
      </c>
      <c r="J47" s="2" cm="1">
        <f t="array" ref="J47">INDEX( ComputeThermoProps($A47, $B47, ParametersRange), 1, COLUMN()-2 )</f>
        <v>333.3598873329808</v>
      </c>
      <c r="K47" s="2" cm="1">
        <f t="array" ref="K47">INDEX( ComputeThermoProps($A47, $B47, ParametersRange), 1, COLUMN()-2 )</f>
        <v>18.860140404861959</v>
      </c>
      <c r="L47" s="2" cm="1">
        <f t="array" ref="L47">INDEX( ComputeThermoProps($A47, $B47, ParametersRange), 1, COLUMN()-2 )</f>
        <v>-215.4701984485022</v>
      </c>
      <c r="M47" s="2" cm="1">
        <f t="array" ref="M47">INDEX( ComputeThermoProps($A47, $B47, ParametersRange), 1, COLUMN()-2 )</f>
        <v>836.78403662021663</v>
      </c>
      <c r="N47" s="2" cm="1">
        <f t="array" ref="N47">INDEX( ComputeThermoProps($A47, $B47, ParametersRange), 1, COLUMN()-2 )</f>
        <v>287.95395083873359</v>
      </c>
    </row>
    <row r="48" spans="1:14" x14ac:dyDescent="0.25">
      <c r="A48" s="2">
        <v>30.1</v>
      </c>
      <c r="B48" s="2">
        <f t="shared" si="0"/>
        <v>42.823401186547635</v>
      </c>
      <c r="C48" s="2" cm="1">
        <f t="array" ref="C48">INDEX( ComputeThermoProps($A48, $B48, ParametersRange), 1, COLUMN()-2 )</f>
        <v>13.738931024273111</v>
      </c>
      <c r="D48" s="2" cm="1">
        <f t="array" ref="D48">INDEX( ComputeThermoProps($A48, $B48, ParametersRange), 1, COLUMN()-2 )</f>
        <v>1.2116991712944997E-3</v>
      </c>
      <c r="E48" s="2" cm="1">
        <f t="array" ref="E48">INDEX( ComputeThermoProps($A48, $B48, ParametersRange), 1, COLUMN()-2 )</f>
        <v>8.6098769216102035E-4</v>
      </c>
      <c r="F48" s="2" cm="1">
        <f t="array" ref="F48">INDEX( ComputeThermoProps($A48, $B48, ParametersRange), 1, COLUMN()-2 )</f>
        <v>5.0042027382316756E-3</v>
      </c>
      <c r="G48" s="2" cm="1">
        <f t="array" ref="G48">INDEX( ComputeThermoProps($A48, $B48, ParametersRange), 1, COLUMN()-2 )</f>
        <v>29.52835477777732</v>
      </c>
      <c r="H48" s="2" cm="1">
        <f t="array" ref="H48">INDEX( ComputeThermoProps($A48, $B48, ParametersRange), 1, COLUMN()-2 )</f>
        <v>20.981734275075461</v>
      </c>
      <c r="I48" s="2" cm="1">
        <f t="array" ref="I48">INDEX( ComputeThermoProps($A48, $B48, ParametersRange), 1, COLUMN()-2 )</f>
        <v>2.7042799357933345</v>
      </c>
      <c r="J48" s="2" cm="1">
        <f t="array" ref="J48">INDEX( ComputeThermoProps($A48, $B48, ParametersRange), 1, COLUMN()-2 )</f>
        <v>351.27342460725839</v>
      </c>
      <c r="K48" s="2" cm="1">
        <f t="array" ref="K48">INDEX( ComputeThermoProps($A48, $B48, ParametersRange), 1, COLUMN()-2 )</f>
        <v>19.416691881918478</v>
      </c>
      <c r="L48" s="2" cm="1">
        <f t="array" ref="L48">INDEX( ComputeThermoProps($A48, $B48, ParametersRange), 1, COLUMN()-2 )</f>
        <v>-233.16900103848783</v>
      </c>
      <c r="M48" s="2" cm="1">
        <f t="array" ref="M48">INDEX( ComputeThermoProps($A48, $B48, ParametersRange), 1, COLUMN()-2 )</f>
        <v>939.62117973401166</v>
      </c>
      <c r="N48" s="2" cm="1">
        <f t="array" ref="N48">INDEX( ComputeThermoProps($A48, $B48, ParametersRange), 1, COLUMN()-2 )</f>
        <v>355.17875408826546</v>
      </c>
    </row>
    <row r="49" spans="1:14" x14ac:dyDescent="0.25">
      <c r="A49" s="2">
        <v>31.1</v>
      </c>
      <c r="B49" s="2">
        <f t="shared" si="0"/>
        <v>49.389975184962736</v>
      </c>
      <c r="C49" s="2" cm="1">
        <f t="array" ref="C49">INDEX( ComputeThermoProps($A49, $B49, ParametersRange), 1, COLUMN()-2 )</f>
        <v>13.698955698363099</v>
      </c>
      <c r="D49" s="2" cm="1">
        <f t="array" ref="D49">INDEX( ComputeThermoProps($A49, $B49, ParametersRange), 1, COLUMN()-2 )</f>
        <v>1.2016191613849285E-3</v>
      </c>
      <c r="E49" s="2" cm="1">
        <f t="array" ref="E49">INDEX( ComputeThermoProps($A49, $B49, ParametersRange), 1, COLUMN()-2 )</f>
        <v>8.4532196277699561E-4</v>
      </c>
      <c r="F49" s="2" cm="1">
        <f t="array" ref="F49">INDEX( ComputeThermoProps($A49, $B49, ParametersRange), 1, COLUMN()-2 )</f>
        <v>5.0145424989374585E-3</v>
      </c>
      <c r="G49" s="2" cm="1">
        <f t="array" ref="G49">INDEX( ComputeThermoProps($A49, $B49, ParametersRange), 1, COLUMN()-2 )</f>
        <v>30.067552312260389</v>
      </c>
      <c r="H49" s="2" cm="1">
        <f t="array" ref="H49">INDEX( ComputeThermoProps($A49, $B49, ParametersRange), 1, COLUMN()-2 )</f>
        <v>21.152094734579471</v>
      </c>
      <c r="I49" s="2" cm="1">
        <f t="array" ref="I49">INDEX( ComputeThermoProps($A49, $B49, ParametersRange), 1, COLUMN()-2 )</f>
        <v>2.7027044055038694</v>
      </c>
      <c r="J49" s="2" cm="1">
        <f t="array" ref="J49">INDEX( ComputeThermoProps($A49, $B49, ParametersRange), 1, COLUMN()-2 )</f>
        <v>369.10565476770648</v>
      </c>
      <c r="K49" s="2" cm="1">
        <f t="array" ref="K49">INDEX( ComputeThermoProps($A49, $B49, ParametersRange), 1, COLUMN()-2 )</f>
        <v>19.939266644493248</v>
      </c>
      <c r="L49" s="2" cm="1">
        <f t="array" ref="L49">INDEX( ComputeThermoProps($A49, $B49, ParametersRange), 1, COLUMN()-2 )</f>
        <v>-251.00553787603357</v>
      </c>
      <c r="M49" s="2" cm="1">
        <f t="array" ref="M49">INDEX( ComputeThermoProps($A49, $B49, ParametersRange), 1, COLUMN()-2 )</f>
        <v>1045.6967367697639</v>
      </c>
      <c r="N49" s="2" cm="1">
        <f t="array" ref="N49">INDEX( ComputeThermoProps($A49, $B49, ParametersRange), 1, COLUMN()-2 )</f>
        <v>425.58554412602388</v>
      </c>
    </row>
    <row r="50" spans="1:14" x14ac:dyDescent="0.25">
      <c r="A50" s="2">
        <v>32.1</v>
      </c>
      <c r="B50" s="2">
        <f t="shared" si="0"/>
        <v>56.229948618360389</v>
      </c>
      <c r="C50" s="2" cm="1">
        <f t="array" ref="C50">INDEX( ComputeThermoProps($A50, $B50, ParametersRange), 1, COLUMN()-2 )</f>
        <v>13.655665262246128</v>
      </c>
      <c r="D50" s="2" cm="1">
        <f t="array" ref="D50">INDEX( ComputeThermoProps($A50, $B50, ParametersRange), 1, COLUMN()-2 )</f>
        <v>1.1905763736372314E-3</v>
      </c>
      <c r="E50" s="2" cm="1">
        <f t="array" ref="E50">INDEX( ComputeThermoProps($A50, $B50, ParametersRange), 1, COLUMN()-2 )</f>
        <v>8.2967672828935829E-4</v>
      </c>
      <c r="F50" s="2" cm="1">
        <f t="array" ref="F50">INDEX( ComputeThermoProps($A50, $B50, ParametersRange), 1, COLUMN()-2 )</f>
        <v>5.01705525797574E-3</v>
      </c>
      <c r="G50" s="2" cm="1">
        <f t="array" ref="G50">INDEX( ComputeThermoProps($A50, $B50, ParametersRange), 1, COLUMN()-2 )</f>
        <v>30.572377139315293</v>
      </c>
      <c r="H50" s="2" cm="1">
        <f t="array" ref="H50">INDEX( ComputeThermoProps($A50, $B50, ParametersRange), 1, COLUMN()-2 )</f>
        <v>21.304966571345933</v>
      </c>
      <c r="I50" s="2" cm="1">
        <f t="array" ref="I50">INDEX( ComputeThermoProps($A50, $B50, ParametersRange), 1, COLUMN()-2 )</f>
        <v>2.7009940644888872</v>
      </c>
      <c r="J50" s="2" cm="1">
        <f t="array" ref="J50">INDEX( ComputeThermoProps($A50, $B50, ParametersRange), 1, COLUMN()-2 )</f>
        <v>386.88400720553051</v>
      </c>
      <c r="K50" s="2" cm="1">
        <f t="array" ref="K50">INDEX( ComputeThermoProps($A50, $B50, ParametersRange), 1, COLUMN()-2 )</f>
        <v>20.429578804051999</v>
      </c>
      <c r="L50" s="2" cm="1">
        <f t="array" ref="L50">INDEX( ComputeThermoProps($A50, $B50, ParametersRange), 1, COLUMN()-2 )</f>
        <v>-268.90547240453873</v>
      </c>
      <c r="M50" s="2" cm="1">
        <f t="array" ref="M50">INDEX( ComputeThermoProps($A50, $B50, ParametersRange), 1, COLUMN()-2 )</f>
        <v>1154.7413632511591</v>
      </c>
      <c r="N50" s="2" cm="1">
        <f t="array" ref="N50">INDEX( ComputeThermoProps($A50, $B50, ParametersRange), 1, COLUMN()-2 )</f>
        <v>498.95188364108986</v>
      </c>
    </row>
    <row r="51" spans="1:14" x14ac:dyDescent="0.25">
      <c r="A51" s="2">
        <v>33.1</v>
      </c>
      <c r="B51" s="2">
        <f t="shared" si="0"/>
        <v>63.328395862429993</v>
      </c>
      <c r="C51" s="2" cm="1">
        <f t="array" ref="C51">INDEX( ComputeThermoProps($A51, $B51, ParametersRange), 1, COLUMN()-2 )</f>
        <v>13.609397635543893</v>
      </c>
      <c r="D51" s="2" cm="1">
        <f t="array" ref="D51">INDEX( ComputeThermoProps($A51, $B51, ParametersRange), 1, COLUMN()-2 )</f>
        <v>1.1787132271275928E-3</v>
      </c>
      <c r="E51" s="2" cm="1">
        <f t="array" ref="E51">INDEX( ComputeThermoProps($A51, $B51, ParametersRange), 1, COLUMN()-2 )</f>
        <v>8.1411428652739155E-4</v>
      </c>
      <c r="F51" s="2" cm="1">
        <f t="array" ref="F51">INDEX( ComputeThermoProps($A51, $B51, ParametersRange), 1, COLUMN()-2 )</f>
        <v>5.01271709232874E-3</v>
      </c>
      <c r="G51" s="2" cm="1">
        <f t="array" ref="G51">INDEX( ComputeThermoProps($A51, $B51, ParametersRange), 1, COLUMN()-2 )</f>
        <v>31.045444613177761</v>
      </c>
      <c r="H51" s="2" cm="1">
        <f t="array" ref="H51">INDEX( ComputeThermoProps($A51, $B51, ParametersRange), 1, COLUMN()-2 )</f>
        <v>21.442484405451538</v>
      </c>
      <c r="I51" s="2" cm="1">
        <f t="array" ref="I51">INDEX( ComputeThermoProps($A51, $B51, ParametersRange), 1, COLUMN()-2 )</f>
        <v>2.6991612970122532</v>
      </c>
      <c r="J51" s="2" cm="1">
        <f t="array" ref="J51">INDEX( ComputeThermoProps($A51, $B51, ParametersRange), 1, COLUMN()-2 )</f>
        <v>404.63853923461323</v>
      </c>
      <c r="K51" s="2" cm="1">
        <f t="array" ref="K51">INDEX( ComputeThermoProps($A51, $B51, ParametersRange), 1, COLUMN()-2 )</f>
        <v>20.889405769272788</v>
      </c>
      <c r="L51" s="2" cm="1">
        <f t="array" ref="L51">INDEX( ComputeThermoProps($A51, $B51, ParametersRange), 1, COLUMN()-2 )</f>
        <v>-286.80079172831609</v>
      </c>
      <c r="M51" s="2" cm="1">
        <f t="array" ref="M51">INDEX( ComputeThermoProps($A51, $B51, ParametersRange), 1, COLUMN()-2 )</f>
        <v>1266.4998601475556</v>
      </c>
      <c r="N51" s="2" cm="1">
        <f t="array" ref="N51">INDEX( ComputeThermoProps($A51, $B51, ParametersRange), 1, COLUMN()-2 )</f>
        <v>575.06052918462638</v>
      </c>
    </row>
    <row r="52" spans="1:14" x14ac:dyDescent="0.25">
      <c r="A52" s="2">
        <v>34.1</v>
      </c>
      <c r="B52" s="2">
        <f t="shared" si="0"/>
        <v>70.671580782986652</v>
      </c>
      <c r="C52" s="2" cm="1">
        <f t="array" ref="C52">INDEX( ComputeThermoProps($A52, $B52, ParametersRange), 1, COLUMN()-2 )</f>
        <v>13.560471133535891</v>
      </c>
      <c r="D52" s="2" cm="1">
        <f t="array" ref="D52">INDEX( ComputeThermoProps($A52, $B52, ParametersRange), 1, COLUMN()-2 )</f>
        <v>1.1661606565716294E-3</v>
      </c>
      <c r="E52" s="2" cm="1">
        <f t="array" ref="E52">INDEX( ComputeThermoProps($A52, $B52, ParametersRange), 1, COLUMN()-2 )</f>
        <v>7.9868708394138929E-4</v>
      </c>
      <c r="F52" s="2" cm="1">
        <f t="array" ref="F52">INDEX( ComputeThermoProps($A52, $B52, ParametersRange), 1, COLUMN()-2 )</f>
        <v>5.0024074031076978E-3</v>
      </c>
      <c r="G52" s="2" cm="1">
        <f t="array" ref="G52">INDEX( ComputeThermoProps($A52, $B52, ParametersRange), 1, COLUMN()-2 )</f>
        <v>31.489166311756264</v>
      </c>
      <c r="H52" s="2" cm="1">
        <f t="array" ref="H52">INDEX( ComputeThermoProps($A52, $B52, ParametersRange), 1, COLUMN()-2 )</f>
        <v>21.566488524162661</v>
      </c>
      <c r="I52" s="2" cm="1">
        <f t="array" ref="I52">INDEX( ComputeThermoProps($A52, $B52, ParametersRange), 1, COLUMN()-2 )</f>
        <v>2.697217774739777</v>
      </c>
      <c r="J52" s="2" cm="1">
        <f t="array" ref="J52">INDEX( ComputeThermoProps($A52, $B52, ParametersRange), 1, COLUMN()-2 )</f>
        <v>422.39968202720638</v>
      </c>
      <c r="K52" s="2" cm="1">
        <f t="array" ref="K52">INDEX( ComputeThermoProps($A52, $B52, ParametersRange), 1, COLUMN()-2 )</f>
        <v>21.320498745932685</v>
      </c>
      <c r="L52" s="2" cm="1">
        <f t="array" ref="L52">INDEX( ComputeThermoProps($A52, $B52, ParametersRange), 1, COLUMN()-2 )</f>
        <v>-304.62932520909823</v>
      </c>
      <c r="M52" s="2" cm="1">
        <f t="array" ref="M52">INDEX( ComputeThermoProps($A52, $B52, ParametersRange), 1, COLUMN()-2 )</f>
        <v>1380.7396131962466</v>
      </c>
      <c r="N52" s="2" cm="1">
        <f t="array" ref="N52">INDEX( ComputeThermoProps($A52, $B52, ParametersRange), 1, COLUMN()-2 )</f>
        <v>653.71060595994209</v>
      </c>
    </row>
    <row r="53" spans="1:14" x14ac:dyDescent="0.25">
      <c r="A53" s="2">
        <v>35.1</v>
      </c>
      <c r="B53" s="2">
        <f t="shared" si="0"/>
        <v>78.247096922875286</v>
      </c>
      <c r="C53" s="2" cm="1">
        <f t="array" ref="C53">INDEX( ComputeThermoProps($A53, $B53, ParametersRange), 1, COLUMN()-2 )</f>
        <v>13.509179937934523</v>
      </c>
      <c r="D53" s="2" cm="1">
        <f t="array" ref="D53">INDEX( ComputeThermoProps($A53, $B53, ParametersRange), 1, COLUMN()-2 )</f>
        <v>1.1530370599808629E-3</v>
      </c>
      <c r="E53" s="2" cm="1">
        <f t="array" ref="E53">INDEX( ComputeThermoProps($A53, $B53, ParametersRange), 1, COLUMN()-2 )</f>
        <v>7.8343835623119614E-4</v>
      </c>
      <c r="F53" s="2" cm="1">
        <f t="array" ref="F53">INDEX( ComputeThermoProps($A53, $B53, ParametersRange), 1, COLUMN()-2 )</f>
        <v>4.9869112354036906E-3</v>
      </c>
      <c r="G53" s="2" cm="1">
        <f t="array" ref="G53">INDEX( ComputeThermoProps($A53, $B53, ParametersRange), 1, COLUMN()-2 )</f>
        <v>31.905748651076209</v>
      </c>
      <c r="H53" s="2" cm="1">
        <f t="array" ref="H53">INDEX( ComputeThermoProps($A53, $B53, ParametersRange), 1, COLUMN()-2 )</f>
        <v>21.678563634320401</v>
      </c>
      <c r="I53" s="2" cm="1">
        <f t="array" ref="I53">INDEX( ComputeThermoProps($A53, $B53, ParametersRange), 1, COLUMN()-2 )</f>
        <v>2.6951742866061119</v>
      </c>
      <c r="J53" s="2" cm="1">
        <f t="array" ref="J53">INDEX( ComputeThermoProps($A53, $B53, ParametersRange), 1, COLUMN()-2 )</f>
        <v>440.1971838080251</v>
      </c>
      <c r="K53" s="2" cm="1">
        <f t="array" ref="K53">INDEX( ComputeThermoProps($A53, $B53, ParametersRange), 1, COLUMN()-2 )</f>
        <v>21.724546095176947</v>
      </c>
      <c r="L53" s="2" cm="1">
        <f t="array" ref="L53">INDEX( ComputeThermoProps($A53, $B53, ParametersRange), 1, COLUMN()-2 )</f>
        <v>-322.33438413268578</v>
      </c>
      <c r="M53" s="2" cm="1">
        <f t="array" ref="M53">INDEX( ComputeThermoProps($A53, $B53, ParametersRange), 1, COLUMN()-2 )</f>
        <v>1497.25129576015</v>
      </c>
      <c r="N53" s="2" cm="1">
        <f t="array" ref="N53">INDEX( ComputeThermoProps($A53, $B53, ParametersRange), 1, COLUMN()-2 )</f>
        <v>734.71972781943919</v>
      </c>
    </row>
    <row r="54" spans="1:14" x14ac:dyDescent="0.25">
      <c r="A54" s="2">
        <v>36.1</v>
      </c>
      <c r="B54" s="2">
        <f t="shared" si="0"/>
        <v>86.043797153300162</v>
      </c>
      <c r="C54" s="2" cm="1">
        <f t="array" ref="C54">INDEX( ComputeThermoProps($A54, $B54, ParametersRange), 1, COLUMN()-2 )</f>
        <v>13.455793794661272</v>
      </c>
      <c r="D54" s="2" cm="1">
        <f t="array" ref="D54">INDEX( ComputeThermoProps($A54, $B54, ParametersRange), 1, COLUMN()-2 )</f>
        <v>1.1394485425125511E-3</v>
      </c>
      <c r="E54" s="2" cm="1">
        <f t="array" ref="E54">INDEX( ComputeThermoProps($A54, $B54, ParametersRange), 1, COLUMN()-2 )</f>
        <v>7.6840319124473497E-4</v>
      </c>
      <c r="F54" s="2" cm="1">
        <f t="array" ref="F54">INDEX( ComputeThermoProps($A54, $B54, ParametersRange), 1, COLUMN()-2 )</f>
        <v>4.9669262449005781E-3</v>
      </c>
      <c r="G54" s="2" cm="1">
        <f t="array" ref="G54">INDEX( ComputeThermoProps($A54, $B54, ParametersRange), 1, COLUMN()-2 )</f>
        <v>32.297205913747504</v>
      </c>
      <c r="H54" s="2" cm="1">
        <f t="array" ref="H54">INDEX( ComputeThermoProps($A54, $B54, ParametersRange), 1, COLUMN()-2 )</f>
        <v>21.780076209223417</v>
      </c>
      <c r="I54" s="2" cm="1">
        <f t="array" ref="I54">INDEX( ComputeThermoProps($A54, $B54, ParametersRange), 1, COLUMN()-2 )</f>
        <v>2.6930407308120508</v>
      </c>
      <c r="J54" s="2" cm="1">
        <f t="array" ref="J54">INDEX( ComputeThermoProps($A54, $B54, ParametersRange), 1, COLUMN()-2 )</f>
        <v>458.05956415056147</v>
      </c>
      <c r="K54" s="2" cm="1">
        <f t="array" ref="K54">INDEX( ComputeThermoProps($A54, $B54, ParametersRange), 1, COLUMN()-2 )</f>
        <v>22.103158051883138</v>
      </c>
      <c r="L54" s="2" cm="1">
        <f t="array" ref="L54">INDEX( ComputeThermoProps($A54, $B54, ParametersRange), 1, COLUMN()-2 )</f>
        <v>-339.86444152241984</v>
      </c>
      <c r="M54" s="2" cm="1">
        <f t="array" ref="M54">INDEX( ComputeThermoProps($A54, $B54, ParametersRange), 1, COLUMN()-2 )</f>
        <v>1615.847155955031</v>
      </c>
      <c r="N54" s="2" cm="1">
        <f t="array" ref="N54">INDEX( ComputeThermoProps($A54, $B54, ParametersRange), 1, COLUMN()-2 )</f>
        <v>817.92315028204962</v>
      </c>
    </row>
    <row r="55" spans="1:14" x14ac:dyDescent="0.25">
      <c r="A55" s="2">
        <v>37.1</v>
      </c>
      <c r="B55" s="2">
        <f t="shared" si="0"/>
        <v>94.051662389014894</v>
      </c>
      <c r="C55" s="2" cm="1">
        <f t="array" ref="C55">INDEX( ComputeThermoProps($A55, $B55, ParametersRange), 1, COLUMN()-2 )</f>
        <v>13.400559212340056</v>
      </c>
      <c r="D55" s="2" cm="1">
        <f t="array" ref="D55">INDEX( ComputeThermoProps($A55, $B55, ParametersRange), 1, COLUMN()-2 )</f>
        <v>1.1254896467009687E-3</v>
      </c>
      <c r="E55" s="2" cm="1">
        <f t="array" ref="E55">INDEX( ComputeThermoProps($A55, $B55, ParametersRange), 1, COLUMN()-2 )</f>
        <v>7.536096366075473E-4</v>
      </c>
      <c r="F55" s="2" cm="1">
        <f t="array" ref="F55">INDEX( ComputeThermoProps($A55, $B55, ParametersRange), 1, COLUMN()-2 )</f>
        <v>4.9430708970608266E-3</v>
      </c>
      <c r="G55" s="2" cm="1">
        <f t="array" ref="G55">INDEX( ComputeThermoProps($A55, $B55, ParametersRange), 1, COLUMN()-2 )</f>
        <v>32.665377127067906</v>
      </c>
      <c r="H55" s="2" cm="1">
        <f t="array" ref="H55">INDEX( ComputeThermoProps($A55, $B55, ParametersRange), 1, COLUMN()-2 )</f>
        <v>21.872207406381062</v>
      </c>
      <c r="I55" s="2" cm="1">
        <f t="array" ref="I55">INDEX( ComputeThermoProps($A55, $B55, ParametersRange), 1, COLUMN()-2 )</f>
        <v>2.690826163245069</v>
      </c>
      <c r="J55" s="2" cm="1">
        <f t="array" ref="J55">INDEX( ComputeThermoProps($A55, $B55, ParametersRange), 1, COLUMN()-2 )</f>
        <v>476.0138175317864</v>
      </c>
      <c r="K55" s="2" cm="1">
        <f t="array" ref="K55">INDEX( ComputeThermoProps($A55, $B55, ParametersRange), 1, COLUMN()-2 )</f>
        <v>22.457860996348234</v>
      </c>
      <c r="L55" s="2" cm="1">
        <f t="array" ref="L55">INDEX( ComputeThermoProps($A55, $B55, ParametersRange), 1, COLUMN()-2 )</f>
        <v>-357.17282543273313</v>
      </c>
      <c r="M55" s="2" cm="1">
        <f t="array" ref="M55">INDEX( ComputeThermoProps($A55, $B55, ParametersRange), 1, COLUMN()-2 )</f>
        <v>1736.3586883947967</v>
      </c>
      <c r="N55" s="2" cm="1">
        <f t="array" ref="N55">INDEX( ComputeThermoProps($A55, $B55, ParametersRange), 1, COLUMN()-2 )</f>
        <v>903.17204543027719</v>
      </c>
    </row>
    <row r="56" spans="1:14" x14ac:dyDescent="0.25">
      <c r="A56" s="2">
        <v>38.1</v>
      </c>
      <c r="B56" s="2">
        <f t="shared" si="0"/>
        <v>102.2616626143449</v>
      </c>
      <c r="C56" s="2" cm="1">
        <f t="array" ref="C56">INDEX( ComputeThermoProps($A56, $B56, ParametersRange), 1, COLUMN()-2 )</f>
        <v>13.343701136300931</v>
      </c>
      <c r="D56" s="2" cm="1">
        <f t="array" ref="D56">INDEX( ComputeThermoProps($A56, $B56, ParametersRange), 1, COLUMN()-2 )</f>
        <v>1.1112442496003252E-3</v>
      </c>
      <c r="E56" s="2" cm="1">
        <f t="array" ref="E56">INDEX( ComputeThermoProps($A56, $B56, ParametersRange), 1, COLUMN()-2 )</f>
        <v>7.3907972637241265E-4</v>
      </c>
      <c r="F56" s="2" cm="1">
        <f t="array" ref="F56">INDEX( ComputeThermoProps($A56, $B56, ParametersRange), 1, COLUMN()-2 )</f>
        <v>4.9158926197802625E-3</v>
      </c>
      <c r="G56" s="2" cm="1">
        <f t="array" ref="G56">INDEX( ComputeThermoProps($A56, $B56, ParametersRange), 1, COLUMN()-2 )</f>
        <v>33.011942974514874</v>
      </c>
      <c r="H56" s="2" cm="1">
        <f t="array" ref="H56">INDEX( ComputeThermoProps($A56, $B56, ParametersRange), 1, COLUMN()-2 )</f>
        <v>21.955981135021752</v>
      </c>
      <c r="I56" s="2" cm="1">
        <f t="array" ref="I56">INDEX( ComputeThermoProps($A56, $B56, ParametersRange), 1, COLUMN()-2 )</f>
        <v>2.6885388628367575</v>
      </c>
      <c r="J56" s="2" cm="1">
        <f t="array" ref="J56">INDEX( ComputeThermoProps($A56, $B56, ParametersRange), 1, COLUMN()-2 )</f>
        <v>494.08525345539636</v>
      </c>
      <c r="K56" s="2" cm="1">
        <f t="array" ref="K56">INDEX( ComputeThermoProps($A56, $B56, ParametersRange), 1, COLUMN()-2 )</f>
        <v>22.790096358568558</v>
      </c>
      <c r="L56" s="2" cm="1">
        <f t="array" ref="L56">INDEX( ComputeThermoProps($A56, $B56, ParametersRange), 1, COLUMN()-2 )</f>
        <v>-374.21741780606573</v>
      </c>
      <c r="M56" s="2" cm="1">
        <f t="array" ref="M56">INDEX( ComputeThermoProps($A56, $B56, ParametersRange), 1, COLUMN()-2 )</f>
        <v>1858.6343170824528</v>
      </c>
      <c r="N56" s="2" cm="1">
        <f t="array" ref="N56">INDEX( ComputeThermoProps($A56, $B56, ParametersRange), 1, COLUMN()-2 )</f>
        <v>990.33164582099062</v>
      </c>
    </row>
    <row r="57" spans="1:14" x14ac:dyDescent="0.25">
      <c r="A57" s="2">
        <v>39.1</v>
      </c>
      <c r="B57" s="2">
        <f t="shared" si="0"/>
        <v>110.66562854929161</v>
      </c>
      <c r="C57" s="2" cm="1">
        <f t="array" ref="C57">INDEX( ComputeThermoProps($A57, $B57, ParametersRange), 1, COLUMN()-2 )</f>
        <v>13.285424701755792</v>
      </c>
      <c r="D57" s="2" cm="1">
        <f t="array" ref="D57">INDEX( ComputeThermoProps($A57, $B57, ParametersRange), 1, COLUMN()-2 )</f>
        <v>1.096786494019479E-3</v>
      </c>
      <c r="E57" s="2" cm="1">
        <f t="array" ref="E57">INDEX( ComputeThermoProps($A57, $B57, ParametersRange), 1, COLUMN()-2 )</f>
        <v>7.2483039100731256E-4</v>
      </c>
      <c r="F57" s="2" cm="1">
        <f t="array" ref="F57">INDEX( ComputeThermoProps($A57, $B57, ParametersRange), 1, COLUMN()-2 )</f>
        <v>4.8858754459422098E-3</v>
      </c>
      <c r="G57" s="2" cm="1">
        <f t="array" ref="G57">INDEX( ComputeThermoProps($A57, $B57, ParametersRange), 1, COLUMN()-2 )</f>
        <v>33.338441497908235</v>
      </c>
      <c r="H57" s="2" cm="1">
        <f t="array" ref="H57">INDEX( ComputeThermoProps($A57, $B57, ParametersRange), 1, COLUMN()-2 )</f>
        <v>22.032287704368901</v>
      </c>
      <c r="I57" s="2" cm="1">
        <f t="array" ref="I57">INDEX( ComputeThermoProps($A57, $B57, ParametersRange), 1, COLUMN()-2 )</f>
        <v>2.6861863987953387</v>
      </c>
      <c r="J57" s="2" cm="1">
        <f t="array" ref="J57">INDEX( ComputeThermoProps($A57, $B57, ParametersRange), 1, COLUMN()-2 )</f>
        <v>512.29741901214197</v>
      </c>
      <c r="K57" s="2" cm="1">
        <f t="array" ref="K57">INDEX( ComputeThermoProps($A57, $B57, ParametersRange), 1, COLUMN()-2 )</f>
        <v>23.101221913540961</v>
      </c>
      <c r="L57" s="2" cm="1">
        <f t="array" ref="L57">INDEX( ComputeThermoProps($A57, $B57, ParametersRange), 1, COLUMN()-2 )</f>
        <v>-390.96035780730961</v>
      </c>
      <c r="M57" s="2" cm="1">
        <f t="array" ref="M57">INDEX( ComputeThermoProps($A57, $B57, ParametersRange), 1, COLUMN()-2 )</f>
        <v>1982.5372941762319</v>
      </c>
      <c r="N57" s="2" cm="1">
        <f t="array" ref="N57">INDEX( ComputeThermoProps($A57, $B57, ParametersRange), 1, COLUMN()-2 )</f>
        <v>1079.2795173567802</v>
      </c>
    </row>
    <row r="58" spans="1:14" x14ac:dyDescent="0.25">
      <c r="A58" s="2">
        <v>40.1</v>
      </c>
      <c r="B58" s="2">
        <f t="shared" si="0"/>
        <v>119.25613910377641</v>
      </c>
      <c r="C58" s="2" cm="1">
        <f t="array" ref="C58">INDEX( ComputeThermoProps($A58, $B58, ParametersRange), 1, COLUMN()-2 )</f>
        <v>13.225916915955633</v>
      </c>
      <c r="D58" s="2" cm="1">
        <f t="array" ref="D58">INDEX( ComputeThermoProps($A58, $B58, ParametersRange), 1, COLUMN()-2 )</f>
        <v>1.0821816956944792E-3</v>
      </c>
      <c r="E58" s="2" cm="1">
        <f t="array" ref="E58">INDEX( ComputeThermoProps($A58, $B58, ParametersRange), 1, COLUMN()-2 )</f>
        <v>7.1087424812435506E-4</v>
      </c>
      <c r="F58" s="2" cm="1">
        <f t="array" ref="F58">INDEX( ComputeThermoProps($A58, $B58, ParametersRange), 1, COLUMN()-2 )</f>
        <v>4.853446987833682E-3</v>
      </c>
      <c r="G58" s="2" cm="1">
        <f t="array" ref="G58">INDEX( ComputeThermoProps($A58, $B58, ParametersRange), 1, COLUMN()-2 )</f>
        <v>33.646282210330156</v>
      </c>
      <c r="H58" s="2" cm="1">
        <f t="array" ref="H58">INDEX( ComputeThermoProps($A58, $B58, ParametersRange), 1, COLUMN()-2 )</f>
        <v>22.101903648535654</v>
      </c>
      <c r="I58" s="2" cm="1">
        <f t="array" ref="I58">INDEX( ComputeThermoProps($A58, $B58, ParametersRange), 1, COLUMN()-2 )</f>
        <v>2.6837756941709068</v>
      </c>
      <c r="J58" s="2" cm="1">
        <f t="array" ref="J58">INDEX( ComputeThermoProps($A58, $B58, ParametersRange), 1, COLUMN()-2 )</f>
        <v>530.67207498292339</v>
      </c>
      <c r="K58" s="2" cm="1">
        <f t="array" ref="K58">INDEX( ComputeThermoProps($A58, $B58, ParametersRange), 1, COLUMN()-2 )</f>
        <v>23.392514362483933</v>
      </c>
      <c r="L58" s="2" cm="1">
        <f t="array" ref="L58">INDEX( ComputeThermoProps($A58, $B58, ParametersRange), 1, COLUMN()-2 )</f>
        <v>-407.36775095268234</v>
      </c>
      <c r="M58" s="2" cm="1">
        <f t="array" ref="M58">INDEX( ComputeThermoProps($A58, $B58, ParametersRange), 1, COLUMN()-2 )</f>
        <v>2107.9438624871177</v>
      </c>
      <c r="N58" s="2" cm="1">
        <f t="array" ref="N58">INDEX( ComputeThermoProps($A58, $B58, ParametersRange), 1, COLUMN()-2 )</f>
        <v>1169.904036551512</v>
      </c>
    </row>
    <row r="59" spans="1:14" x14ac:dyDescent="0.25">
      <c r="A59" s="2">
        <v>41.1</v>
      </c>
      <c r="B59" s="2">
        <f t="shared" si="0"/>
        <v>128.02642480325255</v>
      </c>
      <c r="C59" s="2" cm="1">
        <f t="array" ref="C59">INDEX( ComputeThermoProps($A59, $B59, ParametersRange), 1, COLUMN()-2 )</f>
        <v>13.16534821850377</v>
      </c>
      <c r="D59" s="2" cm="1">
        <f t="array" ref="D59">INDEX( ComputeThermoProps($A59, $B59, ParametersRange), 1, COLUMN()-2 )</f>
        <v>1.0674872015928657E-3</v>
      </c>
      <c r="E59" s="2" cm="1">
        <f t="array" ref="E59">INDEX( ComputeThermoProps($A59, $B59, ParametersRange), 1, COLUMN()-2 )</f>
        <v>6.9722028307608441E-4</v>
      </c>
      <c r="F59" s="2" cm="1">
        <f t="array" ref="F59">INDEX( ComputeThermoProps($A59, $B59, ParametersRange), 1, COLUMN()-2 )</f>
        <v>4.818984724272877E-3</v>
      </c>
      <c r="G59" s="2" cm="1">
        <f t="array" ref="G59">INDEX( ComputeThermoProps($A59, $B59, ParametersRange), 1, COLUMN()-2 )</f>
        <v>33.936758653407772</v>
      </c>
      <c r="H59" s="2" cm="1">
        <f t="array" ref="H59">INDEX( ComputeThermoProps($A59, $B59, ParametersRange), 1, COLUMN()-2 )</f>
        <v>22.16550834493102</v>
      </c>
      <c r="I59" s="2" cm="1">
        <f t="array" ref="I59">INDEX( ComputeThermoProps($A59, $B59, ParametersRange), 1, COLUMN()-2 )</f>
        <v>2.6813130840226962</v>
      </c>
      <c r="J59" s="2" cm="1">
        <f t="array" ref="J59">INDEX( ComputeThermoProps($A59, $B59, ParametersRange), 1, COLUMN()-2 )</f>
        <v>549.22920844537293</v>
      </c>
      <c r="K59" s="2" cm="1">
        <f t="array" ref="K59">INDEX( ComputeThermoProps($A59, $B59, ParametersRange), 1, COLUMN()-2 )</f>
        <v>23.665172614241929</v>
      </c>
      <c r="L59" s="2" cm="1">
        <f t="array" ref="L59">INDEX( ComputeThermoProps($A59, $B59, ParametersRange), 1, COLUMN()-2 )</f>
        <v>-423.40938599997037</v>
      </c>
      <c r="M59" s="2" cm="1">
        <f t="array" ref="M59">INDEX( ComputeThermoProps($A59, $B59, ParametersRange), 1, COLUMN()-2 )</f>
        <v>2234.7416721502809</v>
      </c>
      <c r="N59" s="2" cm="1">
        <f t="array" ref="N59">INDEX( ComputeThermoProps($A59, $B59, ParametersRange), 1, COLUMN()-2 )</f>
        <v>1262.1030777049377</v>
      </c>
    </row>
    <row r="60" spans="1:14" x14ac:dyDescent="0.25">
      <c r="A60" s="2">
        <v>42.1</v>
      </c>
      <c r="B60" s="2">
        <f t="shared" si="0"/>
        <v>136.97028563658151</v>
      </c>
      <c r="C60" s="2" cm="1">
        <f t="array" ref="C60">INDEX( ComputeThermoProps($A60, $B60, ParametersRange), 1, COLUMN()-2 )</f>
        <v>13.10387390919516</v>
      </c>
      <c r="D60" s="2" cm="1">
        <f t="array" ref="D60">INDEX( ComputeThermoProps($A60, $B60, ParametersRange), 1, COLUMN()-2 )</f>
        <v>1.0527531888705668E-3</v>
      </c>
      <c r="E60" s="2" cm="1">
        <f t="array" ref="E60">INDEX( ComputeThermoProps($A60, $B60, ParametersRange), 1, COLUMN()-2 )</f>
        <v>6.8387443196757272E-4</v>
      </c>
      <c r="F60" s="2" cm="1">
        <f t="array" ref="F60">INDEX( ComputeThermoProps($A60, $B60, ParametersRange), 1, COLUMN()-2 )</f>
        <v>4.7828216269231788E-3</v>
      </c>
      <c r="G60" s="2" cm="1">
        <f t="array" ref="G60">INDEX( ComputeThermoProps($A60, $B60, ParametersRange), 1, COLUMN()-2 )</f>
        <v>34.211059507264153</v>
      </c>
      <c r="H60" s="2" cm="1">
        <f t="array" ref="H60">INDEX( ComputeThermoProps($A60, $B60, ParametersRange), 1, COLUMN()-2 )</f>
        <v>22.223697952071067</v>
      </c>
      <c r="I60" s="2" cm="1">
        <f t="array" ref="I60">INDEX( ComputeThermoProps($A60, $B60, ParametersRange), 1, COLUMN()-2 )</f>
        <v>2.6788043679745406</v>
      </c>
      <c r="J60" s="2" cm="1">
        <f t="array" ref="J60">INDEX( ComputeThermoProps($A60, $B60, ParametersRange), 1, COLUMN()-2 )</f>
        <v>567.98707091478934</v>
      </c>
      <c r="K60" s="2" cm="1">
        <f t="array" ref="K60">INDEX( ComputeThermoProps($A60, $B60, ParametersRange), 1, COLUMN()-2 )</f>
        <v>23.920321435326308</v>
      </c>
      <c r="L60" s="2" cm="1">
        <f t="array" ref="L60">INDEX( ComputeThermoProps($A60, $B60, ParametersRange), 1, COLUMN()-2 )</f>
        <v>-439.05846151244828</v>
      </c>
      <c r="M60" s="2" cm="1">
        <f t="array" ref="M60">INDEX( ComputeThermoProps($A60, $B60, ParametersRange), 1, COLUMN()-2 )</f>
        <v>2362.8284232029982</v>
      </c>
      <c r="N60" s="2" cm="1">
        <f t="array" ref="N60">INDEX( ComputeThermoProps($A60, $B60, ParametersRange), 1, COLUMN()-2 )</f>
        <v>1355.7828907757607</v>
      </c>
    </row>
    <row r="61" spans="1:14" x14ac:dyDescent="0.25">
      <c r="A61" s="2">
        <v>43.1</v>
      </c>
      <c r="B61" s="2">
        <f t="shared" si="0"/>
        <v>146.0820213313919</v>
      </c>
      <c r="C61" s="2" cm="1">
        <f t="array" ref="C61">INDEX( ComputeThermoProps($A61, $B61, ParametersRange), 1, COLUMN()-2 )</f>
        <v>13.041635448361355</v>
      </c>
      <c r="D61" s="2" cm="1">
        <f t="array" ref="D61">INDEX( ComputeThermoProps($A61, $B61, ParametersRange), 1, COLUMN()-2 )</f>
        <v>1.0380234015892771E-3</v>
      </c>
      <c r="E61" s="2" cm="1">
        <f t="array" ref="E61">INDEX( ComputeThermoProps($A61, $B61, ParametersRange), 1, COLUMN()-2 )</f>
        <v>6.7084007982302451E-4</v>
      </c>
      <c r="F61" s="2" cm="1">
        <f t="array" ref="F61">INDEX( ComputeThermoProps($A61, $B61, ParametersRange), 1, COLUMN()-2 )</f>
        <v>4.7452511788636988E-3</v>
      </c>
      <c r="G61" s="2" cm="1">
        <f t="array" ref="G61">INDEX( ComputeThermoProps($A61, $B61, ParametersRange), 1, COLUMN()-2 )</f>
        <v>34.470278437117692</v>
      </c>
      <c r="H61" s="2" cm="1">
        <f t="array" ref="H61">INDEX( ComputeThermoProps($A61, $B61, ParametersRange), 1, COLUMN()-2 )</f>
        <v>22.276997130193397</v>
      </c>
      <c r="I61" s="2" cm="1">
        <f t="array" ref="I61">INDEX( ComputeThermoProps($A61, $B61, ParametersRange), 1, COLUMN()-2 )</f>
        <v>2.6762548575123541</v>
      </c>
      <c r="J61" s="2" cm="1">
        <f t="array" ref="J61">INDEX( ComputeThermoProps($A61, $B61, ParametersRange), 1, COLUMN()-2 )</f>
        <v>586.96223444488464</v>
      </c>
      <c r="K61" s="2" cm="1">
        <f t="array" ref="K61">INDEX( ComputeThermoProps($A61, $B61, ParametersRange), 1, COLUMN()-2 )</f>
        <v>24.159015269878704</v>
      </c>
      <c r="L61" s="2" cm="1">
        <f t="array" ref="L61">INDEX( ComputeThermoProps($A61, $B61, ParametersRange), 1, COLUMN()-2 )</f>
        <v>-454.29132368688755</v>
      </c>
      <c r="M61" s="2" cm="1">
        <f t="array" ref="M61">INDEX( ComputeThermoProps($A61, $B61, ParametersRange), 1, COLUMN()-2 )</f>
        <v>2492.1107022086449</v>
      </c>
      <c r="N61" s="2" cm="1">
        <f t="array" ref="N61">INDEX( ComputeThermoProps($A61, $B61, ParametersRange), 1, COLUMN()-2 )</f>
        <v>1450.8571440768726</v>
      </c>
    </row>
    <row r="62" spans="1:14" x14ac:dyDescent="0.25">
      <c r="A62" s="2">
        <v>44.1</v>
      </c>
      <c r="B62" s="2">
        <f t="shared" si="0"/>
        <v>155.35637211373628</v>
      </c>
      <c r="C62" s="2" cm="1">
        <f t="array" ref="C62">INDEX( ComputeThermoProps($A62, $B62, ParametersRange), 1, COLUMN()-2 )</f>
        <v>12.978761639996421</v>
      </c>
      <c r="D62" s="2" cm="1">
        <f t="array" ref="D62">INDEX( ComputeThermoProps($A62, $B62, ParametersRange), 1, COLUMN()-2 )</f>
        <v>1.0233358258955234E-3</v>
      </c>
      <c r="E62" s="2" cm="1">
        <f t="array" ref="E62">INDEX( ComputeThermoProps($A62, $B62, ParametersRange), 1, COLUMN()-2 )</f>
        <v>6.5811848564659961E-4</v>
      </c>
      <c r="F62" s="2" cm="1">
        <f t="array" ref="F62">INDEX( ComputeThermoProps($A62, $B62, ParametersRange), 1, COLUMN()-2 )</f>
        <v>4.7065318451080191E-3</v>
      </c>
      <c r="G62" s="2" cm="1">
        <f t="array" ref="G62">INDEX( ComputeThermoProps($A62, $B62, ParametersRange), 1, COLUMN()-2 )</f>
        <v>34.715422865458514</v>
      </c>
      <c r="H62" s="2" cm="1">
        <f t="array" ref="H62">INDEX( ComputeThermoProps($A62, $B62, ParametersRange), 1, COLUMN()-2 )</f>
        <v>22.325868934377976</v>
      </c>
      <c r="I62" s="2" cm="1">
        <f t="array" ref="I62">INDEX( ComputeThermoProps($A62, $B62, ParametersRange), 1, COLUMN()-2 )</f>
        <v>2.6736694185505887</v>
      </c>
      <c r="J62" s="2" cm="1">
        <f t="array" ref="J62">INDEX( ComputeThermoProps($A62, $B62, ParametersRange), 1, COLUMN()-2 )</f>
        <v>606.16966018626135</v>
      </c>
      <c r="K62" s="2" cm="1">
        <f t="array" ref="K62">INDEX( ComputeThermoProps($A62, $B62, ParametersRange), 1, COLUMN()-2 )</f>
        <v>24.382242104852178</v>
      </c>
      <c r="L62" s="2" cm="1">
        <f t="array" ref="L62">INDEX( ComputeThermoProps($A62, $B62, ParametersRange), 1, COLUMN()-2 )</f>
        <v>-469.08721663771973</v>
      </c>
      <c r="M62" s="2" cm="1">
        <f t="array" ref="M62">INDEX( ComputeThermoProps($A62, $B62, ParametersRange), 1, COLUMN()-2 )</f>
        <v>2622.5029831050315</v>
      </c>
      <c r="N62" s="2" cm="1">
        <f t="array" ref="N62">INDEX( ComputeThermoProps($A62, $B62, ParametersRange), 1, COLUMN()-2 )</f>
        <v>1547.2461062810503</v>
      </c>
    </row>
    <row r="63" spans="1:14" x14ac:dyDescent="0.25">
      <c r="A63" s="2">
        <v>45.1</v>
      </c>
      <c r="B63" s="2">
        <f t="shared" si="0"/>
        <v>164.78846823158216</v>
      </c>
      <c r="C63" s="2" cm="1">
        <f t="array" ref="C63">INDEX( ComputeThermoProps($A63, $B63, ParametersRange), 1, COLUMN()-2 )</f>
        <v>12.915369708986495</v>
      </c>
      <c r="D63" s="2" cm="1">
        <f t="array" ref="D63">INDEX( ComputeThermoProps($A63, $B63, ParametersRange), 1, COLUMN()-2 )</f>
        <v>1.0087233049130217E-3</v>
      </c>
      <c r="E63" s="2" cm="1">
        <f t="array" ref="E63">INDEX( ComputeThermoProps($A63, $B63, ParametersRange), 1, COLUMN()-2 )</f>
        <v>6.457091447641648E-4</v>
      </c>
      <c r="F63" s="2" cm="1">
        <f t="array" ref="F63">INDEX( ComputeThermoProps($A63, $B63, ParametersRange), 1, COLUMN()-2 )</f>
        <v>4.6668910381497892E-3</v>
      </c>
      <c r="G63" s="2" cm="1">
        <f t="array" ref="G63">INDEX( ComputeThermoProps($A63, $B63, ParametersRange), 1, COLUMN()-2 )</f>
        <v>34.947421725365743</v>
      </c>
      <c r="H63" s="2" cm="1">
        <f t="array" ref="H63">INDEX( ComputeThermoProps($A63, $B63, ParametersRange), 1, COLUMN()-2 )</f>
        <v>22.37072315479444</v>
      </c>
      <c r="I63" s="2" cm="1">
        <f t="array" ref="I63">INDEX( ComputeThermoProps($A63, $B63, ParametersRange), 1, COLUMN()-2 )</f>
        <v>2.6710525098080034</v>
      </c>
      <c r="J63" s="2" cm="1">
        <f t="array" ref="J63">INDEX( ComputeThermoProps($A63, $B63, ParametersRange), 1, COLUMN()-2 )</f>
        <v>625.62277527214064</v>
      </c>
      <c r="K63" s="2" cm="1">
        <f t="array" ref="K63">INDEX( ComputeThermoProps($A63, $B63, ParametersRange), 1, COLUMN()-2 )</f>
        <v>24.590927299566843</v>
      </c>
      <c r="L63" s="2" cm="1">
        <f t="array" ref="L63">INDEX( ComputeThermoProps($A63, $B63, ParametersRange), 1, COLUMN()-2 )</f>
        <v>-483.42804593832403</v>
      </c>
      <c r="M63" s="2" cm="1">
        <f t="array" ref="M63">INDEX( ComputeThermoProps($A63, $B63, ParametersRange), 1, COLUMN()-2 )</f>
        <v>2753.9267662606003</v>
      </c>
      <c r="N63" s="2" cm="1">
        <f t="array" ref="N63">INDEX( ComputeThermoProps($A63, $B63, ParametersRange), 1, COLUMN()-2 )</f>
        <v>1644.8759450501357</v>
      </c>
    </row>
    <row r="64" spans="1:14" x14ac:dyDescent="0.25">
      <c r="A64" s="2">
        <v>46.1</v>
      </c>
      <c r="B64" s="2">
        <f t="shared" si="0"/>
        <v>174.37378678181665</v>
      </c>
      <c r="C64" s="2" cm="1">
        <f t="array" ref="C64">INDEX( ComputeThermoProps($A64, $B64, ParametersRange), 1, COLUMN()-2 )</f>
        <v>12.85156628317424</v>
      </c>
      <c r="D64" s="2" cm="1">
        <f t="array" ref="D64">INDEX( ComputeThermoProps($A64, $B64, ParametersRange), 1, COLUMN()-2 )</f>
        <v>9.9421409788585696E-4</v>
      </c>
      <c r="E64" s="2" cm="1">
        <f t="array" ref="E64">INDEX( ComputeThermoProps($A64, $B64, ParametersRange), 1, COLUMN()-2 )</f>
        <v>6.3361009746279863E-4</v>
      </c>
      <c r="F64" s="2" cm="1">
        <f t="array" ref="F64">INDEX( ComputeThermoProps($A64, $B64, ParametersRange), 1, COLUMN()-2 )</f>
        <v>4.6265286489815529E-3</v>
      </c>
      <c r="G64" s="2" cm="1">
        <f t="array" ref="G64">INDEX( ComputeThermoProps($A64, $B64, ParametersRange), 1, COLUMN()-2 )</f>
        <v>35.167132452688186</v>
      </c>
      <c r="H64" s="2" cm="1">
        <f t="array" ref="H64">INDEX( ComputeThermoProps($A64, $B64, ParametersRange), 1, COLUMN()-2 )</f>
        <v>22.41192341590903</v>
      </c>
      <c r="I64" s="2" cm="1">
        <f t="array" ref="I64">INDEX( ComputeThermoProps($A64, $B64, ParametersRange), 1, COLUMN()-2 )</f>
        <v>2.6684082174876105</v>
      </c>
      <c r="J64" s="2" cm="1">
        <f t="array" ref="J64">INDEX( ComputeThermoProps($A64, $B64, ParametersRange), 1, COLUMN()-2 )</f>
        <v>645.33355487173071</v>
      </c>
      <c r="K64" s="2" cm="1">
        <f t="array" ref="K64">INDEX( ComputeThermoProps($A64, $B64, ParametersRange), 1, COLUMN()-2 )</f>
        <v>24.785937326315704</v>
      </c>
      <c r="L64" s="2" cm="1">
        <f t="array" ref="L64">INDEX( ComputeThermoProps($A64, $B64, ParametersRange), 1, COLUMN()-2 )</f>
        <v>-497.29815587142326</v>
      </c>
      <c r="M64" s="2" cm="1">
        <f t="array" ref="M64">INDEX( ComputeThermoProps($A64, $B64, ParametersRange), 1, COLUMN()-2 )</f>
        <v>2886.3098337463393</v>
      </c>
      <c r="N64" s="2" cm="1">
        <f t="array" ref="N64">INDEX( ComputeThermoProps($A64, $B64, ParametersRange), 1, COLUMN()-2 )</f>
        <v>1743.6781230031854</v>
      </c>
    </row>
    <row r="65" spans="1:14" x14ac:dyDescent="0.25">
      <c r="A65" s="2">
        <v>47.1</v>
      </c>
      <c r="B65" s="2">
        <f t="shared" si="0"/>
        <v>184.1081146259485</v>
      </c>
      <c r="C65" s="2" cm="1">
        <f t="array" ref="C65">INDEX( ComputeThermoProps($A65, $B65, ParametersRange), 1, COLUMN()-2 )</f>
        <v>12.78744828987527</v>
      </c>
      <c r="D65" s="2" cm="1">
        <f t="array" ref="D65">INDEX( ComputeThermoProps($A65, $B65, ParametersRange), 1, COLUMN()-2 )</f>
        <v>9.7983238609598107E-4</v>
      </c>
      <c r="E65" s="2" cm="1">
        <f t="array" ref="E65">INDEX( ComputeThermoProps($A65, $B65, ParametersRange), 1, COLUMN()-2 )</f>
        <v>6.2181819168507732E-4</v>
      </c>
      <c r="F65" s="2" cm="1">
        <f t="array" ref="F65">INDEX( ComputeThermoProps($A65, $B65, ParametersRange), 1, COLUMN()-2 )</f>
        <v>4.5856201778859554E-3</v>
      </c>
      <c r="G65" s="2" cm="1">
        <f t="array" ref="G65">INDEX( ComputeThermoProps($A65, $B65, ParametersRange), 1, COLUMN()-2 )</f>
        <v>35.375347226656153</v>
      </c>
      <c r="H65" s="2" cm="1">
        <f t="array" ref="H65">INDEX( ComputeThermoProps($A65, $B65, ParametersRange), 1, COLUMN()-2 )</f>
        <v>22.449793204280031</v>
      </c>
      <c r="I65" s="2" cm="1">
        <f t="array" ref="I65">INDEX( ComputeThermoProps($A65, $B65, ParametersRange), 1, COLUMN()-2 )</f>
        <v>2.6657402866937709</v>
      </c>
      <c r="J65" s="2" cm="1">
        <f t="array" ref="J65">INDEX( ComputeThermoProps($A65, $B65, ParametersRange), 1, COLUMN()-2 )</f>
        <v>665.31260697454093</v>
      </c>
      <c r="K65" s="2" cm="1">
        <f t="array" ref="K65">INDEX( ComputeThermoProps($A65, $B65, ParametersRange), 1, COLUMN()-2 )</f>
        <v>24.968083386844039</v>
      </c>
      <c r="L65" s="2" cm="1">
        <f t="array" ref="L65">INDEX( ComputeThermoProps($A65, $B65, ParametersRange), 1, COLUMN()-2 )</f>
        <v>-510.68412054581336</v>
      </c>
      <c r="M65" s="2" cm="1">
        <f t="array" ref="M65">INDEX( ComputeThermoProps($A65, $B65, ParametersRange), 1, COLUMN()-2 )</f>
        <v>3019.5856025002863</v>
      </c>
      <c r="N65" s="2" cm="1">
        <f t="array" ref="N65">INDEX( ComputeThermoProps($A65, $B65, ParametersRange), 1, COLUMN()-2 )</f>
        <v>1843.5888749799319</v>
      </c>
    </row>
    <row r="66" spans="1:14" x14ac:dyDescent="0.25">
      <c r="A66" s="2">
        <v>48.1</v>
      </c>
      <c r="B66" s="2">
        <f t="shared" si="0"/>
        <v>193.98751639330558</v>
      </c>
      <c r="C66" s="2" cm="1">
        <f t="array" ref="C66">INDEX( ComputeThermoProps($A66, $B66, ParametersRange), 1, COLUMN()-2 )</f>
        <v>12.72310377528609</v>
      </c>
      <c r="D66" s="2" cm="1">
        <f t="array" ref="D66">INDEX( ComputeThermoProps($A66, $B66, ParametersRange), 1, COLUMN()-2 )</f>
        <v>9.6559872954757667E-4</v>
      </c>
      <c r="E66" s="2" cm="1">
        <f t="array" ref="E66">INDEX( ComputeThermoProps($A66, $B66, ParametersRange), 1, COLUMN()-2 )</f>
        <v>6.10329306415089E-4</v>
      </c>
      <c r="F66" s="2" cm="1">
        <f t="array" ref="F66">INDEX( ComputeThermoProps($A66, $B66, ParametersRange), 1, COLUMN()-2 )</f>
        <v>4.5443195116669638E-3</v>
      </c>
      <c r="G66" s="2" cm="1">
        <f t="array" ref="G66">INDEX( ComputeThermoProps($A66, $B66, ParametersRange), 1, COLUMN()-2 )</f>
        <v>35.57279857235126</v>
      </c>
      <c r="H66" s="2" cm="1">
        <f t="array" ref="H66">INDEX( ComputeThermoProps($A66, $B66, ParametersRange), 1, COLUMN()-2 )</f>
        <v>22.484621008231215</v>
      </c>
      <c r="I66" s="2" cm="1">
        <f t="array" ref="I66">INDEX( ComputeThermoProps($A66, $B66, ParametersRange), 1, COLUMN()-2 )</f>
        <v>2.6630521499548232</v>
      </c>
      <c r="J66" s="2" cm="1">
        <f t="array" ref="J66">INDEX( ComputeThermoProps($A66, $B66, ParametersRange), 1, COLUMN()-2 )</f>
        <v>685.56925802344392</v>
      </c>
      <c r="K66" s="2" cm="1">
        <f t="array" ref="K66">INDEX( ComputeThermoProps($A66, $B66, ParametersRange), 1, COLUMN()-2 )</f>
        <v>25.13812488156703</v>
      </c>
      <c r="L66" s="2" cm="1">
        <f t="array" ref="L66">INDEX( ComputeThermoProps($A66, $B66, ParametersRange), 1, COLUMN()-2 )</f>
        <v>-523.5745487799303</v>
      </c>
      <c r="M66" s="2" cm="1">
        <f t="array" ref="M66">INDEX( ComputeThermoProps($A66, $B66, ParametersRange), 1, COLUMN()-2 )</f>
        <v>3153.6925602054826</v>
      </c>
      <c r="N66" s="2" cm="1">
        <f t="array" ref="N66">INDEX( ComputeThermoProps($A66, $B66, ParametersRange), 1, COLUMN()-2 )</f>
        <v>1944.5487534021083</v>
      </c>
    </row>
    <row r="67" spans="1:14" x14ac:dyDescent="0.25">
      <c r="A67" s="2">
        <v>49.1</v>
      </c>
      <c r="B67" s="2">
        <f t="shared" si="0"/>
        <v>204.00830674947045</v>
      </c>
      <c r="C67" s="2" cm="1">
        <f t="array" ref="C67">INDEX( ComputeThermoProps($A67, $B67, ParametersRange), 1, COLUMN()-2 )</f>
        <v>12.658612654152003</v>
      </c>
      <c r="D67" s="2" cm="1">
        <f t="array" ref="D67">INDEX( ComputeThermoProps($A67, $B67, ParametersRange), 1, COLUMN()-2 )</f>
        <v>9.5153047881986919E-4</v>
      </c>
      <c r="E67" s="2" cm="1">
        <f t="array" ref="E67">INDEX( ComputeThermoProps($A67, $B67, ParametersRange), 1, COLUMN()-2 )</f>
        <v>5.9913854149597819E-4</v>
      </c>
      <c r="F67" s="2" cm="1">
        <f t="array" ref="F67">INDEX( ComputeThermoProps($A67, $B67, ParametersRange), 1, COLUMN()-2 )</f>
        <v>4.5027613931016295E-3</v>
      </c>
      <c r="G67" s="2" cm="1">
        <f t="array" ref="G67">INDEX( ComputeThermoProps($A67, $B67, ParametersRange), 1, COLUMN()-2 )</f>
        <v>35.760164450905727</v>
      </c>
      <c r="H67" s="2" cm="1">
        <f t="array" ref="H67">INDEX( ComputeThermoProps($A67, $B67, ParametersRange), 1, COLUMN()-2 )</f>
        <v>22.516664730849815</v>
      </c>
      <c r="I67" s="2" cm="1">
        <f t="array" ref="I67">INDEX( ComputeThermoProps($A67, $B67, ParametersRange), 1, COLUMN()-2 )</f>
        <v>2.6603469531944675</v>
      </c>
      <c r="J67" s="2" cm="1">
        <f t="array" ref="J67">INDEX( ComputeThermoProps($A67, $B67, ParametersRange), 1, COLUMN()-2 )</f>
        <v>706.11163797579559</v>
      </c>
      <c r="K67" s="2" cm="1">
        <f t="array" ref="K67">INDEX( ComputeThermoProps($A67, $B67, ParametersRange), 1, COLUMN()-2 )</f>
        <v>25.29677272043471</v>
      </c>
      <c r="L67" s="2" cm="1">
        <f t="array" ref="L67">INDEX( ComputeThermoProps($A67, $B67, ParametersRange), 1, COLUMN()-2 )</f>
        <v>-535.95990259754865</v>
      </c>
      <c r="M67" s="2" cm="1">
        <f t="array" ref="M67">INDEX( ComputeThermoProps($A67, $B67, ParametersRange), 1, COLUMN()-2 )</f>
        <v>3288.5737713467656</v>
      </c>
      <c r="N67" s="2" cm="1">
        <f t="array" ref="N67">INDEX( ComputeThermoProps($A67, $B67, ParametersRange), 1, COLUMN()-2 )</f>
        <v>2046.5022307734214</v>
      </c>
    </row>
    <row r="68" spans="1:14" x14ac:dyDescent="0.25">
      <c r="A68" s="2">
        <v>50.1</v>
      </c>
      <c r="B68" s="2">
        <f t="shared" si="0"/>
        <v>214.16702625478231</v>
      </c>
      <c r="C68" s="2" cm="1">
        <f t="array" ref="C68">INDEX( ComputeThermoProps($A68, $B68, ParametersRange), 1, COLUMN()-2 )</f>
        <v>12.594047396146328</v>
      </c>
      <c r="D68" s="2" cm="1">
        <f t="array" ref="D68">INDEX( ComputeThermoProps($A68, $B68, ParametersRange), 1, COLUMN()-2 )</f>
        <v>9.3764214436624859E-4</v>
      </c>
      <c r="E68" s="2" cm="1">
        <f t="array" ref="E68">INDEX( ComputeThermoProps($A68, $B68, ParametersRange), 1, COLUMN()-2 )</f>
        <v>5.8824037857397107E-4</v>
      </c>
      <c r="F68" s="2" cm="1">
        <f t="array" ref="F68">INDEX( ComputeThermoProps($A68, $B68, ParametersRange), 1, COLUMN()-2 )</f>
        <v>4.4610636026909539E-3</v>
      </c>
      <c r="G68" s="2" cm="1">
        <f t="array" ref="G68">INDEX( ComputeThermoProps($A68, $B68, ParametersRange), 1, COLUMN()-2 )</f>
        <v>35.938072797775128</v>
      </c>
      <c r="H68" s="2" cm="1">
        <f t="array" ref="H68">INDEX( ComputeThermoProps($A68, $B68, ParametersRange), 1, COLUMN()-2 )</f>
        <v>22.546155454723969</v>
      </c>
      <c r="I68" s="2" cm="1">
        <f t="array" ref="I68">INDEX( ComputeThermoProps($A68, $B68, ParametersRange), 1, COLUMN()-2 )</f>
        <v>2.657627579352261</v>
      </c>
      <c r="J68" s="2" cm="1">
        <f t="array" ref="J68">INDEX( ComputeThermoProps($A68, $B68, ParametersRange), 1, COLUMN()-2 )</f>
        <v>726.94676364650627</v>
      </c>
      <c r="K68" s="2" cm="1">
        <f t="array" ref="K68">INDEX( ComputeThermoProps($A68, $B68, ParametersRange), 1, COLUMN()-2 )</f>
        <v>25.444692459777862</v>
      </c>
      <c r="L68" s="2" cm="1">
        <f t="array" ref="L68">INDEX( ComputeThermoProps($A68, $B68, ParametersRange), 1, COLUMN()-2 )</f>
        <v>-547.83232858836459</v>
      </c>
      <c r="M68" s="2" cm="1">
        <f t="array" ref="M68">INDEX( ComputeThermoProps($A68, $B68, ParametersRange), 1, COLUMN()-2 )</f>
        <v>3424.1764429909499</v>
      </c>
      <c r="N68" s="2" cm="1">
        <f t="array" ref="N68">INDEX( ComputeThermoProps($A68, $B68, ParametersRange), 1, COLUMN()-2 )</f>
        <v>2149.397350756079</v>
      </c>
    </row>
    <row r="69" spans="1:14" x14ac:dyDescent="0.25">
      <c r="A69" s="2">
        <v>51.1</v>
      </c>
      <c r="B69" s="2">
        <f t="shared" si="0"/>
        <v>224.46042025753471</v>
      </c>
      <c r="C69" s="2" cm="1">
        <f t="array" ref="C69">INDEX( ComputeThermoProps($A69, $B69, ParametersRange), 1, COLUMN()-2 )</f>
        <v>12.529473654644926</v>
      </c>
      <c r="D69" s="2" cm="1">
        <f t="array" ref="D69">INDEX( ComputeThermoProps($A69, $B69, ParametersRange), 1, COLUMN()-2 )</f>
        <v>9.239457286295854E-4</v>
      </c>
      <c r="E69" s="2" cm="1">
        <f t="array" ref="E69">INDEX( ComputeThermoProps($A69, $B69, ParametersRange), 1, COLUMN()-2 )</f>
        <v>5.7762881757958461E-4</v>
      </c>
      <c r="F69" s="2" cm="1">
        <f t="array" ref="F69">INDEX( ComputeThermoProps($A69, $B69, ParametersRange), 1, COLUMN()-2 )</f>
        <v>4.4193289015457774E-3</v>
      </c>
      <c r="G69" s="2" cm="1">
        <f t="array" ref="G69">INDEX( ComputeThermoProps($A69, $B69, ParametersRange), 1, COLUMN()-2 )</f>
        <v>36.107105684895416</v>
      </c>
      <c r="H69" s="2" cm="1">
        <f t="array" ref="H69">INDEX( ComputeThermoProps($A69, $B69, ParametersRange), 1, COLUMN()-2 )</f>
        <v>22.573300700163436</v>
      </c>
      <c r="I69" s="2" cm="1">
        <f t="array" ref="I69">INDEX( ComputeThermoProps($A69, $B69, ParametersRange), 1, COLUMN()-2 )</f>
        <v>2.654896670001667</v>
      </c>
      <c r="J69" s="2" cm="1">
        <f t="array" ref="J69">INDEX( ComputeThermoProps($A69, $B69, ParametersRange), 1, COLUMN()-2 )</f>
        <v>748.0806196137853</v>
      </c>
      <c r="K69" s="2" cm="1">
        <f t="array" ref="K69">INDEX( ComputeThermoProps($A69, $B69, ParametersRange), 1, COLUMN()-2 )</f>
        <v>25.582507274988064</v>
      </c>
      <c r="L69" s="2" cm="1">
        <f t="array" ref="L69">INDEX( ComputeThermoProps($A69, $B69, ParametersRange), 1, COLUMN()-2 )</f>
        <v>-559.18550213810477</v>
      </c>
      <c r="M69" s="2" cm="1">
        <f t="array" ref="M69">INDEX( ComputeThermoProps($A69, $B69, ParametersRange), 1, COLUMN()-2 )</f>
        <v>3560.4515417410948</v>
      </c>
      <c r="N69" s="2" cm="1">
        <f t="array" ref="N69">INDEX( ComputeThermoProps($A69, $B69, ParametersRange), 1, COLUMN()-2 )</f>
        <v>2253.1854199892045</v>
      </c>
    </row>
    <row r="70" spans="1:14" x14ac:dyDescent="0.25">
      <c r="A70" s="2">
        <v>52.1</v>
      </c>
      <c r="B70" s="2">
        <f t="shared" si="0"/>
        <v>234.88542036369782</v>
      </c>
      <c r="C70" s="2" cm="1">
        <f t="array" ref="C70">INDEX( ComputeThermoProps($A70, $B70, ParametersRange), 1, COLUMN()-2 )</f>
        <v>12.464950842942393</v>
      </c>
      <c r="D70" s="2" cm="1">
        <f t="array" ref="D70">INDEX( ComputeThermoProps($A70, $B70, ParametersRange), 1, COLUMN()-2 )</f>
        <v>9.1045102310833019E-4</v>
      </c>
      <c r="E70" s="2" cm="1">
        <f t="array" ref="E70">INDEX( ComputeThermoProps($A70, $B70, ParametersRange), 1, COLUMN()-2 )</f>
        <v>5.6729749206243857E-4</v>
      </c>
      <c r="F70" s="2" cm="1">
        <f t="array" ref="F70">INDEX( ComputeThermoProps($A70, $B70, ParametersRange), 1, COLUMN()-2 )</f>
        <v>4.3776467520345377E-3</v>
      </c>
      <c r="G70" s="2" cm="1">
        <f t="array" ref="G70">INDEX( ComputeThermoProps($A70, $B70, ParametersRange), 1, COLUMN()-2 )</f>
        <v>36.267803083551044</v>
      </c>
      <c r="H70" s="2" cm="1">
        <f t="array" ref="H70">INDEX( ComputeThermoProps($A70, $B70, ParametersRange), 1, COLUMN()-2 )</f>
        <v>22.598287233145111</v>
      </c>
      <c r="I70" s="2" cm="1">
        <f t="array" ref="I70">INDEX( ComputeThermoProps($A70, $B70, ParametersRange), 1, COLUMN()-2 )</f>
        <v>2.6521566450652765</v>
      </c>
      <c r="J70" s="2" cm="1">
        <f t="array" ref="J70">INDEX( ComputeThermoProps($A70, $B70, ParametersRange), 1, COLUMN()-2 )</f>
        <v>769.51823602192803</v>
      </c>
      <c r="K70" s="2" cm="1">
        <f t="array" ref="K70">INDEX( ComputeThermoProps($A70, $B70, ParametersRange), 1, COLUMN()-2 )</f>
        <v>25.710800757805647</v>
      </c>
      <c r="L70" s="2" cm="1">
        <f t="array" ref="L70">INDEX( ComputeThermoProps($A70, $B70, ParametersRange), 1, COLUMN()-2 )</f>
        <v>-570.0144834597462</v>
      </c>
      <c r="M70" s="2" cm="1">
        <f t="array" ref="M70">INDEX( ComputeThermoProps($A70, $B70, ParametersRange), 1, COLUMN()-2 )</f>
        <v>3697.3534545792813</v>
      </c>
      <c r="N70" s="2" cm="1">
        <f t="array" ref="N70">INDEX( ComputeThermoProps($A70, $B70, ParametersRange), 1, COLUMN()-2 )</f>
        <v>2357.8207350976072</v>
      </c>
    </row>
    <row r="71" spans="1:14" x14ac:dyDescent="0.25">
      <c r="A71" s="2">
        <v>53.1</v>
      </c>
      <c r="B71" s="2">
        <f t="shared" si="0"/>
        <v>245.43912810381755</v>
      </c>
      <c r="C71" s="2" cm="1">
        <f t="array" ref="C71">INDEX( ComputeThermoProps($A71, $B71, ParametersRange), 1, COLUMN()-2 )</f>
        <v>12.400532662423798</v>
      </c>
      <c r="D71" s="2" cm="1">
        <f t="array" ref="D71">INDEX( ComputeThermoProps($A71, $B71, ParametersRange), 1, COLUMN()-2 )</f>
        <v>8.9716587403283331E-4</v>
      </c>
      <c r="E71" s="2" cm="1">
        <f t="array" ref="E71">INDEX( ComputeThermoProps($A71, $B71, ParametersRange), 1, COLUMN()-2 )</f>
        <v>5.5723976654294041E-4</v>
      </c>
      <c r="F71" s="2" cm="1">
        <f t="array" ref="F71">INDEX( ComputeThermoProps($A71, $B71, ParametersRange), 1, COLUMN()-2 )</f>
        <v>4.3360948443118214E-3</v>
      </c>
      <c r="G71" s="2" cm="1">
        <f t="array" ref="G71">INDEX( ComputeThermoProps($A71, $B71, ParametersRange), 1, COLUMN()-2 )</f>
        <v>36.420666287344687</v>
      </c>
      <c r="H71" s="2" cm="1">
        <f t="array" ref="H71">INDEX( ComputeThermoProps($A71, $B71, ParametersRange), 1, COLUMN()-2 )</f>
        <v>22.621283495849465</v>
      </c>
      <c r="I71" s="2" cm="1">
        <f t="array" ref="I71">INDEX( ComputeThermoProps($A71, $B71, ParametersRange), 1, COLUMN()-2 )</f>
        <v>2.6494097208593077</v>
      </c>
      <c r="J71" s="2" cm="1">
        <f t="array" ref="J71">INDEX( ComputeThermoProps($A71, $B71, ParametersRange), 1, COLUMN()-2 )</f>
        <v>791.26376292288546</v>
      </c>
      <c r="K71" s="2" cm="1">
        <f t="array" ref="K71">INDEX( ComputeThermoProps($A71, $B71, ParametersRange), 1, COLUMN()-2 )</f>
        <v>25.830119547213695</v>
      </c>
      <c r="L71" s="2" cm="1">
        <f t="array" ref="L71">INDEX( ComputeThermoProps($A71, $B71, ParametersRange), 1, COLUMN()-2 )</f>
        <v>-580.31558503416181</v>
      </c>
      <c r="M71" s="2" cm="1">
        <f t="array" ref="M71">INDEX( ComputeThermoProps($A71, $B71, ParametersRange), 1, COLUMN()-2 )</f>
        <v>3834.8396876110937</v>
      </c>
      <c r="N71" s="2" cm="1">
        <f t="array" ref="N71">INDEX( ComputeThermoProps($A71, $B71, ParametersRange), 1, COLUMN()-2 )</f>
        <v>2463.2603396540467</v>
      </c>
    </row>
    <row r="72" spans="1:14" x14ac:dyDescent="0.25">
      <c r="A72" s="2">
        <v>54.1</v>
      </c>
      <c r="B72" s="2">
        <f t="shared" si="0"/>
        <v>256.11880048174714</v>
      </c>
      <c r="C72" s="2" cm="1">
        <f t="array" ref="C72">INDEX( ComputeThermoProps($A72, $B72, ParametersRange), 1, COLUMN()-2 )</f>
        <v>12.336267586756968</v>
      </c>
      <c r="D72" s="2" cm="1">
        <f t="array" ref="D72">INDEX( ComputeThermoProps($A72, $B72, ParametersRange), 1, COLUMN()-2 )</f>
        <v>8.8409641912362438E-4</v>
      </c>
      <c r="E72" s="2" cm="1">
        <f t="array" ref="E72">INDEX( ComputeThermoProps($A72, $B72, ParametersRange), 1, COLUMN()-2 )</f>
        <v>5.4744881845428782E-4</v>
      </c>
      <c r="F72" s="2" cm="1">
        <f t="array" ref="F72">INDEX( ComputeThermoProps($A72, $B72, ParametersRange), 1, COLUMN()-2 )</f>
        <v>4.2947404448377899E-3</v>
      </c>
      <c r="G72" s="2" cm="1">
        <f t="array" ref="G72">INDEX( ComputeThermoProps($A72, $B72, ParametersRange), 1, COLUMN()-2 )</f>
        <v>36.566160983142666</v>
      </c>
      <c r="H72" s="2" cm="1">
        <f t="array" ref="H72">INDEX( ComputeThermoProps($A72, $B72, ParametersRange), 1, COLUMN()-2 )</f>
        <v>22.64244169824148</v>
      </c>
      <c r="I72" s="2" cm="1">
        <f t="array" ref="I72">INDEX( ComputeThermoProps($A72, $B72, ParametersRange), 1, COLUMN()-2 )</f>
        <v>2.6466579266113253</v>
      </c>
      <c r="J72" s="2" cm="1">
        <f t="array" ref="J72">INDEX( ComputeThermoProps($A72, $B72, ParametersRange), 1, COLUMN()-2 )</f>
        <v>813.32054088789721</v>
      </c>
      <c r="K72" s="2" cm="1">
        <f t="array" ref="K72">INDEX( ComputeThermoProps($A72, $B72, ParametersRange), 1, COLUMN()-2 )</f>
        <v>25.940975797183082</v>
      </c>
      <c r="L72" s="2" cm="1">
        <f t="array" ref="L72">INDEX( ComputeThermoProps($A72, $B72, ParametersRange), 1, COLUMN()-2 )</f>
        <v>-590.08624973970757</v>
      </c>
      <c r="M72" s="2" cm="1">
        <f t="array" ref="M72">INDEX( ComputeThermoProps($A72, $B72, ParametersRange), 1, COLUMN()-2 )</f>
        <v>3972.8705976299493</v>
      </c>
      <c r="N72" s="2" cm="1">
        <f t="array" ref="N72">INDEX( ComputeThermoProps($A72, $B72, ParametersRange), 1, COLUMN()-2 )</f>
        <v>2569.4638070023443</v>
      </c>
    </row>
    <row r="73" spans="1:14" x14ac:dyDescent="0.25">
      <c r="A73" s="2">
        <v>55.1</v>
      </c>
      <c r="B73" s="2">
        <f t="shared" si="0"/>
        <v>266.92183714196375</v>
      </c>
      <c r="C73" s="2" cm="1">
        <f t="array" ref="C73">INDEX( ComputeThermoProps($A73, $B73, ParametersRange), 1, COLUMN()-2 )</f>
        <v>12.272199305786867</v>
      </c>
      <c r="D73" s="2" cm="1">
        <f t="array" ref="D73">INDEX( ComputeThermoProps($A73, $B73, ParametersRange), 1, COLUMN()-2 )</f>
        <v>8.7124729945764858E-4</v>
      </c>
      <c r="E73" s="2" cm="1">
        <f t="array" ref="E73">INDEX( ComputeThermoProps($A73, $B73, ParametersRange), 1, COLUMN()-2 )</f>
        <v>5.3791770690596438E-4</v>
      </c>
      <c r="F73" s="2" cm="1">
        <f t="array" ref="F73">INDEX( ComputeThermoProps($A73, $B73, ParametersRange), 1, COLUMN()-2 )</f>
        <v>4.2536416024944561E-3</v>
      </c>
      <c r="G73" s="2" cm="1">
        <f t="array" ref="G73">INDEX( ComputeThermoProps($A73, $B73, ParametersRange), 1, COLUMN()-2 )</f>
        <v>36.704720135411911</v>
      </c>
      <c r="H73" s="2" cm="1">
        <f t="array" ref="H73">INDEX( ComputeThermoProps($A73, $B73, ParametersRange), 1, COLUMN()-2 )</f>
        <v>22.661899669768466</v>
      </c>
      <c r="I73" s="2" cm="1">
        <f t="array" ref="I73">INDEX( ComputeThermoProps($A73, $B73, ParametersRange), 1, COLUMN()-2 )</f>
        <v>2.643903119590707</v>
      </c>
      <c r="J73" s="2" cm="1">
        <f t="array" ref="J73">INDEX( ComputeThermoProps($A73, $B73, ParametersRange), 1, COLUMN()-2 )</f>
        <v>835.69116774595477</v>
      </c>
      <c r="K73" s="2" cm="1">
        <f t="array" ref="K73">INDEX( ComputeThermoProps($A73, $B73, ParametersRange), 1, COLUMN()-2 )</f>
        <v>26.043849487243445</v>
      </c>
      <c r="L73" s="2" cm="1">
        <f t="array" ref="L73">INDEX( ComputeThermoProps($A73, $B73, ParametersRange), 1, COLUMN()-2 )</f>
        <v>-599.32493900115912</v>
      </c>
      <c r="M73" s="2" cm="1">
        <f t="array" ref="M73">INDEX( ComputeThermoProps($A73, $B73, ParametersRange), 1, COLUMN()-2 )</f>
        <v>4111.4091522189174</v>
      </c>
      <c r="N73" s="2" cm="1">
        <f t="array" ref="N73">INDEX( ComputeThermoProps($A73, $B73, ParametersRange), 1, COLUMN()-2 )</f>
        <v>2676.3930454718034</v>
      </c>
    </row>
    <row r="74" spans="1:14" x14ac:dyDescent="0.25">
      <c r="A74" s="2">
        <v>56.1</v>
      </c>
      <c r="B74" s="2">
        <f t="shared" si="0"/>
        <v>277.84576893478209</v>
      </c>
      <c r="C74" s="2" cm="1">
        <f t="array" ref="C74">INDEX( ComputeThermoProps($A74, $B74, ParametersRange), 1, COLUMN()-2 )</f>
        <v>12.208367132481511</v>
      </c>
      <c r="D74" s="2" cm="1">
        <f t="array" ref="D74">INDEX( ComputeThermoProps($A74, $B74, ParametersRange), 1, COLUMN()-2 )</f>
        <v>8.5862184745679664E-4</v>
      </c>
      <c r="E74" s="2" cm="1">
        <f t="array" ref="E74">INDEX( ComputeThermoProps($A74, $B74, ParametersRange), 1, COLUMN()-2 )</f>
        <v>5.2863943018072862E-4</v>
      </c>
      <c r="F74" s="2" cm="1">
        <f t="array" ref="F74">INDEX( ComputeThermoProps($A74, $B74, ParametersRange), 1, COLUMN()-2 )</f>
        <v>4.2128482100621898E-3</v>
      </c>
      <c r="G74" s="2" cm="1">
        <f t="array" ref="G74">INDEX( ComputeThermoProps($A74, $B74, ParametersRange), 1, COLUMN()-2 )</f>
        <v>36.836746548613071</v>
      </c>
      <c r="H74" s="2" cm="1">
        <f t="array" ref="H74">INDEX( ComputeThermoProps($A74, $B74, ParametersRange), 1, COLUMN()-2 )</f>
        <v>22.679782447709702</v>
      </c>
      <c r="I74" s="2" cm="1">
        <f t="array" ref="I74">INDEX( ComputeThermoProps($A74, $B74, ParametersRange), 1, COLUMN()-2 )</f>
        <v>2.6411469989763057</v>
      </c>
      <c r="J74" s="2" cm="1">
        <f t="array" ref="J74">INDEX( ComputeThermoProps($A74, $B74, ParametersRange), 1, COLUMN()-2 )</f>
        <v>858.37756139511259</v>
      </c>
      <c r="K74" s="2" cm="1">
        <f t="array" ref="K74">INDEX( ComputeThermoProps($A74, $B74, ParametersRange), 1, COLUMN()-2 )</f>
        <v>26.139190582668121</v>
      </c>
      <c r="L74" s="2" cm="1">
        <f t="array" ref="L74">INDEX( ComputeThermoProps($A74, $B74, ParametersRange), 1, COLUMN()-2 )</f>
        <v>-608.03103029256908</v>
      </c>
      <c r="M74" s="2" cm="1">
        <f t="array" ref="M74">INDEX( ComputeThermoProps($A74, $B74, ParametersRange), 1, COLUMN()-2 )</f>
        <v>4250.4207147575589</v>
      </c>
      <c r="N74" s="2" cm="1">
        <f t="array" ref="N74">INDEX( ComputeThermoProps($A74, $B74, ParametersRange), 1, COLUMN()-2 )</f>
        <v>2784.0121230698774</v>
      </c>
    </row>
    <row r="75" spans="1:14" x14ac:dyDescent="0.25">
      <c r="A75" s="2">
        <v>57.1</v>
      </c>
      <c r="B75" s="2">
        <f t="shared" si="0"/>
        <v>288.88824769365237</v>
      </c>
      <c r="C75" s="2" cm="1">
        <f t="array" ref="C75">INDEX( ComputeThermoProps($A75, $B75, ParametersRange), 1, COLUMN()-2 )</f>
        <v>12.144806375987306</v>
      </c>
      <c r="D75" s="2" cm="1">
        <f t="array" ref="D75">INDEX( ComputeThermoProps($A75, $B75, ParametersRange), 1, COLUMN()-2 )</f>
        <v>8.4622225401044429E-4</v>
      </c>
      <c r="E75" s="2" cm="1">
        <f t="array" ref="E75">INDEX( ComputeThermoProps($A75, $B75, ParametersRange), 1, COLUMN()-2 )</f>
        <v>5.1960697360417724E-4</v>
      </c>
      <c r="F75" s="2" cm="1">
        <f t="array" ref="F75">INDEX( ComputeThermoProps($A75, $B75, ParametersRange), 1, COLUMN()-2 )</f>
        <v>4.1724029450333775E-3</v>
      </c>
      <c r="G75" s="2" cm="1">
        <f t="array" ref="G75">INDEX( ComputeThermoProps($A75, $B75, ParametersRange), 1, COLUMN()-2 )</f>
        <v>36.96261520065999</v>
      </c>
      <c r="H75" s="2" cm="1">
        <f t="array" ref="H75">INDEX( ComputeThermoProps($A75, $B75, ParametersRange), 1, COLUMN()-2 )</f>
        <v>22.696203662677075</v>
      </c>
      <c r="I75" s="2" cm="1">
        <f t="array" ref="I75">INDEX( ComputeThermoProps($A75, $B75, ParametersRange), 1, COLUMN()-2 )</f>
        <v>2.6383911185727644</v>
      </c>
      <c r="J75" s="2" cm="1">
        <f t="array" ref="J75">INDEX( ComputeThermoProps($A75, $B75, ParametersRange), 1, COLUMN()-2 )</f>
        <v>881.38101870173364</v>
      </c>
      <c r="K75" s="2" cm="1">
        <f t="array" ref="K75">INDEX( ComputeThermoProps($A75, $B75, ParametersRange), 1, COLUMN()-2 )</f>
        <v>26.227421051554224</v>
      </c>
      <c r="L75" s="2" cm="1">
        <f t="array" ref="L75">INDEX( ComputeThermoProps($A75, $B75, ParametersRange), 1, COLUMN()-2 )</f>
        <v>-616.20472334201258</v>
      </c>
      <c r="M75" s="2" cm="1">
        <f t="array" ref="M75">INDEX( ComputeThermoProps($A75, $B75, ParametersRange), 1, COLUMN()-2 )</f>
        <v>4389.8728512394036</v>
      </c>
      <c r="N75" s="2" cm="1">
        <f t="array" ref="N75">INDEX( ComputeThermoProps($A75, $B75, ParametersRange), 1, COLUMN()-2 )</f>
        <v>2892.2871091956576</v>
      </c>
    </row>
    <row r="76" spans="1:14" x14ac:dyDescent="0.25">
      <c r="A76" s="2">
        <v>58.1</v>
      </c>
      <c r="B76" s="2">
        <f t="shared" si="0"/>
        <v>300.04703706744527</v>
      </c>
      <c r="C76" s="2" cm="1">
        <f t="array" ref="C76">INDEX( ComputeThermoProps($A76, $B76, ParametersRange), 1, COLUMN()-2 )</f>
        <v>12.081548683592608</v>
      </c>
      <c r="D76" s="2" cm="1">
        <f t="array" ref="D76">INDEX( ComputeThermoProps($A76, $B76, ParametersRange), 1, COLUMN()-2 )</f>
        <v>8.3404971774246335E-4</v>
      </c>
      <c r="E76" s="2" cm="1">
        <f t="array" ref="E76">INDEX( ComputeThermoProps($A76, $B76, ParametersRange), 1, COLUMN()-2 )</f>
        <v>5.1081334919234891E-4</v>
      </c>
      <c r="F76" s="2" cm="1">
        <f t="array" ref="F76">INDEX( ComputeThermoProps($A76, $B76, ParametersRange), 1, COLUMN()-2 )</f>
        <v>4.1323421145900551E-3</v>
      </c>
      <c r="G76" s="2" cm="1">
        <f t="array" ref="G76">INDEX( ComputeThermoProps($A76, $B76, ParametersRange), 1, COLUMN()-2 )</f>
        <v>37.082675468860018</v>
      </c>
      <c r="H76" s="2" cm="1">
        <f t="array" ref="H76">INDEX( ComputeThermoProps($A76, $B76, ParametersRange), 1, COLUMN()-2 )</f>
        <v>22.711266786988261</v>
      </c>
      <c r="I76" s="2" cm="1">
        <f t="array" ref="I76">INDEX( ComputeThermoProps($A76, $B76, ParametersRange), 1, COLUMN()-2 )</f>
        <v>2.6356368984757719</v>
      </c>
      <c r="J76" s="2" cm="1">
        <f t="array" ref="J76">INDEX( ComputeThermoProps($A76, $B76, ParametersRange), 1, COLUMN()-2 )</f>
        <v>904.70227055553323</v>
      </c>
      <c r="K76" s="2" cm="1">
        <f t="array" ref="K76">INDEX( ComputeThermoProps($A76, $B76, ParametersRange), 1, COLUMN()-2 )</f>
        <v>26.308936746335451</v>
      </c>
      <c r="L76" s="2" cm="1">
        <f t="array" ref="L76">INDEX( ComputeThermoProps($A76, $B76, ParametersRange), 1, COLUMN()-2 )</f>
        <v>-623.84695440655651</v>
      </c>
      <c r="M76" s="2" cm="1">
        <f t="array" ref="M76">INDEX( ComputeThermoProps($A76, $B76, ParametersRange), 1, COLUMN()-2 )</f>
        <v>4529.7351562535896</v>
      </c>
      <c r="N76" s="2" cm="1">
        <f t="array" ref="N76">INDEX( ComputeThermoProps($A76, $B76, ParametersRange), 1, COLUMN()-2 )</f>
        <v>3001.1859312914999</v>
      </c>
    </row>
    <row r="77" spans="1:14" x14ac:dyDescent="0.25">
      <c r="A77" s="2">
        <v>59.1</v>
      </c>
      <c r="B77" s="2">
        <f t="shared" si="0"/>
        <v>311.3200042743502</v>
      </c>
      <c r="C77" s="2" cm="1">
        <f t="array" ref="C77">INDEX( ComputeThermoProps($A77, $B77, ParametersRange), 1, COLUMN()-2 )</f>
        <v>12.018622354165684</v>
      </c>
      <c r="D77" s="2" cm="1">
        <f t="array" ref="D77">INDEX( ComputeThermoProps($A77, $B77, ParametersRange), 1, COLUMN()-2 )</f>
        <v>8.2210457614999603E-4</v>
      </c>
      <c r="E77" s="2" cm="1">
        <f t="array" ref="E77">INDEX( ComputeThermoProps($A77, $B77, ParametersRange), 1, COLUMN()-2 )</f>
        <v>5.0225162828278962E-4</v>
      </c>
      <c r="F77" s="2" cm="1">
        <f t="array" ref="F77">INDEX( ComputeThermoProps($A77, $B77, ParametersRange), 1, COLUMN()-2 )</f>
        <v>4.0926963885565609E-3</v>
      </c>
      <c r="G77" s="2" cm="1">
        <f t="array" ref="G77">INDEX( ComputeThermoProps($A77, $B77, ParametersRange), 1, COLUMN()-2 )</f>
        <v>37.197253018979914</v>
      </c>
      <c r="H77" s="2" cm="1">
        <f t="array" ref="H77">INDEX( ComputeThermoProps($A77, $B77, ParametersRange), 1, COLUMN()-2 )</f>
        <v>22.725066175791369</v>
      </c>
      <c r="I77" s="2" cm="1">
        <f t="array" ref="I77">INDEX( ComputeThermoProps($A77, $B77, ParametersRange), 1, COLUMN()-2 )</f>
        <v>2.6328856357767316</v>
      </c>
      <c r="J77" s="2" cm="1">
        <f t="array" ref="J77">INDEX( ComputeThermoProps($A77, $B77, ParametersRange), 1, COLUMN()-2 )</f>
        <v>928.34153318772269</v>
      </c>
      <c r="K77" s="2" cm="1">
        <f t="array" ref="K77">INDEX( ComputeThermoProps($A77, $B77, ParametersRange), 1, COLUMN()-2 )</f>
        <v>26.384109157335889</v>
      </c>
      <c r="L77" s="2" cm="1">
        <f t="array" ref="L77">INDEX( ComputeThermoProps($A77, $B77, ParametersRange), 1, COLUMN()-2 )</f>
        <v>-630.95931801082838</v>
      </c>
      <c r="M77" s="2" cm="1">
        <f t="array" ref="M77">INDEX( ComputeThermoProps($A77, $B77, ParametersRange), 1, COLUMN()-2 )</f>
        <v>4669.9790958583844</v>
      </c>
      <c r="N77" s="2" cm="1">
        <f t="array" ref="N77">INDEX( ComputeThermoProps($A77, $B77, ParametersRange), 1, COLUMN()-2 )</f>
        <v>3110.6782446598336</v>
      </c>
    </row>
    <row r="78" spans="1:14" x14ac:dyDescent="0.25">
      <c r="A78" s="2">
        <v>60.1</v>
      </c>
      <c r="B78" s="2">
        <f t="shared" si="0"/>
        <v>322.70511266370062</v>
      </c>
      <c r="C78" s="2" cm="1">
        <f t="array" ref="C78">INDEX( ComputeThermoProps($A78, $B78, ParametersRange), 1, COLUMN()-2 )</f>
        <v>11.956052625422821</v>
      </c>
      <c r="D78" s="2" cm="1">
        <f t="array" ref="D78">INDEX( ComputeThermoProps($A78, $B78, ParametersRange), 1, COLUMN()-2 )</f>
        <v>8.103864232304668E-4</v>
      </c>
      <c r="E78" s="2" cm="1">
        <f t="array" ref="E78">INDEX( ComputeThermoProps($A78, $B78, ParametersRange), 1, COLUMN()-2 )</f>
        <v>4.9391496818307692E-4</v>
      </c>
      <c r="F78" s="2" cm="1">
        <f t="array" ref="F78">INDEX( ComputeThermoProps($A78, $B78, ParametersRange), 1, COLUMN()-2 )</f>
        <v>4.0534914675124127E-3</v>
      </c>
      <c r="G78" s="2" cm="1">
        <f t="array" ref="G78">INDEX( ComputeThermoProps($A78, $B78, ParametersRange), 1, COLUMN()-2 )</f>
        <v>37.306651695983568</v>
      </c>
      <c r="H78" s="2" cm="1">
        <f t="array" ref="H78">INDEX( ComputeThermoProps($A78, $B78, ParametersRange), 1, COLUMN()-2 )</f>
        <v>22.737688042681551</v>
      </c>
      <c r="I78" s="2" cm="1">
        <f t="array" ref="I78">INDEX( ComputeThermoProps($A78, $B78, ParametersRange), 1, COLUMN()-2 )</f>
        <v>2.630138514388725</v>
      </c>
      <c r="J78" s="2" cm="1">
        <f t="array" ref="J78">INDEX( ComputeThermoProps($A78, $B78, ParametersRange), 1, COLUMN()-2 )</f>
        <v>952.29855588834835</v>
      </c>
      <c r="K78" s="2" cm="1">
        <f t="array" ref="K78">INDEX( ComputeThermoProps($A78, $B78, ParametersRange), 1, COLUMN()-2 )</f>
        <v>26.453287045911608</v>
      </c>
      <c r="L78" s="2" cm="1">
        <f t="array" ref="L78">INDEX( ComputeThermoProps($A78, $B78, ParametersRange), 1, COLUMN()-2 )</f>
        <v>-637.54399557093939</v>
      </c>
      <c r="M78" s="2" cm="1">
        <f t="array" ref="M78">INDEX( ComputeThermoProps($A78, $B78, ParametersRange), 1, COLUMN()-2 )</f>
        <v>4810.5778653885536</v>
      </c>
      <c r="N78" s="2" cm="1">
        <f t="array" ref="N78">INDEX( ComputeThermoProps($A78, $B78, ParametersRange), 1, COLUMN()-2 )</f>
        <v>3220.7353139292659</v>
      </c>
    </row>
    <row r="79" spans="1:14" x14ac:dyDescent="0.25">
      <c r="A79" s="2">
        <v>61.1</v>
      </c>
      <c r="B79" s="2">
        <f t="shared" si="0"/>
        <v>334.20041498844677</v>
      </c>
      <c r="C79" s="2" cm="1">
        <f t="array" ref="C79">INDEX( ComputeThermoProps($A79, $B79, ParametersRange), 1, COLUMN()-2 )</f>
        <v>11.893861937190499</v>
      </c>
      <c r="D79" s="2" cm="1">
        <f t="array" ref="D79">INDEX( ComputeThermoProps($A79, $B79, ParametersRange), 1, COLUMN()-2 )</f>
        <v>7.988942125166361E-4</v>
      </c>
      <c r="E79" s="2" cm="1">
        <f t="array" ref="E79">INDEX( ComputeThermoProps($A79, $B79, ParametersRange), 1, COLUMN()-2 )</f>
        <v>4.8579663377308732E-4</v>
      </c>
      <c r="F79" s="2" cm="1">
        <f t="array" ref="F79">INDEX( ComputeThermoProps($A79, $B79, ParametersRange), 1, COLUMN()-2 )</f>
        <v>4.0147486603250336E-3</v>
      </c>
      <c r="G79" s="2" cm="1">
        <f t="array" ref="G79">INDEX( ComputeThermoProps($A79, $B79, ParametersRange), 1, COLUMN()-2 )</f>
        <v>37.411155114352468</v>
      </c>
      <c r="H79" s="2" cm="1">
        <f t="array" ref="H79">INDEX( ComputeThermoProps($A79, $B79, ParametersRange), 1, COLUMN()-2 )</f>
        <v>22.749211266487666</v>
      </c>
      <c r="I79" s="2" cm="1">
        <f t="array" ref="I79">INDEX( ComputeThermoProps($A79, $B79, ParametersRange), 1, COLUMN()-2 )</f>
        <v>2.6273966140980303</v>
      </c>
      <c r="J79" s="2" cm="1">
        <f t="array" ref="J79">INDEX( ComputeThermoProps($A79, $B79, ParametersRange), 1, COLUMN()-2 )</f>
        <v>976.57266526061574</v>
      </c>
      <c r="K79" s="2" cm="1">
        <f t="array" ref="K79">INDEX( ComputeThermoProps($A79, $B79, ParametersRange), 1, COLUMN()-2 )</f>
        <v>26.516797967975634</v>
      </c>
      <c r="L79" s="2" cm="1">
        <f t="array" ref="L79">INDEX( ComputeThermoProps($A79, $B79, ParametersRange), 1, COLUMN()-2 )</f>
        <v>-643.60369058269555</v>
      </c>
      <c r="M79" s="2" cm="1">
        <f t="array" ref="M79">INDEX( ComputeThermoProps($A79, $B79, ParametersRange), 1, COLUMN()-2 )</f>
        <v>4951.5062604849718</v>
      </c>
      <c r="N79" s="2" cm="1">
        <f t="array" ref="N79">INDEX( ComputeThermoProps($A79, $B79, ParametersRange), 1, COLUMN()-2 )</f>
        <v>3331.3299046416605</v>
      </c>
    </row>
    <row r="80" spans="1:14" x14ac:dyDescent="0.25">
      <c r="A80" s="2">
        <v>62.1</v>
      </c>
      <c r="B80" s="2">
        <f t="shared" si="0"/>
        <v>345.80404730472151</v>
      </c>
      <c r="C80" s="2" cm="1">
        <f t="array" ref="C80">INDEX( ComputeThermoProps($A80, $B80, ParametersRange), 1, COLUMN()-2 )</f>
        <v>11.832070172650003</v>
      </c>
      <c r="D80" s="2" cm="1">
        <f t="array" ref="D80">INDEX( ComputeThermoProps($A80, $B80, ParametersRange), 1, COLUMN()-2 )</f>
        <v>7.876263486564436E-4</v>
      </c>
      <c r="E80" s="2" cm="1">
        <f t="array" ref="E80">INDEX( ComputeThermoProps($A80, $B80, ParametersRange), 1, COLUMN()-2 )</f>
        <v>4.7789001460952764E-4</v>
      </c>
      <c r="F80" s="2" cm="1">
        <f t="array" ref="F80">INDEX( ComputeThermoProps($A80, $B80, ParametersRange), 1, COLUMN()-2 )</f>
        <v>3.9764854058953062E-3</v>
      </c>
      <c r="G80" s="2" cm="1">
        <f t="array" ref="G80">INDEX( ComputeThermoProps($A80, $B80, ParametersRange), 1, COLUMN()-2 )</f>
        <v>37.511028215421156</v>
      </c>
      <c r="H80" s="2" cm="1">
        <f t="array" ref="H80">INDEX( ComputeThermoProps($A80, $B80, ParametersRange), 1, COLUMN()-2 )</f>
        <v>22.759708143925064</v>
      </c>
      <c r="I80" s="2" cm="1">
        <f t="array" ref="I80">INDEX( ComputeThermoProps($A80, $B80, ParametersRange), 1, COLUMN()-2 )</f>
        <v>2.6246609187809073</v>
      </c>
      <c r="J80" s="2" cm="1">
        <f t="array" ref="J80">INDEX( ComputeThermoProps($A80, $B80, ParametersRange), 1, COLUMN()-2 )</f>
        <v>1001.1628062509361</v>
      </c>
      <c r="K80" s="2" cm="1">
        <f t="array" ref="K80">INDEX( ComputeThermoProps($A80, $B80, ParametersRange), 1, COLUMN()-2 )</f>
        <v>26.574949680533706</v>
      </c>
      <c r="L80" s="2" cm="1">
        <f t="array" ref="L80">INDEX( ComputeThermoProps($A80, $B80, ParametersRange), 1, COLUMN()-2 )</f>
        <v>-649.14156891020707</v>
      </c>
      <c r="M80" s="2" cm="1">
        <f t="array" ref="M80">INDEX( ComputeThermoProps($A80, $B80, ParametersRange), 1, COLUMN()-2 )</f>
        <v>5092.740559946782</v>
      </c>
      <c r="N80" s="2" cm="1">
        <f t="array" ref="N80">INDEX( ComputeThermoProps($A80, $B80, ParametersRange), 1, COLUMN()-2 )</f>
        <v>3442.4361847856389</v>
      </c>
    </row>
    <row r="81" spans="1:14" x14ac:dyDescent="0.25">
      <c r="A81" s="2">
        <v>63.1</v>
      </c>
      <c r="B81" s="2">
        <f t="shared" si="0"/>
        <v>357.51422342647209</v>
      </c>
      <c r="C81" s="2" cm="1">
        <f t="array" ref="C81">INDEX( ComputeThermoProps($A81, $B81, ParametersRange), 1, COLUMN()-2 )</f>
        <v>11.770694879391847</v>
      </c>
      <c r="D81" s="2" cm="1">
        <f t="array" ref="D81">INDEX( ComputeThermoProps($A81, $B81, ParametersRange), 1, COLUMN()-2 )</f>
        <v>7.7658076849426055E-4</v>
      </c>
      <c r="E81" s="2" cm="1">
        <f t="array" ref="E81">INDEX( ComputeThermoProps($A81, $B81, ParametersRange), 1, COLUMN()-2 )</f>
        <v>4.7018863861030398E-4</v>
      </c>
      <c r="F81" s="2" cm="1">
        <f t="array" ref="F81">INDEX( ComputeThermoProps($A81, $B81, ParametersRange), 1, COLUMN()-2 )</f>
        <v>3.9387157329548962E-3</v>
      </c>
      <c r="G81" s="2" cm="1">
        <f t="array" ref="G81">INDEX( ComputeThermoProps($A81, $B81, ParametersRange), 1, COLUMN()-2 )</f>
        <v>37.606518646306327</v>
      </c>
      <c r="H81" s="2" cm="1">
        <f t="array" ref="H81">INDEX( ComputeThermoProps($A81, $B81, ParametersRange), 1, COLUMN()-2 )</f>
        <v>22.769245032251231</v>
      </c>
      <c r="I81" s="2" cm="1">
        <f t="array" ref="I81">INDEX( ComputeThermoProps($A81, $B81, ParametersRange), 1, COLUMN()-2 )</f>
        <v>2.6219323241019405</v>
      </c>
      <c r="J81" s="2" cm="1">
        <f t="array" ref="J81">INDEX( ComputeThermoProps($A81, $B81, ParametersRange), 1, COLUMN()-2 )</f>
        <v>1026.06757999508</v>
      </c>
      <c r="K81" s="2" cm="1">
        <f t="array" ref="K81">INDEX( ComputeThermoProps($A81, $B81, ParametersRange), 1, COLUMN()-2 )</f>
        <v>26.628031467080508</v>
      </c>
      <c r="L81" s="2" cm="1">
        <f t="array" ref="L81">INDEX( ComputeThermoProps($A81, $B81, ParametersRange), 1, COLUMN()-2 )</f>
        <v>-654.16120557770012</v>
      </c>
      <c r="M81" s="2" cm="1">
        <f t="array" ref="M81">INDEX( ComputeThermoProps($A81, $B81, ParametersRange), 1, COLUMN()-2 )</f>
        <v>5234.2584189908075</v>
      </c>
      <c r="N81" s="2" cm="1">
        <f t="array" ref="N81">INDEX( ComputeThermoProps($A81, $B81, ParametersRange), 1, COLUMN()-2 )</f>
        <v>3554.0296334180275</v>
      </c>
    </row>
    <row r="82" spans="1:14" x14ac:dyDescent="0.25">
      <c r="A82" s="2">
        <v>64.099999999999994</v>
      </c>
      <c r="B82" s="2">
        <f t="shared" si="0"/>
        <v>369.32922987285292</v>
      </c>
      <c r="C82" s="2" cm="1">
        <f t="array" ref="C82">INDEX( ComputeThermoProps($A82, $B82, ParametersRange), 1, COLUMN()-2 )</f>
        <v>11.70975147195891</v>
      </c>
      <c r="D82" s="2" cm="1">
        <f t="array" ref="D82">INDEX( ComputeThermoProps($A82, $B82, ParametersRange), 1, COLUMN()-2 )</f>
        <v>7.6575501235951599E-4</v>
      </c>
      <c r="E82" s="2" cm="1">
        <f t="array" ref="E82">INDEX( ComputeThermoProps($A82, $B82, ParametersRange), 1, COLUMN()-2 )</f>
        <v>4.6268618240804019E-4</v>
      </c>
      <c r="F82" s="2" cm="1">
        <f t="array" ref="F82">INDEX( ComputeThermoProps($A82, $B82, ParametersRange), 1, COLUMN()-2 )</f>
        <v>3.901450668991743E-3</v>
      </c>
      <c r="G82" s="2" cm="1">
        <f t="array" ref="G82">INDEX( ComputeThermoProps($A82, $B82, ParametersRange), 1, COLUMN()-2 )</f>
        <v>37.697858051603973</v>
      </c>
      <c r="H82" s="2" cm="1">
        <f t="array" ref="H82">INDEX( ComputeThermoProps($A82, $B82, ParametersRange), 1, COLUMN()-2 )</f>
        <v>22.777882932965809</v>
      </c>
      <c r="I82" s="2" cm="1">
        <f t="array" ref="I82">INDEX( ComputeThermoProps($A82, $B82, ParametersRange), 1, COLUMN()-2 )</f>
        <v>2.6192116444685372</v>
      </c>
      <c r="J82" s="2" cm="1">
        <f t="array" ref="J82">INDEX( ComputeThermoProps($A82, $B82, ParametersRange), 1, COLUMN()-2 )</f>
        <v>1051.2852788053801</v>
      </c>
      <c r="K82" s="2" cm="1">
        <f t="array" ref="K82">INDEX( ComputeThermoProps($A82, $B82, ParametersRange), 1, COLUMN()-2 )</f>
        <v>26.67631535643029</v>
      </c>
      <c r="L82" s="2" cm="1">
        <f t="array" ref="L82">INDEX( ComputeThermoProps($A82, $B82, ParametersRange), 1, COLUMN()-2 )</f>
        <v>-658.6665355418013</v>
      </c>
      <c r="M82" s="2" cm="1">
        <f t="array" ref="M82">INDEX( ComputeThermoProps($A82, $B82, ParametersRange), 1, COLUMN()-2 )</f>
        <v>5376.0387719464707</v>
      </c>
      <c r="N82" s="2" cm="1">
        <f t="array" ref="N82">INDEX( ComputeThermoProps($A82, $B82, ParametersRange), 1, COLUMN()-2 )</f>
        <v>3666.0869575992892</v>
      </c>
    </row>
    <row r="83" spans="1:14" x14ac:dyDescent="0.25">
      <c r="A83" s="2">
        <v>65.099999999999994</v>
      </c>
      <c r="B83" s="2">
        <f t="shared" ref="B83:B117" si="1">IF(
  A83 &lt;= $B$5,
  $B$6 * EXP( ($B$5/A83) * ( $B$8*(1 - A83/$B$5) + $B$9*(1 - A83/$B$5)^1.5 + $B$10*(1 - A83/$B$5)^5 ) ),
  $B$6 * ( 1 + $B$12 * MAX(A83/$B$5 - 1, 0)^$B$13 + $B$14 * MAX(A83/$B$5 - 1, 0)^$B$15 )
)</f>
        <v>381.24742125430674</v>
      </c>
      <c r="C83" s="2" cm="1">
        <f t="array" ref="C83">INDEX( ComputeThermoProps($A83, $B83, ParametersRange), 1, COLUMN()-2 )</f>
        <v>11.649253417420704</v>
      </c>
      <c r="D83" s="2" cm="1">
        <f t="array" ref="D83">INDEX( ComputeThermoProps($A83, $B83, ParametersRange), 1, COLUMN()-2 )</f>
        <v>7.5514628682689388E-4</v>
      </c>
      <c r="E83" s="2" cm="1">
        <f t="array" ref="E83">INDEX( ComputeThermoProps($A83, $B83, ParametersRange), 1, COLUMN()-2 )</f>
        <v>4.5537647915693734E-4</v>
      </c>
      <c r="F83" s="2" cm="1">
        <f t="array" ref="F83">INDEX( ComputeThermoProps($A83, $B83, ParametersRange), 1, COLUMN()-2 )</f>
        <v>3.8646986003016436E-3</v>
      </c>
      <c r="G83" s="2" cm="1">
        <f t="array" ref="G83">INDEX( ComputeThermoProps($A83, $B83, ParametersRange), 1, COLUMN()-2 )</f>
        <v>37.785263225444233</v>
      </c>
      <c r="H83" s="2" cm="1">
        <f t="array" ref="H83">INDEX( ComputeThermoProps($A83, $B83, ParametersRange), 1, COLUMN()-2 )</f>
        <v>22.785677996143331</v>
      </c>
      <c r="I83" s="2" cm="1">
        <f t="array" ref="I83">INDEX( ComputeThermoProps($A83, $B83, ParametersRange), 1, COLUMN()-2 )</f>
        <v>2.616499619474415</v>
      </c>
      <c r="J83" s="2" cm="1">
        <f t="array" ref="J83">INDEX( ComputeThermoProps($A83, $B83, ParametersRange), 1, COLUMN()-2 )</f>
        <v>1076.8139183844223</v>
      </c>
      <c r="K83" s="2" cm="1">
        <f t="array" ref="K83">INDEX( ComputeThermoProps($A83, $B83, ParametersRange), 1, COLUMN()-2 )</f>
        <v>26.720057261874789</v>
      </c>
      <c r="L83" s="2" cm="1">
        <f t="array" ref="L83">INDEX( ComputeThermoProps($A83, $B83, ParametersRange), 1, COLUMN()-2 )</f>
        <v>-662.66180936362628</v>
      </c>
      <c r="M83" s="2" cm="1">
        <f t="array" ref="M83">INDEX( ComputeThermoProps($A83, $B83, ParametersRange), 1, COLUMN()-2 )</f>
        <v>5518.061743313986</v>
      </c>
      <c r="N83" s="2" cm="1">
        <f t="array" ref="N83">INDEX( ComputeThermoProps($A83, $B83, ParametersRange), 1, COLUMN()-2 )</f>
        <v>3778.5860155659375</v>
      </c>
    </row>
    <row r="84" spans="1:14" x14ac:dyDescent="0.25">
      <c r="A84" s="2">
        <v>66.099999999999994</v>
      </c>
      <c r="B84" s="2">
        <f t="shared" si="1"/>
        <v>393.26721605024255</v>
      </c>
      <c r="C84" s="2" cm="1">
        <f t="array" ref="C84">INDEX( ComputeThermoProps($A84, $B84, ParametersRange), 1, COLUMN()-2 )</f>
        <v>11.589212405395164</v>
      </c>
      <c r="D84" s="2" cm="1">
        <f t="array" ref="D84">INDEX( ComputeThermoProps($A84, $B84, ParametersRange), 1, COLUMN()-2 )</f>
        <v>7.4475152035990749E-4</v>
      </c>
      <c r="E84" s="2" cm="1">
        <f t="array" ref="E84">INDEX( ComputeThermoProps($A84, $B84, ParametersRange), 1, COLUMN()-2 )</f>
        <v>4.4825352409888042E-4</v>
      </c>
      <c r="F84" s="2" cm="1">
        <f t="array" ref="F84">INDEX( ComputeThermoProps($A84, $B84, ParametersRange), 1, COLUMN()-2 )</f>
        <v>3.8284655968232667E-3</v>
      </c>
      <c r="G84" s="2" cm="1">
        <f t="array" ref="G84">INDEX( ComputeThermoProps($A84, $B84, ParametersRange), 1, COLUMN()-2 )</f>
        <v>37.868937223417142</v>
      </c>
      <c r="H84" s="2" cm="1">
        <f t="array" ref="H84">INDEX( ComputeThermoProps($A84, $B84, ParametersRange), 1, COLUMN()-2 )</f>
        <v>22.792681988850116</v>
      </c>
      <c r="I84" s="2" cm="1">
        <f t="array" ref="I84">INDEX( ComputeThermoProps($A84, $B84, ParametersRange), 1, COLUMN()-2 )</f>
        <v>2.6137969198157656</v>
      </c>
      <c r="J84" s="2" cm="1">
        <f t="array" ref="J84">INDEX( ComputeThermoProps($A84, $B84, ParametersRange), 1, COLUMN()-2 )</f>
        <v>1102.6512674726889</v>
      </c>
      <c r="K84" s="2" cm="1">
        <f t="array" ref="K84">INDEX( ComputeThermoProps($A84, $B84, ParametersRange), 1, COLUMN()-2 )</f>
        <v>26.759498039404111</v>
      </c>
      <c r="L84" s="2" cm="1">
        <f t="array" ref="L84">INDEX( ComputeThermoProps($A84, $B84, ParametersRange), 1, COLUMN()-2 )</f>
        <v>-666.15155293192265</v>
      </c>
      <c r="M84" s="2" cm="1">
        <f t="array" ref="M84">INDEX( ComputeThermoProps($A84, $B84, ParametersRange), 1, COLUMN()-2 )</f>
        <v>5660.3085663573802</v>
      </c>
      <c r="N84" s="2" cm="1">
        <f t="array" ref="N84">INDEX( ComputeThermoProps($A84, $B84, ParametersRange), 1, COLUMN()-2 )</f>
        <v>3891.5057459527684</v>
      </c>
    </row>
    <row r="85" spans="1:14" x14ac:dyDescent="0.25">
      <c r="A85" s="2">
        <v>67.099999999999994</v>
      </c>
      <c r="B85" s="2">
        <f t="shared" si="1"/>
        <v>405.38709273719024</v>
      </c>
      <c r="C85" s="2" cm="1">
        <f t="array" ref="C85">INDEX( ComputeThermoProps($A85, $B85, ParametersRange), 1, COLUMN()-2 )</f>
        <v>11.529638503818239</v>
      </c>
      <c r="D85" s="2" cm="1">
        <f t="array" ref="D85">INDEX( ComputeThermoProps($A85, $B85, ParametersRange), 1, COLUMN()-2 )</f>
        <v>7.3456741177705537E-4</v>
      </c>
      <c r="E85" s="2" cm="1">
        <f t="array" ref="E85">INDEX( ComputeThermoProps($A85, $B85, ParametersRange), 1, COLUMN()-2 )</f>
        <v>4.4131147825794546E-4</v>
      </c>
      <c r="F85" s="2" cm="1">
        <f t="array" ref="F85">INDEX( ComputeThermoProps($A85, $B85, ParametersRange), 1, COLUMN()-2 )</f>
        <v>3.7927556944507613E-3</v>
      </c>
      <c r="G85" s="2" cm="1">
        <f t="array" ref="G85">INDEX( ComputeThermoProps($A85, $B85, ParametersRange), 1, COLUMN()-2 )</f>
        <v>37.949070326691277</v>
      </c>
      <c r="H85" s="2" cm="1">
        <f t="array" ref="H85">INDEX( ComputeThermoProps($A85, $B85, ParametersRange), 1, COLUMN()-2 )</f>
        <v>22.798942691824401</v>
      </c>
      <c r="I85" s="2" cm="1">
        <f t="array" ref="I85">INDEX( ComputeThermoProps($A85, $B85, ParametersRange), 1, COLUMN()-2 )</f>
        <v>2.61110415273258</v>
      </c>
      <c r="J85" s="2" cm="1">
        <f t="array" ref="J85">INDEX( ComputeThermoProps($A85, $B85, ParametersRange), 1, COLUMN()-2 )</f>
        <v>1128.7948750961168</v>
      </c>
      <c r="K85" s="2" cm="1">
        <f t="array" ref="K85">INDEX( ComputeThermoProps($A85, $B85, ParametersRange), 1, COLUMN()-2 )</f>
        <v>26.794864471664585</v>
      </c>
      <c r="L85" s="2" cm="1">
        <f t="array" ref="L85">INDEX( ComputeThermoProps($A85, $B85, ParametersRange), 1, COLUMN()-2 )</f>
        <v>-669.14053095257668</v>
      </c>
      <c r="M85" s="2" cm="1">
        <f t="array" ref="M85">INDEX( ComputeThermoProps($A85, $B85, ParametersRange), 1, COLUMN()-2 )</f>
        <v>5802.7615084697609</v>
      </c>
      <c r="N85" s="2" cm="1">
        <f t="array" ref="N85">INDEX( ComputeThermoProps($A85, $B85, ParametersRange), 1, COLUMN()-2 )</f>
        <v>4004.8261024210674</v>
      </c>
    </row>
    <row r="86" spans="1:14" x14ac:dyDescent="0.25">
      <c r="A86" s="2">
        <v>68.099999999999994</v>
      </c>
      <c r="B86" s="2">
        <f t="shared" si="1"/>
        <v>417.60558623139832</v>
      </c>
      <c r="C86" s="2" cm="1">
        <f t="array" ref="C86">INDEX( ComputeThermoProps($A86, $B86, ParametersRange), 1, COLUMN()-2 )</f>
        <v>11.470540301654422</v>
      </c>
      <c r="D86" s="2" cm="1">
        <f t="array" ref="D86">INDEX( ComputeThermoProps($A86, $B86, ParametersRange), 1, COLUMN()-2 )</f>
        <v>7.2459047326374102E-4</v>
      </c>
      <c r="E86" s="2" cm="1">
        <f t="array" ref="E86">INDEX( ComputeThermoProps($A86, $B86, ParametersRange), 1, COLUMN()-2 )</f>
        <v>4.3454467056608435E-4</v>
      </c>
      <c r="F86" s="2" cm="1">
        <f t="array" ref="F86">INDEX( ComputeThermoProps($A86, $B86, ParametersRange), 1, COLUMN()-2 )</f>
        <v>3.7575711514587079E-3</v>
      </c>
      <c r="G86" s="2" cm="1">
        <f t="array" ref="G86">INDEX( ComputeThermoProps($A86, $B86, ParametersRange), 1, COLUMN()-2 )</f>
        <v>38.025840987898228</v>
      </c>
      <c r="H86" s="2" cm="1">
        <f t="array" ref="H86">INDEX( ComputeThermoProps($A86, $B86, ParametersRange), 1, COLUMN()-2 )</f>
        <v>22.804504274885847</v>
      </c>
      <c r="I86" s="2" cm="1">
        <f t="array" ref="I86">INDEX( ComputeThermoProps($A86, $B86, ParametersRange), 1, COLUMN()-2 )</f>
        <v>2.6084218670145756</v>
      </c>
      <c r="J86" s="2" cm="1">
        <f t="array" ref="J86">INDEX( ComputeThermoProps($A86, $B86, ParametersRange), 1, COLUMN()-2 )</f>
        <v>1155.2420955781392</v>
      </c>
      <c r="K86" s="2" cm="1">
        <f t="array" ref="K86">INDEX( ComputeThermoProps($A86, $B86, ParametersRange), 1, COLUMN()-2 )</f>
        <v>26.826370182916381</v>
      </c>
      <c r="L86" s="2" cm="1">
        <f t="array" ref="L86">INDEX( ComputeThermoProps($A86, $B86, ParametersRange), 1, COLUMN()-2 )</f>
        <v>-671.63371387846621</v>
      </c>
      <c r="M86" s="2" cm="1">
        <f t="array" ref="M86">INDEX( ComputeThermoProps($A86, $B86, ParametersRange), 1, COLUMN()-2 )</f>
        <v>5945.4038026414146</v>
      </c>
      <c r="N86" s="2" cm="1">
        <f t="array" ref="N86">INDEX( ComputeThermoProps($A86, $B86, ParametersRange), 1, COLUMN()-2 )</f>
        <v>4118.527993184809</v>
      </c>
    </row>
    <row r="87" spans="1:14" x14ac:dyDescent="0.25">
      <c r="A87" s="2">
        <v>69.099999999999994</v>
      </c>
      <c r="B87" s="2">
        <f t="shared" si="1"/>
        <v>429.92128461422504</v>
      </c>
      <c r="C87" s="2" cm="1">
        <f t="array" ref="C87">INDEX( ComputeThermoProps($A87, $B87, ParametersRange), 1, COLUMN()-2 )</f>
        <v>11.411925039642808</v>
      </c>
      <c r="D87" s="2" cm="1">
        <f t="array" ref="D87">INDEX( ComputeThermoProps($A87, $B87, ParametersRange), 1, COLUMN()-2 )</f>
        <v>7.1481706752908733E-4</v>
      </c>
      <c r="E87" s="2" cm="1">
        <f t="array" ref="E87">INDEX( ComputeThermoProps($A87, $B87, ParametersRange), 1, COLUMN()-2 )</f>
        <v>4.2794759867922021E-4</v>
      </c>
      <c r="F87" s="2" cm="1">
        <f t="array" ref="F87">INDEX( ComputeThermoProps($A87, $B87, ParametersRange), 1, COLUMN()-2 )</f>
        <v>3.7229126688519782E-3</v>
      </c>
      <c r="G87" s="2" cm="1">
        <f t="array" ref="G87">INDEX( ComputeThermoProps($A87, $B87, ParametersRange), 1, COLUMN()-2 )</f>
        <v>38.099416629407457</v>
      </c>
      <c r="H87" s="2" cm="1">
        <f t="array" ref="H87">INDEX( ComputeThermoProps($A87, $B87, ParametersRange), 1, COLUMN()-2 )</f>
        <v>22.809407606891824</v>
      </c>
      <c r="I87" s="2" cm="1">
        <f t="array" ref="I87">INDEX( ComputeThermoProps($A87, $B87, ParametersRange), 1, COLUMN()-2 )</f>
        <v>2.6057505576077347</v>
      </c>
      <c r="J87" s="2" cm="1">
        <f t="array" ref="J87">INDEX( ComputeThermoProps($A87, $B87, ParametersRange), 1, COLUMN()-2 )</f>
        <v>1181.9901114738325</v>
      </c>
      <c r="K87" s="2" cm="1">
        <f t="array" ref="K87">INDEX( ComputeThermoProps($A87, $B87, ParametersRange), 1, COLUMN()-2 )</f>
        <v>26.85421648991835</v>
      </c>
      <c r="L87" s="2" cm="1">
        <f t="array" ref="L87">INDEX( ComputeThermoProps($A87, $B87, ParametersRange), 1, COLUMN()-2 )</f>
        <v>-673.63624797952536</v>
      </c>
      <c r="M87" s="2" cm="1">
        <f t="array" ref="M87">INDEX( ComputeThermoProps($A87, $B87, ParametersRange), 1, COLUMN()-2 )</f>
        <v>6088.2195844383095</v>
      </c>
      <c r="N87" s="2" cm="1">
        <f t="array" ref="N87">INDEX( ComputeThermoProps($A87, $B87, ParametersRange), 1, COLUMN()-2 )</f>
        <v>4232.593224984952</v>
      </c>
    </row>
    <row r="88" spans="1:14" x14ac:dyDescent="0.25">
      <c r="A88" s="2">
        <v>70.099999999999994</v>
      </c>
      <c r="B88" s="2">
        <f t="shared" si="1"/>
        <v>442.33282611243709</v>
      </c>
      <c r="C88" s="2" cm="1">
        <f t="array" ref="C88">INDEX( ComputeThermoProps($A88, $B88, ParametersRange), 1, COLUMN()-2 )</f>
        <v>11.353798730082225</v>
      </c>
      <c r="D88" s="2" cm="1">
        <f t="array" ref="D88">INDEX( ComputeThermoProps($A88, $B88, ParametersRange), 1, COLUMN()-2 )</f>
        <v>7.0524344099526064E-4</v>
      </c>
      <c r="E88" s="2" cm="1">
        <f t="array" ref="E88">INDEX( ComputeThermoProps($A88, $B88, ParametersRange), 1, COLUMN()-2 )</f>
        <v>4.2151492870560168E-4</v>
      </c>
      <c r="F88" s="2" cm="1">
        <f t="array" ref="F88">INDEX( ComputeThermoProps($A88, $B88, ParametersRange), 1, COLUMN()-2 )</f>
        <v>3.6887795945443904E-3</v>
      </c>
      <c r="G88" s="2" cm="1">
        <f t="array" ref="G88">INDEX( ComputeThermoProps($A88, $B88, ParametersRange), 1, COLUMN()-2 )</f>
        <v>38.169954467028418</v>
      </c>
      <c r="H88" s="2" cm="1">
        <f t="array" ref="H88">INDEX( ComputeThermoProps($A88, $B88, ParametersRange), 1, COLUMN()-2 )</f>
        <v>22.813690565005437</v>
      </c>
      <c r="I88" s="2" cm="1">
        <f t="array" ref="I88">INDEX( ComputeThermoProps($A88, $B88, ParametersRange), 1, COLUMN()-2 )</f>
        <v>2.6030906698544554</v>
      </c>
      <c r="J88" s="2" cm="1">
        <f t="array" ref="J88">INDEX( ComputeThermoProps($A88, $B88, ParametersRange), 1, COLUMN()-2 )</f>
        <v>1209.0359545761353</v>
      </c>
      <c r="K88" s="2" cm="1">
        <f t="array" ref="K88">INDEX( ComputeThermoProps($A88, $B88, ParametersRange), 1, COLUMN()-2 )</f>
        <v>26.87859319334488</v>
      </c>
      <c r="L88" s="2" cm="1">
        <f t="array" ref="L88">INDEX( ComputeThermoProps($A88, $B88, ParametersRange), 1, COLUMN()-2 )</f>
        <v>-675.15342827734071</v>
      </c>
      <c r="M88" s="2" cm="1">
        <f t="array" ref="M88">INDEX( ComputeThermoProps($A88, $B88, ParametersRange), 1, COLUMN()-2 )</f>
        <v>6231.1938339652052</v>
      </c>
      <c r="N88" s="2" cm="1">
        <f t="array" ref="N88">INDEX( ComputeThermoProps($A88, $B88, ParametersRange), 1, COLUMN()-2 )</f>
        <v>4347.0044511117294</v>
      </c>
    </row>
    <row r="89" spans="1:14" x14ac:dyDescent="0.25">
      <c r="A89" s="2">
        <v>71.099999999999994</v>
      </c>
      <c r="B89" s="2">
        <f t="shared" si="1"/>
        <v>454.8388963087811</v>
      </c>
      <c r="C89" s="2" cm="1">
        <f t="array" ref="C89">INDEX( ComputeThermoProps($A89, $B89, ParametersRange), 1, COLUMN()-2 )</f>
        <v>11.29616626657546</v>
      </c>
      <c r="D89" s="2" cm="1">
        <f t="array" ref="D89">INDEX( ComputeThermoProps($A89, $B89, ParametersRange), 1, COLUMN()-2 )</f>
        <v>6.9586575229531496E-4</v>
      </c>
      <c r="E89" s="2" cm="1">
        <f t="array" ref="E89">INDEX( ComputeThermoProps($A89, $B89, ParametersRange), 1, COLUMN()-2 )</f>
        <v>4.1524149403608044E-4</v>
      </c>
      <c r="F89" s="2" cm="1">
        <f t="array" ref="F89">INDEX( ComputeThermoProps($A89, $B89, ParametersRange), 1, COLUMN()-2 )</f>
        <v>3.6551700979711513E-3</v>
      </c>
      <c r="G89" s="2" cm="1">
        <f t="array" ref="G89">INDEX( ComputeThermoProps($A89, $B89, ParametersRange), 1, COLUMN()-2 )</f>
        <v>38.237602202296976</v>
      </c>
      <c r="H89" s="2" cm="1">
        <f t="array" ref="H89">INDEX( ComputeThermoProps($A89, $B89, ParametersRange), 1, COLUMN()-2 )</f>
        <v>22.817388288568626</v>
      </c>
      <c r="I89" s="2" cm="1">
        <f t="array" ref="I89">INDEX( ComputeThermoProps($A89, $B89, ParametersRange), 1, COLUMN()-2 )</f>
        <v>2.6004426033974619</v>
      </c>
      <c r="J89" s="2" cm="1">
        <f t="array" ref="J89">INDEX( ComputeThermoProps($A89, $B89, ParametersRange), 1, COLUMN()-2 )</f>
        <v>1236.3765251361494</v>
      </c>
      <c r="K89" s="2" cm="1">
        <f t="array" ref="K89">INDEX( ComputeThermoProps($A89, $B89, ParametersRange), 1, COLUMN()-2 )</f>
        <v>26.899679314028223</v>
      </c>
      <c r="L89" s="2" cm="1">
        <f t="array" ref="L89">INDEX( ComputeThermoProps($A89, $B89, ParametersRange), 1, COLUMN()-2 )</f>
        <v>-676.19067409125705</v>
      </c>
      <c r="M89" s="2" cm="1">
        <f t="array" ref="M89">INDEX( ComputeThermoProps($A89, $B89, ParametersRange), 1, COLUMN()-2 )</f>
        <v>6374.312322345816</v>
      </c>
      <c r="N89" s="2" cm="1">
        <f t="array" ref="N89">INDEX( ComputeThermoProps($A89, $B89, ParametersRange), 1, COLUMN()-2 )</f>
        <v>4461.7451231184095</v>
      </c>
    </row>
    <row r="90" spans="1:14" x14ac:dyDescent="0.25">
      <c r="A90" s="2">
        <v>72.099999999999994</v>
      </c>
      <c r="B90" s="2">
        <f t="shared" si="1"/>
        <v>467.43822556102043</v>
      </c>
      <c r="C90" s="2" cm="1">
        <f t="array" ref="C90">INDEX( ComputeThermoProps($A90, $B90, ParametersRange), 1, COLUMN()-2 )</f>
        <v>11.239031524575619</v>
      </c>
      <c r="D90" s="2" cm="1">
        <f t="array" ref="D90">INDEX( ComputeThermoProps($A90, $B90, ParametersRange), 1, COLUMN()-2 )</f>
        <v>6.8668009731612007E-4</v>
      </c>
      <c r="E90" s="2" cm="1">
        <f t="array" ref="E90">INDEX( ComputeThermoProps($A90, $B90, ParametersRange), 1, COLUMN()-2 )</f>
        <v>4.0912229343832821E-4</v>
      </c>
      <c r="F90" s="2" cm="1">
        <f t="array" ref="F90">INDEX( ComputeThermoProps($A90, $B90, ParametersRange), 1, COLUMN()-2 )</f>
        <v>3.6220813275270282E-3</v>
      </c>
      <c r="G90" s="2" cm="1">
        <f t="array" ref="G90">INDEX( ComputeThermoProps($A90, $B90, ParametersRange), 1, COLUMN()-2 )</f>
        <v>38.302498687311747</v>
      </c>
      <c r="H90" s="2" cm="1">
        <f t="array" ref="H90">INDEX( ComputeThermoProps($A90, $B90, ParametersRange), 1, COLUMN()-2 )</f>
        <v>22.820533416679922</v>
      </c>
      <c r="I90" s="2" cm="1">
        <f t="array" ref="I90">INDEX( ComputeThermoProps($A90, $B90, ParametersRange), 1, COLUMN()-2 )</f>
        <v>2.5978067157751035</v>
      </c>
      <c r="J90" s="2" cm="1">
        <f t="array" ref="J90">INDEX( ComputeThermoProps($A90, $B90, ParametersRange), 1, COLUMN()-2 )</f>
        <v>1264.0086094314263</v>
      </c>
      <c r="K90" s="2" cm="1">
        <f t="array" ref="K90">INDEX( ComputeThermoProps($A90, $B90, ParametersRange), 1, COLUMN()-2 )</f>
        <v>26.917643778024377</v>
      </c>
      <c r="L90" s="2" cm="1">
        <f t="array" ref="L90">INDEX( ComputeThermoProps($A90, $B90, ParametersRange), 1, COLUMN()-2 )</f>
        <v>-676.75350696413113</v>
      </c>
      <c r="M90" s="2" cm="1">
        <f t="array" ref="M90">INDEX( ComputeThermoProps($A90, $B90, ParametersRange), 1, COLUMN()-2 )</f>
        <v>6517.5615623034237</v>
      </c>
      <c r="N90" s="2" cm="1">
        <f t="array" ref="N90">INDEX( ComputeThermoProps($A90, $B90, ParametersRange), 1, COLUMN()-2 )</f>
        <v>4576.7994459078664</v>
      </c>
    </row>
    <row r="91" spans="1:14" x14ac:dyDescent="0.25">
      <c r="A91" s="2">
        <v>73.099999999999994</v>
      </c>
      <c r="B91" s="2">
        <f t="shared" si="1"/>
        <v>480.12958661006644</v>
      </c>
      <c r="C91" s="2" cm="1">
        <f t="array" ref="C91">INDEX( ComputeThermoProps($A91, $B91, ParametersRange), 1, COLUMN()-2 )</f>
        <v>11.18239745350691</v>
      </c>
      <c r="D91" s="2" cm="1">
        <f t="array" ref="D91">INDEX( ComputeThermoProps($A91, $B91, ParametersRange), 1, COLUMN()-2 )</f>
        <v>6.7768253088084794E-4</v>
      </c>
      <c r="E91" s="2" cm="1">
        <f t="array" ref="E91">INDEX( ComputeThermoProps($A91, $B91, ParametersRange), 1, COLUMN()-2 )</f>
        <v>4.0315248855322976E-4</v>
      </c>
      <c r="F91" s="2" cm="1">
        <f t="array" ref="F91">INDEX( ComputeThermoProps($A91, $B91, ParametersRange), 1, COLUMN()-2 )</f>
        <v>3.5895095488287202E-3</v>
      </c>
      <c r="G91" s="2" cm="1">
        <f t="array" ref="G91">INDEX( ComputeThermoProps($A91, $B91, ParametersRange), 1, COLUMN()-2 )</f>
        <v>38.364774523820557</v>
      </c>
      <c r="H91" s="2" cm="1">
        <f t="array" ref="H91">INDEX( ComputeThermoProps($A91, $B91, ParametersRange), 1, COLUMN()-2 )</f>
        <v>22.823156297032003</v>
      </c>
      <c r="I91" s="2" cm="1">
        <f t="array" ref="I91">INDEX( ComputeThermoProps($A91, $B91, ParametersRange), 1, COLUMN()-2 )</f>
        <v>2.5951833257333119</v>
      </c>
      <c r="J91" s="2" cm="1">
        <f t="array" ref="J91">INDEX( ComputeThermoProps($A91, $B91, ParametersRange), 1, COLUMN()-2 )</f>
        <v>1291.9288958079828</v>
      </c>
      <c r="K91" s="2" cm="1">
        <f t="array" ref="K91">INDEX( ComputeThermoProps($A91, $B91, ParametersRange), 1, COLUMN()-2 )</f>
        <v>26.932646054219322</v>
      </c>
      <c r="L91" s="2" cm="1">
        <f t="array" ref="L91">INDEX( ComputeThermoProps($A91, $B91, ParametersRange), 1, COLUMN()-2 )</f>
        <v>-676.8475307554495</v>
      </c>
      <c r="M91" s="2" cm="1">
        <f t="array" ref="M91">INDEX( ComputeThermoProps($A91, $B91, ParametersRange), 1, COLUMN()-2 )</f>
        <v>6660.9287624697154</v>
      </c>
      <c r="N91" s="2" cm="1">
        <f t="array" ref="N91">INDEX( ComputeThermoProps($A91, $B91, ParametersRange), 1, COLUMN()-2 )</f>
        <v>4692.152335906283</v>
      </c>
    </row>
    <row r="92" spans="1:14" x14ac:dyDescent="0.25">
      <c r="A92" s="2">
        <v>74.099999999999994</v>
      </c>
      <c r="B92" s="2">
        <f t="shared" si="1"/>
        <v>492.91179235997663</v>
      </c>
      <c r="C92" s="2" cm="1">
        <f t="array" ref="C92">INDEX( ComputeThermoProps($A92, $B92, ParametersRange), 1, COLUMN()-2 )</f>
        <v>11.126266161167246</v>
      </c>
      <c r="D92" s="2" cm="1">
        <f t="array" ref="D92">INDEX( ComputeThermoProps($A92, $B92, ParametersRange), 1, COLUMN()-2 )</f>
        <v>6.6886908581065773E-4</v>
      </c>
      <c r="E92" s="2" cm="1">
        <f t="array" ref="E92">INDEX( ComputeThermoProps($A92, $B92, ParametersRange), 1, COLUMN()-2 )</f>
        <v>3.9732740091123325E-4</v>
      </c>
      <c r="F92" s="2" cm="1">
        <f t="array" ref="F92">INDEX( ComputeThermoProps($A92, $B92, ParametersRange), 1, COLUMN()-2 )</f>
        <v>3.5574502705456616E-3</v>
      </c>
      <c r="G92" s="2" cm="1">
        <f t="array" ref="G92">INDEX( ComputeThermoProps($A92, $B92, ParametersRange), 1, COLUMN()-2 )</f>
        <v>38.424552651187582</v>
      </c>
      <c r="H92" s="2" cm="1">
        <f t="array" ref="H92">INDEX( ComputeThermoProps($A92, $B92, ParametersRange), 1, COLUMN()-2 )</f>
        <v>22.825285186517039</v>
      </c>
      <c r="I92" s="2" cm="1">
        <f t="array" ref="I92">INDEX( ComputeThermoProps($A92, $B92, ParametersRange), 1, COLUMN()-2 )</f>
        <v>2.5925727162773606</v>
      </c>
      <c r="J92" s="2" cm="1">
        <f t="array" ref="J92">INDEX( ComputeThermoProps($A92, $B92, ParametersRange), 1, COLUMN()-2 )</f>
        <v>1320.1339893138495</v>
      </c>
      <c r="K92" s="2" cm="1">
        <f t="array" ref="K92">INDEX( ComputeThermoProps($A92, $B92, ParametersRange), 1, COLUMN()-2 )</f>
        <v>26.944836747928282</v>
      </c>
      <c r="L92" s="2" cm="1">
        <f t="array" ref="L92">INDEX( ComputeThermoProps($A92, $B92, ParametersRange), 1, COLUMN()-2 )</f>
        <v>-676.47841370763604</v>
      </c>
      <c r="M92" s="2" cm="1">
        <f t="array" ref="M92">INDEX( ComputeThermoProps($A92, $B92, ParametersRange), 1, COLUMN()-2 )</f>
        <v>6804.4017850889531</v>
      </c>
      <c r="N92" s="2" cm="1">
        <f t="array" ref="N92">INDEX( ComputeThermoProps($A92, $B92, ParametersRange), 1, COLUMN()-2 )</f>
        <v>4807.7893820674681</v>
      </c>
    </row>
    <row r="93" spans="1:14" x14ac:dyDescent="0.25">
      <c r="A93" s="2">
        <v>75.099999999999994</v>
      </c>
      <c r="B93" s="2">
        <f t="shared" si="1"/>
        <v>505.78369381445168</v>
      </c>
      <c r="C93" s="2" cm="1">
        <f t="array" ref="C93">INDEX( ComputeThermoProps($A93, $B93, ParametersRange), 1, COLUMN()-2 )</f>
        <v>11.070638991060385</v>
      </c>
      <c r="D93" s="2" cm="1">
        <f t="array" ref="D93">INDEX( ComputeThermoProps($A93, $B93, ParametersRange), 1, COLUMN()-2 )</f>
        <v>6.6023578902136475E-4</v>
      </c>
      <c r="E93" s="2" cm="1">
        <f t="array" ref="E93">INDEX( ComputeThermoProps($A93, $B93, ParametersRange), 1, COLUMN()-2 )</f>
        <v>3.9164250856886989E-4</v>
      </c>
      <c r="F93" s="2" cm="1">
        <f t="array" ref="F93">INDEX( ComputeThermoProps($A93, $B93, ParametersRange), 1, COLUMN()-2 )</f>
        <v>3.5258983507125189E-3</v>
      </c>
      <c r="G93" s="2" cm="1">
        <f t="array" ref="G93">INDEX( ComputeThermoProps($A93, $B93, ParametersRange), 1, COLUMN()-2 )</f>
        <v>38.481948833290936</v>
      </c>
      <c r="H93" s="2" cm="1">
        <f t="array" ref="H93">INDEX( ComputeThermoProps($A93, $B93, ParametersRange), 1, COLUMN()-2 )</f>
        <v>22.826946412626633</v>
      </c>
      <c r="I93" s="2" cm="1">
        <f t="array" ref="I93">INDEX( ComputeThermoProps($A93, $B93, ParametersRange), 1, COLUMN()-2 )</f>
        <v>2.5899751374846098</v>
      </c>
      <c r="J93" s="2" cm="1">
        <f t="array" ref="J93">INDEX( ComputeThermoProps($A93, $B93, ParametersRange), 1, COLUMN()-2 )</f>
        <v>1348.6204250341445</v>
      </c>
      <c r="K93" s="2" cm="1">
        <f t="array" ref="K93">INDEX( ComputeThermoProps($A93, $B93, ParametersRange), 1, COLUMN()-2 )</f>
        <v>26.954358153691192</v>
      </c>
      <c r="L93" s="2" cm="1">
        <f t="array" ref="L93">INDEX( ComputeThermoProps($A93, $B93, ParametersRange), 1, COLUMN()-2 )</f>
        <v>-675.65187230806384</v>
      </c>
      <c r="M93" s="2" cm="1">
        <f t="array" ref="M93">INDEX( ComputeThermoProps($A93, $B93, ParametersRange), 1, COLUMN()-2 )</f>
        <v>6947.9691068189604</v>
      </c>
      <c r="N93" s="2" cm="1">
        <f t="array" ref="N93">INDEX( ComputeThermoProps($A93, $B93, ParametersRange), 1, COLUMN()-2 )</f>
        <v>4923.6968094767517</v>
      </c>
    </row>
    <row r="94" spans="1:14" x14ac:dyDescent="0.25">
      <c r="A94" s="2">
        <v>76.099999999999994</v>
      </c>
      <c r="B94" s="2">
        <f t="shared" si="1"/>
        <v>518.74417815609024</v>
      </c>
      <c r="C94" s="2" cm="1">
        <f t="array" ref="C94">INDEX( ComputeThermoProps($A94, $B94, ParametersRange), 1, COLUMN()-2 )</f>
        <v>11.015516593250601</v>
      </c>
      <c r="D94" s="2" cm="1">
        <f t="array" ref="D94">INDEX( ComputeThermoProps($A94, $B94, ParametersRange), 1, COLUMN()-2 )</f>
        <v>6.5177867584934501E-4</v>
      </c>
      <c r="E94" s="2" cm="1">
        <f t="array" ref="E94">INDEX( ComputeThermoProps($A94, $B94, ParametersRange), 1, COLUMN()-2 )</f>
        <v>3.8609344245054713E-4</v>
      </c>
      <c r="F94" s="2" cm="1">
        <f t="array" ref="F94">INDEX( ComputeThermoProps($A94, $B94, ParametersRange), 1, COLUMN()-2 )</f>
        <v>3.4948480968216939E-3</v>
      </c>
      <c r="G94" s="2" cm="1">
        <f t="array" ref="G94">INDEX( ComputeThermoProps($A94, $B94, ParametersRange), 1, COLUMN()-2 )</f>
        <v>38.537072173027084</v>
      </c>
      <c r="H94" s="2" cm="1">
        <f t="array" ref="H94">INDEX( ComputeThermoProps($A94, $B94, ParametersRange), 1, COLUMN()-2 )</f>
        <v>22.828164541990002</v>
      </c>
      <c r="I94" s="2" cm="1">
        <f t="array" ref="I94">INDEX( ComputeThermoProps($A94, $B94, ParametersRange), 1, COLUMN()-2 )</f>
        <v>2.5873908090976365</v>
      </c>
      <c r="J94" s="2" cm="1">
        <f t="array" ref="J94">INDEX( ComputeThermoProps($A94, $B94, ParametersRange), 1, COLUMN()-2 )</f>
        <v>1377.3846802301414</v>
      </c>
      <c r="K94" s="2" cm="1">
        <f t="array" ref="K94">INDEX( ComputeThermoProps($A94, $B94, ParametersRange), 1, COLUMN()-2 )</f>
        <v>26.961344770233755</v>
      </c>
      <c r="L94" s="2" cm="1">
        <f t="array" ref="L94">INDEX( ComputeThermoProps($A94, $B94, ParametersRange), 1, COLUMN()-2 )</f>
        <v>-674.37365678464721</v>
      </c>
      <c r="M94" s="2" cm="1">
        <f t="array" ref="M94">INDEX( ComputeThermoProps($A94, $B94, ParametersRange), 1, COLUMN()-2 )</f>
        <v>7091.619782360699</v>
      </c>
      <c r="N94" s="2" cm="1">
        <f t="array" ref="N94">INDEX( ComputeThermoProps($A94, $B94, ParametersRange), 1, COLUMN()-2 )</f>
        <v>5039.8614453459104</v>
      </c>
    </row>
    <row r="95" spans="1:14" x14ac:dyDescent="0.25">
      <c r="A95" s="2">
        <v>77.099999999999994</v>
      </c>
      <c r="B95" s="2">
        <f t="shared" si="1"/>
        <v>531.79216695610103</v>
      </c>
      <c r="C95" s="2" cm="1">
        <f t="array" ref="C95">INDEX( ComputeThermoProps($A95, $B95, ParametersRange), 1, COLUMN()-2 )</f>
        <v>10.960898989282876</v>
      </c>
      <c r="D95" s="2" cm="1">
        <f t="array" ref="D95">INDEX( ComputeThermoProps($A95, $B95, ParametersRange), 1, COLUMN()-2 )</f>
        <v>6.4349380194987193E-4</v>
      </c>
      <c r="E95" s="2" cm="1">
        <f t="array" ref="E95">INDEX( ComputeThermoProps($A95, $B95, ParametersRange), 1, COLUMN()-2 )</f>
        <v>3.8067598246772287E-4</v>
      </c>
      <c r="F95" s="2" cm="1">
        <f t="array" ref="F95">INDEX( ComputeThermoProps($A95, $B95, ParametersRange), 1, COLUMN()-2 )</f>
        <v>3.4642933490457834E-3</v>
      </c>
      <c r="G95" s="2" cm="1">
        <f t="array" ref="G95">INDEX( ComputeThermoProps($A95, $B95, ParametersRange), 1, COLUMN()-2 )</f>
        <v>38.590025528569058</v>
      </c>
      <c r="H95" s="2" cm="1">
        <f t="array" ref="H95">INDEX( ComputeThermoProps($A95, $B95, ParametersRange), 1, COLUMN()-2 )</f>
        <v>22.828962512193559</v>
      </c>
      <c r="I95" s="2" cm="1">
        <f t="array" ref="I95">INDEX( ComputeThermoProps($A95, $B95, ParametersRange), 1, COLUMN()-2 )</f>
        <v>2.5848199229155449</v>
      </c>
      <c r="J95" s="2" cm="1">
        <f t="array" ref="J95">INDEX( ComputeThermoProps($A95, $B95, ParametersRange), 1, COLUMN()-2 )</f>
        <v>1406.4231853776848</v>
      </c>
      <c r="K95" s="2" cm="1">
        <f t="array" ref="K95">INDEX( ComputeThermoProps($A95, $B95, ParametersRange), 1, COLUMN()-2 )</f>
        <v>26.96592378034693</v>
      </c>
      <c r="L95" s="2" cm="1">
        <f t="array" ref="L95">INDEX( ComputeThermoProps($A95, $B95, ParametersRange), 1, COLUMN()-2 )</f>
        <v>-672.64953808706332</v>
      </c>
      <c r="M95" s="2" cm="1">
        <f t="array" ref="M95">INDEX( ComputeThermoProps($A95, $B95, ParametersRange), 1, COLUMN()-2 )</f>
        <v>7235.343410675363</v>
      </c>
      <c r="N95" s="2" cm="1">
        <f t="array" ref="N95">INDEX( ComputeThermoProps($A95, $B95, ParametersRange), 1, COLUMN()-2 )</f>
        <v>5156.2706872106146</v>
      </c>
    </row>
    <row r="96" spans="1:14" x14ac:dyDescent="0.25">
      <c r="A96" s="2">
        <v>78.099999999999994</v>
      </c>
      <c r="B96" s="2">
        <f t="shared" si="1"/>
        <v>544.92661450342757</v>
      </c>
      <c r="C96" s="2" cm="1">
        <f t="array" ref="C96">INDEX( ComputeThermoProps($A96, $B96, ParametersRange), 1, COLUMN()-2 )</f>
        <v>10.906785631665418</v>
      </c>
      <c r="D96" s="2" cm="1">
        <f t="array" ref="D96">INDEX( ComputeThermoProps($A96, $B96, ParametersRange), 1, COLUMN()-2 )</f>
        <v>6.3537725372581056E-4</v>
      </c>
      <c r="E96" s="2" cm="1">
        <f t="array" ref="E96">INDEX( ComputeThermoProps($A96, $B96, ParametersRange), 1, COLUMN()-2 )</f>
        <v>3.7538605347643082E-4</v>
      </c>
      <c r="F96" s="2" cm="1">
        <f t="array" ref="F96">INDEX( ComputeThermoProps($A96, $B96, ParametersRange), 1, COLUMN()-2 )</f>
        <v>3.4342275573046319E-3</v>
      </c>
      <c r="G96" s="2" cm="1">
        <f t="array" ref="G96">INDEX( ComputeThermoProps($A96, $B96, ParametersRange), 1, COLUMN()-2 )</f>
        <v>38.640905936525051</v>
      </c>
      <c r="H96" s="2" cm="1">
        <f t="array" ref="H96">INDEX( ComputeThermoProps($A96, $B96, ParametersRange), 1, COLUMN()-2 )</f>
        <v>22.829361764539492</v>
      </c>
      <c r="I96" s="2" cm="1">
        <f t="array" ref="I96">INDEX( ComputeThermoProps($A96, $B96, ParametersRange), 1, COLUMN()-2 )</f>
        <v>2.582262644999711</v>
      </c>
      <c r="J96" s="2" cm="1">
        <f t="array" ref="J96">INDEX( ComputeThermoProps($A96, $B96, ParametersRange), 1, COLUMN()-2 )</f>
        <v>1435.7323341933748</v>
      </c>
      <c r="K96" s="2" cm="1">
        <f t="array" ref="K96">INDEX( ComputeThermoProps($A96, $B96, ParametersRange), 1, COLUMN()-2 )</f>
        <v>26.968215498231782</v>
      </c>
      <c r="L96" s="2" cm="1">
        <f t="array" ref="L96">INDEX( ComputeThermoProps($A96, $B96, ParametersRange), 1, COLUMN()-2 )</f>
        <v>-670.48529621852731</v>
      </c>
      <c r="M96" s="2" cm="1">
        <f t="array" ref="M96">INDEX( ComputeThermoProps($A96, $B96, ParametersRange), 1, COLUMN()-2 )</f>
        <v>7379.1301035714387</v>
      </c>
      <c r="N96" s="2" cm="1">
        <f t="array" ref="N96">INDEX( ComputeThermoProps($A96, $B96, ParametersRange), 1, COLUMN()-2 )</f>
        <v>5272.9124731595366</v>
      </c>
    </row>
    <row r="97" spans="1:14" x14ac:dyDescent="0.25">
      <c r="A97" s="2">
        <v>79.099999999999994</v>
      </c>
      <c r="B97" s="2">
        <f t="shared" si="1"/>
        <v>558.1465062433499</v>
      </c>
      <c r="C97" s="2" cm="1">
        <f t="array" ref="C97">INDEX( ComputeThermoProps($A97, $B97, ParametersRange), 1, COLUMN()-2 )</f>
        <v>10.853175458369405</v>
      </c>
      <c r="D97" s="2" cm="1">
        <f t="array" ref="D97">INDEX( ComputeThermoProps($A97, $B97, ParametersRange), 1, COLUMN()-2 )</f>
        <v>6.2742515731885589E-4</v>
      </c>
      <c r="E97" s="2" cm="1">
        <f t="array" ref="E97">INDEX( ComputeThermoProps($A97, $B97, ParametersRange), 1, COLUMN()-2 )</f>
        <v>3.7021972112453549E-4</v>
      </c>
      <c r="F97" s="2" cm="1">
        <f t="array" ref="F97">INDEX( ComputeThermoProps($A97, $B97, ParametersRange), 1, COLUMN()-2 )</f>
        <v>3.4046438510048462E-3</v>
      </c>
      <c r="G97" s="2" cm="1">
        <f t="array" ref="G97">INDEX( ComputeThermoProps($A97, $B97, ParametersRange), 1, COLUMN()-2 )</f>
        <v>38.689805021912491</v>
      </c>
      <c r="H97" s="2" cm="1">
        <f t="array" ref="H97">INDEX( ComputeThermoProps($A97, $B97, ParametersRange), 1, COLUMN()-2 )</f>
        <v>22.829382370933228</v>
      </c>
      <c r="I97" s="2" cm="1">
        <f t="array" ref="I97">INDEX( ComputeThermoProps($A97, $B97, ParametersRange), 1, COLUMN()-2 )</f>
        <v>2.5797191177088981</v>
      </c>
      <c r="J97" s="2" cm="1">
        <f t="array" ref="J97">INDEX( ComputeThermoProps($A97, $B97, ParametersRange), 1, COLUMN()-2 )</f>
        <v>1465.3084927305488</v>
      </c>
      <c r="K97" s="2" cm="1">
        <f t="array" ref="K97">INDEX( ComputeThermoProps($A97, $B97, ParametersRange), 1, COLUMN()-2 )</f>
        <v>26.968333786669593</v>
      </c>
      <c r="L97" s="2" cm="1">
        <f t="array" ref="L97">INDEX( ComputeThermoProps($A97, $B97, ParametersRange), 1, COLUMN()-2 )</f>
        <v>-667.88670979501592</v>
      </c>
      <c r="M97" s="2" cm="1">
        <f t="array" ref="M97">INDEX( ComputeThermoProps($A97, $B97, ParametersRange), 1, COLUMN()-2 )</f>
        <v>7522.9704564654994</v>
      </c>
      <c r="N97" s="2" cm="1">
        <f t="array" ref="N97">INDEX( ComputeThermoProps($A97, $B97, ParametersRange), 1, COLUMN()-2 )</f>
        <v>5389.7752539399344</v>
      </c>
    </row>
    <row r="98" spans="1:14" x14ac:dyDescent="0.25">
      <c r="A98" s="2">
        <v>80.099999999999994</v>
      </c>
      <c r="B98" s="2">
        <f t="shared" si="1"/>
        <v>571.45085731661868</v>
      </c>
      <c r="C98" s="2" cm="1">
        <f t="array" ref="C98">INDEX( ComputeThermoProps($A98, $B98, ParametersRange), 1, COLUMN()-2 )</f>
        <v>10.800066942762216</v>
      </c>
      <c r="D98" s="2" cm="1">
        <f t="array" ref="D98">INDEX( ComputeThermoProps($A98, $B98, ParametersRange), 1, COLUMN()-2 )</f>
        <v>6.1963368568759836E-4</v>
      </c>
      <c r="E98" s="2" cm="1">
        <f t="array" ref="E98">INDEX( ComputeThermoProps($A98, $B98, ParametersRange), 1, COLUMN()-2 )</f>
        <v>3.651731876318784E-4</v>
      </c>
      <c r="F98" s="2" cm="1">
        <f t="array" ref="F98">INDEX( ComputeThermoProps($A98, $B98, ParametersRange), 1, COLUMN()-2 )</f>
        <v>3.3755350936929994E-3</v>
      </c>
      <c r="G98" s="2" cm="1">
        <f t="array" ref="G98">INDEX( ComputeThermoProps($A98, $B98, ParametersRange), 1, COLUMN()-2 )</f>
        <v>38.736809298390028</v>
      </c>
      <c r="H98" s="2" cm="1">
        <f t="array" ref="H98">INDEX( ComputeThermoProps($A98, $B98, ParametersRange), 1, COLUMN()-2 )</f>
        <v>22.829043121637358</v>
      </c>
      <c r="I98" s="2" cm="1">
        <f t="array" ref="I98">INDEX( ComputeThermoProps($A98, $B98, ParametersRange), 1, COLUMN()-2 )</f>
        <v>2.5771894615774098</v>
      </c>
      <c r="J98" s="2" cm="1">
        <f t="array" ref="J98">INDEX( ComputeThermoProps($A98, $B98, ParametersRange), 1, COLUMN()-2 )</f>
        <v>1495.1480076209427</v>
      </c>
      <c r="K98" s="2" cm="1">
        <f t="array" ref="K98">INDEX( ComputeThermoProps($A98, $B98, ParametersRange), 1, COLUMN()-2 )</f>
        <v>26.966386446199198</v>
      </c>
      <c r="L98" s="2" cm="1">
        <f t="array" ref="L98">INDEX( ComputeThermoProps($A98, $B98, ParametersRange), 1, COLUMN()-2 )</f>
        <v>-664.85954671961292</v>
      </c>
      <c r="M98" s="2" cm="1">
        <f t="array" ref="M98">INDEX( ComputeThermoProps($A98, $B98, ParametersRange), 1, COLUMN()-2 )</f>
        <v>7666.8555211392841</v>
      </c>
      <c r="N98" s="2" cm="1">
        <f t="array" ref="N98">INDEX( ComputeThermoProps($A98, $B98, ParametersRange), 1, COLUMN()-2 )</f>
        <v>5506.8479667987285</v>
      </c>
    </row>
    <row r="99" spans="1:14" x14ac:dyDescent="0.25">
      <c r="A99" s="2">
        <v>81.099999999999994</v>
      </c>
      <c r="B99" s="2">
        <f t="shared" si="1"/>
        <v>584.83871119103833</v>
      </c>
      <c r="C99" s="2" cm="1">
        <f t="array" ref="C99">INDEX( ComputeThermoProps($A99, $B99, ParametersRange), 1, COLUMN()-2 )</f>
        <v>10.74745813935518</v>
      </c>
      <c r="D99" s="2" cm="1">
        <f t="array" ref="D99">INDEX( ComputeThermoProps($A99, $B99, ParametersRange), 1, COLUMN()-2 )</f>
        <v>6.1199906503784372E-4</v>
      </c>
      <c r="E99" s="2" cm="1">
        <f t="array" ref="E99">INDEX( ComputeThermoProps($A99, $B99, ParametersRange), 1, COLUMN()-2 )</f>
        <v>3.6024278753942222E-4</v>
      </c>
      <c r="F99" s="2" cm="1">
        <f t="array" ref="F99">INDEX( ComputeThermoProps($A99, $B99, ParametersRange), 1, COLUMN()-2 )</f>
        <v>3.3468939380280737E-3</v>
      </c>
      <c r="G99" s="2" cm="1">
        <f t="array" ref="G99">INDEX( ComputeThermoProps($A99, $B99, ParametersRange), 1, COLUMN()-2 )</f>
        <v>38.782000523833936</v>
      </c>
      <c r="H99" s="2" cm="1">
        <f t="array" ref="H99">INDEX( ComputeThermoProps($A99, $B99, ParametersRange), 1, COLUMN()-2 )</f>
        <v>22.828361631888047</v>
      </c>
      <c r="I99" s="2" cm="1">
        <f t="array" ref="I99">INDEX( ComputeThermoProps($A99, $B99, ParametersRange), 1, COLUMN()-2 )</f>
        <v>2.5746737770488268</v>
      </c>
      <c r="J99" s="2" cm="1">
        <f t="array" ref="J99">INDEX( ComputeThermoProps($A99, $B99, ParametersRange), 1, COLUMN()-2 )</f>
        <v>1525.2472135322023</v>
      </c>
      <c r="K99" s="2" cm="1">
        <f t="array" ref="K99">INDEX( ComputeThermoProps($A99, $B99, ParametersRange), 1, COLUMN()-2 )</f>
        <v>26.962475578321957</v>
      </c>
      <c r="L99" s="2" cm="1">
        <f t="array" ref="L99">INDEX( ComputeThermoProps($A99, $B99, ParametersRange), 1, COLUMN()-2 )</f>
        <v>-661.40955586970824</v>
      </c>
      <c r="M99" s="2" cm="1">
        <f t="array" ref="M99">INDEX( ComputeThermoProps($A99, $B99, ParametersRange), 1, COLUMN()-2 )</f>
        <v>7810.7767803323204</v>
      </c>
      <c r="N99" s="2" cm="1">
        <f t="array" ref="N99">INDEX( ComputeThermoProps($A99, $B99, ParametersRange), 1, COLUMN()-2 )</f>
        <v>5624.12001093041</v>
      </c>
    </row>
    <row r="100" spans="1:14" x14ac:dyDescent="0.25">
      <c r="A100" s="2">
        <v>82.1</v>
      </c>
      <c r="B100" s="2">
        <f t="shared" si="1"/>
        <v>598.30913837819639</v>
      </c>
      <c r="C100" s="2" cm="1">
        <f t="array" ref="C100">INDEX( ComputeThermoProps($A100, $B100, ParametersRange), 1, COLUMN()-2 )</f>
        <v>10.695346725714511</v>
      </c>
      <c r="D100" s="2" cm="1">
        <f t="array" ref="D100">INDEX( ComputeThermoProps($A100, $B100, ParametersRange), 1, COLUMN()-2 )</f>
        <v>6.0451758010007556E-4</v>
      </c>
      <c r="E100" s="2" cm="1">
        <f t="array" ref="E100">INDEX( ComputeThermoProps($A100, $B100, ParametersRange), 1, COLUMN()-2 )</f>
        <v>3.5542498345745335E-4</v>
      </c>
      <c r="F100" s="2" cm="1">
        <f t="array" ref="F100">INDEX( ComputeThermoProps($A100, $B100, ParametersRange), 1, COLUMN()-2 )</f>
        <v>3.3187128732906994E-3</v>
      </c>
      <c r="G100" s="2" cm="1">
        <f t="array" ref="G100">INDEX( ComputeThermoProps($A100, $B100, ParametersRange), 1, COLUMN()-2 )</f>
        <v>38.825456019011064</v>
      </c>
      <c r="H100" s="2" cm="1">
        <f t="array" ref="H100">INDEX( ComputeThermoProps($A100, $B100, ParametersRange), 1, COLUMN()-2 )</f>
        <v>22.82735443525171</v>
      </c>
      <c r="I100" s="2" cm="1">
        <f t="array" ref="I100">INDEX( ComputeThermoProps($A100, $B100, ParametersRange), 1, COLUMN()-2 )</f>
        <v>2.5721721460767948</v>
      </c>
      <c r="J100" s="2" cm="1">
        <f t="array" ref="J100">INDEX( ComputeThermoProps($A100, $B100, ParametersRange), 1, COLUMN()-2 )</f>
        <v>1555.6024399060432</v>
      </c>
      <c r="K100" s="2" cm="1">
        <f t="array" ref="K100">INDEX( ComputeThermoProps($A100, $B100, ParametersRange), 1, COLUMN()-2 )</f>
        <v>26.956697924601055</v>
      </c>
      <c r="L100" s="2" cm="1">
        <f t="array" ref="L100">INDEX( ComputeThermoProps($A100, $B100, ParametersRange), 1, COLUMN()-2 )</f>
        <v>-657.54245970370334</v>
      </c>
      <c r="M100" s="2" cm="1">
        <f t="array" ref="M100">INDEX( ComputeThermoProps($A100, $B100, ParametersRange), 1, COLUMN()-2 )</f>
        <v>7954.7261240243561</v>
      </c>
      <c r="N100" s="2" cm="1">
        <f t="array" ref="N100">INDEX( ComputeThermoProps($A100, $B100, ParametersRange), 1, COLUMN()-2 )</f>
        <v>5741.58122441461</v>
      </c>
    </row>
    <row r="101" spans="1:14" x14ac:dyDescent="0.25">
      <c r="A101" s="2">
        <v>83.1</v>
      </c>
      <c r="B101" s="2">
        <f t="shared" si="1"/>
        <v>611.86123522871981</v>
      </c>
      <c r="C101" s="2" cm="1">
        <f t="array" ref="C101">INDEX( ComputeThermoProps($A101, $B101, ParametersRange), 1, COLUMN()-2 )</f>
        <v>10.643730040854706</v>
      </c>
      <c r="D101" s="2" cm="1">
        <f t="array" ref="D101">INDEX( ComputeThermoProps($A101, $B101, ParametersRange), 1, COLUMN()-2 )</f>
        <v>5.9718557823858957E-4</v>
      </c>
      <c r="E101" s="2" cm="1">
        <f t="array" ref="E101">INDEX( ComputeThermoProps($A101, $B101, ParametersRange), 1, COLUMN()-2 )</f>
        <v>3.5071636183772102E-4</v>
      </c>
      <c r="F101" s="2" cm="1">
        <f t="array" ref="F101">INDEX( ComputeThermoProps($A101, $B101, ParametersRange), 1, COLUMN()-2 )</f>
        <v>3.2909842641713227E-3</v>
      </c>
      <c r="G101" s="2" cm="1">
        <f t="array" ref="G101">INDEX( ComputeThermoProps($A101, $B101, ParametersRange), 1, COLUMN()-2 )</f>
        <v>38.867248927328838</v>
      </c>
      <c r="H101" s="2" cm="1">
        <f t="array" ref="H101">INDEX( ComputeThermoProps($A101, $B101, ParametersRange), 1, COLUMN()-2 )</f>
        <v>22.826037056420308</v>
      </c>
      <c r="I101" s="2" cm="1">
        <f t="array" ref="I101">INDEX( ComputeThermoProps($A101, $B101, ParametersRange), 1, COLUMN()-2 )</f>
        <v>2.5696846336034302</v>
      </c>
      <c r="J101" s="2" cm="1">
        <f t="array" ref="J101">INDEX( ComputeThermoProps($A101, $B101, ParametersRange), 1, COLUMN()-2 )</f>
        <v>1586.2100170368626</v>
      </c>
      <c r="K101" s="2" cm="1">
        <f t="array" ref="K101">INDEX( ComputeThermoProps($A101, $B101, ParametersRange), 1, COLUMN()-2 )</f>
        <v>26.949145183383802</v>
      </c>
      <c r="L101" s="2" cm="1">
        <f t="array" ref="L101">INDEX( ComputeThermoProps($A101, $B101, ParametersRange), 1, COLUMN()-2 )</f>
        <v>-653.26394770233117</v>
      </c>
      <c r="M101" s="2" cm="1">
        <f t="array" ref="M101">INDEX( ComputeThermoProps($A101, $B101, ParametersRange), 1, COLUMN()-2 )</f>
        <v>8098.6958272752554</v>
      </c>
      <c r="N101" s="2" cm="1">
        <f t="array" ref="N101">INDEX( ComputeThermoProps($A101, $B101, ParametersRange), 1, COLUMN()-2 )</f>
        <v>5859.221862536062</v>
      </c>
    </row>
    <row r="102" spans="1:14" x14ac:dyDescent="0.25">
      <c r="A102" s="2">
        <v>84.1</v>
      </c>
      <c r="B102" s="2">
        <f t="shared" si="1"/>
        <v>625.49412280005311</v>
      </c>
      <c r="C102" s="2" cm="1">
        <f t="array" ref="C102">INDEX( ComputeThermoProps($A102, $B102, ParametersRange), 1, COLUMN()-2 )</f>
        <v>10.592605120406484</v>
      </c>
      <c r="D102" s="2" cm="1">
        <f t="array" ref="D102">INDEX( ComputeThermoProps($A102, $B102, ParametersRange), 1, COLUMN()-2 )</f>
        <v>5.8999947292804017E-4</v>
      </c>
      <c r="E102" s="2" cm="1">
        <f t="array" ref="E102">INDEX( ComputeThermoProps($A102, $B102, ParametersRange), 1, COLUMN()-2 )</f>
        <v>3.4611362878996671E-4</v>
      </c>
      <c r="F102" s="2" cm="1">
        <f t="array" ref="F102">INDEX( ComputeThermoProps($A102, $B102, ParametersRange), 1, COLUMN()-2 )</f>
        <v>3.2637003870404982E-3</v>
      </c>
      <c r="G102" s="2" cm="1">
        <f t="array" ref="G102">INDEX( ComputeThermoProps($A102, $B102, ParametersRange), 1, COLUMN()-2 )</f>
        <v>38.907448481608455</v>
      </c>
      <c r="H102" s="2" cm="1">
        <f t="array" ref="H102">INDEX( ComputeThermoProps($A102, $B102, ParametersRange), 1, COLUMN()-2 )</f>
        <v>22.824424086512064</v>
      </c>
      <c r="I102" s="2" cm="1">
        <f t="array" ref="I102">INDEX( ComputeThermoProps($A102, $B102, ParametersRange), 1, COLUMN()-2 )</f>
        <v>2.5672112889249918</v>
      </c>
      <c r="J102" s="2" cm="1">
        <f t="array" ref="J102">INDEX( ComputeThermoProps($A102, $B102, ParametersRange), 1, COLUMN()-2 )</f>
        <v>1617.066281545922</v>
      </c>
      <c r="K102" s="2" cm="1">
        <f t="array" ref="K102">INDEX( ComputeThermoProps($A102, $B102, ParametersRange), 1, COLUMN()-2 )</f>
        <v>26.939904305744665</v>
      </c>
      <c r="L102" s="2" cm="1">
        <f t="array" ref="L102">INDEX( ComputeThermoProps($A102, $B102, ParametersRange), 1, COLUMN()-2 )</f>
        <v>-648.57967056720418</v>
      </c>
      <c r="M102" s="2" cm="1">
        <f t="array" ref="M102">INDEX( ComputeThermoProps($A102, $B102, ParametersRange), 1, COLUMN()-2 )</f>
        <v>8242.6785295019272</v>
      </c>
      <c r="N102" s="2" cm="1">
        <f t="array" ref="N102">INDEX( ComputeThermoProps($A102, $B102, ParametersRange), 1, COLUMN()-2 )</f>
        <v>5977.0325773888007</v>
      </c>
    </row>
    <row r="103" spans="1:14" x14ac:dyDescent="0.25">
      <c r="A103" s="2">
        <v>85.1</v>
      </c>
      <c r="B103" s="2">
        <f t="shared" si="1"/>
        <v>639.20694579130281</v>
      </c>
      <c r="C103" s="2" cm="1">
        <f t="array" ref="C103">INDEX( ComputeThermoProps($A103, $B103, ParametersRange), 1, COLUMN()-2 )</f>
        <v>10.541968728826861</v>
      </c>
      <c r="D103" s="2" cm="1">
        <f t="array" ref="D103">INDEX( ComputeThermoProps($A103, $B103, ParametersRange), 1, COLUMN()-2 )</f>
        <v>5.8295574651444934E-4</v>
      </c>
      <c r="E103" s="2" cm="1">
        <f t="array" ref="E103">INDEX( ComputeThermoProps($A103, $B103, ParametersRange), 1, COLUMN()-2 )</f>
        <v>3.4161360595949531E-4</v>
      </c>
      <c r="F103" s="2" cm="1">
        <f t="array" ref="F103">INDEX( ComputeThermoProps($A103, $B103, ParametersRange), 1, COLUMN()-2 )</f>
        <v>3.2368534618128996E-3</v>
      </c>
      <c r="G103" s="2" cm="1">
        <f t="array" ref="G103">INDEX( ComputeThermoProps($A103, $B103, ParametersRange), 1, COLUMN()-2 )</f>
        <v>38.946120252109438</v>
      </c>
      <c r="H103" s="2" cm="1">
        <f t="array" ref="H103">INDEX( ComputeThermoProps($A103, $B103, ParametersRange), 1, COLUMN()-2 )</f>
        <v>22.822529252013236</v>
      </c>
      <c r="I103" s="2" cm="1">
        <f t="array" ref="I103">INDEX( ComputeThermoProps($A103, $B103, ParametersRange), 1, COLUMN()-2 )</f>
        <v>2.5647521469536985</v>
      </c>
      <c r="J103" s="2" cm="1">
        <f t="array" ref="J103">INDEX( ComputeThermoProps($A103, $B103, ParametersRange), 1, COLUMN()-2 )</f>
        <v>1648.1675813019142</v>
      </c>
      <c r="K103" s="2" cm="1">
        <f t="array" ref="K103">INDEX( ComputeThermoProps($A103, $B103, ParametersRange), 1, COLUMN()-2 )</f>
        <v>26.929057772126214</v>
      </c>
      <c r="L103" s="2" cm="1">
        <f t="array" ref="L103">INDEX( ComputeThermoProps($A103, $B103, ParametersRange), 1, COLUMN()-2 )</f>
        <v>-643.49523510602648</v>
      </c>
      <c r="M103" s="2" cm="1">
        <f t="array" ref="M103">INDEX( ComputeThermoProps($A103, $B103, ParametersRange), 1, COLUMN()-2 )</f>
        <v>8386.6672150827544</v>
      </c>
      <c r="N103" s="2" cm="1">
        <f t="array" ref="N103">INDEX( ComputeThermoProps($A103, $B103, ParametersRange), 1, COLUMN()-2 )</f>
        <v>6095.0043986748142</v>
      </c>
    </row>
    <row r="104" spans="1:14" x14ac:dyDescent="0.25">
      <c r="A104" s="2">
        <v>86.1</v>
      </c>
      <c r="B104" s="2">
        <f t="shared" si="1"/>
        <v>652.99887154017506</v>
      </c>
      <c r="C104" s="2" cm="1">
        <f t="array" ref="C104">INDEX( ComputeThermoProps($A104, $B104, ParametersRange), 1, COLUMN()-2 )</f>
        <v>10.491817388896198</v>
      </c>
      <c r="D104" s="2" cm="1">
        <f t="array" ref="D104">INDEX( ComputeThermoProps($A104, $B104, ParametersRange), 1, COLUMN()-2 )</f>
        <v>5.7605095238836049E-4</v>
      </c>
      <c r="E104" s="2" cm="1">
        <f t="array" ref="E104">INDEX( ComputeThermoProps($A104, $B104, ParametersRange), 1, COLUMN()-2 )</f>
        <v>3.3721322650073456E-4</v>
      </c>
      <c r="F104" s="2" cm="1">
        <f t="array" ref="F104">INDEX( ComputeThermoProps($A104, $B104, ParametersRange), 1, COLUMN()-2 )</f>
        <v>3.2104356798796931E-3</v>
      </c>
      <c r="G104" s="2" cm="1">
        <f t="array" ref="G104">INDEX( ComputeThermoProps($A104, $B104, ParametersRange), 1, COLUMN()-2 )</f>
        <v>38.983326374342148</v>
      </c>
      <c r="H104" s="2" cm="1">
        <f t="array" ref="H104">INDEX( ComputeThermoProps($A104, $B104, ParametersRange), 1, COLUMN()-2 )</f>
        <v>22.82036547621324</v>
      </c>
      <c r="I104" s="2" cm="1">
        <f t="array" ref="I104">INDEX( ComputeThermoProps($A104, $B104, ParametersRange), 1, COLUMN()-2 )</f>
        <v>2.562307229404849</v>
      </c>
      <c r="J104" s="2" cm="1">
        <f t="array" ref="J104">INDEX( ComputeThermoProps($A104, $B104, ParametersRange), 1, COLUMN()-2 )</f>
        <v>1679.5102797601485</v>
      </c>
      <c r="K104" s="2" cm="1">
        <f t="array" ref="K104">INDEX( ComputeThermoProps($A104, $B104, ParametersRange), 1, COLUMN()-2 )</f>
        <v>26.916683853443995</v>
      </c>
      <c r="L104" s="2" cm="1">
        <f t="array" ref="L104">INDEX( ComputeThermoProps($A104, $B104, ParametersRange), 1, COLUMN()-2 )</f>
        <v>-638.0162000213794</v>
      </c>
      <c r="M104" s="2" cm="1">
        <f t="array" ref="M104">INDEX( ComputeThermoProps($A104, $B104, ParametersRange), 1, COLUMN()-2 )</f>
        <v>8530.6551951149522</v>
      </c>
      <c r="N104" s="2" cm="1">
        <f t="array" ref="N104">INDEX( ComputeThermoProps($A104, $B104, ParametersRange), 1, COLUMN()-2 )</f>
        <v>6213.1287153334242</v>
      </c>
    </row>
    <row r="105" spans="1:14" x14ac:dyDescent="0.25">
      <c r="A105" s="2">
        <v>87.1</v>
      </c>
      <c r="B105" s="2">
        <f t="shared" si="1"/>
        <v>666.86908907748557</v>
      </c>
      <c r="C105" s="2" cm="1">
        <f t="array" ref="C105">INDEX( ComputeThermoProps($A105, $B105, ParametersRange), 1, COLUMN()-2 )</f>
        <v>10.442147408726459</v>
      </c>
      <c r="D105" s="2" cm="1">
        <f t="array" ref="D105">INDEX( ComputeThermoProps($A105, $B105, ParametersRange), 1, COLUMN()-2 )</f>
        <v>5.692817163612682E-4</v>
      </c>
      <c r="E105" s="2" cm="1">
        <f t="array" ref="E105">INDEX( ComputeThermoProps($A105, $B105, ParametersRange), 1, COLUMN()-2 )</f>
        <v>3.3290953103954463E-4</v>
      </c>
      <c r="F105" s="2" cm="1">
        <f t="array" ref="F105">INDEX( ComputeThermoProps($A105, $B105, ParametersRange), 1, COLUMN()-2 )</f>
        <v>3.1844392275137039E-3</v>
      </c>
      <c r="G105" s="2" cm="1">
        <f t="array" ref="G105">INDEX( ComputeThermoProps($A105, $B105, ParametersRange), 1, COLUMN()-2 )</f>
        <v>39.019125760739868</v>
      </c>
      <c r="H105" s="2" cm="1">
        <f t="array" ref="H105">INDEX( ComputeThermoProps($A105, $B105, ParametersRange), 1, COLUMN()-2 )</f>
        <v>22.817944938771802</v>
      </c>
      <c r="I105" s="2" cm="1">
        <f t="array" ref="I105">INDEX( ComputeThermoProps($A105, $B105, ParametersRange), 1, COLUMN()-2 )</f>
        <v>2.5598765458020294</v>
      </c>
      <c r="J105" s="2" cm="1">
        <f t="array" ref="J105">INDEX( ComputeThermoProps($A105, $B105, ParametersRange), 1, COLUMN()-2 )</f>
        <v>1711.0907601661463</v>
      </c>
      <c r="K105" s="2" cm="1">
        <f t="array" ref="K105">INDEX( ComputeThermoProps($A105, $B105, ParametersRange), 1, COLUMN()-2 )</f>
        <v>26.90285684483241</v>
      </c>
      <c r="L105" s="2" cm="1">
        <f t="array" ref="L105">INDEX( ComputeThermoProps($A105, $B105, ParametersRange), 1, COLUMN()-2 )</f>
        <v>-632.14807101875647</v>
      </c>
      <c r="M105" s="2" cm="1">
        <f t="array" ref="M105">INDEX( ComputeThermoProps($A105, $B105, ParametersRange), 1, COLUMN()-2 )</f>
        <v>8674.6360906363861</v>
      </c>
      <c r="N105" s="2" cm="1">
        <f t="array" ref="N105">INDEX( ComputeThermoProps($A105, $B105, ParametersRange), 1, COLUMN()-2 )</f>
        <v>6331.3972594514835</v>
      </c>
    </row>
    <row r="106" spans="1:14" x14ac:dyDescent="0.25">
      <c r="A106" s="2">
        <v>88.1</v>
      </c>
      <c r="B106" s="2">
        <f t="shared" si="1"/>
        <v>680.81680823509987</v>
      </c>
      <c r="C106" s="2" cm="1">
        <f t="array" ref="C106">INDEX( ComputeThermoProps($A106, $B106, ParametersRange), 1, COLUMN()-2 )</f>
        <v>10.392954906486139</v>
      </c>
      <c r="D106" s="2" cm="1">
        <f t="array" ref="D106">INDEX( ComputeThermoProps($A106, $B106, ParametersRange), 1, COLUMN()-2 )</f>
        <v>5.6264473804196072E-4</v>
      </c>
      <c r="E106" s="2" cm="1">
        <f t="array" ref="E106">INDEX( ComputeThermoProps($A106, $B106, ParametersRange), 1, COLUMN()-2 )</f>
        <v>3.2869966390450034E-4</v>
      </c>
      <c r="F106" s="2" cm="1">
        <f t="array" ref="F106">INDEX( ComputeThermoProps($A106, $B106, ParametersRange), 1, COLUMN()-2 )</f>
        <v>3.1588563083205117E-3</v>
      </c>
      <c r="G106" s="2" cm="1">
        <f t="array" ref="G106">INDEX( ComputeThermoProps($A106, $B106, ParametersRange), 1, COLUMN()-2 )</f>
        <v>39.053574300814624</v>
      </c>
      <c r="H106" s="2" cm="1">
        <f t="array" ref="H106">INDEX( ComputeThermoProps($A106, $B106, ParametersRange), 1, COLUMN()-2 )</f>
        <v>22.815279125546276</v>
      </c>
      <c r="I106" s="2" cm="1">
        <f t="array" ref="I106">INDEX( ComputeThermoProps($A106, $B106, ParametersRange), 1, COLUMN()-2 )</f>
        <v>2.5574600945708914</v>
      </c>
      <c r="J106" s="2" cm="1">
        <f t="array" ref="J106">INDEX( ComputeThermoProps($A106, $B106, ParametersRange), 1, COLUMN()-2 )</f>
        <v>1742.9054287439924</v>
      </c>
      <c r="K106" s="2" cm="1">
        <f t="array" ref="K106">INDEX( ComputeThermoProps($A106, $B106, ParametersRange), 1, COLUMN()-2 )</f>
        <v>26.887647303282382</v>
      </c>
      <c r="L106" s="2" cm="1">
        <f t="array" ref="L106">INDEX( ComputeThermoProps($A106, $B106, ParametersRange), 1, COLUMN()-2 )</f>
        <v>-625.89629867518534</v>
      </c>
      <c r="M106" s="2" cm="1">
        <f t="array" ref="M106">INDEX( ComputeThermoProps($A106, $B106, ParametersRange), 1, COLUMN()-2 )</f>
        <v>8818.6038163092071</v>
      </c>
      <c r="N106" s="2" cm="1">
        <f t="array" ref="N106">INDEX( ComputeThermoProps($A106, $B106, ParametersRange), 1, COLUMN()-2 )</f>
        <v>6449.8020888900292</v>
      </c>
    </row>
    <row r="107" spans="1:14" x14ac:dyDescent="0.25">
      <c r="A107" s="2">
        <v>89.1</v>
      </c>
      <c r="B107" s="2">
        <f t="shared" si="1"/>
        <v>694.84125880352713</v>
      </c>
      <c r="C107" s="2" cm="1">
        <f t="array" ref="C107">INDEX( ComputeThermoProps($A107, $B107, ParametersRange), 1, COLUMN()-2 )</f>
        <v>10.34423583302986</v>
      </c>
      <c r="D107" s="2" cm="1">
        <f t="array" ref="D107">INDEX( ComputeThermoProps($A107, $B107, ParametersRange), 1, COLUMN()-2 )</f>
        <v>5.5613679110754627E-4</v>
      </c>
      <c r="E107" s="2" cm="1">
        <f t="array" ref="E107">INDEX( ComputeThermoProps($A107, $B107, ParametersRange), 1, COLUMN()-2 )</f>
        <v>3.245808692966506E-4</v>
      </c>
      <c r="F107" s="2" cm="1">
        <f t="array" ref="F107">INDEX( ComputeThermoProps($A107, $B107, ParametersRange), 1, COLUMN()-2 )</f>
        <v>3.1336791575075512E-3</v>
      </c>
      <c r="G107" s="2" cm="1">
        <f t="array" ref="G107">INDEX( ComputeThermoProps($A107, $B107, ParametersRange), 1, COLUMN()-2 )</f>
        <v>39.086725001698113</v>
      </c>
      <c r="H107" s="2" cm="1">
        <f t="array" ref="H107">INDEX( ComputeThermoProps($A107, $B107, ParametersRange), 1, COLUMN()-2 )</f>
        <v>22.812378864100211</v>
      </c>
      <c r="I107" s="2" cm="1">
        <f t="array" ref="I107">INDEX( ComputeThermoProps($A107, $B107, ParametersRange), 1, COLUMN()-2 )</f>
        <v>2.5550578639020998</v>
      </c>
      <c r="J107" s="2" cm="1">
        <f t="array" ref="J107">INDEX( ComputeThermoProps($A107, $B107, ParametersRange), 1, COLUMN()-2 )</f>
        <v>1774.95071803516</v>
      </c>
      <c r="K107" s="2" cm="1">
        <f t="array" ref="K107">INDEX( ComputeThermoProps($A107, $B107, ParametersRange), 1, COLUMN()-2 )</f>
        <v>26.871122253087151</v>
      </c>
      <c r="L107" s="2" cm="1">
        <f t="array" ref="L107">INDEX( ComputeThermoProps($A107, $B107, ParametersRange), 1, COLUMN()-2 )</f>
        <v>-619.26627471490497</v>
      </c>
      <c r="M107" s="2" cm="1">
        <f t="array" ref="M107">INDEX( ComputeThermoProps($A107, $B107, ParametersRange), 1, COLUMN()-2 )</f>
        <v>8962.5525656181799</v>
      </c>
      <c r="N107" s="2" cm="1">
        <f t="array" ref="N107">INDEX( ComputeThermoProps($A107, $B107, ParametersRange), 1, COLUMN()-2 )</f>
        <v>6568.3355728681145</v>
      </c>
    </row>
    <row r="108" spans="1:14" x14ac:dyDescent="0.25">
      <c r="A108" s="2">
        <v>90.1</v>
      </c>
      <c r="B108" s="2">
        <f t="shared" si="1"/>
        <v>708.94168973570822</v>
      </c>
      <c r="C108" s="2" cm="1">
        <f t="array" ref="C108">INDEX( ComputeThermoProps($A108, $B108, ParametersRange), 1, COLUMN()-2 )</f>
        <v>10.295985992605097</v>
      </c>
      <c r="D108" s="2" cm="1">
        <f t="array" ref="D108">INDEX( ComputeThermoProps($A108, $B108, ParametersRange), 1, COLUMN()-2 )</f>
        <v>5.497547241046255E-4</v>
      </c>
      <c r="E108" s="2" cm="1">
        <f t="array" ref="E108">INDEX( ComputeThermoProps($A108, $B108, ParametersRange), 1, COLUMN()-2 )</f>
        <v>3.2055048763849915E-4</v>
      </c>
      <c r="F108" s="2" cm="1">
        <f t="array" ref="F108">INDEX( ComputeThermoProps($A108, $B108, ParametersRange), 1, COLUMN()-2 )</f>
        <v>3.1089000638705221E-3</v>
      </c>
      <c r="G108" s="2" cm="1">
        <f t="array" ref="G108">INDEX( ComputeThermoProps($A108, $B108, ParametersRange), 1, COLUMN()-2 )</f>
        <v>39.118628231695574</v>
      </c>
      <c r="H108" s="2" cm="1">
        <f t="array" ref="H108">INDEX( ComputeThermoProps($A108, $B108, ParametersRange), 1, COLUMN()-2 )</f>
        <v>22.809254392205546</v>
      </c>
      <c r="I108" s="2" cm="1">
        <f t="array" ref="I108">INDEX( ComputeThermoProps($A108, $B108, ParametersRange), 1, COLUMN()-2 )</f>
        <v>2.5526698326170374</v>
      </c>
      <c r="J108" s="2" cm="1">
        <f t="array" ref="J108">INDEX( ComputeThermoProps($A108, $B108, ParametersRange), 1, COLUMN()-2 )</f>
        <v>1807.2230896351002</v>
      </c>
      <c r="K108" s="2" cm="1">
        <f t="array" ref="K108">INDEX( ComputeThermoProps($A108, $B108, ParametersRange), 1, COLUMN()-2 )</f>
        <v>26.853345386092442</v>
      </c>
      <c r="L108" s="2" cm="1">
        <f t="array" ref="L108">INDEX( ComputeThermoProps($A108, $B108, ParametersRange), 1, COLUMN()-2 )</f>
        <v>-612.26332965182871</v>
      </c>
      <c r="M108" s="2" cm="1">
        <f t="array" ref="M108">INDEX( ComputeThermoProps($A108, $B108, ParametersRange), 1, COLUMN()-2 )</f>
        <v>9106.4767967277403</v>
      </c>
      <c r="N108" s="2" cm="1">
        <f t="array" ref="N108">INDEX( ComputeThermoProps($A108, $B108, ParametersRange), 1, COLUMN()-2 )</f>
        <v>6686.9903774408112</v>
      </c>
    </row>
    <row r="109" spans="1:14" x14ac:dyDescent="0.25">
      <c r="A109" s="2">
        <v>91.1</v>
      </c>
      <c r="B109" s="2">
        <f t="shared" si="1"/>
        <v>723.11736839382115</v>
      </c>
      <c r="C109" s="2" cm="1">
        <f t="array" ref="C109">INDEX( ComputeThermoProps($A109, $B109, ParametersRange), 1, COLUMN()-2 )</f>
        <v>10.248201061793829</v>
      </c>
      <c r="D109" s="2" cm="1">
        <f t="array" ref="D109">INDEX( ComputeThermoProps($A109, $B109, ParametersRange), 1, COLUMN()-2 )</f>
        <v>5.434954601439638E-4</v>
      </c>
      <c r="E109" s="2" cm="1">
        <f t="array" ref="E109">INDEX( ComputeThermoProps($A109, $B109, ParametersRange), 1, COLUMN()-2 )</f>
        <v>3.1660595201675067E-4</v>
      </c>
      <c r="F109" s="2" cm="1">
        <f t="array" ref="F109">INDEX( ComputeThermoProps($A109, $B109, ParametersRange), 1, COLUMN()-2 )</f>
        <v>3.0845113791863775E-3</v>
      </c>
      <c r="G109" s="2" cm="1">
        <f t="array" ref="G109">INDEX( ComputeThermoProps($A109, $B109, ParametersRange), 1, COLUMN()-2 )</f>
        <v>39.149331825797717</v>
      </c>
      <c r="H109" s="2" cm="1">
        <f t="array" ref="H109">INDEX( ComputeThermoProps($A109, $B109, ParametersRange), 1, COLUMN()-2 )</f>
        <v>22.80591538012688</v>
      </c>
      <c r="I109" s="2" cm="1">
        <f t="array" ref="I109">INDEX( ComputeThermoProps($A109, $B109, ParametersRange), 1, COLUMN()-2 )</f>
        <v>2.5502959709561943</v>
      </c>
      <c r="J109" s="2" cm="1">
        <f t="array" ref="J109">INDEX( ComputeThermoProps($A109, $B109, ParametersRange), 1, COLUMN()-2 )</f>
        <v>1839.7190366518494</v>
      </c>
      <c r="K109" s="2" cm="1">
        <f t="array" ref="K109">INDEX( ComputeThermoProps($A109, $B109, ParametersRange), 1, COLUMN()-2 )</f>
        <v>26.834377247931773</v>
      </c>
      <c r="L109" s="2" cm="1">
        <f t="array" ref="L109">INDEX( ComputeThermoProps($A109, $B109, ParametersRange), 1, COLUMN()-2 )</f>
        <v>-604.89273063473502</v>
      </c>
      <c r="M109" s="2" cm="1">
        <f t="array" ref="M109">INDEX( ComputeThermoProps($A109, $B109, ParametersRange), 1, COLUMN()-2 )</f>
        <v>9250.3712192269668</v>
      </c>
      <c r="N109" s="2" cm="1">
        <f t="array" ref="N109">INDEX( ComputeThermoProps($A109, $B109, ParametersRange), 1, COLUMN()-2 )</f>
        <v>6805.7594519403829</v>
      </c>
    </row>
    <row r="110" spans="1:14" x14ac:dyDescent="0.25">
      <c r="A110" s="2">
        <v>92.1</v>
      </c>
      <c r="B110" s="2">
        <f t="shared" si="1"/>
        <v>737.36757983619725</v>
      </c>
      <c r="C110" s="2" cm="1">
        <f t="array" ref="C110">INDEX( ComputeThermoProps($A110, $B110, ParametersRange), 1, COLUMN()-2 )</f>
        <v>10.200876606833923</v>
      </c>
      <c r="D110" s="2" cm="1">
        <f t="array" ref="D110">INDEX( ComputeThermoProps($A110, $B110, ParametersRange), 1, COLUMN()-2 )</f>
        <v>5.3735599678312641E-4</v>
      </c>
      <c r="E110" s="2" cm="1">
        <f t="array" ref="E110">INDEX( ComputeThermoProps($A110, $B110, ParametersRange), 1, COLUMN()-2 )</f>
        <v>3.1274478473478757E-4</v>
      </c>
      <c r="F110" s="2" cm="1">
        <f t="array" ref="F110">INDEX( ComputeThermoProps($A110, $B110, ParametersRange), 1, COLUMN()-2 )</f>
        <v>3.0605055317999628E-3</v>
      </c>
      <c r="G110" s="2" cm="1">
        <f t="array" ref="G110">INDEX( ComputeThermoProps($A110, $B110, ParametersRange), 1, COLUMN()-2 )</f>
        <v>39.178881256038103</v>
      </c>
      <c r="H110" s="2" cm="1">
        <f t="array" ref="H110">INDEX( ComputeThermoProps($A110, $B110, ParametersRange), 1, COLUMN()-2 )</f>
        <v>22.802370975520482</v>
      </c>
      <c r="I110" s="2" cm="1">
        <f t="array" ref="I110">INDEX( ComputeThermoProps($A110, $B110, ParametersRange), 1, COLUMN()-2 )</f>
        <v>2.5479362413085416</v>
      </c>
      <c r="J110" s="2" cm="1">
        <f t="array" ref="J110">INDEX( ComputeThermoProps($A110, $B110, ParametersRange), 1, COLUMN()-2 )</f>
        <v>1872.4350858689993</v>
      </c>
      <c r="K110" s="2" cm="1">
        <f t="array" ref="K110">INDEX( ComputeThermoProps($A110, $B110, ParametersRange), 1, COLUMN()-2 )</f>
        <v>26.8142754126367</v>
      </c>
      <c r="L110" s="2" cm="1">
        <f t="array" ref="L110">INDEX( ComputeThermoProps($A110, $B110, ParametersRange), 1, COLUMN()-2 )</f>
        <v>-597.1596796348407</v>
      </c>
      <c r="M110" s="2" cm="1">
        <f t="array" ref="M110">INDEX( ComputeThermoProps($A110, $B110, ParametersRange), 1, COLUMN()-2 )</f>
        <v>9394.2307816578086</v>
      </c>
      <c r="N110" s="2" cm="1">
        <f t="array" ref="N110">INDEX( ComputeThermoProps($A110, $B110, ParametersRange), 1, COLUMN()-2 )</f>
        <v>6924.6360161539687</v>
      </c>
    </row>
    <row r="111" spans="1:14" x14ac:dyDescent="0.25">
      <c r="A111" s="2">
        <v>93.1</v>
      </c>
      <c r="B111" s="2">
        <f t="shared" si="1"/>
        <v>751.69162614166385</v>
      </c>
      <c r="C111" s="2" cm="1">
        <f t="array" ref="C111">INDEX( ComputeThermoProps($A111, $B111, ParametersRange), 1, COLUMN()-2 )</f>
        <v>10.154008099452849</v>
      </c>
      <c r="D111" s="2" cm="1">
        <f t="array" ref="D111">INDEX( ComputeThermoProps($A111, $B111, ParametersRange), 1, COLUMN()-2 )</f>
        <v>5.3133340548159344E-4</v>
      </c>
      <c r="E111" s="2" cm="1">
        <f t="array" ref="E111">INDEX( ComputeThermoProps($A111, $B111, ParametersRange), 1, COLUMN()-2 )</f>
        <v>3.089645939759097E-4</v>
      </c>
      <c r="F111" s="2" cm="1">
        <f t="array" ref="F111">INDEX( ComputeThermoProps($A111, $B111, ParametersRange), 1, COLUMN()-2 )</f>
        <v>3.0368750357942318E-3</v>
      </c>
      <c r="G111" s="2" cm="1">
        <f t="array" ref="G111">INDEX( ComputeThermoProps($A111, $B111, ParametersRange), 1, COLUMN()-2 )</f>
        <v>39.207319758245859</v>
      </c>
      <c r="H111" s="2" cm="1">
        <f t="array" ref="H111">INDEX( ComputeThermoProps($A111, $B111, ParametersRange), 1, COLUMN()-2 )</f>
        <v>22.798629833955992</v>
      </c>
      <c r="I111" s="2" cm="1">
        <f t="array" ref="I111">INDEX( ComputeThermoProps($A111, $B111, ParametersRange), 1, COLUMN()-2 )</f>
        <v>2.5455905988863932</v>
      </c>
      <c r="J111" s="2" cm="1">
        <f t="array" ref="J111">INDEX( ComputeThermoProps($A111, $B111, ParametersRange), 1, COLUMN()-2 )</f>
        <v>1905.3677996388542</v>
      </c>
      <c r="K111" s="2" cm="1">
        <f t="array" ref="K111">INDEX( ComputeThermoProps($A111, $B111, ParametersRange), 1, COLUMN()-2 )</f>
        <v>26.793094646416208</v>
      </c>
      <c r="L111" s="2" cm="1">
        <f t="array" ref="L111">INDEX( ComputeThermoProps($A111, $B111, ParametersRange), 1, COLUMN()-2 )</f>
        <v>-589.06931194249455</v>
      </c>
      <c r="M111" s="2" cm="1">
        <f t="array" ref="M111">INDEX( ComputeThermoProps($A111, $B111, ParametersRange), 1, COLUMN()-2 )</f>
        <v>9538.0506597721924</v>
      </c>
      <c r="N111" s="2" cm="1">
        <f t="array" ref="N111">INDEX( ComputeThermoProps($A111, $B111, ParametersRange), 1, COLUMN()-2 )</f>
        <v>7043.6135481908432</v>
      </c>
    </row>
    <row r="112" spans="1:14" x14ac:dyDescent="0.25">
      <c r="A112" s="2">
        <v>94.1</v>
      </c>
      <c r="B112" s="2">
        <f t="shared" si="1"/>
        <v>766.08882576885821</v>
      </c>
      <c r="C112" s="2" cm="1">
        <f t="array" ref="C112">INDEX( ComputeThermoProps($A112, $B112, ParametersRange), 1, COLUMN()-2 )</f>
        <v>10.107590931335372</v>
      </c>
      <c r="D112" s="2" cm="1">
        <f t="array" ref="D112">INDEX( ComputeThermoProps($A112, $B112, ParametersRange), 1, COLUMN()-2 )</f>
        <v>5.2542483095209655E-4</v>
      </c>
      <c r="E112" s="2" cm="1">
        <f t="array" ref="E112">INDEX( ComputeThermoProps($A112, $B112, ParametersRange), 1, COLUMN()-2 )</f>
        <v>3.0526307057751915E-4</v>
      </c>
      <c r="F112" s="2" cm="1">
        <f t="array" ref="F112">INDEX( ComputeThermoProps($A112, $B112, ParametersRange), 1, COLUMN()-2 )</f>
        <v>3.0136124998664127E-3</v>
      </c>
      <c r="G112" s="2" cm="1">
        <f t="array" ref="G112">INDEX( ComputeThermoProps($A112, $B112, ParametersRange), 1, COLUMN()-2 )</f>
        <v>39.234688465031525</v>
      </c>
      <c r="H112" s="2" cm="1">
        <f t="array" ref="H112">INDEX( ComputeThermoProps($A112, $B112, ParametersRange), 1, COLUMN()-2 )</f>
        <v>22.79470015203724</v>
      </c>
      <c r="I112" s="2" cm="1">
        <f t="array" ref="I112">INDEX( ComputeThermoProps($A112, $B112, ParametersRange), 1, COLUMN()-2 )</f>
        <v>2.5432589923499154</v>
      </c>
      <c r="J112" s="2" cm="1">
        <f t="array" ref="J112">INDEX( ComputeThermoProps($A112, $B112, ParametersRange), 1, COLUMN()-2 )</f>
        <v>1938.5137775295907</v>
      </c>
      <c r="K112" s="2" cm="1">
        <f t="array" ref="K112">INDEX( ComputeThermoProps($A112, $B112, ParametersRange), 1, COLUMN()-2 )</f>
        <v>26.77088706134418</v>
      </c>
      <c r="L112" s="2" cm="1">
        <f t="array" ref="L112">INDEX( ComputeThermoProps($A112, $B112, ParametersRange), 1, COLUMN()-2 )</f>
        <v>-580.62669494289651</v>
      </c>
      <c r="M112" s="2" cm="1">
        <f t="array" ref="M112">INDEX( ComputeThermoProps($A112, $B112, ParametersRange), 1, COLUMN()-2 )</f>
        <v>9681.8262454682663</v>
      </c>
      <c r="N112" s="2" cm="1">
        <f t="array" ref="N112">INDEX( ComputeThermoProps($A112, $B112, ParametersRange), 1, COLUMN()-2 )</f>
        <v>7162.6857729957792</v>
      </c>
    </row>
    <row r="113" spans="1:14" x14ac:dyDescent="0.25">
      <c r="A113" s="2">
        <v>95.1</v>
      </c>
      <c r="B113" s="2">
        <f t="shared" si="1"/>
        <v>780.5585129482397</v>
      </c>
      <c r="C113" s="2" cm="1">
        <f t="array" ref="C113">INDEX( ComputeThermoProps($A113, $B113, ParametersRange), 1, COLUMN()-2 )</f>
        <v>10.061620427336743</v>
      </c>
      <c r="D113" s="2" cm="1">
        <f t="array" ref="D113">INDEX( ComputeThermoProps($A113, $B113, ParametersRange), 1, COLUMN()-2 )</f>
        <v>5.1962749041092361E-4</v>
      </c>
      <c r="E113" s="2" cm="1">
        <f t="array" ref="E113">INDEX( ComputeThermoProps($A113, $B113, ParametersRange), 1, COLUMN()-2 )</f>
        <v>3.0163798491575036E-4</v>
      </c>
      <c r="F113" s="2" cm="1">
        <f t="array" ref="F113">INDEX( ComputeThermoProps($A113, $B113, ParametersRange), 1, COLUMN()-2 )</f>
        <v>2.9907106357340936E-3</v>
      </c>
      <c r="G113" s="2" cm="1">
        <f t="array" ref="G113">INDEX( ComputeThermoProps($A113, $B113, ParametersRange), 1, COLUMN()-2 )</f>
        <v>39.261026542057166</v>
      </c>
      <c r="H113" s="2" cm="1">
        <f t="array" ref="H113">INDEX( ComputeThermoProps($A113, $B113, ParametersRange), 1, COLUMN()-2 )</f>
        <v>22.790589702066612</v>
      </c>
      <c r="I113" s="2" cm="1">
        <f t="array" ref="I113">INDEX( ComputeThermoProps($A113, $B113, ParametersRange), 1, COLUMN()-2 )</f>
        <v>2.5409413643850822</v>
      </c>
      <c r="J113" s="2" cm="1">
        <f t="array" ref="J113">INDEX( ComputeThermoProps($A113, $B113, ParametersRange), 1, COLUMN()-2 )</f>
        <v>1971.8696577481885</v>
      </c>
      <c r="K113" s="2" cm="1">
        <f t="array" ref="K113">INDEX( ComputeThermoProps($A113, $B113, ParametersRange), 1, COLUMN()-2 )</f>
        <v>26.747702259636718</v>
      </c>
      <c r="L113" s="2" cm="1">
        <f t="array" ref="L113">INDEX( ComputeThermoProps($A113, $B113, ParametersRange), 1, COLUMN()-2 )</f>
        <v>-571.83682714326324</v>
      </c>
      <c r="M113" s="2" cm="1">
        <f t="array" ref="M113">INDEX( ComputeThermoProps($A113, $B113, ParametersRange), 1, COLUMN()-2 )</f>
        <v>9825.5531363597893</v>
      </c>
      <c r="N113" s="2" cm="1">
        <f t="array" ref="N113">INDEX( ComputeThermoProps($A113, $B113, ParametersRange), 1, COLUMN()-2 )</f>
        <v>7281.8466514683378</v>
      </c>
    </row>
    <row r="114" spans="1:14" x14ac:dyDescent="0.25">
      <c r="A114" s="2">
        <v>96.1</v>
      </c>
      <c r="B114" s="2">
        <f t="shared" si="1"/>
        <v>795.10003710470664</v>
      </c>
      <c r="C114" s="2" cm="1">
        <f t="array" ref="C114">INDEX( ComputeThermoProps($A114, $B114, ParametersRange), 1, COLUMN()-2 )</f>
        <v>10.016091857543698</v>
      </c>
      <c r="D114" s="2" cm="1">
        <f t="array" ref="D114">INDEX( ComputeThermoProps($A114, $B114, ParametersRange), 1, COLUMN()-2 )</f>
        <v>5.1393867241155496E-4</v>
      </c>
      <c r="E114" s="2" cm="1">
        <f t="array" ref="E114">INDEX( ComputeThermoProps($A114, $B114, ParametersRange), 1, COLUMN()-2 )</f>
        <v>2.9808718389946276E-4</v>
      </c>
      <c r="F114" s="2" cm="1">
        <f t="array" ref="F114">INDEX( ComputeThermoProps($A114, $B114, ParametersRange), 1, COLUMN()-2 )</f>
        <v>2.9681622615404979E-3</v>
      </c>
      <c r="G114" s="2" cm="1">
        <f t="array" ref="G114">INDEX( ComputeThermoProps($A114, $B114, ParametersRange), 1, COLUMN()-2 )</f>
        <v>39.286371266885133</v>
      </c>
      <c r="H114" s="2" cm="1">
        <f t="array" ref="H114">INDEX( ComputeThermoProps($A114, $B114, ParametersRange), 1, COLUMN()-2 )</f>
        <v>22.786305847785556</v>
      </c>
      <c r="I114" s="2" cm="1">
        <f t="array" ref="I114">INDEX( ComputeThermoProps($A114, $B114, ParametersRange), 1, COLUMN()-2 )</f>
        <v>2.538637652238616</v>
      </c>
      <c r="J114" s="2" cm="1">
        <f t="array" ref="J114">INDEX( ComputeThermoProps($A114, $B114, ParametersRange), 1, COLUMN()-2 )</f>
        <v>2005.4321183591492</v>
      </c>
      <c r="K114" s="2" cm="1">
        <f t="array" ref="K114">INDEX( ComputeThermoProps($A114, $B114, ParametersRange), 1, COLUMN()-2 )</f>
        <v>26.723587469153792</v>
      </c>
      <c r="L114" s="2" cm="1">
        <f t="array" ref="L114">INDEX( ComputeThermoProps($A114, $B114, ParametersRange), 1, COLUMN()-2 )</f>
        <v>-562.7046374265301</v>
      </c>
      <c r="M114" s="2" cm="1">
        <f t="array" ref="M114">INDEX( ComputeThermoProps($A114, $B114, ParametersRange), 1, COLUMN()-2 )</f>
        <v>9969.2271259362933</v>
      </c>
      <c r="N114" s="2" cm="1">
        <f t="array" ref="N114">INDEX( ComputeThermoProps($A114, $B114, ParametersRange), 1, COLUMN()-2 )</f>
        <v>7401.090370150614</v>
      </c>
    </row>
    <row r="115" spans="1:14" x14ac:dyDescent="0.25">
      <c r="A115" s="2">
        <v>97.1</v>
      </c>
      <c r="B115" s="2">
        <f t="shared" si="1"/>
        <v>809.71276230888361</v>
      </c>
      <c r="C115" s="2" cm="1">
        <f t="array" ref="C115">INDEX( ComputeThermoProps($A115, $B115, ParametersRange), 1, COLUMN()-2 )</f>
        <v>9.9710004482770884</v>
      </c>
      <c r="D115" s="2" cm="1">
        <f t="array" ref="D115">INDEX( ComputeThermoProps($A115, $B115, ParametersRange), 1, COLUMN()-2 )</f>
        <v>5.0835573590815477E-4</v>
      </c>
      <c r="E115" s="2" cm="1">
        <f t="array" ref="E115">INDEX( ComputeThermoProps($A115, $B115, ParametersRange), 1, COLUMN()-2 )</f>
        <v>2.9460858807205727E-4</v>
      </c>
      <c r="F115" s="2" cm="1">
        <f t="array" ref="F115">INDEX( ComputeThermoProps($A115, $B115, ParametersRange), 1, COLUMN()-2 )</f>
        <v>2.9459603089295474E-3</v>
      </c>
      <c r="G115" s="2" cm="1">
        <f t="array" ref="G115">INDEX( ComputeThermoProps($A115, $B115, ParametersRange), 1, COLUMN()-2 )</f>
        <v>39.310758161973709</v>
      </c>
      <c r="H115" s="2" cm="1">
        <f t="array" ref="H115">INDEX( ComputeThermoProps($A115, $B115, ParametersRange), 1, COLUMN()-2 )</f>
        <v>22.781855578853111</v>
      </c>
      <c r="I115" s="2" cm="1">
        <f t="array" ref="I115">INDEX( ComputeThermoProps($A115, $B115, ParametersRange), 1, COLUMN()-2 )</f>
        <v>2.5363477882131376</v>
      </c>
      <c r="J115" s="2" cm="1">
        <f t="array" ref="J115">INDEX( ComputeThermoProps($A115, $B115, ParametersRange), 1, COLUMN()-2 )</f>
        <v>2039.1978783173327</v>
      </c>
      <c r="K115" s="2" cm="1">
        <f t="array" ref="K115">INDEX( ComputeThermoProps($A115, $B115, ParametersRange), 1, COLUMN()-2 )</f>
        <v>26.698587670712364</v>
      </c>
      <c r="L115" s="2" cm="1">
        <f t="array" ref="L115">INDEX( ComputeThermoProps($A115, $B115, ParametersRange), 1, COLUMN()-2 )</f>
        <v>-553.23498450883767</v>
      </c>
      <c r="M115" s="2" cm="1">
        <f t="array" ref="M115">INDEX( ComputeThermoProps($A115, $B115, ParametersRange), 1, COLUMN()-2 )</f>
        <v>10112.84419427489</v>
      </c>
      <c r="N115" s="2" cm="1">
        <f t="array" ref="N115">INDEX( ComputeThermoProps($A115, $B115, ParametersRange), 1, COLUMN()-2 )</f>
        <v>7520.4113314487204</v>
      </c>
    </row>
    <row r="116" spans="1:14" x14ac:dyDescent="0.25">
      <c r="A116" s="2">
        <v>98.1</v>
      </c>
      <c r="B116" s="2">
        <f t="shared" si="1"/>
        <v>824.39606675529956</v>
      </c>
      <c r="C116" s="2" cm="1">
        <f t="array" ref="C116">INDEX( ComputeThermoProps($A116, $B116, ParametersRange), 1, COLUMN()-2 )</f>
        <v>9.9263413921222785</v>
      </c>
      <c r="D116" s="2" cm="1">
        <f t="array" ref="D116">INDEX( ComputeThermoProps($A116, $B116, ParametersRange), 1, COLUMN()-2 )</f>
        <v>5.0287610906054572E-4</v>
      </c>
      <c r="E116" s="2" cm="1">
        <f t="array" ref="E116">INDEX( ComputeThermoProps($A116, $B116, ParametersRange), 1, COLUMN()-2 )</f>
        <v>2.9120018881918563E-4</v>
      </c>
      <c r="F116" s="2" cm="1">
        <f t="array" ref="F116">INDEX( ComputeThermoProps($A116, $B116, ParametersRange), 1, COLUMN()-2 )</f>
        <v>2.9240978269643343E-3</v>
      </c>
      <c r="G116" s="2" cm="1">
        <f t="array" ref="G116">INDEX( ComputeThermoProps($A116, $B116, ParametersRange), 1, COLUMN()-2 )</f>
        <v>39.334221092464425</v>
      </c>
      <c r="H116" s="2" cm="1">
        <f t="array" ref="H116">INDEX( ComputeThermoProps($A116, $B116, ParametersRange), 1, COLUMN()-2 )</f>
        <v>22.777245533854089</v>
      </c>
      <c r="I116" s="2" cm="1">
        <f t="array" ref="I116">INDEX( ComputeThermoProps($A116, $B116, ParametersRange), 1, COLUMN()-2 )</f>
        <v>2.5340717001255046</v>
      </c>
      <c r="J116" s="2" cm="1">
        <f t="array" ref="J116">INDEX( ComputeThermoProps($A116, $B116, ParametersRange), 1, COLUMN()-2 )</f>
        <v>2073.1636983317644</v>
      </c>
      <c r="K116" s="2" cm="1">
        <f t="array" ref="K116">INDEX( ComputeThermoProps($A116, $B116, ParametersRange), 1, COLUMN()-2 )</f>
        <v>26.672745717755976</v>
      </c>
      <c r="L116" s="2" cm="1">
        <f t="array" ref="L116">INDEX( ComputeThermoProps($A116, $B116, ParametersRange), 1, COLUMN()-2 )</f>
        <v>-543.4326565800967</v>
      </c>
      <c r="M116" s="2" cm="1">
        <f t="array" ref="M116">INDEX( ComputeThermoProps($A116, $B116, ParametersRange), 1, COLUMN()-2 )</f>
        <v>10256.400499267695</v>
      </c>
      <c r="N116" s="2" cm="1">
        <f t="array" ref="N116">INDEX( ComputeThermoProps($A116, $B116, ParametersRange), 1, COLUMN()-2 )</f>
        <v>7639.8041443558332</v>
      </c>
    </row>
    <row r="117" spans="1:14" x14ac:dyDescent="0.25">
      <c r="A117" s="2">
        <v>99.1</v>
      </c>
      <c r="B117" s="2">
        <f t="shared" si="1"/>
        <v>839.14934226579544</v>
      </c>
      <c r="C117" s="2" cm="1">
        <f t="array" ref="C117">INDEX( ComputeThermoProps($A117, $B117, ParametersRange), 1, COLUMN()-2 )</f>
        <v>9.8821098570663732</v>
      </c>
      <c r="D117" s="2" cm="1">
        <f t="array" ref="D117">INDEX( ComputeThermoProps($A117, $B117, ParametersRange), 1, COLUMN()-2 )</f>
        <v>4.9749728783138531E-4</v>
      </c>
      <c r="E117" s="2" cm="1">
        <f t="array" ref="E117">INDEX( ComputeThermoProps($A117, $B117, ParametersRange), 1, COLUMN()-2 )</f>
        <v>2.8786004568013434E-4</v>
      </c>
      <c r="F117" s="2" cm="1">
        <f t="array" ref="F117">INDEX( ComputeThermoProps($A117, $B117, ParametersRange), 1, COLUMN()-2 )</f>
        <v>2.9025679834194218E-3</v>
      </c>
      <c r="G117" s="2" cm="1">
        <f t="array" ref="G117">INDEX( ComputeThermoProps($A117, $B117, ParametersRange), 1, COLUMN()-2 )</f>
        <v>39.356792333283636</v>
      </c>
      <c r="H117" s="2" cm="1">
        <f t="array" ref="H117">INDEX( ComputeThermoProps($A117, $B117, ParametersRange), 1, COLUMN()-2 )</f>
        <v>22.772482013454439</v>
      </c>
      <c r="I117" s="2" cm="1">
        <f t="array" ref="I117">INDEX( ComputeThermoProps($A117, $B117, ParametersRange), 1, COLUMN()-2 )</f>
        <v>2.5318093117311085</v>
      </c>
      <c r="J117" s="2" cm="1">
        <f t="array" ref="J117">INDEX( ComputeThermoProps($A117, $B117, ParametersRange), 1, COLUMN()-2 )</f>
        <v>2107.326381575816</v>
      </c>
      <c r="K117" s="2" cm="1">
        <f t="array" ref="K117">INDEX( ComputeThermoProps($A117, $B117, ParametersRange), 1, COLUMN()-2 )</f>
        <v>26.646102448886673</v>
      </c>
      <c r="L117" s="2" cm="1">
        <f t="array" ref="L117">INDEX( ComputeThermoProps($A117, $B117, ParametersRange), 1, COLUMN()-2 )</f>
        <v>-533.30237110885321</v>
      </c>
      <c r="M117" s="2" cm="1">
        <f t="array" ref="M117">INDEX( ComputeThermoProps($A117, $B117, ParametersRange), 1, COLUMN()-2 )</f>
        <v>10399.892368331397</v>
      </c>
      <c r="N117" s="2" cm="1">
        <f t="array" ref="N117">INDEX( ComputeThermoProps($A117, $B117, ParametersRange), 1, COLUMN()-2 )</f>
        <v>7759.2636156467279</v>
      </c>
    </row>
    <row r="118" spans="1:14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Parameters</vt:lpstr>
      <vt:lpstr>Outputs</vt:lpstr>
      <vt:lpstr>Sweep</vt:lpstr>
      <vt:lpstr>p_in</vt:lpstr>
      <vt:lpstr>ParametersRange</vt:lpstr>
      <vt:lpstr>T_in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2025-09-21T03:07:19Z</dcterms:modified>
</cp:coreProperties>
</file>