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385" documentId="8_{B0C8A4BE-9622-4CEE-91F7-C2B4B71EBE2F}" xr6:coauthVersionLast="47" xr6:coauthVersionMax="47" xr10:uidLastSave="{E7B57B28-B8B6-4B33-BA68-ADAE1BC73B83}"/>
  <bookViews>
    <workbookView xWindow="-120" yWindow="-120" windowWidth="29040" windowHeight="15720" activeTab="3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</sheets>
  <functionGroups builtInGroupCount="19"/>
  <definedNames>
    <definedName name="Ht_REFPROP">Sweep!$B$8</definedName>
    <definedName name="p_in">Inputs!$B$3</definedName>
    <definedName name="ParametersRange">Parameters!$B$2:$B$32</definedName>
    <definedName name="St_REFPROP">Sweep!$B$7</definedName>
    <definedName name="T_in">Inputs!$B$2</definedName>
    <definedName name="Tt_REF">Sweep!$B$5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4" l="1"/>
  <c r="B9" i="4"/>
  <c r="B385" i="4"/>
  <c r="B386" i="4"/>
  <c r="B387" i="4"/>
  <c r="B388" i="4"/>
  <c r="B389" i="4"/>
  <c r="B390" i="4"/>
  <c r="B391" i="4"/>
  <c r="B380" i="4"/>
  <c r="B381" i="4"/>
  <c r="B382" i="4"/>
  <c r="B383" i="4"/>
  <c r="B384" i="4"/>
  <c r="M380" i="4" a="1"/>
  <c r="M387" i="4" a="1"/>
  <c r="M384" i="4" a="1"/>
  <c r="M386" i="4" a="1"/>
  <c r="M383" i="4" a="1"/>
  <c r="B10" i="4"/>
  <c r="M389" i="4" a="1"/>
  <c r="M382" i="4" a="1"/>
  <c r="M391" i="4" a="1"/>
  <c r="M390" i="4" a="1"/>
  <c r="M381" i="4" a="1"/>
  <c r="M388" i="4" a="1"/>
  <c r="M385" i="4" a="1"/>
  <c r="B11" i="4" l="1"/>
  <c r="M390" i="4"/>
  <c r="M389" i="4"/>
  <c r="M388" i="4"/>
  <c r="M386" i="4"/>
  <c r="M387" i="4"/>
  <c r="M391" i="4"/>
  <c r="M385" i="4"/>
  <c r="M384" i="4"/>
  <c r="M383" i="4"/>
  <c r="M380" i="4"/>
  <c r="M382" i="4"/>
  <c r="M381" i="4"/>
  <c r="B373" i="4"/>
  <c r="B374" i="4"/>
  <c r="B375" i="4"/>
  <c r="B376" i="4"/>
  <c r="B377" i="4"/>
  <c r="B378" i="4"/>
  <c r="B379" i="4"/>
  <c r="M378" i="4" a="1"/>
  <c r="M373" i="4" a="1"/>
  <c r="M379" i="4" a="1"/>
  <c r="M374" i="4" a="1"/>
  <c r="M377" i="4" a="1"/>
  <c r="M375" i="4" a="1"/>
  <c r="M376" i="4" a="1"/>
  <c r="M377" i="4" l="1"/>
  <c r="M376" i="4"/>
  <c r="M375" i="4"/>
  <c r="M374" i="4"/>
  <c r="M373" i="4"/>
  <c r="M379" i="4"/>
  <c r="M378" i="4"/>
  <c r="A23" i="4" a="1"/>
  <c r="B9" i="3"/>
  <c r="B13" i="3"/>
  <c r="B6" i="3"/>
  <c r="B5" i="3"/>
  <c r="B11" i="3"/>
  <c r="B16" i="3"/>
  <c r="B3" i="3"/>
  <c r="B8" i="3"/>
  <c r="B2" i="3"/>
  <c r="B4" i="3"/>
  <c r="B10" i="3"/>
  <c r="B12" i="3"/>
  <c r="B7" i="3"/>
  <c r="B227" i="4" l="1"/>
  <c r="B239" i="4"/>
  <c r="B251" i="4"/>
  <c r="B263" i="4"/>
  <c r="B275" i="4"/>
  <c r="B287" i="4"/>
  <c r="B299" i="4"/>
  <c r="B311" i="4"/>
  <c r="B323" i="4"/>
  <c r="B335" i="4"/>
  <c r="B347" i="4"/>
  <c r="B359" i="4"/>
  <c r="B371" i="4"/>
  <c r="B281" i="4"/>
  <c r="B319" i="4"/>
  <c r="B248" i="4"/>
  <c r="B344" i="4"/>
  <c r="B228" i="4"/>
  <c r="B240" i="4"/>
  <c r="B252" i="4"/>
  <c r="B264" i="4"/>
  <c r="B276" i="4"/>
  <c r="B288" i="4"/>
  <c r="B300" i="4"/>
  <c r="B312" i="4"/>
  <c r="B324" i="4"/>
  <c r="B336" i="4"/>
  <c r="B348" i="4"/>
  <c r="B360" i="4"/>
  <c r="B372" i="4"/>
  <c r="B233" i="4"/>
  <c r="B293" i="4"/>
  <c r="B317" i="4"/>
  <c r="B353" i="4"/>
  <c r="B259" i="4"/>
  <c r="B355" i="4"/>
  <c r="B272" i="4"/>
  <c r="B320" i="4"/>
  <c r="B229" i="4"/>
  <c r="B241" i="4"/>
  <c r="B253" i="4"/>
  <c r="B265" i="4"/>
  <c r="B277" i="4"/>
  <c r="B289" i="4"/>
  <c r="B301" i="4"/>
  <c r="B313" i="4"/>
  <c r="B325" i="4"/>
  <c r="B337" i="4"/>
  <c r="B349" i="4"/>
  <c r="B361" i="4"/>
  <c r="B245" i="4"/>
  <c r="B236" i="4"/>
  <c r="B368" i="4"/>
  <c r="B230" i="4"/>
  <c r="B242" i="4"/>
  <c r="B254" i="4"/>
  <c r="B266" i="4"/>
  <c r="B278" i="4"/>
  <c r="B290" i="4"/>
  <c r="B302" i="4"/>
  <c r="B314" i="4"/>
  <c r="B326" i="4"/>
  <c r="B338" i="4"/>
  <c r="B350" i="4"/>
  <c r="B362" i="4"/>
  <c r="B305" i="4"/>
  <c r="B341" i="4"/>
  <c r="B343" i="4"/>
  <c r="B224" i="4"/>
  <c r="B284" i="4"/>
  <c r="B296" i="4"/>
  <c r="B356" i="4"/>
  <c r="B231" i="4"/>
  <c r="B243" i="4"/>
  <c r="B255" i="4"/>
  <c r="B267" i="4"/>
  <c r="B279" i="4"/>
  <c r="B291" i="4"/>
  <c r="B303" i="4"/>
  <c r="B315" i="4"/>
  <c r="B327" i="4"/>
  <c r="B339" i="4"/>
  <c r="B351" i="4"/>
  <c r="B363" i="4"/>
  <c r="B269" i="4"/>
  <c r="B365" i="4"/>
  <c r="B283" i="4"/>
  <c r="B232" i="4"/>
  <c r="B244" i="4"/>
  <c r="B256" i="4"/>
  <c r="B268" i="4"/>
  <c r="B280" i="4"/>
  <c r="B292" i="4"/>
  <c r="B304" i="4"/>
  <c r="B316" i="4"/>
  <c r="B328" i="4"/>
  <c r="B340" i="4"/>
  <c r="B352" i="4"/>
  <c r="B364" i="4"/>
  <c r="B257" i="4"/>
  <c r="B329" i="4"/>
  <c r="B295" i="4"/>
  <c r="B332" i="4"/>
  <c r="B234" i="4"/>
  <c r="B246" i="4"/>
  <c r="B258" i="4"/>
  <c r="B270" i="4"/>
  <c r="B282" i="4"/>
  <c r="B294" i="4"/>
  <c r="B306" i="4"/>
  <c r="B318" i="4"/>
  <c r="B330" i="4"/>
  <c r="B342" i="4"/>
  <c r="B354" i="4"/>
  <c r="B366" i="4"/>
  <c r="B223" i="4"/>
  <c r="B235" i="4"/>
  <c r="B247" i="4"/>
  <c r="B271" i="4"/>
  <c r="B307" i="4"/>
  <c r="B331" i="4"/>
  <c r="B367" i="4"/>
  <c r="B260" i="4"/>
  <c r="B308" i="4"/>
  <c r="B249" i="4"/>
  <c r="B321" i="4"/>
  <c r="B369" i="4"/>
  <c r="B226" i="4"/>
  <c r="B310" i="4"/>
  <c r="B250" i="4"/>
  <c r="B322" i="4"/>
  <c r="B345" i="4"/>
  <c r="B346" i="4"/>
  <c r="B261" i="4"/>
  <c r="B333" i="4"/>
  <c r="B285" i="4"/>
  <c r="B225" i="4"/>
  <c r="B370" i="4"/>
  <c r="B309" i="4"/>
  <c r="B262" i="4"/>
  <c r="B334" i="4"/>
  <c r="B273" i="4"/>
  <c r="B274" i="4"/>
  <c r="B357" i="4"/>
  <c r="B297" i="4"/>
  <c r="B298" i="4"/>
  <c r="B286" i="4"/>
  <c r="B358" i="4"/>
  <c r="B237" i="4"/>
  <c r="B238" i="4"/>
  <c r="A23" i="4"/>
  <c r="B23" i="4" s="1"/>
  <c r="B127" i="4"/>
  <c r="B139" i="4"/>
  <c r="B151" i="4"/>
  <c r="B163" i="4"/>
  <c r="B175" i="4"/>
  <c r="B187" i="4"/>
  <c r="B199" i="4"/>
  <c r="B211" i="4"/>
  <c r="B182" i="4"/>
  <c r="B134" i="4"/>
  <c r="B205" i="4"/>
  <c r="B169" i="4"/>
  <c r="B192" i="4"/>
  <c r="B144" i="4"/>
  <c r="B215" i="4"/>
  <c r="B179" i="4"/>
  <c r="B131" i="4"/>
  <c r="B202" i="4"/>
  <c r="B166" i="4"/>
  <c r="B213" i="4"/>
  <c r="B189" i="4"/>
  <c r="B165" i="4"/>
  <c r="B141" i="4"/>
  <c r="B129" i="4"/>
  <c r="B222" i="4"/>
  <c r="B210" i="4"/>
  <c r="B198" i="4"/>
  <c r="B186" i="4"/>
  <c r="B174" i="4"/>
  <c r="B162" i="4"/>
  <c r="B150" i="4"/>
  <c r="B138" i="4"/>
  <c r="B126" i="4"/>
  <c r="B218" i="4"/>
  <c r="B158" i="4"/>
  <c r="B157" i="4"/>
  <c r="B194" i="4"/>
  <c r="B146" i="4"/>
  <c r="B193" i="4"/>
  <c r="B145" i="4"/>
  <c r="B216" i="4"/>
  <c r="B168" i="4"/>
  <c r="B156" i="4"/>
  <c r="B191" i="4"/>
  <c r="B155" i="4"/>
  <c r="B190" i="4"/>
  <c r="B142" i="4"/>
  <c r="B221" i="4"/>
  <c r="B209" i="4"/>
  <c r="B197" i="4"/>
  <c r="B185" i="4"/>
  <c r="B173" i="4"/>
  <c r="B161" i="4"/>
  <c r="B149" i="4"/>
  <c r="B137" i="4"/>
  <c r="B125" i="4"/>
  <c r="B220" i="4"/>
  <c r="B208" i="4"/>
  <c r="B196" i="4"/>
  <c r="B184" i="4"/>
  <c r="B172" i="4"/>
  <c r="B160" i="4"/>
  <c r="B148" i="4"/>
  <c r="B136" i="4"/>
  <c r="B124" i="4"/>
  <c r="B206" i="4"/>
  <c r="B170" i="4"/>
  <c r="B219" i="4"/>
  <c r="B207" i="4"/>
  <c r="B195" i="4"/>
  <c r="B183" i="4"/>
  <c r="B171" i="4"/>
  <c r="B159" i="4"/>
  <c r="B147" i="4"/>
  <c r="B135" i="4"/>
  <c r="B123" i="4"/>
  <c r="B217" i="4"/>
  <c r="B181" i="4"/>
  <c r="B133" i="4"/>
  <c r="B204" i="4"/>
  <c r="B180" i="4"/>
  <c r="B132" i="4"/>
  <c r="B203" i="4"/>
  <c r="B167" i="4"/>
  <c r="B143" i="4"/>
  <c r="B214" i="4"/>
  <c r="B178" i="4"/>
  <c r="B154" i="4"/>
  <c r="B130" i="4"/>
  <c r="B201" i="4"/>
  <c r="B177" i="4"/>
  <c r="B153" i="4"/>
  <c r="B212" i="4"/>
  <c r="B200" i="4"/>
  <c r="B188" i="4"/>
  <c r="B176" i="4"/>
  <c r="B164" i="4"/>
  <c r="B152" i="4"/>
  <c r="B140" i="4"/>
  <c r="B128" i="4"/>
  <c r="B81" i="4"/>
  <c r="O81" i="4" s="1"/>
  <c r="B104" i="4"/>
  <c r="O104" i="4" s="1"/>
  <c r="B119" i="4"/>
  <c r="O119" i="4" s="1"/>
  <c r="B107" i="4"/>
  <c r="O107" i="4" s="1"/>
  <c r="B95" i="4"/>
  <c r="O95" i="4" s="1"/>
  <c r="B83" i="4"/>
  <c r="O83" i="4" s="1"/>
  <c r="B71" i="4"/>
  <c r="O71" i="4" s="1"/>
  <c r="B59" i="4"/>
  <c r="O59" i="4" s="1"/>
  <c r="B47" i="4"/>
  <c r="O47" i="4" s="1"/>
  <c r="B35" i="4"/>
  <c r="O35" i="4" s="1"/>
  <c r="B117" i="4"/>
  <c r="O117" i="4" s="1"/>
  <c r="B45" i="4"/>
  <c r="O45" i="4" s="1"/>
  <c r="B68" i="4"/>
  <c r="O68" i="4" s="1"/>
  <c r="B118" i="4"/>
  <c r="O118" i="4" s="1"/>
  <c r="B106" i="4"/>
  <c r="O106" i="4" s="1"/>
  <c r="B94" i="4"/>
  <c r="O94" i="4" s="1"/>
  <c r="B82" i="4"/>
  <c r="O82" i="4" s="1"/>
  <c r="B70" i="4"/>
  <c r="O70" i="4" s="1"/>
  <c r="B58" i="4"/>
  <c r="O58" i="4" s="1"/>
  <c r="B46" i="4"/>
  <c r="O46" i="4" s="1"/>
  <c r="B34" i="4"/>
  <c r="O34" i="4" s="1"/>
  <c r="B33" i="4"/>
  <c r="O33" i="4" s="1"/>
  <c r="B93" i="4"/>
  <c r="O93" i="4" s="1"/>
  <c r="B57" i="4"/>
  <c r="O57" i="4" s="1"/>
  <c r="B80" i="4"/>
  <c r="O80" i="4" s="1"/>
  <c r="B44" i="4"/>
  <c r="O44" i="4" s="1"/>
  <c r="B115" i="4"/>
  <c r="O115" i="4" s="1"/>
  <c r="B91" i="4"/>
  <c r="O91" i="4" s="1"/>
  <c r="B67" i="4"/>
  <c r="O67" i="4" s="1"/>
  <c r="B43" i="4"/>
  <c r="O43" i="4" s="1"/>
  <c r="B114" i="4"/>
  <c r="O114" i="4" s="1"/>
  <c r="B90" i="4"/>
  <c r="O90" i="4" s="1"/>
  <c r="B66" i="4"/>
  <c r="O66" i="4" s="1"/>
  <c r="B42" i="4"/>
  <c r="O42" i="4" s="1"/>
  <c r="B113" i="4"/>
  <c r="O113" i="4" s="1"/>
  <c r="B77" i="4"/>
  <c r="O77" i="4" s="1"/>
  <c r="B65" i="4"/>
  <c r="O65" i="4" s="1"/>
  <c r="B41" i="4"/>
  <c r="O41" i="4" s="1"/>
  <c r="B100" i="4"/>
  <c r="O100" i="4" s="1"/>
  <c r="B64" i="4"/>
  <c r="O64" i="4" s="1"/>
  <c r="B40" i="4"/>
  <c r="O40" i="4" s="1"/>
  <c r="B87" i="4"/>
  <c r="O87" i="4" s="1"/>
  <c r="B51" i="4"/>
  <c r="O51" i="4" s="1"/>
  <c r="B27" i="4"/>
  <c r="O27" i="4" s="1"/>
  <c r="B122" i="4"/>
  <c r="O122" i="4" s="1"/>
  <c r="B110" i="4"/>
  <c r="O110" i="4" s="1"/>
  <c r="B98" i="4"/>
  <c r="O98" i="4" s="1"/>
  <c r="B86" i="4"/>
  <c r="O86" i="4" s="1"/>
  <c r="B74" i="4"/>
  <c r="O74" i="4" s="1"/>
  <c r="B62" i="4"/>
  <c r="O62" i="4" s="1"/>
  <c r="B50" i="4"/>
  <c r="O50" i="4" s="1"/>
  <c r="B38" i="4"/>
  <c r="O38" i="4" s="1"/>
  <c r="B26" i="4"/>
  <c r="O26" i="4" s="1"/>
  <c r="B88" i="4"/>
  <c r="O88" i="4" s="1"/>
  <c r="B99" i="4"/>
  <c r="O99" i="4" s="1"/>
  <c r="B63" i="4"/>
  <c r="O63" i="4" s="1"/>
  <c r="B39" i="4"/>
  <c r="O39" i="4" s="1"/>
  <c r="B121" i="4"/>
  <c r="O121" i="4" s="1"/>
  <c r="B109" i="4"/>
  <c r="O109" i="4" s="1"/>
  <c r="B97" i="4"/>
  <c r="O97" i="4" s="1"/>
  <c r="B85" i="4"/>
  <c r="O85" i="4" s="1"/>
  <c r="B73" i="4"/>
  <c r="O73" i="4" s="1"/>
  <c r="B61" i="4"/>
  <c r="O61" i="4" s="1"/>
  <c r="B49" i="4"/>
  <c r="O49" i="4" s="1"/>
  <c r="B37" i="4"/>
  <c r="O37" i="4" s="1"/>
  <c r="B25" i="4"/>
  <c r="O25" i="4" s="1"/>
  <c r="B105" i="4"/>
  <c r="O105" i="4" s="1"/>
  <c r="B69" i="4"/>
  <c r="O69" i="4" s="1"/>
  <c r="B116" i="4"/>
  <c r="O116" i="4" s="1"/>
  <c r="B92" i="4"/>
  <c r="O92" i="4" s="1"/>
  <c r="B56" i="4"/>
  <c r="O56" i="4" s="1"/>
  <c r="B32" i="4"/>
  <c r="O32" i="4" s="1"/>
  <c r="B103" i="4"/>
  <c r="O103" i="4" s="1"/>
  <c r="B79" i="4"/>
  <c r="O79" i="4" s="1"/>
  <c r="B55" i="4"/>
  <c r="O55" i="4" s="1"/>
  <c r="B31" i="4"/>
  <c r="O31" i="4" s="1"/>
  <c r="B102" i="4"/>
  <c r="O102" i="4" s="1"/>
  <c r="B78" i="4"/>
  <c r="O78" i="4" s="1"/>
  <c r="B54" i="4"/>
  <c r="O54" i="4" s="1"/>
  <c r="B30" i="4"/>
  <c r="O30" i="4" s="1"/>
  <c r="B101" i="4"/>
  <c r="O101" i="4" s="1"/>
  <c r="B89" i="4"/>
  <c r="O89" i="4" s="1"/>
  <c r="B53" i="4"/>
  <c r="O53" i="4" s="1"/>
  <c r="B29" i="4"/>
  <c r="O29" i="4" s="1"/>
  <c r="B112" i="4"/>
  <c r="O112" i="4" s="1"/>
  <c r="B76" i="4"/>
  <c r="O76" i="4" s="1"/>
  <c r="B52" i="4"/>
  <c r="O52" i="4" s="1"/>
  <c r="B28" i="4"/>
  <c r="O28" i="4" s="1"/>
  <c r="B111" i="4"/>
  <c r="O111" i="4" s="1"/>
  <c r="B75" i="4"/>
  <c r="O75" i="4" s="1"/>
  <c r="B120" i="4"/>
  <c r="O120" i="4" s="1"/>
  <c r="B108" i="4"/>
  <c r="O108" i="4" s="1"/>
  <c r="B96" i="4"/>
  <c r="O96" i="4" s="1"/>
  <c r="B84" i="4"/>
  <c r="O84" i="4" s="1"/>
  <c r="B72" i="4"/>
  <c r="O72" i="4" s="1"/>
  <c r="B60" i="4"/>
  <c r="O60" i="4" s="1"/>
  <c r="B48" i="4"/>
  <c r="O48" i="4" s="1"/>
  <c r="B36" i="4"/>
  <c r="O36" i="4" s="1"/>
  <c r="B24" i="4"/>
  <c r="O24" i="4" s="1"/>
  <c r="O205" i="4" l="1"/>
  <c r="O200" i="4"/>
  <c r="O132" i="4"/>
  <c r="O195" i="4"/>
  <c r="O208" i="4"/>
  <c r="O190" i="4"/>
  <c r="O218" i="4"/>
  <c r="O165" i="4"/>
  <c r="O134" i="4"/>
  <c r="O203" i="4"/>
  <c r="O180" i="4"/>
  <c r="O212" i="4"/>
  <c r="O183" i="4"/>
  <c r="O189" i="4"/>
  <c r="O196" i="4"/>
  <c r="O155" i="4"/>
  <c r="O158" i="4"/>
  <c r="O220" i="4"/>
  <c r="O141" i="4"/>
  <c r="O126" i="4"/>
  <c r="O188" i="4"/>
  <c r="O182" i="4"/>
  <c r="O142" i="4"/>
  <c r="O207" i="4"/>
  <c r="O153" i="4"/>
  <c r="O204" i="4"/>
  <c r="O219" i="4"/>
  <c r="O125" i="4"/>
  <c r="O191" i="4"/>
  <c r="O138" i="4"/>
  <c r="O213" i="4"/>
  <c r="O211" i="4"/>
  <c r="O177" i="4"/>
  <c r="O133" i="4"/>
  <c r="O170" i="4"/>
  <c r="O137" i="4"/>
  <c r="O156" i="4"/>
  <c r="O150" i="4"/>
  <c r="O166" i="4"/>
  <c r="O199" i="4"/>
  <c r="O201" i="4"/>
  <c r="O181" i="4"/>
  <c r="O206" i="4"/>
  <c r="O149" i="4"/>
  <c r="O168" i="4"/>
  <c r="O162" i="4"/>
  <c r="O202" i="4"/>
  <c r="O187" i="4"/>
  <c r="O130" i="4"/>
  <c r="O217" i="4"/>
  <c r="O124" i="4"/>
  <c r="O161" i="4"/>
  <c r="O216" i="4"/>
  <c r="O174" i="4"/>
  <c r="O131" i="4"/>
  <c r="O175" i="4"/>
  <c r="O128" i="4"/>
  <c r="O154" i="4"/>
  <c r="O123" i="4"/>
  <c r="O136" i="4"/>
  <c r="O173" i="4"/>
  <c r="O145" i="4"/>
  <c r="O186" i="4"/>
  <c r="O179" i="4"/>
  <c r="O163" i="4"/>
  <c r="O140" i="4"/>
  <c r="O178" i="4"/>
  <c r="O135" i="4"/>
  <c r="O148" i="4"/>
  <c r="O185" i="4"/>
  <c r="O193" i="4"/>
  <c r="O198" i="4"/>
  <c r="O215" i="4"/>
  <c r="O151" i="4"/>
  <c r="O152" i="4"/>
  <c r="O214" i="4"/>
  <c r="O147" i="4"/>
  <c r="O160" i="4"/>
  <c r="O197" i="4"/>
  <c r="O146" i="4"/>
  <c r="O210" i="4"/>
  <c r="O144" i="4"/>
  <c r="O139" i="4"/>
  <c r="O164" i="4"/>
  <c r="O143" i="4"/>
  <c r="O159" i="4"/>
  <c r="O172" i="4"/>
  <c r="O209" i="4"/>
  <c r="O194" i="4"/>
  <c r="O222" i="4"/>
  <c r="O192" i="4"/>
  <c r="O127" i="4"/>
  <c r="O176" i="4"/>
  <c r="O167" i="4"/>
  <c r="O171" i="4"/>
  <c r="O184" i="4"/>
  <c r="O221" i="4"/>
  <c r="O157" i="4"/>
  <c r="O129" i="4"/>
  <c r="O169" i="4"/>
  <c r="O23" i="4"/>
  <c r="O357" i="4" l="1"/>
  <c r="O345" i="4"/>
  <c r="O307" i="4"/>
  <c r="O282" i="4"/>
  <c r="O328" i="4"/>
  <c r="O363" i="4"/>
  <c r="O356" i="4"/>
  <c r="O302" i="4"/>
  <c r="O337" i="4"/>
  <c r="O355" i="4"/>
  <c r="O300" i="4"/>
  <c r="O359" i="4"/>
  <c r="O274" i="4"/>
  <c r="O322" i="4"/>
  <c r="O271" i="4"/>
  <c r="O270" i="4"/>
  <c r="O316" i="4"/>
  <c r="O351" i="4"/>
  <c r="O296" i="4"/>
  <c r="O290" i="4"/>
  <c r="O325" i="4"/>
  <c r="O259" i="4"/>
  <c r="O288" i="4"/>
  <c r="O347" i="4"/>
  <c r="O273" i="4"/>
  <c r="O250" i="4"/>
  <c r="O247" i="4"/>
  <c r="O258" i="4"/>
  <c r="O304" i="4"/>
  <c r="O339" i="4"/>
  <c r="O284" i="4"/>
  <c r="O278" i="4"/>
  <c r="O313" i="4"/>
  <c r="O353" i="4"/>
  <c r="O276" i="4"/>
  <c r="O335" i="4"/>
  <c r="O334" i="4"/>
  <c r="O310" i="4"/>
  <c r="O235" i="4"/>
  <c r="O246" i="4"/>
  <c r="O292" i="4"/>
  <c r="O327" i="4"/>
  <c r="O224" i="4"/>
  <c r="O266" i="4"/>
  <c r="O301" i="4"/>
  <c r="O317" i="4"/>
  <c r="O264" i="4"/>
  <c r="O323" i="4"/>
  <c r="O262" i="4"/>
  <c r="O226" i="4"/>
  <c r="O223" i="4"/>
  <c r="O234" i="4"/>
  <c r="O280" i="4"/>
  <c r="O315" i="4"/>
  <c r="O343" i="4"/>
  <c r="O254" i="4"/>
  <c r="O289" i="4"/>
  <c r="O293" i="4"/>
  <c r="O252" i="4"/>
  <c r="O311" i="4"/>
  <c r="O309" i="4"/>
  <c r="O369" i="4"/>
  <c r="O366" i="4"/>
  <c r="O332" i="4"/>
  <c r="O268" i="4"/>
  <c r="O303" i="4"/>
  <c r="O341" i="4"/>
  <c r="O242" i="4"/>
  <c r="O277" i="4"/>
  <c r="O233" i="4"/>
  <c r="O240" i="4"/>
  <c r="O299" i="4"/>
  <c r="O238" i="4"/>
  <c r="O370" i="4"/>
  <c r="O321" i="4"/>
  <c r="O354" i="4"/>
  <c r="O295" i="4"/>
  <c r="O256" i="4"/>
  <c r="O291" i="4"/>
  <c r="O305" i="4"/>
  <c r="O230" i="4"/>
  <c r="O265" i="4"/>
  <c r="O372" i="4"/>
  <c r="O228" i="4"/>
  <c r="O287" i="4"/>
  <c r="O237" i="4"/>
  <c r="O225" i="4"/>
  <c r="O249" i="4"/>
  <c r="O342" i="4"/>
  <c r="O329" i="4"/>
  <c r="O244" i="4"/>
  <c r="O279" i="4"/>
  <c r="O362" i="4"/>
  <c r="O368" i="4"/>
  <c r="O253" i="4"/>
  <c r="O360" i="4"/>
  <c r="O344" i="4"/>
  <c r="O275" i="4"/>
  <c r="O358" i="4"/>
  <c r="O285" i="4"/>
  <c r="O308" i="4"/>
  <c r="O330" i="4"/>
  <c r="O257" i="4"/>
  <c r="O232" i="4"/>
  <c r="O267" i="4"/>
  <c r="O350" i="4"/>
  <c r="O236" i="4"/>
  <c r="O241" i="4"/>
  <c r="O348" i="4"/>
  <c r="O248" i="4"/>
  <c r="O263" i="4"/>
  <c r="O286" i="4"/>
  <c r="O333" i="4"/>
  <c r="O260" i="4"/>
  <c r="O318" i="4"/>
  <c r="O364" i="4"/>
  <c r="O283" i="4"/>
  <c r="O255" i="4"/>
  <c r="O338" i="4"/>
  <c r="O245" i="4"/>
  <c r="O229" i="4"/>
  <c r="O336" i="4"/>
  <c r="O319" i="4"/>
  <c r="O251" i="4"/>
  <c r="O298" i="4"/>
  <c r="O261" i="4"/>
  <c r="O367" i="4"/>
  <c r="O306" i="4"/>
  <c r="O352" i="4"/>
  <c r="O365" i="4"/>
  <c r="O243" i="4"/>
  <c r="O326" i="4"/>
  <c r="O361" i="4"/>
  <c r="O320" i="4"/>
  <c r="O324" i="4"/>
  <c r="O281" i="4"/>
  <c r="O239" i="4"/>
  <c r="O297" i="4"/>
  <c r="O346" i="4"/>
  <c r="O331" i="4"/>
  <c r="O294" i="4"/>
  <c r="O340" i="4"/>
  <c r="O269" i="4"/>
  <c r="O231" i="4"/>
  <c r="O314" i="4"/>
  <c r="O349" i="4"/>
  <c r="O272" i="4"/>
  <c r="O312" i="4"/>
  <c r="O371" i="4"/>
  <c r="O227" i="4"/>
  <c r="M272" i="4" a="1"/>
  <c r="M294" i="4" a="1"/>
  <c r="G213" i="4" a="1"/>
  <c r="H212" i="4" a="1"/>
  <c r="M102" i="4" a="1"/>
  <c r="K127" i="4" a="1"/>
  <c r="L198" i="4" a="1"/>
  <c r="D196" i="4" a="1"/>
  <c r="H61" i="4" a="1"/>
  <c r="F93" i="4" a="1"/>
  <c r="G88" i="4" a="1"/>
  <c r="K46" i="4" a="1"/>
  <c r="C324" i="4" a="1"/>
  <c r="C352" i="4" a="1"/>
  <c r="G140" i="4" a="1"/>
  <c r="H202" i="4" a="1"/>
  <c r="I138" i="4" a="1"/>
  <c r="J203" i="4" a="1"/>
  <c r="H86" i="4" a="1"/>
  <c r="D143" i="4" a="1"/>
  <c r="N106" i="4" a="1"/>
  <c r="J51" i="4" a="1"/>
  <c r="L98" i="4" a="1"/>
  <c r="D204" i="4" a="1"/>
  <c r="C319" i="4" a="1"/>
  <c r="C283" i="4" a="1"/>
  <c r="F23" i="4" a="1"/>
  <c r="H144" i="4" a="1"/>
  <c r="I163" i="4" a="1"/>
  <c r="J168" i="4" a="1"/>
  <c r="K220" i="4" a="1"/>
  <c r="M67" i="4" a="1"/>
  <c r="E218" i="4" a="1"/>
  <c r="F133" i="4" a="1"/>
  <c r="D84" i="4" a="1"/>
  <c r="G93" i="4" a="1"/>
  <c r="J36" i="4" a="1"/>
  <c r="M350" i="4" a="1"/>
  <c r="M285" i="4" a="1"/>
  <c r="G39" i="4" a="1"/>
  <c r="I169" i="4" a="1"/>
  <c r="J146" i="4" a="1"/>
  <c r="K216" i="4" a="1"/>
  <c r="L177" i="4" a="1"/>
  <c r="E147" i="4" a="1"/>
  <c r="F206" i="4" a="1"/>
  <c r="M144" i="4" a="1"/>
  <c r="C170" i="4" a="1"/>
  <c r="N159" i="4" a="1"/>
  <c r="C362" i="4" a="1"/>
  <c r="C225" i="4" a="1"/>
  <c r="G132" i="4" a="1"/>
  <c r="E50" i="4" a="1"/>
  <c r="J192" i="4" a="1"/>
  <c r="K179" i="4" a="1"/>
  <c r="L149" i="4" a="1"/>
  <c r="E129" i="4" a="1"/>
  <c r="F163" i="4" a="1"/>
  <c r="N144" i="4" a="1"/>
  <c r="C179" i="4" a="1"/>
  <c r="C287" i="4" a="1"/>
  <c r="C291" i="4" a="1"/>
  <c r="C238" i="4" a="1"/>
  <c r="F37" i="4" a="1"/>
  <c r="I159" i="4" a="1"/>
  <c r="J140" i="4" a="1"/>
  <c r="K166" i="4" a="1"/>
  <c r="L141" i="4" a="1"/>
  <c r="E130" i="4" a="1"/>
  <c r="F222" i="4" a="1"/>
  <c r="D149" i="4" a="1"/>
  <c r="M100" i="4" a="1"/>
  <c r="M177" i="4" a="1"/>
  <c r="M242" i="4" a="1"/>
  <c r="M369" i="4" a="1"/>
  <c r="L25" i="4" a="1"/>
  <c r="I221" i="4" a="1"/>
  <c r="J147" i="4" a="1"/>
  <c r="K217" i="4" a="1"/>
  <c r="L138" i="4" a="1"/>
  <c r="E193" i="4" a="1"/>
  <c r="F156" i="4" a="1"/>
  <c r="M151" i="4" a="1"/>
  <c r="C219" i="4" a="1"/>
  <c r="C215" i="4" a="1"/>
  <c r="C254" i="4" a="1"/>
  <c r="C226" i="4" a="1"/>
  <c r="G212" i="4" a="1"/>
  <c r="J117" i="4" a="1"/>
  <c r="J169" i="4" a="1"/>
  <c r="K215" i="4" a="1"/>
  <c r="L216" i="4" a="1"/>
  <c r="N103" i="4" a="1"/>
  <c r="F139" i="4" a="1"/>
  <c r="N118" i="4" a="1"/>
  <c r="C209" i="4" a="1"/>
  <c r="M107" i="4" a="1"/>
  <c r="M301" i="4" a="1"/>
  <c r="M235" i="4" a="1"/>
  <c r="G180" i="4" a="1"/>
  <c r="I41" i="4" a="1"/>
  <c r="J129" i="4" a="1"/>
  <c r="K198" i="4" a="1"/>
  <c r="L161" i="4" a="1"/>
  <c r="F103" i="4" a="1"/>
  <c r="F210" i="4" a="1"/>
  <c r="M49" i="4" a="1"/>
  <c r="F159" i="4" a="1"/>
  <c r="N25" i="4" a="1"/>
  <c r="C313" i="4" a="1"/>
  <c r="C247" i="4" a="1"/>
  <c r="G182" i="4" a="1"/>
  <c r="H132" i="4" a="1"/>
  <c r="G47" i="4" a="1"/>
  <c r="K139" i="4" a="1"/>
  <c r="L186" i="4" a="1"/>
  <c r="G94" i="4" a="1"/>
  <c r="G81" i="4" a="1"/>
  <c r="J81" i="4" a="1"/>
  <c r="N151" i="4" a="1"/>
  <c r="I43" i="4" a="1"/>
  <c r="M325" i="4" a="1"/>
  <c r="M271" i="4" a="1"/>
  <c r="C349" i="4" a="1"/>
  <c r="C331" i="4" a="1"/>
  <c r="G141" i="4" a="1"/>
  <c r="H59" i="4" a="1"/>
  <c r="F88" i="4" a="1"/>
  <c r="K146" i="4" a="1"/>
  <c r="L136" i="4" a="1"/>
  <c r="E97" i="4" a="1"/>
  <c r="F221" i="4" a="1"/>
  <c r="C27" i="4" a="1"/>
  <c r="C169" i="4" a="1"/>
  <c r="M86" i="4" a="1"/>
  <c r="M324" i="4" a="1"/>
  <c r="M352" i="4" a="1"/>
  <c r="G174" i="4" a="1"/>
  <c r="H170" i="4" a="1"/>
  <c r="I220" i="4" a="1"/>
  <c r="J47" i="4" a="1"/>
  <c r="L171" i="4" a="1"/>
  <c r="D173" i="4" a="1"/>
  <c r="I118" i="4" a="1"/>
  <c r="J102" i="4" a="1"/>
  <c r="L54" i="4" a="1"/>
  <c r="N102" i="4" a="1"/>
  <c r="M319" i="4" a="1"/>
  <c r="M283" i="4" a="1"/>
  <c r="G194" i="4" a="1"/>
  <c r="H185" i="4" a="1"/>
  <c r="I216" i="4" a="1"/>
  <c r="J177" i="4" a="1"/>
  <c r="K190" i="4" a="1"/>
  <c r="L85" i="4" a="1"/>
  <c r="F100" i="4" a="1"/>
  <c r="E195" i="4" a="1"/>
  <c r="N107" i="4" a="1"/>
  <c r="M120" i="4" a="1"/>
  <c r="C263" i="4" a="1"/>
  <c r="C267" i="4" a="1"/>
  <c r="C358" i="4" a="1"/>
  <c r="H80" i="4" a="1"/>
  <c r="I209" i="4" a="1"/>
  <c r="J135" i="4" a="1"/>
  <c r="K201" i="4" a="1"/>
  <c r="L188" i="4" a="1"/>
  <c r="E216" i="4" a="1"/>
  <c r="C171" i="4" a="1"/>
  <c r="M217" i="4" a="1"/>
  <c r="C208" i="4" a="1"/>
  <c r="E199" i="4" a="1"/>
  <c r="M362" i="4" a="1"/>
  <c r="M225" i="4" a="1"/>
  <c r="M31" i="4" a="1"/>
  <c r="I129" i="4" a="1"/>
  <c r="J197" i="4" a="1"/>
  <c r="K161" i="4" a="1"/>
  <c r="L211" i="4" a="1"/>
  <c r="E152" i="4" a="1"/>
  <c r="F201" i="4" a="1"/>
  <c r="M197" i="4" a="1"/>
  <c r="C211" i="4" a="1"/>
  <c r="M287" i="4" a="1"/>
  <c r="M291" i="4" a="1"/>
  <c r="M238" i="4" a="1"/>
  <c r="H192" i="4" a="1"/>
  <c r="I151" i="4" a="1"/>
  <c r="J174" i="4" a="1"/>
  <c r="K219" i="4" a="1"/>
  <c r="L218" i="4" a="1"/>
  <c r="E153" i="4" a="1"/>
  <c r="F154" i="4" a="1"/>
  <c r="N189" i="4" a="1"/>
  <c r="G45" i="4" a="1"/>
  <c r="L47" i="4" a="1"/>
  <c r="C341" i="4" a="1"/>
  <c r="C309" i="4" a="1"/>
  <c r="L36" i="4" a="1"/>
  <c r="I143" i="4" a="1"/>
  <c r="J163" i="4" a="1"/>
  <c r="K150" i="4" a="1"/>
  <c r="L220" i="4" a="1"/>
  <c r="E202" i="4" a="1"/>
  <c r="C172" i="4" a="1"/>
  <c r="M181" i="4" a="1"/>
  <c r="C26" i="4" a="1"/>
  <c r="N138" i="4" a="1"/>
  <c r="M254" i="4" a="1"/>
  <c r="M226" i="4" a="1"/>
  <c r="G41" i="4" a="1"/>
  <c r="D68" i="4" a="1"/>
  <c r="J209" i="4" a="1"/>
  <c r="K173" i="4" a="1"/>
  <c r="L201" i="4" a="1"/>
  <c r="E176" i="4" a="1"/>
  <c r="F123" i="4" a="1"/>
  <c r="N140" i="4" a="1"/>
  <c r="C175" i="4" a="1"/>
  <c r="I95" i="4" a="1"/>
  <c r="C266" i="4" a="1"/>
  <c r="C310" i="4" a="1"/>
  <c r="L39" i="4" a="1"/>
  <c r="I37" i="4" a="1"/>
  <c r="J172" i="4" a="1"/>
  <c r="K136" i="4" a="1"/>
  <c r="L199" i="4" a="1"/>
  <c r="E192" i="4" a="1"/>
  <c r="F128" i="4" a="1"/>
  <c r="L23" i="4" a="1"/>
  <c r="F174" i="4" a="1"/>
  <c r="H83" i="4" a="1"/>
  <c r="M313" i="4" a="1"/>
  <c r="M247" i="4" a="1"/>
  <c r="G203" i="4" a="1"/>
  <c r="N57" i="4" a="1"/>
  <c r="J157" i="4" a="1"/>
  <c r="K193" i="4" a="1"/>
  <c r="L124" i="4" a="1"/>
  <c r="C98" i="4" a="1"/>
  <c r="F197" i="4" a="1"/>
  <c r="D120" i="4" a="1"/>
  <c r="C139" i="4" a="1"/>
  <c r="L88" i="4" a="1"/>
  <c r="C290" i="4" a="1"/>
  <c r="C322" i="4" a="1"/>
  <c r="K59" i="4" a="1"/>
  <c r="M349" i="4" a="1"/>
  <c r="M331" i="4" a="1"/>
  <c r="G218" i="4" a="1"/>
  <c r="G37" i="4" a="1"/>
  <c r="J171" i="4" a="1"/>
  <c r="K135" i="4" a="1"/>
  <c r="L187" i="4" a="1"/>
  <c r="L104" i="4" a="1"/>
  <c r="F215" i="4" a="1"/>
  <c r="L38" i="4" a="1"/>
  <c r="C152" i="4" a="1"/>
  <c r="J61" i="4" a="1"/>
  <c r="C320" i="4" a="1"/>
  <c r="C306" i="4" a="1"/>
  <c r="G181" i="4" a="1"/>
  <c r="H142" i="4" a="1"/>
  <c r="I190" i="4" a="1"/>
  <c r="I48" i="4" a="1"/>
  <c r="L139" i="4" a="1"/>
  <c r="D156" i="4" a="1"/>
  <c r="L24" i="4" a="1"/>
  <c r="E111" i="4" a="1"/>
  <c r="N69" i="4" a="1"/>
  <c r="C78" i="4" a="1"/>
  <c r="C336" i="4" a="1"/>
  <c r="C364" i="4" a="1"/>
  <c r="G147" i="4" a="1"/>
  <c r="H154" i="4" a="1"/>
  <c r="I201" i="4" a="1"/>
  <c r="J188" i="4" a="1"/>
  <c r="J68" i="4" a="1"/>
  <c r="M169" i="4" a="1"/>
  <c r="K82" i="4" a="1"/>
  <c r="D47" i="4" a="1"/>
  <c r="E112" i="4" a="1"/>
  <c r="E140" i="4" a="1"/>
  <c r="M263" i="4" a="1"/>
  <c r="M267" i="4" a="1"/>
  <c r="M358" i="4" a="1"/>
  <c r="H176" i="4" a="1"/>
  <c r="I214" i="4" a="1"/>
  <c r="J175" i="4" a="1"/>
  <c r="K191" i="4" a="1"/>
  <c r="L134" i="4" a="1"/>
  <c r="E191" i="4" a="1"/>
  <c r="C186" i="4" a="1"/>
  <c r="D220" i="4" a="1"/>
  <c r="D60" i="4" a="1"/>
  <c r="C275" i="4" a="1"/>
  <c r="C279" i="4" a="1"/>
  <c r="C237" i="4" a="1"/>
  <c r="M80" i="4" a="1"/>
  <c r="I172" i="4" a="1"/>
  <c r="J178" i="4" a="1"/>
  <c r="K199" i="4" a="1"/>
  <c r="L126" i="4" a="1"/>
  <c r="E124" i="4" a="1"/>
  <c r="C127" i="4" a="1"/>
  <c r="M202" i="4" a="1"/>
  <c r="M132" i="4" a="1"/>
  <c r="C228" i="4" a="1"/>
  <c r="C256" i="4" a="1"/>
  <c r="G157" i="4" a="1"/>
  <c r="H197" i="4" a="1"/>
  <c r="I145" i="4" a="1"/>
  <c r="J181" i="4" a="1"/>
  <c r="K196" i="4" a="1"/>
  <c r="E92" i="4" a="1"/>
  <c r="E205" i="4" a="1"/>
  <c r="F204" i="4" a="1"/>
  <c r="H34" i="4" a="1"/>
  <c r="H57" i="4" a="1"/>
  <c r="C49" i="4" a="1"/>
  <c r="M341" i="4" a="1"/>
  <c r="M309" i="4" a="1"/>
  <c r="H222" i="4" a="1"/>
  <c r="I215" i="4" a="1"/>
  <c r="J216" i="4" a="1"/>
  <c r="K204" i="4" a="1"/>
  <c r="L190" i="4" a="1"/>
  <c r="E142" i="4" a="1"/>
  <c r="C131" i="4" a="1"/>
  <c r="F180" i="4" a="1"/>
  <c r="L29" i="4" a="1"/>
  <c r="M118" i="4" a="1"/>
  <c r="C343" i="4" a="1"/>
  <c r="C262" i="4" a="1"/>
  <c r="E32" i="4" a="1"/>
  <c r="I184" i="4" a="1"/>
  <c r="J214" i="4" a="1"/>
  <c r="K130" i="4" a="1"/>
  <c r="L191" i="4" a="1"/>
  <c r="E148" i="4" a="1"/>
  <c r="F170" i="4" a="1"/>
  <c r="M193" i="4" a="1"/>
  <c r="C207" i="4" a="1"/>
  <c r="N185" i="4" a="1"/>
  <c r="M266" i="4" a="1"/>
  <c r="M310" i="4" a="1"/>
  <c r="K41" i="4" a="1"/>
  <c r="I171" i="4" a="1"/>
  <c r="J152" i="4" a="1"/>
  <c r="K187" i="4" a="1"/>
  <c r="L125" i="4" a="1"/>
  <c r="E178" i="4" a="1"/>
  <c r="F177" i="4" a="1"/>
  <c r="D135" i="4" a="1"/>
  <c r="E182" i="4" a="1"/>
  <c r="C163" i="4" a="1"/>
  <c r="C278" i="4" a="1"/>
  <c r="C250" i="4" a="1"/>
  <c r="F52" i="4" a="1"/>
  <c r="N114" i="4" a="1"/>
  <c r="J159" i="4" a="1"/>
  <c r="K123" i="4" a="1"/>
  <c r="L166" i="4" a="1"/>
  <c r="E194" i="4" a="1"/>
  <c r="F131" i="4" a="1"/>
  <c r="F157" i="4" a="1"/>
  <c r="C124" i="4" a="1"/>
  <c r="H98" i="4" a="1"/>
  <c r="M290" i="4" a="1"/>
  <c r="M322" i="4" a="1"/>
  <c r="C314" i="4" a="1"/>
  <c r="C346" i="4" a="1"/>
  <c r="J88" i="4" a="1"/>
  <c r="G31" i="4" a="1"/>
  <c r="J139" i="4" a="1"/>
  <c r="K175" i="4" a="1"/>
  <c r="L137" i="4" a="1"/>
  <c r="E139" i="4" a="1"/>
  <c r="F130" i="4" a="1"/>
  <c r="M222" i="4" a="1"/>
  <c r="C206" i="4" a="1"/>
  <c r="C157" i="4" a="1"/>
  <c r="M320" i="4" a="1"/>
  <c r="M306" i="4" a="1"/>
  <c r="G138" i="4" a="1"/>
  <c r="H180" i="4" a="1"/>
  <c r="G104" i="4" a="1"/>
  <c r="K192" i="4" a="1"/>
  <c r="L193" i="4" a="1"/>
  <c r="D183" i="4" a="1"/>
  <c r="I101" i="4" a="1"/>
  <c r="K42" i="4" a="1"/>
  <c r="J27" i="4" a="1"/>
  <c r="I105" i="4" a="1"/>
  <c r="M336" i="4" a="1"/>
  <c r="M364" i="4" a="1"/>
  <c r="G163" i="4" a="1"/>
  <c r="H162" i="4" a="1"/>
  <c r="I191" i="4" a="1"/>
  <c r="J134" i="4" a="1"/>
  <c r="N101" i="4" a="1"/>
  <c r="D139" i="4" a="1"/>
  <c r="G92" i="4" a="1"/>
  <c r="C90" i="4" a="1"/>
  <c r="F66" i="4" a="1"/>
  <c r="N142" i="4" a="1"/>
  <c r="C248" i="4" a="1"/>
  <c r="C232" i="4" a="1"/>
  <c r="G169" i="4" a="1"/>
  <c r="H210" i="4" a="1"/>
  <c r="I179" i="4" a="1"/>
  <c r="J149" i="4" a="1"/>
  <c r="K158" i="4" a="1"/>
  <c r="F63" i="4" a="1"/>
  <c r="E208" i="4" a="1"/>
  <c r="C213" i="4" a="1"/>
  <c r="E24" i="4" a="1"/>
  <c r="H38" i="4" a="1"/>
  <c r="M275" i="4" a="1"/>
  <c r="M279" i="4" a="1"/>
  <c r="M237" i="4" a="1"/>
  <c r="H127" i="4" a="1"/>
  <c r="I152" i="4" a="1"/>
  <c r="J131" i="4" a="1"/>
  <c r="K125" i="4" a="1"/>
  <c r="L165" i="4" a="1"/>
  <c r="E219" i="4" a="1"/>
  <c r="C136" i="4" a="1"/>
  <c r="F155" i="4" a="1"/>
  <c r="E89" i="4" a="1"/>
  <c r="M228" i="4" a="1"/>
  <c r="M256" i="4" a="1"/>
  <c r="G159" i="4" a="1"/>
  <c r="H178" i="4" a="1"/>
  <c r="I217" i="4" a="1"/>
  <c r="J138" i="4" a="1"/>
  <c r="K132" i="4" a="1"/>
  <c r="H26" i="4" a="1"/>
  <c r="C51" i="4" a="1"/>
  <c r="H76" i="4" a="1"/>
  <c r="J45" i="4" a="1"/>
  <c r="J100" i="4" a="1"/>
  <c r="C299" i="4" a="1"/>
  <c r="C303" i="4" a="1"/>
  <c r="G221" i="4" a="1"/>
  <c r="H160" i="4" a="1"/>
  <c r="I173" i="4" a="1"/>
  <c r="J201" i="4" a="1"/>
  <c r="K189" i="4" a="1"/>
  <c r="K37" i="4" a="1"/>
  <c r="I96" i="4" a="1"/>
  <c r="C142" i="4" a="1"/>
  <c r="M43" i="4" a="1"/>
  <c r="C97" i="4" a="1"/>
  <c r="E87" i="4" a="1"/>
  <c r="M343" i="4" a="1"/>
  <c r="M262" i="4" a="1"/>
  <c r="G23" i="4" a="1"/>
  <c r="I164" i="4" a="1"/>
  <c r="J179" i="4" a="1"/>
  <c r="K156" i="4" a="1"/>
  <c r="L158" i="4" a="1"/>
  <c r="E168" i="4" a="1"/>
  <c r="C164" i="4" a="1"/>
  <c r="M166" i="4" a="1"/>
  <c r="M69" i="4" a="1"/>
  <c r="E204" i="4" a="1"/>
  <c r="C224" i="4" a="1"/>
  <c r="C334" i="4" a="1"/>
  <c r="H169" i="4" a="1"/>
  <c r="I139" i="4" a="1"/>
  <c r="J186" i="4" a="1"/>
  <c r="K137" i="4" a="1"/>
  <c r="L155" i="4" a="1"/>
  <c r="E206" i="4" a="1"/>
  <c r="F144" i="4" a="1"/>
  <c r="D137" i="4" a="1"/>
  <c r="C122" i="4" a="1"/>
  <c r="C182" i="4" a="1"/>
  <c r="M278" i="4" a="1"/>
  <c r="M250" i="4" a="1"/>
  <c r="D110" i="4" a="1"/>
  <c r="I167" i="4" a="1"/>
  <c r="J151" i="4" a="1"/>
  <c r="K202" i="4" a="1"/>
  <c r="L219" i="4" a="1"/>
  <c r="E163" i="4" a="1"/>
  <c r="F213" i="4" a="1"/>
  <c r="M140" i="4" a="1"/>
  <c r="M126" i="4" a="1"/>
  <c r="N145" i="4" a="1"/>
  <c r="C296" i="4" a="1"/>
  <c r="C274" i="4" a="1"/>
  <c r="M314" i="4" a="1"/>
  <c r="M346" i="4" a="1"/>
  <c r="E59" i="4" a="1"/>
  <c r="I192" i="4" a="1"/>
  <c r="J193" i="4" a="1"/>
  <c r="K149" i="4" a="1"/>
  <c r="L207" i="4" a="1"/>
  <c r="E123" i="4" a="1"/>
  <c r="F153" i="4" a="1"/>
  <c r="M154" i="4" a="1"/>
  <c r="C212" i="4" a="1"/>
  <c r="N124" i="4" a="1"/>
  <c r="C361" i="4" a="1"/>
  <c r="C367" i="4" a="1"/>
  <c r="G220" i="4" a="1"/>
  <c r="N24" i="4" a="1"/>
  <c r="K47" i="4" a="1"/>
  <c r="K197" i="4" a="1"/>
  <c r="L123" i="4" a="1"/>
  <c r="H52" i="4" a="1"/>
  <c r="F171" i="4" a="1"/>
  <c r="L27" i="4" a="1"/>
  <c r="C221" i="4" a="1"/>
  <c r="J30" i="4" a="1"/>
  <c r="C229" i="4" a="1"/>
  <c r="C318" i="4" a="1"/>
  <c r="G216" i="4" a="1"/>
  <c r="H133" i="4" a="1"/>
  <c r="I158" i="4" a="1"/>
  <c r="C42" i="4" a="1"/>
  <c r="L167" i="4" a="1"/>
  <c r="D123" i="4" a="1"/>
  <c r="N95" i="4" a="1"/>
  <c r="E26" i="4" a="1"/>
  <c r="G101" i="4" a="1"/>
  <c r="K58" i="4" a="1"/>
  <c r="M248" i="4" a="1"/>
  <c r="M232" i="4" a="1"/>
  <c r="G209" i="4" a="1"/>
  <c r="H148" i="4" a="1"/>
  <c r="I161" i="4" a="1"/>
  <c r="J211" i="4" a="1"/>
  <c r="K208" i="4" a="1"/>
  <c r="E66" i="4" a="1"/>
  <c r="G62" i="4" a="1"/>
  <c r="M200" i="4" a="1"/>
  <c r="I85" i="4" a="1"/>
  <c r="H101" i="4" a="1"/>
  <c r="C344" i="4" a="1"/>
  <c r="C244" i="4" a="1"/>
  <c r="G129" i="4" a="1"/>
  <c r="H146" i="4" a="1"/>
  <c r="I186" i="4" a="1"/>
  <c r="J206" i="4" a="1"/>
  <c r="K155" i="4" a="1"/>
  <c r="L76" i="4" a="1"/>
  <c r="E132" i="4" a="1"/>
  <c r="C125" i="4" a="1"/>
  <c r="I108" i="4" a="1"/>
  <c r="M66" i="4" a="1"/>
  <c r="C372" i="4" a="1"/>
  <c r="C295" i="4" a="1"/>
  <c r="G151" i="4" a="1"/>
  <c r="H131" i="4" a="1"/>
  <c r="I150" i="4" a="1"/>
  <c r="J220" i="4" a="1"/>
  <c r="G55" i="4" a="1"/>
  <c r="C23" i="4" a="1"/>
  <c r="D104" i="4" a="1"/>
  <c r="F55" i="4" a="1"/>
  <c r="E41" i="4" a="1"/>
  <c r="C174" i="4" a="1"/>
  <c r="M299" i="4" a="1"/>
  <c r="M303" i="4" a="1"/>
  <c r="G143" i="4" a="1"/>
  <c r="H140" i="4" a="1"/>
  <c r="I130" i="4" a="1"/>
  <c r="J191" i="4" a="1"/>
  <c r="K200" i="4" a="1"/>
  <c r="D55" i="4" a="1"/>
  <c r="I113" i="4" a="1"/>
  <c r="J55" i="4" a="1"/>
  <c r="E93" i="4" a="1"/>
  <c r="N129" i="4" a="1"/>
  <c r="C311" i="4" a="1"/>
  <c r="C315" i="4" a="1"/>
  <c r="N222" i="4" a="1"/>
  <c r="H194" i="4" a="1"/>
  <c r="I198" i="4" a="1"/>
  <c r="J161" i="4" a="1"/>
  <c r="K153" i="4" a="1"/>
  <c r="L208" i="4" a="1"/>
  <c r="E188" i="4" a="1"/>
  <c r="C161" i="4" a="1"/>
  <c r="N134" i="4" a="1"/>
  <c r="D59" i="4" a="1"/>
  <c r="C29" i="4" a="1"/>
  <c r="M224" i="4" a="1"/>
  <c r="M334" i="4" a="1"/>
  <c r="H209" i="4" a="1"/>
  <c r="I193" i="4" a="1"/>
  <c r="J124" i="4" a="1"/>
  <c r="K207" i="4" a="1"/>
  <c r="L195" i="4" a="1"/>
  <c r="E141" i="4" a="1"/>
  <c r="F217" i="4" a="1"/>
  <c r="D190" i="4" a="1"/>
  <c r="M44" i="4" a="1"/>
  <c r="L121" i="4" a="1"/>
  <c r="C284" i="4" a="1"/>
  <c r="C273" i="4" a="1"/>
  <c r="H129" i="4" a="1"/>
  <c r="I144" i="4" a="1"/>
  <c r="J145" i="4" a="1"/>
  <c r="K170" i="4" a="1"/>
  <c r="L196" i="4" a="1"/>
  <c r="E201" i="4" a="1"/>
  <c r="C197" i="4" a="1"/>
  <c r="M133" i="4" a="1"/>
  <c r="J76" i="4" a="1"/>
  <c r="C141" i="4" a="1"/>
  <c r="M296" i="4" a="1"/>
  <c r="M274" i="4" a="1"/>
  <c r="H159" i="4" a="1"/>
  <c r="I148" i="4" a="1"/>
  <c r="J130" i="4" a="1"/>
  <c r="K182" i="4" a="1"/>
  <c r="C227" i="4" a="1"/>
  <c r="C231" i="4" a="1"/>
  <c r="C297" i="4" a="1"/>
  <c r="H184" i="4" a="1"/>
  <c r="I197" i="4" a="1"/>
  <c r="J123" i="4" a="1"/>
  <c r="K211" i="4" a="1"/>
  <c r="L212" i="4" a="1"/>
  <c r="E170" i="4" a="1"/>
  <c r="C193" i="4" a="1"/>
  <c r="M204" i="4" a="1"/>
  <c r="H100" i="4" a="1"/>
  <c r="M203" i="4" a="1"/>
  <c r="M361" i="4" a="1"/>
  <c r="M367" i="4" a="1"/>
  <c r="G190" i="4" a="1"/>
  <c r="L26" i="4" a="1"/>
  <c r="J167" i="4" a="1"/>
  <c r="K178" i="4" a="1"/>
  <c r="L202" i="4" a="1"/>
  <c r="E101" i="4" a="1"/>
  <c r="F193" i="4" a="1"/>
  <c r="M157" i="4" a="1"/>
  <c r="C198" i="4" a="1"/>
  <c r="I122" i="4" a="1"/>
  <c r="M229" i="4" a="1"/>
  <c r="M318" i="4" a="1"/>
  <c r="G201" i="4" a="1"/>
  <c r="H182" i="4" a="1"/>
  <c r="I208" i="4" a="1"/>
  <c r="N89" i="4" a="1"/>
  <c r="L144" i="4" a="1"/>
  <c r="D170" i="4" a="1"/>
  <c r="M68" i="4" a="1"/>
  <c r="L30" i="4" a="1"/>
  <c r="I64" i="4" a="1"/>
  <c r="K122" i="4" a="1"/>
  <c r="C348" i="4" a="1"/>
  <c r="C257" i="4" a="1"/>
  <c r="G214" i="4" a="1"/>
  <c r="H128" i="4" a="1"/>
  <c r="I199" i="4" a="1"/>
  <c r="J126" i="4" a="1"/>
  <c r="C61" i="4" a="1"/>
  <c r="N169" i="4" a="1"/>
  <c r="E56" i="4" a="1"/>
  <c r="H31" i="4" a="1"/>
  <c r="L119" i="4" a="1"/>
  <c r="M145" i="4" a="1"/>
  <c r="M344" i="4" a="1"/>
  <c r="M244" i="4" a="1"/>
  <c r="G172" i="4" a="1"/>
  <c r="H135" i="4" a="1"/>
  <c r="I124" i="4" a="1"/>
  <c r="J213" i="4" a="1"/>
  <c r="K195" i="4" a="1"/>
  <c r="K85" i="4" a="1"/>
  <c r="L62" i="4" a="1"/>
  <c r="F45" i="4" a="1"/>
  <c r="C108" i="4" a="1"/>
  <c r="C58" i="4" a="1"/>
  <c r="M372" i="4" a="1"/>
  <c r="M295" i="4" a="1"/>
  <c r="G145" i="4" a="1"/>
  <c r="H206" i="4" a="1"/>
  <c r="I204" i="4" a="1"/>
  <c r="J190" i="4" a="1"/>
  <c r="F97" i="4" a="1"/>
  <c r="D147" i="4" a="1"/>
  <c r="G30" i="4" a="1"/>
  <c r="L67" i="4" a="1"/>
  <c r="J114" i="4" a="1"/>
  <c r="F183" i="4" a="1"/>
  <c r="C240" i="4" a="1"/>
  <c r="C268" i="4" a="1"/>
  <c r="G215" i="4" a="1"/>
  <c r="H174" i="4" a="1"/>
  <c r="I156" i="4" a="1"/>
  <c r="J158" i="4" a="1"/>
  <c r="L45" i="4" a="1"/>
  <c r="D129" i="4" a="1"/>
  <c r="I82" i="4" a="1"/>
  <c r="M28" i="4" a="1"/>
  <c r="D66" i="4" a="1"/>
  <c r="M124" i="4" a="1"/>
  <c r="M311" i="4" a="1"/>
  <c r="M315" i="4" a="1"/>
  <c r="G184" i="4" a="1"/>
  <c r="H147" i="4" a="1"/>
  <c r="I136" i="4" a="1"/>
  <c r="J199" i="4" a="1"/>
  <c r="K183" i="4" a="1"/>
  <c r="D122" i="4" a="1"/>
  <c r="H35" i="4" a="1"/>
  <c r="M188" i="4" a="1"/>
  <c r="L46" i="4" a="1"/>
  <c r="J34" i="4" a="1"/>
  <c r="C323" i="4" a="1"/>
  <c r="C327" i="4" a="1"/>
  <c r="G171" i="4" a="1"/>
  <c r="H214" i="4" a="1"/>
  <c r="I123" i="4" a="1"/>
  <c r="J166" i="4" a="1"/>
  <c r="K212" i="4" a="1"/>
  <c r="J56" i="4" a="1"/>
  <c r="G99" i="4" a="1"/>
  <c r="C220" i="4" a="1"/>
  <c r="K55" i="4" a="1"/>
  <c r="E119" i="4" a="1"/>
  <c r="I42" i="4" a="1"/>
  <c r="M284" i="4" a="1"/>
  <c r="M273" i="4" a="1"/>
  <c r="H172" i="4" a="1"/>
  <c r="I185" i="4" a="1"/>
  <c r="J217" i="4" a="1"/>
  <c r="K142" i="4" a="1"/>
  <c r="L132" i="4" a="1"/>
  <c r="E158" i="4" a="1"/>
  <c r="C202" i="4" a="1"/>
  <c r="F195" i="4" a="1"/>
  <c r="I58" i="4" a="1"/>
  <c r="C347" i="4" a="1"/>
  <c r="C351" i="4" a="1"/>
  <c r="G176" i="4" a="1"/>
  <c r="H151" i="4" a="1"/>
  <c r="I128" i="4" a="1"/>
  <c r="J156" i="4" a="1"/>
  <c r="M227" i="4" a="1"/>
  <c r="M231" i="4" a="1"/>
  <c r="M297" i="4" a="1"/>
  <c r="H164" i="4" a="1"/>
  <c r="I178" i="4" a="1"/>
  <c r="J202" i="4" a="1"/>
  <c r="K126" i="4" a="1"/>
  <c r="N78" i="4" a="1"/>
  <c r="E180" i="4" a="1"/>
  <c r="C166" i="4" a="1"/>
  <c r="I51" i="4" a="1"/>
  <c r="F119" i="4" a="1"/>
  <c r="J35" i="4" a="1"/>
  <c r="C326" i="4" a="1"/>
  <c r="C261" i="4" a="1"/>
  <c r="D115" i="4" a="1"/>
  <c r="L70" i="4" a="1"/>
  <c r="J144" i="4" a="1"/>
  <c r="K131" i="4" a="1"/>
  <c r="L170" i="4" a="1"/>
  <c r="E210" i="4" a="1"/>
  <c r="F202" i="4" a="1"/>
  <c r="M172" i="4" a="1"/>
  <c r="C199" i="4" a="1"/>
  <c r="N167" i="4" a="1"/>
  <c r="C245" i="4" a="1"/>
  <c r="C260" i="4" a="1"/>
  <c r="G191" i="4" a="1"/>
  <c r="H203" i="4" a="1"/>
  <c r="L115" i="4" a="1"/>
  <c r="K222" i="4" a="1"/>
  <c r="L185" i="4" a="1"/>
  <c r="D180" i="4" a="1"/>
  <c r="C75" i="4" a="1"/>
  <c r="J42" i="4" a="1"/>
  <c r="J86" i="4" a="1"/>
  <c r="G66" i="4" a="1"/>
  <c r="M348" i="4" a="1"/>
  <c r="M257" i="4" a="1"/>
  <c r="G179" i="4" a="1"/>
  <c r="H168" i="4" a="1"/>
  <c r="I125" i="4" a="1"/>
  <c r="J165" i="4" a="1"/>
  <c r="H67" i="4" a="1"/>
  <c r="D210" i="4" a="1"/>
  <c r="M106" i="4" a="1"/>
  <c r="J58" i="4" a="1"/>
  <c r="N100" i="4" a="1"/>
  <c r="N126" i="4" a="1"/>
  <c r="C360" i="4" a="1"/>
  <c r="C329" i="4" a="1"/>
  <c r="G152" i="4" a="1"/>
  <c r="H175" i="4" a="1"/>
  <c r="I166" i="4" a="1"/>
  <c r="J141" i="4" a="1"/>
  <c r="I117" i="4" a="1"/>
  <c r="N157" i="4" a="1"/>
  <c r="J46" i="4" a="1"/>
  <c r="E35" i="4" a="1"/>
  <c r="G118" i="4" a="1"/>
  <c r="D154" i="4" a="1"/>
  <c r="C265" i="4" a="1"/>
  <c r="C354" i="4" a="1"/>
  <c r="G217" i="4" a="1"/>
  <c r="H213" i="4" a="1"/>
  <c r="I189" i="4" a="1"/>
  <c r="H105" i="4" a="1"/>
  <c r="L192" i="4" a="1"/>
  <c r="D216" i="4" a="1"/>
  <c r="M122" i="4" a="1"/>
  <c r="N48" i="4" a="1"/>
  <c r="D36" i="4" a="1"/>
  <c r="M111" i="4" a="1"/>
  <c r="M240" i="4" a="1"/>
  <c r="M268" i="4" a="1"/>
  <c r="G173" i="4" a="1"/>
  <c r="H181" i="4" a="1"/>
  <c r="I153" i="4" a="1"/>
  <c r="J208" i="4" a="1"/>
  <c r="L37" i="4" a="1"/>
  <c r="D152" i="4" a="1"/>
  <c r="G26" i="4" a="1"/>
  <c r="G36" i="4" a="1"/>
  <c r="E71" i="4" a="1"/>
  <c r="F203" i="4" a="1"/>
  <c r="C252" i="4" a="1"/>
  <c r="C280" i="4" a="1"/>
  <c r="G164" i="4" a="1"/>
  <c r="H163" i="4" a="1"/>
  <c r="I187" i="4" a="1"/>
  <c r="J125" i="4" a="1"/>
  <c r="K205" i="4" a="1"/>
  <c r="I35" i="4" a="1"/>
  <c r="E28" i="4" a="1"/>
  <c r="K60" i="4" a="1"/>
  <c r="L105" i="4" a="1"/>
  <c r="M167" i="4" a="1"/>
  <c r="M323" i="4" a="1"/>
  <c r="M327" i="4" a="1"/>
  <c r="G139" i="4" a="1"/>
  <c r="H179" i="4" a="1"/>
  <c r="I202" i="4" a="1"/>
  <c r="J219" i="4" a="1"/>
  <c r="M117" i="4" a="1"/>
  <c r="C76" i="4" a="1"/>
  <c r="H44" i="4" a="1"/>
  <c r="C86" i="4" a="1"/>
  <c r="H96" i="4" a="1"/>
  <c r="E222" i="4" a="1"/>
  <c r="C335" i="4" a="1"/>
  <c r="C339" i="4" a="1"/>
  <c r="G167" i="4" a="1"/>
  <c r="H152" i="4" a="1"/>
  <c r="I154" i="4" a="1"/>
  <c r="J150" i="4" a="1"/>
  <c r="K180" i="4" a="1"/>
  <c r="H39" i="4" a="1"/>
  <c r="F105" i="4" a="1"/>
  <c r="E155" i="4" a="1"/>
  <c r="J25" i="4" a="1"/>
  <c r="L102" i="4" a="1"/>
  <c r="M347" i="4" a="1"/>
  <c r="M351" i="4" a="1"/>
  <c r="G210" i="4" a="1"/>
  <c r="C371" i="4" a="1"/>
  <c r="C269" i="4" a="1"/>
  <c r="G192" i="4" a="1"/>
  <c r="H198" i="4" a="1"/>
  <c r="I131" i="4" a="1"/>
  <c r="J170" i="4" a="1"/>
  <c r="K165" i="4" a="1"/>
  <c r="L86" i="4" a="1"/>
  <c r="H94" i="4" a="1"/>
  <c r="M134" i="4" a="1"/>
  <c r="D75" i="4" a="1"/>
  <c r="L77" i="4" a="1"/>
  <c r="C70" i="4" a="1"/>
  <c r="M326" i="4" a="1"/>
  <c r="M261" i="4" a="1"/>
  <c r="H45" i="4" a="1"/>
  <c r="I222" i="4" a="1"/>
  <c r="J185" i="4" a="1"/>
  <c r="K206" i="4" a="1"/>
  <c r="L142" i="4" a="1"/>
  <c r="E128" i="4" a="1"/>
  <c r="E23" i="4" a="1"/>
  <c r="M131" i="4" a="1"/>
  <c r="E203" i="4" a="1"/>
  <c r="N187" i="4" a="1"/>
  <c r="M245" i="4" a="1"/>
  <c r="M260" i="4" a="1"/>
  <c r="G158" i="4" a="1"/>
  <c r="G35" i="4" a="1"/>
  <c r="E40" i="4" a="1"/>
  <c r="K160" i="4" a="1"/>
  <c r="L154" i="4" a="1"/>
  <c r="F35" i="4" a="1"/>
  <c r="F176" i="4" a="1"/>
  <c r="J60" i="4" a="1"/>
  <c r="C167" i="4" a="1"/>
  <c r="H27" i="4" a="1"/>
  <c r="C241" i="4" a="1"/>
  <c r="C330" i="4" a="1"/>
  <c r="G161" i="4" a="1"/>
  <c r="H177" i="4" a="1"/>
  <c r="I155" i="4" a="1"/>
  <c r="I112" i="4" a="1"/>
  <c r="L176" i="4" a="1"/>
  <c r="D128" i="4" a="1"/>
  <c r="K113" i="4" a="1"/>
  <c r="L109" i="4" a="1"/>
  <c r="N35" i="4" a="1"/>
  <c r="H46" i="4" a="1"/>
  <c r="M360" i="4" a="1"/>
  <c r="M329" i="4" a="1"/>
  <c r="G186" i="4" a="1"/>
  <c r="H149" i="4" a="1"/>
  <c r="I219" i="4" a="1"/>
  <c r="J218" i="4" a="1"/>
  <c r="M90" i="4" a="1"/>
  <c r="D197" i="4" a="1"/>
  <c r="F54" i="4" a="1"/>
  <c r="E27" i="4" a="1"/>
  <c r="C25" i="4" a="1"/>
  <c r="C155" i="4" a="1"/>
  <c r="M265" i="4" a="1"/>
  <c r="M354" i="4" a="1"/>
  <c r="G150" i="4" a="1"/>
  <c r="H141" i="4" a="1"/>
  <c r="I200" i="4" a="1"/>
  <c r="K129" i="4" a="1"/>
  <c r="L197" i="4" a="1"/>
  <c r="D191" i="4" a="1"/>
  <c r="L101" i="4" a="1"/>
  <c r="I103" i="4" a="1"/>
  <c r="F49" i="4" a="1"/>
  <c r="L35" i="4" a="1"/>
  <c r="C233" i="4" a="1"/>
  <c r="C332" i="4" a="1"/>
  <c r="G130" i="4" a="1"/>
  <c r="H138" i="4" a="1"/>
  <c r="I183" i="4" a="1"/>
  <c r="M34" i="4" a="1"/>
  <c r="L222" i="4" a="1"/>
  <c r="D124" i="4" a="1"/>
  <c r="G40" i="4" a="1"/>
  <c r="J90" i="4" a="1"/>
  <c r="K24" i="4" a="1"/>
  <c r="I55" i="4" a="1"/>
  <c r="M252" i="4" a="1"/>
  <c r="M280" i="4" a="1"/>
  <c r="G198" i="4" a="1"/>
  <c r="H216" i="4" a="1"/>
  <c r="I137" i="4" a="1"/>
  <c r="J155" i="4" a="1"/>
  <c r="F67" i="4" a="1"/>
  <c r="D221" i="4" a="1"/>
  <c r="H51" i="4" a="1"/>
  <c r="I97" i="4" a="1"/>
  <c r="D45" i="4" a="1"/>
  <c r="M187" i="4" a="1"/>
  <c r="C264" i="4" a="1"/>
  <c r="C292" i="4" a="1"/>
  <c r="G193" i="4" a="1"/>
  <c r="H161" i="4" a="1"/>
  <c r="I170" i="4" a="1"/>
  <c r="J196" i="4" a="1"/>
  <c r="K39" i="4" a="1"/>
  <c r="D171" i="4" a="1"/>
  <c r="G42" i="4" a="1"/>
  <c r="G69" i="4" a="1"/>
  <c r="K92" i="4" a="1"/>
  <c r="F149" i="4" a="1"/>
  <c r="M335" i="4" a="1"/>
  <c r="M339" i="4" a="1"/>
  <c r="G144" i="4" a="1"/>
  <c r="H186" i="4" a="1"/>
  <c r="I162" i="4" a="1"/>
  <c r="J204" i="4" a="1"/>
  <c r="F46" i="4" a="1"/>
  <c r="H37" i="4" a="1"/>
  <c r="I87" i="4" a="1"/>
  <c r="E91" i="4" a="1"/>
  <c r="M45" i="4" a="1"/>
  <c r="M159" i="4" a="1"/>
  <c r="C288" i="4" a="1"/>
  <c r="C316" i="4" a="1"/>
  <c r="G148" i="4" a="1"/>
  <c r="M371" i="4" a="1"/>
  <c r="M269" i="4" a="1"/>
  <c r="G197" i="4" a="1"/>
  <c r="H136" i="4" a="1"/>
  <c r="I206" i="4" a="1"/>
  <c r="J142" i="4" a="1"/>
  <c r="J120" i="4" a="1"/>
  <c r="L72" i="4" a="1"/>
  <c r="L116" i="4" a="1"/>
  <c r="K100" i="4" a="1"/>
  <c r="M77" i="4" a="1"/>
  <c r="E151" i="4" a="1"/>
  <c r="C239" i="4" a="1"/>
  <c r="C243" i="4" a="1"/>
  <c r="C298" i="4" a="1"/>
  <c r="H171" i="4" a="1"/>
  <c r="I160" i="4" a="1"/>
  <c r="J154" i="4" a="1"/>
  <c r="K213" i="4" a="1"/>
  <c r="L180" i="4" a="1"/>
  <c r="E177" i="4" a="1"/>
  <c r="C135" i="4" a="1"/>
  <c r="F142" i="4" a="1"/>
  <c r="M50" i="4" a="1"/>
  <c r="N218" i="4" a="1"/>
  <c r="C338" i="4" a="1"/>
  <c r="C333" i="4" a="1"/>
  <c r="G208" i="4" a="1"/>
  <c r="F36" i="4" a="1"/>
  <c r="J176" i="4" a="1"/>
  <c r="K140" i="4" a="1"/>
  <c r="L162" i="4" a="1"/>
  <c r="K31" i="4" a="1"/>
  <c r="F148" i="4" a="1"/>
  <c r="E127" i="4" a="1"/>
  <c r="F185" i="4" a="1"/>
  <c r="G95" i="4" a="1"/>
  <c r="M241" i="4" a="1"/>
  <c r="M330" i="4" a="1"/>
  <c r="G199" i="4" a="1"/>
  <c r="H188" i="4" a="1"/>
  <c r="I195" i="4" a="1"/>
  <c r="J23" i="4" a="1"/>
  <c r="L210" i="4" a="1"/>
  <c r="D177" i="4" a="1"/>
  <c r="M84" i="4" a="1"/>
  <c r="G89" i="4" a="1"/>
  <c r="D111" i="4" a="1"/>
  <c r="J91" i="4" a="1"/>
  <c r="C253" i="4" a="1"/>
  <c r="C342" i="4" a="1"/>
  <c r="G124" i="4" a="1"/>
  <c r="H211" i="4" a="1"/>
  <c r="I196" i="4" a="1"/>
  <c r="N53" i="4" a="1"/>
  <c r="L127" i="4" a="1"/>
  <c r="D131" i="4" a="1"/>
  <c r="N58" i="4" a="1"/>
  <c r="F33" i="4" a="1"/>
  <c r="I114" i="4" a="1"/>
  <c r="K45" i="4" a="1"/>
  <c r="C230" i="4" a="1"/>
  <c r="C321" i="4" a="1"/>
  <c r="G204" i="4" a="1"/>
  <c r="H218" i="4" a="1"/>
  <c r="I86" i="4" a="1"/>
  <c r="K172" i="4" a="1"/>
  <c r="L178" i="4" a="1"/>
  <c r="D208" i="4" a="1"/>
  <c r="G111" i="4" a="1"/>
  <c r="F82" i="4" a="1"/>
  <c r="I23" i="4" a="1"/>
  <c r="L50" i="4" a="1"/>
  <c r="M233" i="4" a="1"/>
  <c r="M332" i="4" a="1"/>
  <c r="G156" i="4" a="1"/>
  <c r="H220" i="4" a="1"/>
  <c r="I205" i="4" a="1"/>
  <c r="K157" i="4" a="1"/>
  <c r="L160" i="4" a="1"/>
  <c r="D219" i="4" a="1"/>
  <c r="F65" i="4" a="1"/>
  <c r="N60" i="4" a="1"/>
  <c r="N46" i="4" a="1"/>
  <c r="M29" i="4" a="1"/>
  <c r="C293" i="4" a="1"/>
  <c r="C234" i="4" a="1"/>
  <c r="G136" i="4" a="1"/>
  <c r="H201" i="4" a="1"/>
  <c r="I207" i="4" a="1"/>
  <c r="J195" i="4" a="1"/>
  <c r="K23" i="4" a="1"/>
  <c r="D215" i="4" a="1"/>
  <c r="L118" i="4" a="1"/>
  <c r="C47" i="4" a="1"/>
  <c r="L80" i="4" a="1"/>
  <c r="M218" i="4" a="1"/>
  <c r="M264" i="4" a="1"/>
  <c r="M292" i="4" a="1"/>
  <c r="G123" i="4" a="1"/>
  <c r="H199" i="4" a="1"/>
  <c r="I142" i="4" a="1"/>
  <c r="J132" i="4" a="1"/>
  <c r="L169" i="4" a="1"/>
  <c r="D193" i="4" a="1"/>
  <c r="E96" i="4" a="1"/>
  <c r="J116" i="4" a="1"/>
  <c r="F32" i="4" a="1"/>
  <c r="N195" i="4" a="1"/>
  <c r="C276" i="4" a="1"/>
  <c r="C304" i="4" a="1"/>
  <c r="G185" i="4" a="1"/>
  <c r="H124" i="4" a="1"/>
  <c r="I133" i="4" a="1"/>
  <c r="J189" i="4" a="1"/>
  <c r="D29" i="4" a="1"/>
  <c r="D176" i="4" a="1"/>
  <c r="D25" i="4" a="1"/>
  <c r="N119" i="4" a="1"/>
  <c r="F77" i="4" a="1"/>
  <c r="D199" i="4" a="1"/>
  <c r="M288" i="4" a="1"/>
  <c r="M316" i="4" a="1"/>
  <c r="G128" i="4" a="1"/>
  <c r="C312" i="4" a="1"/>
  <c r="C340" i="4" a="1"/>
  <c r="G178" i="4" a="1"/>
  <c r="H187" i="4" a="1"/>
  <c r="I213" i="4" a="1"/>
  <c r="J180" i="4" a="1"/>
  <c r="I59" i="4" a="1"/>
  <c r="D172" i="4" a="1"/>
  <c r="H69" i="4" a="1"/>
  <c r="K91" i="4" a="1"/>
  <c r="F72" i="4" a="1"/>
  <c r="M138" i="4" a="1"/>
  <c r="M239" i="4" a="1"/>
  <c r="M243" i="4" a="1"/>
  <c r="M298" i="4" a="1"/>
  <c r="H139" i="4" a="1"/>
  <c r="I140" i="4" a="1"/>
  <c r="J162" i="4" a="1"/>
  <c r="K141" i="4" a="1"/>
  <c r="H62" i="4" a="1"/>
  <c r="E134" i="4" a="1"/>
  <c r="C137" i="4" a="1"/>
  <c r="K63" i="4" a="1"/>
  <c r="M112" i="4" a="1"/>
  <c r="H81" i="4" a="1"/>
  <c r="M338" i="4" a="1"/>
  <c r="M333" i="4" a="1"/>
  <c r="I88" i="4" a="1"/>
  <c r="D23" i="4" a="1"/>
  <c r="J210" i="4" a="1"/>
  <c r="K174" i="4" a="1"/>
  <c r="L133" i="4" a="1"/>
  <c r="E197" i="4" a="1"/>
  <c r="F168" i="4" a="1"/>
  <c r="D164" i="4" a="1"/>
  <c r="F150" i="4" a="1"/>
  <c r="C194" i="4" a="1"/>
  <c r="C236" i="4" a="1"/>
  <c r="C308" i="4" a="1"/>
  <c r="G125" i="4" a="1"/>
  <c r="H134" i="4" a="1"/>
  <c r="M53" i="4" a="1"/>
  <c r="K194" i="4" a="1"/>
  <c r="L148" i="4" a="1"/>
  <c r="D134" i="4" a="1"/>
  <c r="H117" i="4" a="1"/>
  <c r="J65" i="4" a="1"/>
  <c r="D112" i="4" a="1"/>
  <c r="I46" i="4" a="1"/>
  <c r="M253" i="4" a="1"/>
  <c r="M342" i="4" a="1"/>
  <c r="G166" i="4" a="1"/>
  <c r="H126" i="4" a="1"/>
  <c r="I132" i="4" a="1"/>
  <c r="K169" i="4" a="1"/>
  <c r="L146" i="4" a="1"/>
  <c r="D213" i="4" a="1"/>
  <c r="G75" i="4" a="1"/>
  <c r="N88" i="4" a="1"/>
  <c r="K26" i="4" a="1"/>
  <c r="I69" i="4" a="1"/>
  <c r="M230" i="4" a="1"/>
  <c r="M321" i="4" a="1"/>
  <c r="G189" i="4" a="1"/>
  <c r="K117" i="4" a="1"/>
  <c r="I38" i="4" a="1"/>
  <c r="K152" i="4" a="1"/>
  <c r="L131" i="4" a="1"/>
  <c r="E90" i="4" a="1"/>
  <c r="F172" i="4" a="1"/>
  <c r="G61" i="4" a="1"/>
  <c r="F167" i="4" a="1"/>
  <c r="C54" i="4" a="1"/>
  <c r="C277" i="4" a="1"/>
  <c r="C366" i="4" a="1"/>
  <c r="G153" i="4" a="1"/>
  <c r="H190" i="4" a="1"/>
  <c r="C71" i="4" a="1"/>
  <c r="K159" i="4" a="1"/>
  <c r="L140" i="4" a="1"/>
  <c r="D132" i="4" a="1"/>
  <c r="M36" i="4" a="1"/>
  <c r="M62" i="4" a="1"/>
  <c r="N171" i="4" a="1"/>
  <c r="K66" i="4" a="1"/>
  <c r="M293" i="4" a="1"/>
  <c r="M234" i="4" a="1"/>
  <c r="G187" i="4" a="1"/>
  <c r="H191" i="4" a="1"/>
  <c r="I212" i="4" a="1"/>
  <c r="K44" i="4" a="1"/>
  <c r="L194" i="4" a="1"/>
  <c r="D130" i="4" a="1"/>
  <c r="L90" i="4" a="1"/>
  <c r="E61" i="4" a="1"/>
  <c r="F83" i="4" a="1"/>
  <c r="K112" i="4" a="1"/>
  <c r="C317" i="4" a="1"/>
  <c r="C246" i="4" a="1"/>
  <c r="G202" i="4" a="1"/>
  <c r="H125" i="4" a="1"/>
  <c r="I180" i="4" a="1"/>
  <c r="E116" i="4" a="1"/>
  <c r="L209" i="4" a="1"/>
  <c r="D202" i="4" a="1"/>
  <c r="E29" i="4" a="1"/>
  <c r="F110" i="4" a="1"/>
  <c r="M48" i="4" a="1"/>
  <c r="H116" i="4" a="1"/>
  <c r="M276" i="4" a="1"/>
  <c r="M304" i="4" a="1"/>
  <c r="G154" i="4" a="1"/>
  <c r="H166" i="4" a="1"/>
  <c r="I182" i="4" a="1"/>
  <c r="J200" i="4" a="1"/>
  <c r="L129" i="4" a="1"/>
  <c r="D148" i="4" a="1"/>
  <c r="K50" i="4" a="1"/>
  <c r="E120" i="4" a="1"/>
  <c r="N115" i="4" a="1"/>
  <c r="N116" i="4" a="1"/>
  <c r="C259" i="4" a="1"/>
  <c r="C270" i="4" a="1"/>
  <c r="G168" i="4" a="1"/>
  <c r="M312" i="4" a="1"/>
  <c r="M340" i="4" a="1"/>
  <c r="G131" i="4" a="1"/>
  <c r="H137" i="4" a="1"/>
  <c r="I141" i="4" a="1"/>
  <c r="E73" i="4" a="1"/>
  <c r="L184" i="4" a="1"/>
  <c r="D186" i="4" a="1"/>
  <c r="C105" i="4" a="1"/>
  <c r="C82" i="4" a="1"/>
  <c r="E108" i="4" a="1"/>
  <c r="K99" i="4" a="1"/>
  <c r="C281" i="4" a="1"/>
  <c r="C365" i="4" a="1"/>
  <c r="G222" i="4" a="1"/>
  <c r="H193" i="4" a="1"/>
  <c r="I174" i="4" a="1"/>
  <c r="J133" i="4" a="1"/>
  <c r="K218" i="4" a="1"/>
  <c r="F94" i="4" a="1"/>
  <c r="G70" i="4" a="1"/>
  <c r="C190" i="4" a="1"/>
  <c r="N77" i="4" a="1"/>
  <c r="I79" i="4" a="1"/>
  <c r="C251" i="4" a="1"/>
  <c r="C255" i="4" a="1"/>
  <c r="C286" i="4" a="1"/>
  <c r="N75" i="4" a="1"/>
  <c r="I194" i="4" a="1"/>
  <c r="J148" i="4" a="1"/>
  <c r="K181" i="4" a="1"/>
  <c r="L182" i="4" a="1"/>
  <c r="E131" i="4" a="1"/>
  <c r="E157" i="4" a="1"/>
  <c r="D161" i="4" a="1"/>
  <c r="M165" i="4" a="1"/>
  <c r="M149" i="4" a="1"/>
  <c r="M236" i="4" a="1"/>
  <c r="M308" i="4" a="1"/>
  <c r="G155" i="4" a="1"/>
  <c r="L96" i="4" a="1"/>
  <c r="J109" i="4" a="1"/>
  <c r="K147" i="4" a="1"/>
  <c r="L128" i="4" a="1"/>
  <c r="E72" i="4" a="1"/>
  <c r="F192" i="4" a="1"/>
  <c r="J72" i="4" a="1"/>
  <c r="F169" i="4" a="1"/>
  <c r="G114" i="4" a="1"/>
  <c r="C368" i="4" a="1"/>
  <c r="C249" i="4" a="1"/>
  <c r="G219" i="4" a="1"/>
  <c r="H165" i="4" a="1"/>
  <c r="D95" i="4" a="1"/>
  <c r="K209" i="4" a="1"/>
  <c r="L135" i="4" a="1"/>
  <c r="D218" i="4" a="1"/>
  <c r="N85" i="4" a="1"/>
  <c r="K106" i="4" a="1"/>
  <c r="K71" i="4" a="1"/>
  <c r="E55" i="4" a="1"/>
  <c r="C305" i="4" a="1"/>
  <c r="C370" i="4" a="1"/>
  <c r="G200" i="4" a="1"/>
  <c r="F122" i="4" a="1"/>
  <c r="J222" i="4" a="1"/>
  <c r="K186" i="4" a="1"/>
  <c r="L206" i="4" a="1"/>
  <c r="E221" i="4" a="1"/>
  <c r="F186" i="4" a="1"/>
  <c r="E214" i="4" a="1"/>
  <c r="F145" i="4" a="1"/>
  <c r="N33" i="4" a="1"/>
  <c r="M277" i="4" a="1"/>
  <c r="M366" i="4" a="1"/>
  <c r="G183" i="4" a="1"/>
  <c r="E54" i="4" a="1"/>
  <c r="M23" i="4" a="1"/>
  <c r="K151" i="4" a="1"/>
  <c r="L174" i="4" a="1"/>
  <c r="F78" i="4" a="1"/>
  <c r="F143" i="4" a="1"/>
  <c r="E100" i="4" a="1"/>
  <c r="C192" i="4" a="1"/>
  <c r="E88" i="4" a="1"/>
  <c r="C289" i="4" a="1"/>
  <c r="C223" i="4" a="1"/>
  <c r="G137" i="4" a="1"/>
  <c r="H158" i="4" a="1"/>
  <c r="J74" i="4" a="1"/>
  <c r="K221" i="4" a="1"/>
  <c r="L147" i="4" a="1"/>
  <c r="D153" i="4" a="1"/>
  <c r="K67" i="4" a="1"/>
  <c r="F61" i="4" a="1"/>
  <c r="F25" i="4" a="1"/>
  <c r="N122" i="4" a="1"/>
  <c r="M317" i="4" a="1"/>
  <c r="M246" i="4" a="1"/>
  <c r="G170" i="4" a="1"/>
  <c r="H155" i="4" a="1"/>
  <c r="C96" i="4" a="1"/>
  <c r="K184" i="4" a="1"/>
  <c r="L214" i="4" a="1"/>
  <c r="D142" i="4" a="1"/>
  <c r="E115" i="4" a="1"/>
  <c r="M55" i="4" a="1"/>
  <c r="C30" i="4" a="1"/>
  <c r="I24" i="4" a="1"/>
  <c r="C353" i="4" a="1"/>
  <c r="C258" i="4" a="1"/>
  <c r="G162" i="4" a="1"/>
  <c r="H219" i="4" a="1"/>
  <c r="I203" i="4" a="1"/>
  <c r="K49" i="4" a="1"/>
  <c r="L172" i="4" a="1"/>
  <c r="D168" i="4" a="1"/>
  <c r="K52" i="4" a="1"/>
  <c r="N81" i="4" a="1"/>
  <c r="G27" i="4" a="1"/>
  <c r="M113" i="4" a="1"/>
  <c r="M259" i="4" a="1"/>
  <c r="M270" i="4" a="1"/>
  <c r="G177" i="4" a="1"/>
  <c r="H189" i="4" a="1"/>
  <c r="N91" i="4" a="1"/>
  <c r="K167" i="4" a="1"/>
  <c r="C272" i="4" a="1"/>
  <c r="C294" i="4" a="1"/>
  <c r="G206" i="4" a="1"/>
  <c r="H207" i="4" a="1"/>
  <c r="I218" i="4" a="1"/>
  <c r="C111" i="4" a="1"/>
  <c r="L164" i="4" a="1"/>
  <c r="D166" i="4" a="1"/>
  <c r="C93" i="4" a="1"/>
  <c r="J53" i="4" a="1"/>
  <c r="G86" i="4" a="1"/>
  <c r="N120" i="4" a="1"/>
  <c r="M281" i="4" a="1"/>
  <c r="M365" i="4" a="1"/>
  <c r="G160" i="4" a="1"/>
  <c r="H123" i="4" a="1"/>
  <c r="I181" i="4" a="1"/>
  <c r="J182" i="4" a="1"/>
  <c r="D83" i="4" a="1"/>
  <c r="F31" i="4" a="1"/>
  <c r="F73" i="4" a="1"/>
  <c r="I110" i="4" a="1"/>
  <c r="J104" i="4" a="1"/>
  <c r="M185" i="4" a="1"/>
  <c r="M251" i="4" a="1"/>
  <c r="M255" i="4" a="1"/>
  <c r="M286" i="4" a="1"/>
  <c r="H167" i="4" a="1"/>
  <c r="I147" i="4" a="1"/>
  <c r="J128" i="4" a="1"/>
  <c r="K138" i="4" a="1"/>
  <c r="L203" i="4" a="1"/>
  <c r="E213" i="4" a="1"/>
  <c r="F140" i="4" a="1"/>
  <c r="N188" i="4" a="1"/>
  <c r="F80" i="4" a="1"/>
  <c r="C132" i="4" a="1"/>
  <c r="C350" i="4" a="1"/>
  <c r="C285" i="4" a="1"/>
  <c r="G195" i="4" a="1"/>
  <c r="K35" i="4" a="1"/>
  <c r="J127" i="4" a="1"/>
  <c r="K163" i="4" a="1"/>
  <c r="L168" i="4" a="1"/>
  <c r="N23" i="4" a="1"/>
  <c r="F178" i="4" a="1"/>
  <c r="N172" i="4" a="1"/>
  <c r="C178" i="4" a="1"/>
  <c r="L59" i="4" a="1"/>
  <c r="M368" i="4" a="1"/>
  <c r="M249" i="4" a="1"/>
  <c r="G196" i="4" a="1"/>
  <c r="F76" i="4" a="1"/>
  <c r="D74" i="4" a="1"/>
  <c r="K214" i="4" a="1"/>
  <c r="L175" i="4" a="1"/>
  <c r="C95" i="4" a="1"/>
  <c r="F194" i="4" a="1"/>
  <c r="E109" i="4" a="1"/>
  <c r="C184" i="4" a="1"/>
  <c r="E83" i="4" a="1"/>
  <c r="M305" i="4" a="1"/>
  <c r="M370" i="4" a="1"/>
  <c r="G68" i="4" a="1"/>
  <c r="I157" i="4" a="1"/>
  <c r="J160" i="4" a="1"/>
  <c r="K124" i="4" a="1"/>
  <c r="L213" i="4" a="1"/>
  <c r="E215" i="4" a="1"/>
  <c r="F166" i="4" a="1"/>
  <c r="D214" i="4" a="1"/>
  <c r="F138" i="4" a="1"/>
  <c r="N160" i="4" a="1"/>
  <c r="C242" i="4" a="1"/>
  <c r="C369" i="4" a="1"/>
  <c r="G205" i="4" a="1"/>
  <c r="J94" i="4" a="1"/>
  <c r="J194" i="4" a="1"/>
  <c r="K145" i="4" a="1"/>
  <c r="L181" i="4" a="1"/>
  <c r="E171" i="4" a="1"/>
  <c r="F173" i="4" a="1"/>
  <c r="N193" i="4" a="1"/>
  <c r="C123" i="4" a="1"/>
  <c r="J87" i="4" a="1"/>
  <c r="M289" i="4" a="1"/>
  <c r="M223" i="4" a="1"/>
  <c r="G207" i="4" a="1"/>
  <c r="H208" i="4" a="1"/>
  <c r="H97" i="4" a="1"/>
  <c r="K143" i="4" a="1"/>
  <c r="L163" i="4" a="1"/>
  <c r="D205" i="4" a="1"/>
  <c r="F121" i="4" a="1"/>
  <c r="G29" i="4" a="1"/>
  <c r="E164" i="4" a="1"/>
  <c r="I102" i="4" a="1"/>
  <c r="C301" i="4" a="1"/>
  <c r="C235" i="4" a="1"/>
  <c r="G142" i="4" a="1"/>
  <c r="H195" i="4" a="1"/>
  <c r="M97" i="4" a="1"/>
  <c r="K164" i="4" a="1"/>
  <c r="L179" i="4" a="1"/>
  <c r="H82" i="4" a="1"/>
  <c r="N113" i="4" a="1"/>
  <c r="N109" i="4" a="1"/>
  <c r="N197" i="4" a="1"/>
  <c r="I121" i="4" a="1"/>
  <c r="M353" i="4" a="1"/>
  <c r="M258" i="4" a="1"/>
  <c r="G133" i="4" a="1"/>
  <c r="H196" i="4" a="1"/>
  <c r="I76" i="4" a="1"/>
  <c r="K171" i="4" a="1"/>
  <c r="L152" i="4" a="1"/>
  <c r="D188" i="4" a="1"/>
  <c r="J77" i="4" a="1"/>
  <c r="H79" i="4" a="1"/>
  <c r="M116" i="4" a="1"/>
  <c r="F86" i="4" a="1"/>
  <c r="C325" i="4" a="1"/>
  <c r="C271" i="4" a="1"/>
  <c r="G188" i="4" a="1"/>
  <c r="H200" i="4" a="1"/>
  <c r="M64" i="4" a="1"/>
  <c r="K144" i="4" a="1"/>
  <c r="G134" i="4" a="1"/>
  <c r="I177" i="4" a="1"/>
  <c r="K154" i="4" a="1"/>
  <c r="L204" i="4" a="1"/>
  <c r="E186" i="4" a="1"/>
  <c r="F191" i="4" a="1"/>
  <c r="M186" i="4" a="1"/>
  <c r="C158" i="4" a="1"/>
  <c r="M359" i="4" a="1"/>
  <c r="M363" i="4" a="1"/>
  <c r="G146" i="4" a="1"/>
  <c r="H173" i="4" a="1"/>
  <c r="I149" i="4" a="1"/>
  <c r="J207" i="4" a="1"/>
  <c r="E36" i="4" a="1"/>
  <c r="G105" i="4" a="1"/>
  <c r="G52" i="4" a="1"/>
  <c r="I119" i="4" a="1"/>
  <c r="G73" i="4" a="1"/>
  <c r="M160" i="4" a="1"/>
  <c r="I111" i="4" a="1"/>
  <c r="N74" i="4" a="1"/>
  <c r="N221" i="4" a="1"/>
  <c r="N211" i="4" a="1"/>
  <c r="N55" i="4" a="1"/>
  <c r="M170" i="4" a="1"/>
  <c r="D50" i="4" a="1"/>
  <c r="J89" i="4" a="1"/>
  <c r="F199" i="4" a="1"/>
  <c r="L49" i="4" a="1"/>
  <c r="C41" i="4" a="1"/>
  <c r="D184" i="4" a="1"/>
  <c r="H103" i="4" a="1"/>
  <c r="G85" i="4" a="1"/>
  <c r="C40" i="4" a="1"/>
  <c r="C31" i="4" a="1"/>
  <c r="E38" i="4" a="1"/>
  <c r="G112" i="4" a="1"/>
  <c r="C126" i="4" a="1"/>
  <c r="H99" i="4" a="1"/>
  <c r="M158" i="4" a="1"/>
  <c r="M75" i="4" a="1"/>
  <c r="C77" i="4" a="1"/>
  <c r="E67" i="4" a="1"/>
  <c r="K101" i="4" a="1"/>
  <c r="H78" i="4" a="1"/>
  <c r="E104" i="4" a="1"/>
  <c r="N156" i="4" a="1"/>
  <c r="C85" i="4" a="1"/>
  <c r="D146" i="4" a="1"/>
  <c r="L82" i="4" a="1"/>
  <c r="H88" i="4" a="1"/>
  <c r="C188" i="4" a="1"/>
  <c r="H107" i="4" a="1"/>
  <c r="N204" i="4" a="1"/>
  <c r="M39" i="4" a="1"/>
  <c r="H90" i="4" a="1"/>
  <c r="E136" i="4" a="1"/>
  <c r="G57" i="4" a="1"/>
  <c r="J48" i="4" a="1"/>
  <c r="D140" i="4" a="1"/>
  <c r="C73" i="4" a="1"/>
  <c r="M176" i="4" a="1"/>
  <c r="E105" i="4" a="1"/>
  <c r="D187" i="4" a="1"/>
  <c r="M81" i="4" a="1"/>
  <c r="D98" i="4" a="1"/>
  <c r="G79" i="4" a="1"/>
  <c r="M74" i="4" a="1"/>
  <c r="M206" i="4" a="1"/>
  <c r="F164" i="4" a="1"/>
  <c r="I56" i="4" a="1"/>
  <c r="K110" i="4" a="1"/>
  <c r="L110" i="4" a="1"/>
  <c r="N41" i="4" a="1"/>
  <c r="C50" i="4" a="1"/>
  <c r="M92" i="4" a="1"/>
  <c r="M85" i="4" a="1"/>
  <c r="E44" i="4" a="1"/>
  <c r="C100" i="4" a="1"/>
  <c r="E45" i="4" a="1"/>
  <c r="E102" i="4" a="1"/>
  <c r="I28" i="4" a="1"/>
  <c r="N173" i="4" a="1"/>
  <c r="G25" i="4" a="1"/>
  <c r="F184" i="4" a="1"/>
  <c r="F208" i="4" a="1"/>
  <c r="E145" i="4" a="1"/>
  <c r="D40" i="4" a="1"/>
  <c r="D119" i="4" a="1"/>
  <c r="N162" i="4" a="1"/>
  <c r="E76" i="4" a="1"/>
  <c r="D181" i="4" a="1"/>
  <c r="C218" i="4" a="1"/>
  <c r="E190" i="4" a="1"/>
  <c r="H43" i="4" a="1"/>
  <c r="F96" i="4" a="1"/>
  <c r="F196" i="4" a="1"/>
  <c r="E121" i="4" a="1"/>
  <c r="D103" i="4" a="1"/>
  <c r="L95" i="4" a="1"/>
  <c r="F117" i="4" a="1"/>
  <c r="M73" i="4" a="1"/>
  <c r="C60" i="4" a="1"/>
  <c r="J67" i="4" a="1"/>
  <c r="D102" i="4" a="1"/>
  <c r="L87" i="4" a="1"/>
  <c r="J82" i="4" a="1"/>
  <c r="I188" i="4" a="1"/>
  <c r="K162" i="4" a="1"/>
  <c r="L189" i="4" a="1"/>
  <c r="E166" i="4" a="1"/>
  <c r="C214" i="4" a="1"/>
  <c r="M213" i="4" a="1"/>
  <c r="L68" i="4" a="1"/>
  <c r="C300" i="4" a="1"/>
  <c r="C328" i="4" a="1"/>
  <c r="G135" i="4" a="1"/>
  <c r="H130" i="4" a="1"/>
  <c r="I211" i="4" a="1"/>
  <c r="J212" i="4" a="1"/>
  <c r="D49" i="4" a="1"/>
  <c r="D194" i="4" a="1"/>
  <c r="C37" i="4" a="1"/>
  <c r="D105" i="4" a="1"/>
  <c r="H91" i="4" a="1"/>
  <c r="C177" i="4" a="1"/>
  <c r="L61" i="4" a="1"/>
  <c r="C103" i="4" a="1"/>
  <c r="E217" i="4" a="1"/>
  <c r="I68" i="4" a="1"/>
  <c r="M198" i="4" a="1"/>
  <c r="C106" i="4" a="1"/>
  <c r="H49" i="4" a="1"/>
  <c r="E133" i="4" a="1"/>
  <c r="E46" i="4" a="1"/>
  <c r="C55" i="4" a="1"/>
  <c r="H32" i="4" a="1"/>
  <c r="D200" i="4" a="1"/>
  <c r="G115" i="4" a="1"/>
  <c r="F189" i="4" a="1"/>
  <c r="K38" i="4" a="1"/>
  <c r="D160" i="4" a="1"/>
  <c r="H95" i="4" a="1"/>
  <c r="N184" i="4" a="1"/>
  <c r="M87" i="4" a="1"/>
  <c r="N131" i="4" a="1"/>
  <c r="F60" i="4" a="1"/>
  <c r="H30" i="4" a="1"/>
  <c r="G87" i="4" a="1"/>
  <c r="D35" i="4" a="1"/>
  <c r="N136" i="4" a="1"/>
  <c r="I116" i="4" a="1"/>
  <c r="J57" i="4" a="1"/>
  <c r="F41" i="4" a="1"/>
  <c r="M121" i="4" a="1"/>
  <c r="M137" i="4" a="1"/>
  <c r="L64" i="4" a="1"/>
  <c r="E181" i="4" a="1"/>
  <c r="N70" i="4" a="1"/>
  <c r="N207" i="4" a="1"/>
  <c r="G110" i="4" a="1"/>
  <c r="F64" i="4" a="1"/>
  <c r="E51" i="4" a="1"/>
  <c r="C83" i="4" a="1"/>
  <c r="C151" i="4" a="1"/>
  <c r="G77" i="4" a="1"/>
  <c r="E160" i="4" a="1"/>
  <c r="F200" i="4" a="1"/>
  <c r="C162" i="4" a="1"/>
  <c r="F127" i="4" a="1"/>
  <c r="E107" i="4" a="1"/>
  <c r="H68" i="4" a="1"/>
  <c r="E31" i="4" a="1"/>
  <c r="L51" i="4" a="1"/>
  <c r="C173" i="4" a="1"/>
  <c r="N132" i="4" a="1"/>
  <c r="N190" i="4" a="1"/>
  <c r="C44" i="4" a="1"/>
  <c r="N62" i="4" a="1"/>
  <c r="J29" i="4" a="1"/>
  <c r="K27" i="4" a="1"/>
  <c r="I89" i="4" a="1"/>
  <c r="D39" i="4" a="1"/>
  <c r="F207" i="4" a="1"/>
  <c r="E62" i="4" a="1"/>
  <c r="K28" i="4" a="1"/>
  <c r="N201" i="4" a="1"/>
  <c r="K80" i="4" a="1"/>
  <c r="L42" i="4" a="1"/>
  <c r="N141" i="4" a="1"/>
  <c r="F48" i="4" a="1"/>
  <c r="M208" i="4" a="1"/>
  <c r="L52" i="4" a="1"/>
  <c r="E99" i="4" a="1"/>
  <c r="M128" i="4" a="1"/>
  <c r="D65" i="4" a="1"/>
  <c r="E81" i="4" a="1"/>
  <c r="H157" i="4" a="1"/>
  <c r="I134" i="4" a="1"/>
  <c r="K133" i="4" a="1"/>
  <c r="L200" i="4" a="1"/>
  <c r="E196" i="4" a="1"/>
  <c r="C149" i="4" a="1"/>
  <c r="N200" i="4" a="1"/>
  <c r="D76" i="4" a="1"/>
  <c r="M300" i="4" a="1"/>
  <c r="M328" i="4" a="1"/>
  <c r="G175" i="4" a="1"/>
  <c r="H156" i="4" a="1"/>
  <c r="I126" i="4" a="1"/>
  <c r="K83" i="4" a="1"/>
  <c r="L221" i="4" a="1"/>
  <c r="D163" i="4" a="1"/>
  <c r="I47" i="4" a="1"/>
  <c r="F99" i="4" a="1"/>
  <c r="E95" i="4" a="1"/>
  <c r="N66" i="4" a="1"/>
  <c r="E68" i="4" a="1"/>
  <c r="G74" i="4" a="1"/>
  <c r="F134" i="4" a="1"/>
  <c r="E117" i="4" a="1"/>
  <c r="G96" i="4" a="1"/>
  <c r="L58" i="4" a="1"/>
  <c r="E149" i="4" a="1"/>
  <c r="F51" i="4" a="1"/>
  <c r="E103" i="4" a="1"/>
  <c r="D31" i="4" a="1"/>
  <c r="C120" i="4" a="1"/>
  <c r="M76" i="4" a="1"/>
  <c r="M214" i="4" a="1"/>
  <c r="D89" i="4" a="1"/>
  <c r="K88" i="4" a="1"/>
  <c r="M173" i="4" a="1"/>
  <c r="K51" i="4" a="1"/>
  <c r="G120" i="4" a="1"/>
  <c r="I54" i="4" a="1"/>
  <c r="I72" i="4" a="1"/>
  <c r="C203" i="4" a="1"/>
  <c r="F113" i="4" a="1"/>
  <c r="M207" i="4" a="1"/>
  <c r="M89" i="4" a="1"/>
  <c r="D63" i="4" a="1"/>
  <c r="K90" i="4" a="1"/>
  <c r="H56" i="4" a="1"/>
  <c r="L32" i="4" a="1"/>
  <c r="C112" i="4" a="1"/>
  <c r="M35" i="4" a="1"/>
  <c r="J96" i="4" a="1"/>
  <c r="N112" i="4" a="1"/>
  <c r="G46" i="4" a="1"/>
  <c r="C115" i="4" a="1"/>
  <c r="L100" i="4" a="1"/>
  <c r="G65" i="4" a="1"/>
  <c r="N164" i="4" a="1"/>
  <c r="J66" i="4" a="1"/>
  <c r="F136" i="4" a="1"/>
  <c r="J40" i="4" a="1"/>
  <c r="E70" i="4" a="1"/>
  <c r="M163" i="4" a="1"/>
  <c r="F190" i="4" a="1"/>
  <c r="F212" i="4" a="1"/>
  <c r="F74" i="4" a="1"/>
  <c r="F205" i="4" a="1"/>
  <c r="H73" i="4" a="1"/>
  <c r="G67" i="4" a="1"/>
  <c r="F141" i="4" a="1"/>
  <c r="N27" i="4" a="1"/>
  <c r="L34" i="4" a="1"/>
  <c r="E162" i="4" a="1"/>
  <c r="I78" i="4" a="1"/>
  <c r="N158" i="4" a="1"/>
  <c r="N54" i="4" a="1"/>
  <c r="M93" i="4" a="1"/>
  <c r="E122" i="4" a="1"/>
  <c r="K29" i="4" a="1"/>
  <c r="N179" i="4" a="1"/>
  <c r="C116" i="4" a="1"/>
  <c r="G82" i="4" a="1"/>
  <c r="L44" i="4" a="1"/>
  <c r="I66" i="4" a="1"/>
  <c r="F57" i="4" a="1"/>
  <c r="F115" i="4" a="1"/>
  <c r="K54" i="4" a="1"/>
  <c r="C39" i="4" a="1"/>
  <c r="M38" i="4" a="1"/>
  <c r="I57" i="4" a="1"/>
  <c r="J111" i="4" a="1"/>
  <c r="D150" i="4" a="1"/>
  <c r="H145" i="4" a="1"/>
  <c r="J221" i="4" a="1"/>
  <c r="K203" i="4" a="1"/>
  <c r="N40" i="4" a="1"/>
  <c r="E37" i="4" a="1"/>
  <c r="M189" i="4" a="1"/>
  <c r="I39" i="4" a="1"/>
  <c r="G54" i="4" a="1"/>
  <c r="C355" i="4" a="1"/>
  <c r="C282" i="4" a="1"/>
  <c r="G149" i="4" a="1"/>
  <c r="H153" i="4" a="1"/>
  <c r="I165" i="4" a="1"/>
  <c r="J49" i="4" a="1"/>
  <c r="L143" i="4" a="1"/>
  <c r="D201" i="4" a="1"/>
  <c r="J101" i="4" a="1"/>
  <c r="D73" i="4" a="1"/>
  <c r="L122" i="4" a="1"/>
  <c r="M42" i="4" a="1"/>
  <c r="F29" i="4" a="1"/>
  <c r="D78" i="4" a="1"/>
  <c r="I65" i="4" a="1"/>
  <c r="M139" i="4" a="1"/>
  <c r="D93" i="4" a="1"/>
  <c r="J119" i="4" a="1"/>
  <c r="M205" i="4" a="1"/>
  <c r="J50" i="4" a="1"/>
  <c r="L114" i="4" a="1"/>
  <c r="N176" i="4" a="1"/>
  <c r="E207" i="4" a="1"/>
  <c r="N52" i="4" a="1"/>
  <c r="M211" i="4" a="1"/>
  <c r="K103" i="4" a="1"/>
  <c r="M210" i="4" a="1"/>
  <c r="M141" i="4" a="1"/>
  <c r="N166" i="4" a="1"/>
  <c r="K65" i="4" a="1"/>
  <c r="C201" i="4" a="1"/>
  <c r="M98" i="4" a="1"/>
  <c r="G51" i="4" a="1"/>
  <c r="N63" i="4" a="1"/>
  <c r="E86" i="4" a="1"/>
  <c r="C43" i="4" a="1"/>
  <c r="C69" i="4" a="1"/>
  <c r="D189" i="4" a="1"/>
  <c r="I61" i="4" a="1"/>
  <c r="C117" i="4" a="1"/>
  <c r="F59" i="4" a="1"/>
  <c r="H85" i="4" a="1"/>
  <c r="E161" i="4" a="1"/>
  <c r="J32" i="4" a="1"/>
  <c r="H66" i="4" a="1"/>
  <c r="D155" i="4" a="1"/>
  <c r="L111" i="4" a="1"/>
  <c r="N147" i="4" a="1"/>
  <c r="J71" i="4" a="1"/>
  <c r="K48" i="4" a="1"/>
  <c r="F220" i="4" a="1"/>
  <c r="D48" i="4" a="1"/>
  <c r="K97" i="4" a="1"/>
  <c r="D182" i="4" a="1"/>
  <c r="C102" i="4" a="1"/>
  <c r="I99" i="4" a="1"/>
  <c r="C216" i="4" a="1"/>
  <c r="N51" i="4" a="1"/>
  <c r="E185" i="4" a="1"/>
  <c r="E167" i="4" a="1"/>
  <c r="K70" i="4" a="1"/>
  <c r="I30" i="4" a="1"/>
  <c r="M47" i="4" a="1"/>
  <c r="E75" i="4" a="1"/>
  <c r="E187" i="4" a="1"/>
  <c r="H115" i="4" a="1"/>
  <c r="H111" i="4" a="1"/>
  <c r="F68" i="4" a="1"/>
  <c r="C33" i="4" a="1"/>
  <c r="D27" i="4" a="1"/>
  <c r="C81" i="4" a="1"/>
  <c r="J95" i="4" a="1"/>
  <c r="C156" i="4" a="1"/>
  <c r="K76" i="4" a="1"/>
  <c r="N192" i="4" a="1"/>
  <c r="D52" i="4" a="1"/>
  <c r="N220" i="4" a="1"/>
  <c r="L75" i="4" a="1"/>
  <c r="J31" i="4" a="1"/>
  <c r="J112" i="4" a="1"/>
  <c r="J92" i="4" a="1"/>
  <c r="J84" i="4" a="1"/>
  <c r="D169" i="4" a="1"/>
  <c r="N38" i="4" a="1"/>
  <c r="K40" i="4" a="1"/>
  <c r="L63" i="4" a="1"/>
  <c r="D56" i="4" a="1"/>
  <c r="N174" i="4" a="1"/>
  <c r="C104" i="4" a="1"/>
  <c r="M146" i="4" a="1"/>
  <c r="M72" i="4" a="1"/>
  <c r="H65" i="4" a="1"/>
  <c r="E212" i="4" a="1"/>
  <c r="I94" i="4" a="1"/>
  <c r="E159" i="4" a="1"/>
  <c r="N43" i="4" a="1"/>
  <c r="J97" i="4" a="1"/>
  <c r="L40" i="4" a="1"/>
  <c r="C101" i="4" a="1"/>
  <c r="F114" i="4" a="1"/>
  <c r="J73" i="4" a="1"/>
  <c r="E126" i="4" a="1"/>
  <c r="M147" i="4" a="1"/>
  <c r="J64" i="4" a="1"/>
  <c r="D94" i="4" a="1"/>
  <c r="M46" i="4" a="1"/>
  <c r="D211" i="4" a="1"/>
  <c r="C159" i="4" a="1"/>
  <c r="D30" i="4" a="1"/>
  <c r="H217" i="4" a="1"/>
  <c r="J143" i="4" a="1"/>
  <c r="K77" i="4" a="1"/>
  <c r="M32" i="4" a="1"/>
  <c r="M54" i="4" a="1"/>
  <c r="G100" i="4" a="1"/>
  <c r="K109" i="4" a="1"/>
  <c r="E144" i="4" a="1"/>
  <c r="M355" i="4" a="1"/>
  <c r="M282" i="4" a="1"/>
  <c r="G211" i="4" a="1"/>
  <c r="H183" i="4" a="1"/>
  <c r="G108" i="4" a="1"/>
  <c r="K176" i="4" a="1"/>
  <c r="L215" i="4" a="1"/>
  <c r="D158" i="4" a="1"/>
  <c r="N97" i="4" a="1"/>
  <c r="I92" i="4" a="1"/>
  <c r="G83" i="4" a="1"/>
  <c r="I33" i="4" a="1"/>
  <c r="M104" i="4" a="1"/>
  <c r="M175" i="4" a="1"/>
  <c r="I100" i="4" a="1"/>
  <c r="M57" i="4" a="1"/>
  <c r="E80" i="4" a="1"/>
  <c r="H28" i="4" a="1"/>
  <c r="F79" i="4" a="1"/>
  <c r="K34" i="4" a="1"/>
  <c r="L83" i="4" a="1"/>
  <c r="D162" i="4" a="1"/>
  <c r="M24" i="4" a="1"/>
  <c r="M179" i="4" a="1"/>
  <c r="I81" i="4" a="1"/>
  <c r="M142" i="4" a="1"/>
  <c r="E137" i="4" a="1"/>
  <c r="N56" i="4" a="1"/>
  <c r="J105" i="4" a="1"/>
  <c r="E209" i="4" a="1"/>
  <c r="N82" i="4" a="1"/>
  <c r="D46" i="4" a="1"/>
  <c r="C88" i="4" a="1"/>
  <c r="M58" i="4" a="1"/>
  <c r="C140" i="4" a="1"/>
  <c r="J110" i="4" a="1"/>
  <c r="N139" i="4" a="1"/>
  <c r="N42" i="4" a="1"/>
  <c r="E138" i="4" a="1"/>
  <c r="L56" i="4" a="1"/>
  <c r="E189" i="4" a="1"/>
  <c r="D67" i="4" a="1"/>
  <c r="K36" i="4" a="1"/>
  <c r="M184" i="4" a="1"/>
  <c r="F27" i="4" a="1"/>
  <c r="F107" i="4" a="1"/>
  <c r="N121" i="4" a="1"/>
  <c r="E211" i="4" a="1"/>
  <c r="J118" i="4" a="1"/>
  <c r="N170" i="4" a="1"/>
  <c r="C63" i="4" a="1"/>
  <c r="D195" i="4" a="1"/>
  <c r="D26" i="4" a="1"/>
  <c r="N28" i="4" a="1"/>
  <c r="J80" i="4" a="1"/>
  <c r="C118" i="4" a="1"/>
  <c r="M96" i="4" a="1"/>
  <c r="D145" i="4" a="1"/>
  <c r="F26" i="4" a="1"/>
  <c r="C183" i="4" a="1"/>
  <c r="D97" i="4" a="1"/>
  <c r="C109" i="4" a="1"/>
  <c r="N135" i="4" a="1"/>
  <c r="F42" i="4" a="1"/>
  <c r="M216" i="4" a="1"/>
  <c r="M129" i="4" a="1"/>
  <c r="L112" i="4" a="1"/>
  <c r="M143" i="4" a="1"/>
  <c r="E25" i="4" a="1"/>
  <c r="M219" i="4" a="1"/>
  <c r="K114" i="4" a="1"/>
  <c r="J93" i="4" a="1"/>
  <c r="I74" i="4" a="1"/>
  <c r="M101" i="4" a="1"/>
  <c r="E114" i="4" a="1"/>
  <c r="J106" i="4" a="1"/>
  <c r="N26" i="4" a="1"/>
  <c r="F175" i="4" a="1"/>
  <c r="J75" i="4" a="1"/>
  <c r="H84" i="4" a="1"/>
  <c r="C160" i="4" a="1"/>
  <c r="G33" i="4" a="1"/>
  <c r="M180" i="4" a="1"/>
  <c r="L60" i="4" a="1"/>
  <c r="H64" i="4" a="1"/>
  <c r="N68" i="4" a="1"/>
  <c r="F84" i="4" a="1"/>
  <c r="H114" i="4" a="1"/>
  <c r="K93" i="4" a="1"/>
  <c r="M105" i="4" a="1"/>
  <c r="N130" i="4" a="1"/>
  <c r="I109" i="4" a="1"/>
  <c r="M192" i="4" a="1"/>
  <c r="G116" i="4" a="1"/>
  <c r="I107" i="4" a="1"/>
  <c r="N165" i="4" a="1"/>
  <c r="M95" i="4" a="1"/>
  <c r="J69" i="4" a="1"/>
  <c r="D157" i="4" a="1"/>
  <c r="I73" i="4" a="1"/>
  <c r="C35" i="4" a="1"/>
  <c r="H150" i="4" a="1"/>
  <c r="J215" i="4" a="1"/>
  <c r="J59" i="4" a="1"/>
  <c r="D192" i="4" a="1"/>
  <c r="J103" i="4" a="1"/>
  <c r="I49" i="4" a="1"/>
  <c r="M40" i="4" a="1"/>
  <c r="M156" i="4" a="1"/>
  <c r="C337" i="4" a="1"/>
  <c r="C307" i="4" a="1"/>
  <c r="G126" i="4" a="1"/>
  <c r="H205" i="4" a="1"/>
  <c r="F34" i="4" a="1"/>
  <c r="K210" i="4" a="1"/>
  <c r="L173" i="4" a="1"/>
  <c r="E118" i="4" a="1"/>
  <c r="F129" i="4" a="1"/>
  <c r="K108" i="4" a="1"/>
  <c r="N186" i="4" a="1"/>
  <c r="K72" i="4" a="1"/>
  <c r="N111" i="4" a="1"/>
  <c r="I25" i="4" a="1"/>
  <c r="H75" i="4" a="1"/>
  <c r="N29" i="4" a="1"/>
  <c r="C133" i="4" a="1"/>
  <c r="K95" i="4" a="1"/>
  <c r="I27" i="4" a="1"/>
  <c r="C52" i="4" a="1"/>
  <c r="D106" i="4" a="1"/>
  <c r="M190" i="4" a="1"/>
  <c r="J108" i="4" a="1"/>
  <c r="G121" i="4" a="1"/>
  <c r="M51" i="4" a="1"/>
  <c r="D151" i="4" a="1"/>
  <c r="K81" i="4" a="1"/>
  <c r="N96" i="4" a="1"/>
  <c r="D53" i="4" a="1"/>
  <c r="C64" i="4" a="1"/>
  <c r="K107" i="4" a="1"/>
  <c r="H121" i="4" a="1"/>
  <c r="F187" i="4" a="1"/>
  <c r="C28" i="4" a="1"/>
  <c r="C128" i="4" a="1"/>
  <c r="D28" i="4" a="1"/>
  <c r="E79" i="4" a="1"/>
  <c r="J38" i="4" a="1"/>
  <c r="I44" i="4" a="1"/>
  <c r="N83" i="4" a="1"/>
  <c r="C34" i="4" a="1"/>
  <c r="L113" i="4" a="1"/>
  <c r="K73" i="4" a="1"/>
  <c r="F165" i="4" a="1"/>
  <c r="I77" i="4" a="1"/>
  <c r="J113" i="4" a="1"/>
  <c r="J26" i="4" a="1"/>
  <c r="F104" i="4" a="1"/>
  <c r="M52" i="4" a="1"/>
  <c r="G56" i="4" a="1"/>
  <c r="K43" i="4" a="1"/>
  <c r="F106" i="4" a="1"/>
  <c r="H50" i="4" a="1"/>
  <c r="M61" i="4" a="1"/>
  <c r="D58" i="4" a="1"/>
  <c r="N214" i="4" a="1"/>
  <c r="I32" i="4" a="1"/>
  <c r="D175" i="4" a="1"/>
  <c r="G98" i="4" a="1"/>
  <c r="J115" i="4" a="1"/>
  <c r="M59" i="4" a="1"/>
  <c r="N148" i="4" a="1"/>
  <c r="E65" i="4" a="1"/>
  <c r="D38" i="4" a="1"/>
  <c r="M212" i="4" a="1"/>
  <c r="D71" i="4" a="1"/>
  <c r="N93" i="4" a="1"/>
  <c r="M199" i="4" a="1"/>
  <c r="E146" i="4" a="1"/>
  <c r="C62" i="4" a="1"/>
  <c r="N105" i="4" a="1"/>
  <c r="N161" i="4" a="1"/>
  <c r="D101" i="4" a="1"/>
  <c r="H87" i="4" a="1"/>
  <c r="C72" i="4" a="1"/>
  <c r="M79" i="4" a="1"/>
  <c r="I115" i="4" a="1"/>
  <c r="H54" i="4" a="1"/>
  <c r="H118" i="4" a="1"/>
  <c r="J52" i="4" a="1"/>
  <c r="H55" i="4" a="1"/>
  <c r="N181" i="4" a="1"/>
  <c r="L106" i="4" a="1"/>
  <c r="M99" i="4" a="1"/>
  <c r="H204" i="4" a="1"/>
  <c r="J173" i="4" a="1"/>
  <c r="L157" i="4" a="1"/>
  <c r="D178" i="4" a="1"/>
  <c r="D37" i="4" a="1"/>
  <c r="L66" i="4" a="1"/>
  <c r="I50" i="4" a="1"/>
  <c r="E33" i="4" a="1"/>
  <c r="M337" i="4" a="1"/>
  <c r="M307" i="4" a="1"/>
  <c r="G165" i="4" a="1"/>
  <c r="N65" i="4" a="1"/>
  <c r="J184" i="4" a="1"/>
  <c r="K148" i="4" a="1"/>
  <c r="L130" i="4" a="1"/>
  <c r="K79" i="4" a="1"/>
  <c r="F152" i="4" a="1"/>
  <c r="G106" i="4" a="1"/>
  <c r="F160" i="4" a="1"/>
  <c r="L65" i="4" a="1"/>
  <c r="N34" i="4" a="1"/>
  <c r="K74" i="4" a="1"/>
  <c r="K64" i="4" a="1"/>
  <c r="K96" i="4" a="1"/>
  <c r="C99" i="4" a="1"/>
  <c r="N31" i="4" a="1"/>
  <c r="E84" i="4" a="1"/>
  <c r="G72" i="4" a="1"/>
  <c r="K119" i="4" a="1"/>
  <c r="M26" i="4" a="1"/>
  <c r="M152" i="4" a="1"/>
  <c r="N76" i="4" a="1"/>
  <c r="I91" i="4" a="1"/>
  <c r="L81" i="4" a="1"/>
  <c r="D121" i="4" a="1"/>
  <c r="M82" i="4" a="1"/>
  <c r="C89" i="4" a="1"/>
  <c r="G24" i="4" a="1"/>
  <c r="F198" i="4" a="1"/>
  <c r="D138" i="4" a="1"/>
  <c r="C45" i="4" a="1"/>
  <c r="C147" i="4" a="1"/>
  <c r="N155" i="4" a="1"/>
  <c r="F211" i="4" a="1"/>
  <c r="K61" i="4" a="1"/>
  <c r="C138" i="4" a="1"/>
  <c r="F90" i="4" a="1"/>
  <c r="F109" i="4" a="1"/>
  <c r="N175" i="4" a="1"/>
  <c r="H71" i="4" a="1"/>
  <c r="C185" i="4" a="1"/>
  <c r="F112" i="4" a="1"/>
  <c r="D203" i="4" a="1"/>
  <c r="N80" i="4" a="1"/>
  <c r="M37" i="4" a="1"/>
  <c r="I104" i="4" a="1"/>
  <c r="C168" i="4" a="1"/>
  <c r="C113" i="4" a="1"/>
  <c r="C91" i="4" a="1"/>
  <c r="C36" i="4" a="1"/>
  <c r="D61" i="4" a="1"/>
  <c r="C32" i="4" a="1"/>
  <c r="D198" i="4" a="1"/>
  <c r="M114" i="4" a="1"/>
  <c r="H60" i="4" a="1"/>
  <c r="N196" i="4" a="1"/>
  <c r="C204" i="4" a="1"/>
  <c r="L78" i="4" a="1"/>
  <c r="E39" i="4" a="1"/>
  <c r="M153" i="4" a="1"/>
  <c r="K116" i="4" a="1"/>
  <c r="F188" i="4" a="1"/>
  <c r="N87" i="4" a="1"/>
  <c r="L53" i="4" a="1"/>
  <c r="N154" i="4" a="1"/>
  <c r="D81" i="4" a="1"/>
  <c r="I71" i="4" a="1"/>
  <c r="D167" i="4" a="1"/>
  <c r="D88" i="4" a="1"/>
  <c r="H112" i="4" a="1"/>
  <c r="L117" i="4" a="1"/>
  <c r="E49" i="4" a="1"/>
  <c r="N210" i="4" a="1"/>
  <c r="D96" i="4" a="1"/>
  <c r="F158" i="4" a="1"/>
  <c r="F28" i="4" a="1"/>
  <c r="H33" i="4" a="1"/>
  <c r="E82" i="4" a="1"/>
  <c r="F62" i="4" a="1"/>
  <c r="N49" i="4" a="1"/>
  <c r="N67" i="4" a="1"/>
  <c r="N47" i="4" a="1"/>
  <c r="E34" i="4" a="1"/>
  <c r="I26" i="4" a="1"/>
  <c r="N178" i="4" a="1"/>
  <c r="H36" i="4" a="1"/>
  <c r="N208" i="4" a="1"/>
  <c r="L84" i="4" a="1"/>
  <c r="F38" i="4" a="1"/>
  <c r="F218" i="4" a="1"/>
  <c r="E169" i="4" a="1"/>
  <c r="G90" i="4" a="1"/>
  <c r="E58" i="4" a="1"/>
  <c r="H42" i="4" a="1"/>
  <c r="H25" i="4" a="1"/>
  <c r="J153" i="4" a="1"/>
  <c r="L159" i="4" a="1"/>
  <c r="D206" i="4" a="1"/>
  <c r="E48" i="4" a="1"/>
  <c r="I80" i="4" a="1"/>
  <c r="I40" i="4" a="1"/>
  <c r="I53" i="4" a="1"/>
  <c r="C302" i="4" a="1"/>
  <c r="C345" i="4" a="1"/>
  <c r="D42" i="4" a="1"/>
  <c r="M30" i="4" a="1"/>
  <c r="J164" i="4" a="1"/>
  <c r="K128" i="4" a="1"/>
  <c r="L156" i="4" a="1"/>
  <c r="E143" i="4" a="1"/>
  <c r="F124" i="4" a="1"/>
  <c r="D127" i="4" a="1"/>
  <c r="F162" i="4" a="1"/>
  <c r="N45" i="4" a="1"/>
  <c r="M109" i="4" a="1"/>
  <c r="M148" i="4" a="1"/>
  <c r="D51" i="4" a="1"/>
  <c r="M78" i="4" a="1"/>
  <c r="L28" i="4" a="1"/>
  <c r="N59" i="4" a="1"/>
  <c r="H40" i="4" a="1"/>
  <c r="E69" i="4" a="1"/>
  <c r="M168" i="4" a="1"/>
  <c r="K102" i="4" a="1"/>
  <c r="G44" i="4" a="1"/>
  <c r="L79" i="4" a="1"/>
  <c r="H48" i="4" a="1"/>
  <c r="C210" i="4" a="1"/>
  <c r="C24" i="4" a="1"/>
  <c r="D209" i="4" a="1"/>
  <c r="M220" i="4" a="1"/>
  <c r="I60" i="4" a="1"/>
  <c r="F125" i="4" a="1"/>
  <c r="J78" i="4" a="1"/>
  <c r="E110" i="4" a="1"/>
  <c r="N177" i="4" a="1"/>
  <c r="E113" i="4" a="1"/>
  <c r="L103" i="4" a="1"/>
  <c r="F214" i="4" a="1"/>
  <c r="E42" i="4" a="1"/>
  <c r="D43" i="4" a="1"/>
  <c r="E47" i="4" a="1"/>
  <c r="M174" i="4" a="1"/>
  <c r="I120" i="4" a="1"/>
  <c r="F102" i="4" a="1"/>
  <c r="C114" i="4" a="1"/>
  <c r="F30" i="4" a="1"/>
  <c r="J79" i="4" a="1"/>
  <c r="C195" i="4" a="1"/>
  <c r="F40" i="4" a="1"/>
  <c r="H93" i="4" a="1"/>
  <c r="N209" i="4" a="1"/>
  <c r="G103" i="4" a="1"/>
  <c r="K75" i="4" a="1"/>
  <c r="H113" i="4" a="1"/>
  <c r="J41" i="4" a="1"/>
  <c r="N191" i="4" a="1"/>
  <c r="C80" i="4" a="1"/>
  <c r="M125" i="4" a="1"/>
  <c r="F91" i="4" a="1"/>
  <c r="K121" i="4" a="1"/>
  <c r="G107" i="4" a="1"/>
  <c r="E165" i="4" a="1"/>
  <c r="J122" i="4" a="1"/>
  <c r="D64" i="4" a="1"/>
  <c r="L69" i="4" a="1"/>
  <c r="K68" i="4" a="1"/>
  <c r="F39" i="4" a="1"/>
  <c r="M155" i="4" a="1"/>
  <c r="C94" i="4" a="1"/>
  <c r="F50" i="4" a="1"/>
  <c r="N137" i="4" a="1"/>
  <c r="D24" i="4" a="1"/>
  <c r="J70" i="4" a="1"/>
  <c r="N219" i="4" a="1"/>
  <c r="H47" i="4" a="1"/>
  <c r="F137" i="4" a="1"/>
  <c r="E198" i="4" a="1"/>
  <c r="E106" i="4" a="1"/>
  <c r="L89" i="4" a="1"/>
  <c r="M65" i="4" a="1"/>
  <c r="D69" i="4" a="1"/>
  <c r="G117" i="4" a="1"/>
  <c r="G60" i="4" a="1"/>
  <c r="J183" i="4" a="1"/>
  <c r="L151" i="4" a="1"/>
  <c r="D141" i="4" a="1"/>
  <c r="D118" i="4" a="1"/>
  <c r="N108" i="4" a="1"/>
  <c r="M63" i="4" a="1"/>
  <c r="G78" i="4" a="1"/>
  <c r="M302" i="4" a="1"/>
  <c r="M345" i="4" a="1"/>
  <c r="C84" i="4" a="1"/>
  <c r="I127" i="4" a="1"/>
  <c r="J198" i="4" a="1"/>
  <c r="K168" i="4" a="1"/>
  <c r="L153" i="4" a="1"/>
  <c r="E173" i="4" a="1"/>
  <c r="F219" i="4" a="1"/>
  <c r="D136" i="4" a="1"/>
  <c r="M196" i="4" a="1"/>
  <c r="D174" i="4" a="1"/>
  <c r="M194" i="4" a="1"/>
  <c r="C153" i="4" a="1"/>
  <c r="N217" i="4" a="1"/>
  <c r="N98" i="4" a="1"/>
  <c r="C145" i="4" a="1"/>
  <c r="K86" i="4" a="1"/>
  <c r="I70" i="4" a="1"/>
  <c r="N84" i="4" a="1"/>
  <c r="N71" i="4" a="1"/>
  <c r="G102" i="4" a="1"/>
  <c r="M110" i="4" a="1"/>
  <c r="N125" i="4" a="1"/>
  <c r="J28" i="4" a="1"/>
  <c r="K118" i="4" a="1"/>
  <c r="L55" i="4" a="1"/>
  <c r="N206" i="4" a="1"/>
  <c r="D34" i="4" a="1"/>
  <c r="E175" i="4" a="1"/>
  <c r="K104" i="4" a="1"/>
  <c r="D222" i="4" a="1"/>
  <c r="F101" i="4" a="1"/>
  <c r="N50" i="4" a="1"/>
  <c r="F24" i="4" a="1"/>
  <c r="L108" i="4" a="1"/>
  <c r="F116" i="4" a="1"/>
  <c r="C129" i="4" a="1"/>
  <c r="G109" i="4" a="1"/>
  <c r="M215" i="4" a="1"/>
  <c r="D212" i="4" a="1"/>
  <c r="N153" i="4" a="1"/>
  <c r="E98" i="4" a="1"/>
  <c r="D126" i="4" a="1"/>
  <c r="I75" i="4" a="1"/>
  <c r="J24" i="4" a="1"/>
  <c r="I90" i="4" a="1"/>
  <c r="C53" i="4" a="1"/>
  <c r="N39" i="4" a="1"/>
  <c r="C205" i="4" a="1"/>
  <c r="J99" i="4" a="1"/>
  <c r="N117" i="4" a="1"/>
  <c r="H89" i="4" a="1"/>
  <c r="L48" i="4" a="1"/>
  <c r="E78" i="4" a="1"/>
  <c r="C119" i="4" a="1"/>
  <c r="L57" i="4" a="1"/>
  <c r="K56" i="4" a="1"/>
  <c r="H102" i="4" a="1"/>
  <c r="M71" i="4" a="1"/>
  <c r="J44" i="4" a="1"/>
  <c r="N110" i="4" a="1"/>
  <c r="N213" i="4" a="1"/>
  <c r="L93" i="4" a="1"/>
  <c r="M88" i="4" a="1"/>
  <c r="D87" i="4" a="1"/>
  <c r="L71" i="4" a="1"/>
  <c r="L31" i="4" a="1"/>
  <c r="L41" i="4" a="1"/>
  <c r="I83" i="4" a="1"/>
  <c r="E184" i="4" a="1"/>
  <c r="N133" i="4" a="1"/>
  <c r="E63" i="4" a="1"/>
  <c r="E174" i="4" a="1"/>
  <c r="L107" i="4" a="1"/>
  <c r="G59" i="4" a="1"/>
  <c r="C144" i="4" a="1"/>
  <c r="J39" i="4" a="1"/>
  <c r="H24" i="4" a="1"/>
  <c r="E179" i="4" a="1"/>
  <c r="K94" i="4" a="1"/>
  <c r="I176" i="4" a="1"/>
  <c r="J205" i="4" a="1"/>
  <c r="L145" i="4" a="1"/>
  <c r="F85" i="4" a="1"/>
  <c r="H23" i="4" a="1"/>
  <c r="D72" i="4" a="1"/>
  <c r="E135" i="4" a="1"/>
  <c r="G28" i="4" a="1"/>
  <c r="C356" i="4" a="1"/>
  <c r="C357" i="4" a="1"/>
  <c r="H221" i="4" a="1"/>
  <c r="I146" i="4" a="1"/>
  <c r="J136" i="4" a="1"/>
  <c r="K177" i="4" a="1"/>
  <c r="L183" i="4" a="1"/>
  <c r="E156" i="4" a="1"/>
  <c r="F151" i="4" a="1"/>
  <c r="D125" i="4" a="1"/>
  <c r="M33" i="4" a="1"/>
  <c r="M183" i="4" a="1"/>
  <c r="N149" i="4" a="1"/>
  <c r="I106" i="4" a="1"/>
  <c r="K69" i="4" a="1"/>
  <c r="N168" i="4" a="1"/>
  <c r="C68" i="4" a="1"/>
  <c r="N32" i="4" a="1"/>
  <c r="L99" i="4" a="1"/>
  <c r="J107" i="4" a="1"/>
  <c r="C222" i="4" a="1"/>
  <c r="C66" i="4" a="1"/>
  <c r="M103" i="4" a="1"/>
  <c r="F43" i="4" a="1"/>
  <c r="F56" i="4" a="1"/>
  <c r="M41" i="4" a="1"/>
  <c r="D44" i="4" a="1"/>
  <c r="C200" i="4" a="1"/>
  <c r="C79" i="4" a="1"/>
  <c r="G119" i="4" a="1"/>
  <c r="C59" i="4" a="1"/>
  <c r="M195" i="4" a="1"/>
  <c r="H77" i="4" a="1"/>
  <c r="F53" i="4" a="1"/>
  <c r="C65" i="4" a="1"/>
  <c r="H70" i="4" a="1"/>
  <c r="K62" i="4" a="1"/>
  <c r="M135" i="4" a="1"/>
  <c r="F75" i="4" a="1"/>
  <c r="C191" i="4" a="1"/>
  <c r="H92" i="4" a="1"/>
  <c r="K78" i="4" a="1"/>
  <c r="F135" i="4" a="1"/>
  <c r="L92" i="4" a="1"/>
  <c r="N99" i="4" a="1"/>
  <c r="G122" i="4" a="1"/>
  <c r="M221" i="4" a="1"/>
  <c r="E60" i="4" a="1"/>
  <c r="M123" i="4" a="1"/>
  <c r="M115" i="4" a="1"/>
  <c r="D32" i="4" a="1"/>
  <c r="E30" i="4" a="1"/>
  <c r="D79" i="4" a="1"/>
  <c r="D107" i="4" a="1"/>
  <c r="I45" i="4" a="1"/>
  <c r="E150" i="4" a="1"/>
  <c r="H106" i="4" a="1"/>
  <c r="L43" i="4" a="1"/>
  <c r="E43" i="4" a="1"/>
  <c r="F70" i="4" a="1"/>
  <c r="D99" i="4" a="1"/>
  <c r="G53" i="4" a="1"/>
  <c r="G43" i="4" a="1"/>
  <c r="N198" i="4" a="1"/>
  <c r="D54" i="4" a="1"/>
  <c r="C154" i="4" a="1"/>
  <c r="C110" i="4" a="1"/>
  <c r="M60" i="4" a="1"/>
  <c r="M136" i="4" a="1"/>
  <c r="F89" i="4" a="1"/>
  <c r="C130" i="4" a="1"/>
  <c r="M161" i="4" a="1"/>
  <c r="F126" i="4" a="1"/>
  <c r="N183" i="4" a="1"/>
  <c r="F58" i="4" a="1"/>
  <c r="G32" i="4" a="1"/>
  <c r="E125" i="4" a="1"/>
  <c r="H72" i="4" a="1"/>
  <c r="M119" i="4" a="1"/>
  <c r="C217" i="4" a="1"/>
  <c r="H104" i="4" a="1"/>
  <c r="L94" i="4" a="1"/>
  <c r="D185" i="4" a="1"/>
  <c r="J37" i="4" a="1"/>
  <c r="F47" i="4" a="1"/>
  <c r="D114" i="4" a="1"/>
  <c r="N215" i="4" a="1"/>
  <c r="N36" i="4" a="1"/>
  <c r="D86" i="4" a="1"/>
  <c r="M83" i="4" a="1"/>
  <c r="M25" i="4" a="1"/>
  <c r="L91" i="4" a="1"/>
  <c r="N86" i="4" a="1"/>
  <c r="N203" i="4" a="1"/>
  <c r="I31" i="4" a="1"/>
  <c r="H41" i="4" a="1"/>
  <c r="C176" i="4" a="1"/>
  <c r="N128" i="4" a="1"/>
  <c r="N152" i="4" a="1"/>
  <c r="D77" i="4" a="1"/>
  <c r="N202" i="4" a="1"/>
  <c r="N79" i="4" a="1"/>
  <c r="N150" i="4" a="1"/>
  <c r="M209" i="4" a="1"/>
  <c r="G63" i="4" a="1"/>
  <c r="J33" i="4" a="1"/>
  <c r="G80" i="4" a="1"/>
  <c r="C150" i="4" a="1"/>
  <c r="I210" i="4" a="1"/>
  <c r="D117" i="4" a="1"/>
  <c r="L217" i="4" a="1"/>
  <c r="C56" i="4" a="1"/>
  <c r="F147" i="4" a="1"/>
  <c r="N92" i="4" a="1"/>
  <c r="C146" i="4" a="1"/>
  <c r="K84" i="4" a="1"/>
  <c r="M356" i="4" a="1"/>
  <c r="M357" i="4" a="1"/>
  <c r="H143" i="4" a="1"/>
  <c r="I135" i="4" a="1"/>
  <c r="J187" i="4" a="1"/>
  <c r="K188" i="4" a="1"/>
  <c r="L205" i="4" a="1"/>
  <c r="E183" i="4" a="1"/>
  <c r="F181" i="4" a="1"/>
  <c r="K115" i="4" a="1"/>
  <c r="J98" i="4" a="1"/>
  <c r="N72" i="4" a="1"/>
  <c r="F132" i="4" a="1"/>
  <c r="D33" i="4" a="1"/>
  <c r="K53" i="4" a="1"/>
  <c r="C165" i="4" a="1"/>
  <c r="G76" i="4" a="1"/>
  <c r="F71" i="4" a="1"/>
  <c r="E57" i="4" a="1"/>
  <c r="C107" i="4" a="1"/>
  <c r="N163" i="4" a="1"/>
  <c r="H122" i="4" a="1"/>
  <c r="G58" i="4" a="1"/>
  <c r="L73" i="4" a="1"/>
  <c r="H110" i="4" a="1"/>
  <c r="F98" i="4" a="1"/>
  <c r="K89" i="4" a="1"/>
  <c r="D62" i="4" a="1"/>
  <c r="M178" i="4" a="1"/>
  <c r="I34" i="4" a="1"/>
  <c r="L33" i="4" a="1"/>
  <c r="L120" i="4" a="1"/>
  <c r="E154" i="4" a="1"/>
  <c r="D116" i="4" a="1"/>
  <c r="N143" i="4" a="1"/>
  <c r="N212" i="4" a="1"/>
  <c r="G48" i="4" a="1"/>
  <c r="D207" i="4" a="1"/>
  <c r="J62" i="4" a="1"/>
  <c r="N90" i="4" a="1"/>
  <c r="F69" i="4" a="1"/>
  <c r="F81" i="4" a="1"/>
  <c r="J63" i="4" a="1"/>
  <c r="D159" i="4" a="1"/>
  <c r="D80" i="4" a="1"/>
  <c r="H108" i="4" a="1"/>
  <c r="D217" i="4" a="1"/>
  <c r="M94" i="4" a="1"/>
  <c r="K111" i="4" a="1"/>
  <c r="M70" i="4" a="1"/>
  <c r="D57" i="4" a="1"/>
  <c r="G38" i="4" a="1"/>
  <c r="M91" i="4" a="1"/>
  <c r="G49" i="4" a="1"/>
  <c r="E64" i="4" a="1"/>
  <c r="N30" i="4" a="1"/>
  <c r="N146" i="4" a="1"/>
  <c r="F108" i="4" a="1"/>
  <c r="E77" i="4" a="1"/>
  <c r="K87" i="4" a="1"/>
  <c r="K120" i="4" a="1"/>
  <c r="D90" i="4" a="1"/>
  <c r="F95" i="4" a="1"/>
  <c r="J121" i="4" a="1"/>
  <c r="H74" i="4" a="1"/>
  <c r="J85" i="4" a="1"/>
  <c r="J43" i="4" a="1"/>
  <c r="D179" i="4" a="1"/>
  <c r="F92" i="4" a="1"/>
  <c r="I84" i="4" a="1"/>
  <c r="D165" i="4" a="1"/>
  <c r="F120" i="4" a="1"/>
  <c r="K98" i="4" a="1"/>
  <c r="D70" i="4" a="1"/>
  <c r="H29" i="4" a="1"/>
  <c r="N44" i="4" a="1"/>
  <c r="M127" i="4" a="1"/>
  <c r="K32" i="4" a="1"/>
  <c r="G34" i="4" a="1"/>
  <c r="N182" i="4" a="1"/>
  <c r="H120" i="4" a="1"/>
  <c r="M191" i="4" a="1"/>
  <c r="E74" i="4" a="1"/>
  <c r="C57" i="4" a="1"/>
  <c r="K25" i="4" a="1"/>
  <c r="N123" i="4" a="1"/>
  <c r="J83" i="4" a="1"/>
  <c r="E200" i="4" a="1"/>
  <c r="I36" i="4" a="1"/>
  <c r="C196" i="4" a="1"/>
  <c r="M201" i="4" a="1"/>
  <c r="C74" i="4" a="1"/>
  <c r="I168" i="4" a="1"/>
  <c r="K185" i="4" a="1"/>
  <c r="L150" i="4" a="1"/>
  <c r="E172" i="4" a="1"/>
  <c r="F216" i="4" a="1"/>
  <c r="M171" i="4" a="1"/>
  <c r="C187" i="4" a="1"/>
  <c r="C359" i="4" a="1"/>
  <c r="C363" i="4" a="1"/>
  <c r="G127" i="4" a="1"/>
  <c r="H215" i="4" a="1"/>
  <c r="I175" i="4" a="1"/>
  <c r="J137" i="4" a="1"/>
  <c r="K134" i="4" a="1"/>
  <c r="G97" i="4" a="1"/>
  <c r="I63" i="4" a="1"/>
  <c r="C180" i="4" a="1"/>
  <c r="N37" i="4" a="1"/>
  <c r="N61" i="4" a="1"/>
  <c r="N64" i="4" a="1"/>
  <c r="K105" i="4" a="1"/>
  <c r="F111" i="4" a="1"/>
  <c r="E85" i="4" a="1"/>
  <c r="M108" i="4" a="1"/>
  <c r="F146" i="4" a="1"/>
  <c r="N104" i="4" a="1"/>
  <c r="H109" i="4" a="1"/>
  <c r="C143" i="4" a="1"/>
  <c r="F182" i="4" a="1"/>
  <c r="C181" i="4" a="1"/>
  <c r="C67" i="4" a="1"/>
  <c r="F161" i="4" a="1"/>
  <c r="D82" i="4" a="1"/>
  <c r="L74" i="4" a="1"/>
  <c r="D133" i="4" a="1"/>
  <c r="D91" i="4" a="1"/>
  <c r="C48" i="4" a="1"/>
  <c r="G64" i="4" a="1"/>
  <c r="I67" i="4" a="1"/>
  <c r="D92" i="4" a="1"/>
  <c r="D100" i="4" a="1"/>
  <c r="H63" i="4" a="1"/>
  <c r="N199" i="4" a="1"/>
  <c r="I62" i="4" a="1"/>
  <c r="M130" i="4" a="1"/>
  <c r="C38" i="4" a="1"/>
  <c r="I29" i="4" a="1"/>
  <c r="E94" i="4" a="1"/>
  <c r="F44" i="4" a="1"/>
  <c r="N127" i="4" a="1"/>
  <c r="G50" i="4" a="1"/>
  <c r="F179" i="4" a="1"/>
  <c r="G91" i="4" a="1"/>
  <c r="C148" i="4" a="1"/>
  <c r="C134" i="4" a="1"/>
  <c r="E220" i="4" a="1"/>
  <c r="E52" i="4" a="1"/>
  <c r="N180" i="4" a="1"/>
  <c r="N205" i="4" a="1"/>
  <c r="G71" i="4" a="1"/>
  <c r="C46" i="4" a="1"/>
  <c r="M27" i="4" a="1"/>
  <c r="F87" i="4" a="1"/>
  <c r="I93" i="4" a="1"/>
  <c r="I98" i="4" a="1"/>
  <c r="N73" i="4" a="1"/>
  <c r="I52" i="4" a="1"/>
  <c r="K57" i="4" a="1"/>
  <c r="N194" i="4" a="1"/>
  <c r="C87" i="4" a="1"/>
  <c r="M150" i="4" a="1"/>
  <c r="C121" i="4" a="1"/>
  <c r="K33" i="4" a="1"/>
  <c r="L97" i="4" a="1"/>
  <c r="N94" i="4" a="1"/>
  <c r="M182" i="4" a="1"/>
  <c r="M56" i="4" a="1"/>
  <c r="C189" i="4" a="1"/>
  <c r="J54" i="4" a="1"/>
  <c r="D85" i="4" a="1"/>
  <c r="H58" i="4" a="1"/>
  <c r="D109" i="4" a="1"/>
  <c r="K30" i="4" a="1"/>
  <c r="N216" i="4" a="1"/>
  <c r="G113" i="4" a="1"/>
  <c r="M162" i="4" a="1"/>
  <c r="D144" i="4" a="1"/>
  <c r="D113" i="4" a="1"/>
  <c r="E53" i="4" a="1"/>
  <c r="G84" i="4" a="1"/>
  <c r="F118" i="4" a="1"/>
  <c r="F209" i="4" a="1"/>
  <c r="D41" i="4" a="1"/>
  <c r="H53" i="4" a="1"/>
  <c r="H119" i="4" a="1"/>
  <c r="M164" i="4" a="1"/>
  <c r="D108" i="4" a="1"/>
  <c r="C92" i="4" a="1"/>
  <c r="C92" i="4" l="1"/>
  <c r="D108" i="4"/>
  <c r="M164" i="4"/>
  <c r="P164" i="4" s="1"/>
  <c r="H119" i="4"/>
  <c r="H53" i="4"/>
  <c r="D41" i="4"/>
  <c r="F209" i="4"/>
  <c r="F118" i="4"/>
  <c r="G84" i="4"/>
  <c r="E53" i="4"/>
  <c r="D113" i="4"/>
  <c r="D144" i="4"/>
  <c r="M162" i="4"/>
  <c r="P162" i="4" s="1"/>
  <c r="G113" i="4"/>
  <c r="N216" i="4"/>
  <c r="K30" i="4"/>
  <c r="D109" i="4"/>
  <c r="H58" i="4"/>
  <c r="D85" i="4"/>
  <c r="J54" i="4"/>
  <c r="C189" i="4"/>
  <c r="M56" i="4"/>
  <c r="P56" i="4" s="1"/>
  <c r="M182" i="4"/>
  <c r="P182" i="4" s="1"/>
  <c r="N94" i="4"/>
  <c r="L97" i="4"/>
  <c r="K33" i="4"/>
  <c r="C121" i="4"/>
  <c r="M150" i="4"/>
  <c r="P150" i="4" s="1"/>
  <c r="C87" i="4"/>
  <c r="N194" i="4"/>
  <c r="K57" i="4"/>
  <c r="I52" i="4"/>
  <c r="N73" i="4"/>
  <c r="I98" i="4"/>
  <c r="I93" i="4"/>
  <c r="F87" i="4"/>
  <c r="M27" i="4"/>
  <c r="P27" i="4" s="1"/>
  <c r="C46" i="4"/>
  <c r="G71" i="4"/>
  <c r="N205" i="4"/>
  <c r="N180" i="4"/>
  <c r="E52" i="4"/>
  <c r="E220" i="4"/>
  <c r="C134" i="4"/>
  <c r="C148" i="4"/>
  <c r="G91" i="4"/>
  <c r="F179" i="4"/>
  <c r="G50" i="4"/>
  <c r="N127" i="4"/>
  <c r="F44" i="4"/>
  <c r="E94" i="4"/>
  <c r="I29" i="4"/>
  <c r="C38" i="4"/>
  <c r="M130" i="4"/>
  <c r="P130" i="4" s="1"/>
  <c r="I62" i="4"/>
  <c r="N199" i="4"/>
  <c r="H63" i="4"/>
  <c r="D100" i="4"/>
  <c r="D92" i="4"/>
  <c r="I67" i="4"/>
  <c r="G64" i="4"/>
  <c r="C48" i="4"/>
  <c r="D91" i="4"/>
  <c r="D133" i="4"/>
  <c r="L74" i="4"/>
  <c r="D82" i="4"/>
  <c r="F161" i="4"/>
  <c r="C67" i="4"/>
  <c r="C181" i="4"/>
  <c r="F182" i="4"/>
  <c r="C143" i="4"/>
  <c r="H109" i="4"/>
  <c r="N104" i="4"/>
  <c r="F146" i="4"/>
  <c r="M108" i="4"/>
  <c r="P108" i="4" s="1"/>
  <c r="E85" i="4"/>
  <c r="F111" i="4"/>
  <c r="K105" i="4"/>
  <c r="N64" i="4"/>
  <c r="N61" i="4"/>
  <c r="N37" i="4"/>
  <c r="C180" i="4"/>
  <c r="I63" i="4"/>
  <c r="G97" i="4"/>
  <c r="K134" i="4"/>
  <c r="J137" i="4"/>
  <c r="I175" i="4"/>
  <c r="H215" i="4"/>
  <c r="G127" i="4"/>
  <c r="C363" i="4"/>
  <c r="C359" i="4"/>
  <c r="C187" i="4"/>
  <c r="M171" i="4"/>
  <c r="P171" i="4" s="1"/>
  <c r="F216" i="4"/>
  <c r="E172" i="4"/>
  <c r="L150" i="4"/>
  <c r="K185" i="4"/>
  <c r="I168" i="4"/>
  <c r="C74" i="4"/>
  <c r="M201" i="4"/>
  <c r="P201" i="4" s="1"/>
  <c r="C196" i="4"/>
  <c r="I36" i="4"/>
  <c r="E200" i="4"/>
  <c r="J83" i="4"/>
  <c r="N123" i="4"/>
  <c r="K25" i="4"/>
  <c r="C57" i="4"/>
  <c r="E74" i="4"/>
  <c r="M191" i="4"/>
  <c r="P191" i="4" s="1"/>
  <c r="H120" i="4"/>
  <c r="N182" i="4"/>
  <c r="G34" i="4"/>
  <c r="K32" i="4"/>
  <c r="M127" i="4"/>
  <c r="P127" i="4" s="1"/>
  <c r="N44" i="4"/>
  <c r="H29" i="4"/>
  <c r="D70" i="4"/>
  <c r="K98" i="4"/>
  <c r="F120" i="4"/>
  <c r="D165" i="4"/>
  <c r="I84" i="4"/>
  <c r="F92" i="4"/>
  <c r="D179" i="4"/>
  <c r="J43" i="4"/>
  <c r="J85" i="4"/>
  <c r="H74" i="4"/>
  <c r="J121" i="4"/>
  <c r="F95" i="4"/>
  <c r="D90" i="4"/>
  <c r="K120" i="4"/>
  <c r="K87" i="4"/>
  <c r="E77" i="4"/>
  <c r="F108" i="4"/>
  <c r="N146" i="4"/>
  <c r="N30" i="4"/>
  <c r="E64" i="4"/>
  <c r="G49" i="4"/>
  <c r="M91" i="4"/>
  <c r="P91" i="4" s="1"/>
  <c r="G38" i="4"/>
  <c r="D57" i="4"/>
  <c r="M70" i="4"/>
  <c r="P70" i="4" s="1"/>
  <c r="K111" i="4"/>
  <c r="M94" i="4"/>
  <c r="P94" i="4" s="1"/>
  <c r="D217" i="4"/>
  <c r="H108" i="4"/>
  <c r="D80" i="4"/>
  <c r="D159" i="4"/>
  <c r="J63" i="4"/>
  <c r="F81" i="4"/>
  <c r="F69" i="4"/>
  <c r="N90" i="4"/>
  <c r="J62" i="4"/>
  <c r="D207" i="4"/>
  <c r="G48" i="4"/>
  <c r="N212" i="4"/>
  <c r="N143" i="4"/>
  <c r="D116" i="4"/>
  <c r="E154" i="4"/>
  <c r="L120" i="4"/>
  <c r="L33" i="4"/>
  <c r="I34" i="4"/>
  <c r="M178" i="4"/>
  <c r="P178" i="4" s="1"/>
  <c r="D62" i="4"/>
  <c r="K89" i="4"/>
  <c r="F98" i="4"/>
  <c r="H110" i="4"/>
  <c r="L73" i="4"/>
  <c r="G58" i="4"/>
  <c r="H122" i="4"/>
  <c r="N163" i="4"/>
  <c r="C107" i="4"/>
  <c r="E57" i="4"/>
  <c r="F71" i="4"/>
  <c r="G76" i="4"/>
  <c r="C165" i="4"/>
  <c r="K53" i="4"/>
  <c r="D33" i="4"/>
  <c r="F132" i="4"/>
  <c r="N72" i="4"/>
  <c r="J98" i="4"/>
  <c r="K115" i="4"/>
  <c r="F181" i="4"/>
  <c r="E183" i="4"/>
  <c r="L205" i="4"/>
  <c r="K188" i="4"/>
  <c r="J187" i="4"/>
  <c r="I135" i="4"/>
  <c r="H143" i="4"/>
  <c r="M357" i="4"/>
  <c r="P357" i="4" s="1"/>
  <c r="M356" i="4"/>
  <c r="P356" i="4" s="1"/>
  <c r="K84" i="4"/>
  <c r="C146" i="4"/>
  <c r="N92" i="4"/>
  <c r="F147" i="4"/>
  <c r="C56" i="4"/>
  <c r="L217" i="4"/>
  <c r="D117" i="4"/>
  <c r="I210" i="4"/>
  <c r="C150" i="4"/>
  <c r="G80" i="4"/>
  <c r="J33" i="4"/>
  <c r="G63" i="4"/>
  <c r="M209" i="4"/>
  <c r="P209" i="4" s="1"/>
  <c r="N150" i="4"/>
  <c r="N79" i="4"/>
  <c r="N202" i="4"/>
  <c r="D77" i="4"/>
  <c r="N152" i="4"/>
  <c r="N128" i="4"/>
  <c r="C176" i="4"/>
  <c r="H41" i="4"/>
  <c r="I31" i="4"/>
  <c r="N203" i="4"/>
  <c r="N86" i="4"/>
  <c r="L91" i="4"/>
  <c r="M25" i="4"/>
  <c r="P25" i="4" s="1"/>
  <c r="M83" i="4"/>
  <c r="P83" i="4" s="1"/>
  <c r="D86" i="4"/>
  <c r="N36" i="4"/>
  <c r="N215" i="4"/>
  <c r="D114" i="4"/>
  <c r="F47" i="4"/>
  <c r="J37" i="4"/>
  <c r="D185" i="4"/>
  <c r="L94" i="4"/>
  <c r="H104" i="4"/>
  <c r="C217" i="4"/>
  <c r="M119" i="4"/>
  <c r="P119" i="4" s="1"/>
  <c r="H72" i="4"/>
  <c r="E125" i="4"/>
  <c r="G32" i="4"/>
  <c r="F58" i="4"/>
  <c r="N183" i="4"/>
  <c r="F126" i="4"/>
  <c r="M161" i="4"/>
  <c r="P161" i="4" s="1"/>
  <c r="C130" i="4"/>
  <c r="F89" i="4"/>
  <c r="M136" i="4"/>
  <c r="P136" i="4" s="1"/>
  <c r="M60" i="4"/>
  <c r="P60" i="4" s="1"/>
  <c r="C110" i="4"/>
  <c r="C154" i="4"/>
  <c r="D54" i="4"/>
  <c r="N198" i="4"/>
  <c r="G43" i="4"/>
  <c r="G53" i="4"/>
  <c r="D99" i="4"/>
  <c r="F70" i="4"/>
  <c r="E43" i="4"/>
  <c r="L43" i="4"/>
  <c r="H106" i="4"/>
  <c r="E150" i="4"/>
  <c r="I45" i="4"/>
  <c r="D107" i="4"/>
  <c r="D79" i="4"/>
  <c r="E30" i="4"/>
  <c r="D32" i="4"/>
  <c r="M115" i="4"/>
  <c r="P115" i="4" s="1"/>
  <c r="M123" i="4"/>
  <c r="P123" i="4" s="1"/>
  <c r="E60" i="4"/>
  <c r="M221" i="4"/>
  <c r="P221" i="4" s="1"/>
  <c r="G122" i="4"/>
  <c r="N99" i="4"/>
  <c r="L92" i="4"/>
  <c r="F135" i="4"/>
  <c r="K78" i="4"/>
  <c r="H92" i="4"/>
  <c r="C191" i="4"/>
  <c r="F75" i="4"/>
  <c r="M135" i="4"/>
  <c r="P135" i="4" s="1"/>
  <c r="K62" i="4"/>
  <c r="H70" i="4"/>
  <c r="C65" i="4"/>
  <c r="F53" i="4"/>
  <c r="H77" i="4"/>
  <c r="M195" i="4"/>
  <c r="P195" i="4" s="1"/>
  <c r="C59" i="4"/>
  <c r="G119" i="4"/>
  <c r="C79" i="4"/>
  <c r="C200" i="4"/>
  <c r="D44" i="4"/>
  <c r="M41" i="4"/>
  <c r="P41" i="4" s="1"/>
  <c r="F56" i="4"/>
  <c r="F43" i="4"/>
  <c r="M103" i="4"/>
  <c r="P103" i="4" s="1"/>
  <c r="C66" i="4"/>
  <c r="C222" i="4"/>
  <c r="J107" i="4"/>
  <c r="L99" i="4"/>
  <c r="N32" i="4"/>
  <c r="C68" i="4"/>
  <c r="N168" i="4"/>
  <c r="K69" i="4"/>
  <c r="I106" i="4"/>
  <c r="N149" i="4"/>
  <c r="M183" i="4"/>
  <c r="P183" i="4" s="1"/>
  <c r="M33" i="4"/>
  <c r="P33" i="4" s="1"/>
  <c r="D125" i="4"/>
  <c r="F151" i="4"/>
  <c r="E156" i="4"/>
  <c r="L183" i="4"/>
  <c r="K177" i="4"/>
  <c r="J136" i="4"/>
  <c r="I146" i="4"/>
  <c r="H221" i="4"/>
  <c r="C357" i="4"/>
  <c r="C356" i="4"/>
  <c r="G28" i="4"/>
  <c r="E135" i="4"/>
  <c r="D72" i="4"/>
  <c r="H23" i="4"/>
  <c r="F85" i="4"/>
  <c r="L145" i="4"/>
  <c r="J205" i="4"/>
  <c r="I176" i="4"/>
  <c r="K94" i="4"/>
  <c r="E179" i="4"/>
  <c r="H24" i="4"/>
  <c r="J39" i="4"/>
  <c r="C144" i="4"/>
  <c r="G59" i="4"/>
  <c r="L107" i="4"/>
  <c r="E174" i="4"/>
  <c r="E63" i="4"/>
  <c r="N133" i="4"/>
  <c r="E184" i="4"/>
  <c r="I83" i="4"/>
  <c r="L41" i="4"/>
  <c r="L31" i="4"/>
  <c r="L71" i="4"/>
  <c r="D87" i="4"/>
  <c r="M88" i="4"/>
  <c r="P88" i="4" s="1"/>
  <c r="L93" i="4"/>
  <c r="N213" i="4"/>
  <c r="N110" i="4"/>
  <c r="J44" i="4"/>
  <c r="M71" i="4"/>
  <c r="P71" i="4" s="1"/>
  <c r="H102" i="4"/>
  <c r="K56" i="4"/>
  <c r="L57" i="4"/>
  <c r="C119" i="4"/>
  <c r="E78" i="4"/>
  <c r="L48" i="4"/>
  <c r="H89" i="4"/>
  <c r="N117" i="4"/>
  <c r="J99" i="4"/>
  <c r="C205" i="4"/>
  <c r="N39" i="4"/>
  <c r="C53" i="4"/>
  <c r="I90" i="4"/>
  <c r="J24" i="4"/>
  <c r="I75" i="4"/>
  <c r="D126" i="4"/>
  <c r="E98" i="4"/>
  <c r="N153" i="4"/>
  <c r="D212" i="4"/>
  <c r="M215" i="4"/>
  <c r="P215" i="4" s="1"/>
  <c r="G109" i="4"/>
  <c r="C129" i="4"/>
  <c r="F116" i="4"/>
  <c r="L108" i="4"/>
  <c r="F24" i="4"/>
  <c r="N50" i="4"/>
  <c r="F101" i="4"/>
  <c r="D222" i="4"/>
  <c r="K104" i="4"/>
  <c r="E175" i="4"/>
  <c r="D34" i="4"/>
  <c r="N206" i="4"/>
  <c r="L55" i="4"/>
  <c r="K118" i="4"/>
  <c r="J28" i="4"/>
  <c r="N125" i="4"/>
  <c r="M110" i="4"/>
  <c r="P110" i="4" s="1"/>
  <c r="G102" i="4"/>
  <c r="N71" i="4"/>
  <c r="N84" i="4"/>
  <c r="I70" i="4"/>
  <c r="K86" i="4"/>
  <c r="C145" i="4"/>
  <c r="N98" i="4"/>
  <c r="N217" i="4"/>
  <c r="C153" i="4"/>
  <c r="M194" i="4"/>
  <c r="P194" i="4" s="1"/>
  <c r="D174" i="4"/>
  <c r="M196" i="4"/>
  <c r="P196" i="4" s="1"/>
  <c r="D136" i="4"/>
  <c r="F219" i="4"/>
  <c r="E173" i="4"/>
  <c r="L153" i="4"/>
  <c r="K168" i="4"/>
  <c r="J198" i="4"/>
  <c r="I127" i="4"/>
  <c r="C84" i="4"/>
  <c r="M345" i="4"/>
  <c r="P345" i="4" s="1"/>
  <c r="M302" i="4"/>
  <c r="P302" i="4" s="1"/>
  <c r="G78" i="4"/>
  <c r="M63" i="4"/>
  <c r="P63" i="4" s="1"/>
  <c r="N108" i="4"/>
  <c r="D118" i="4"/>
  <c r="D141" i="4"/>
  <c r="L151" i="4"/>
  <c r="J183" i="4"/>
  <c r="G60" i="4"/>
  <c r="G117" i="4"/>
  <c r="D69" i="4"/>
  <c r="M65" i="4"/>
  <c r="P65" i="4" s="1"/>
  <c r="L89" i="4"/>
  <c r="E106" i="4"/>
  <c r="E198" i="4"/>
  <c r="F137" i="4"/>
  <c r="H47" i="4"/>
  <c r="N219" i="4"/>
  <c r="J70" i="4"/>
  <c r="D24" i="4"/>
  <c r="N137" i="4"/>
  <c r="F50" i="4"/>
  <c r="C94" i="4"/>
  <c r="M155" i="4"/>
  <c r="P155" i="4" s="1"/>
  <c r="F39" i="4"/>
  <c r="K68" i="4"/>
  <c r="L69" i="4"/>
  <c r="D64" i="4"/>
  <c r="J122" i="4"/>
  <c r="E165" i="4"/>
  <c r="G107" i="4"/>
  <c r="K121" i="4"/>
  <c r="F91" i="4"/>
  <c r="M125" i="4"/>
  <c r="P125" i="4" s="1"/>
  <c r="C80" i="4"/>
  <c r="N191" i="4"/>
  <c r="J41" i="4"/>
  <c r="H113" i="4"/>
  <c r="K75" i="4"/>
  <c r="G103" i="4"/>
  <c r="N209" i="4"/>
  <c r="H93" i="4"/>
  <c r="F40" i="4"/>
  <c r="C195" i="4"/>
  <c r="J79" i="4"/>
  <c r="F30" i="4"/>
  <c r="C114" i="4"/>
  <c r="F102" i="4"/>
  <c r="I120" i="4"/>
  <c r="M174" i="4"/>
  <c r="P174" i="4" s="1"/>
  <c r="E47" i="4"/>
  <c r="D43" i="4"/>
  <c r="E42" i="4"/>
  <c r="F214" i="4"/>
  <c r="L103" i="4"/>
  <c r="E113" i="4"/>
  <c r="N177" i="4"/>
  <c r="E110" i="4"/>
  <c r="J78" i="4"/>
  <c r="F125" i="4"/>
  <c r="I60" i="4"/>
  <c r="M220" i="4"/>
  <c r="P220" i="4" s="1"/>
  <c r="D209" i="4"/>
  <c r="C24" i="4"/>
  <c r="C210" i="4"/>
  <c r="H48" i="4"/>
  <c r="L79" i="4"/>
  <c r="G44" i="4"/>
  <c r="K102" i="4"/>
  <c r="M168" i="4"/>
  <c r="P168" i="4" s="1"/>
  <c r="E69" i="4"/>
  <c r="H40" i="4"/>
  <c r="N59" i="4"/>
  <c r="L28" i="4"/>
  <c r="M78" i="4"/>
  <c r="P78" i="4" s="1"/>
  <c r="D51" i="4"/>
  <c r="M148" i="4"/>
  <c r="P148" i="4" s="1"/>
  <c r="M109" i="4"/>
  <c r="P109" i="4" s="1"/>
  <c r="N45" i="4"/>
  <c r="F162" i="4"/>
  <c r="D127" i="4"/>
  <c r="F124" i="4"/>
  <c r="E143" i="4"/>
  <c r="L156" i="4"/>
  <c r="K128" i="4"/>
  <c r="J164" i="4"/>
  <c r="M30" i="4"/>
  <c r="P30" i="4" s="1"/>
  <c r="D42" i="4"/>
  <c r="C345" i="4"/>
  <c r="C302" i="4"/>
  <c r="I53" i="4"/>
  <c r="I40" i="4"/>
  <c r="I80" i="4"/>
  <c r="E48" i="4"/>
  <c r="D206" i="4"/>
  <c r="L159" i="4"/>
  <c r="J153" i="4"/>
  <c r="H25" i="4"/>
  <c r="H42" i="4"/>
  <c r="E58" i="4"/>
  <c r="G90" i="4"/>
  <c r="E169" i="4"/>
  <c r="F218" i="4"/>
  <c r="F38" i="4"/>
  <c r="L84" i="4"/>
  <c r="N208" i="4"/>
  <c r="H36" i="4"/>
  <c r="N178" i="4"/>
  <c r="I26" i="4"/>
  <c r="E34" i="4"/>
  <c r="N47" i="4"/>
  <c r="N67" i="4"/>
  <c r="N49" i="4"/>
  <c r="F62" i="4"/>
  <c r="E82" i="4"/>
  <c r="H33" i="4"/>
  <c r="F28" i="4"/>
  <c r="F158" i="4"/>
  <c r="D96" i="4"/>
  <c r="N210" i="4"/>
  <c r="E49" i="4"/>
  <c r="L117" i="4"/>
  <c r="H112" i="4"/>
  <c r="D88" i="4"/>
  <c r="D167" i="4"/>
  <c r="I71" i="4"/>
  <c r="D81" i="4"/>
  <c r="N154" i="4"/>
  <c r="L53" i="4"/>
  <c r="N87" i="4"/>
  <c r="F188" i="4"/>
  <c r="K116" i="4"/>
  <c r="M153" i="4"/>
  <c r="P153" i="4" s="1"/>
  <c r="E39" i="4"/>
  <c r="L78" i="4"/>
  <c r="C204" i="4"/>
  <c r="N196" i="4"/>
  <c r="H60" i="4"/>
  <c r="M114" i="4"/>
  <c r="P114" i="4" s="1"/>
  <c r="D198" i="4"/>
  <c r="C32" i="4"/>
  <c r="D61" i="4"/>
  <c r="C36" i="4"/>
  <c r="C91" i="4"/>
  <c r="C113" i="4"/>
  <c r="C168" i="4"/>
  <c r="I104" i="4"/>
  <c r="M37" i="4"/>
  <c r="P37" i="4" s="1"/>
  <c r="N80" i="4"/>
  <c r="D203" i="4"/>
  <c r="F112" i="4"/>
  <c r="C185" i="4"/>
  <c r="H71" i="4"/>
  <c r="N175" i="4"/>
  <c r="F109" i="4"/>
  <c r="F90" i="4"/>
  <c r="C138" i="4"/>
  <c r="K61" i="4"/>
  <c r="F211" i="4"/>
  <c r="N155" i="4"/>
  <c r="C147" i="4"/>
  <c r="C45" i="4"/>
  <c r="D138" i="4"/>
  <c r="F198" i="4"/>
  <c r="G24" i="4"/>
  <c r="C89" i="4"/>
  <c r="M82" i="4"/>
  <c r="P82" i="4" s="1"/>
  <c r="D121" i="4"/>
  <c r="L81" i="4"/>
  <c r="I91" i="4"/>
  <c r="N76" i="4"/>
  <c r="M152" i="4"/>
  <c r="P152" i="4" s="1"/>
  <c r="M26" i="4"/>
  <c r="P26" i="4" s="1"/>
  <c r="K119" i="4"/>
  <c r="G72" i="4"/>
  <c r="E84" i="4"/>
  <c r="N31" i="4"/>
  <c r="C99" i="4"/>
  <c r="K96" i="4"/>
  <c r="K64" i="4"/>
  <c r="K74" i="4"/>
  <c r="N34" i="4"/>
  <c r="L65" i="4"/>
  <c r="F160" i="4"/>
  <c r="G106" i="4"/>
  <c r="F152" i="4"/>
  <c r="K79" i="4"/>
  <c r="L130" i="4"/>
  <c r="K148" i="4"/>
  <c r="J184" i="4"/>
  <c r="N65" i="4"/>
  <c r="G165" i="4"/>
  <c r="M307" i="4"/>
  <c r="P307" i="4" s="1"/>
  <c r="M337" i="4"/>
  <c r="P337" i="4" s="1"/>
  <c r="E33" i="4"/>
  <c r="I50" i="4"/>
  <c r="L66" i="4"/>
  <c r="D37" i="4"/>
  <c r="D178" i="4"/>
  <c r="L157" i="4"/>
  <c r="J173" i="4"/>
  <c r="H204" i="4"/>
  <c r="M99" i="4"/>
  <c r="P99" i="4" s="1"/>
  <c r="L106" i="4"/>
  <c r="N181" i="4"/>
  <c r="H55" i="4"/>
  <c r="J52" i="4"/>
  <c r="H118" i="4"/>
  <c r="H54" i="4"/>
  <c r="I115" i="4"/>
  <c r="M79" i="4"/>
  <c r="P79" i="4" s="1"/>
  <c r="C72" i="4"/>
  <c r="H87" i="4"/>
  <c r="D101" i="4"/>
  <c r="N161" i="4"/>
  <c r="N105" i="4"/>
  <c r="C62" i="4"/>
  <c r="E146" i="4"/>
  <c r="M199" i="4"/>
  <c r="P199" i="4" s="1"/>
  <c r="N93" i="4"/>
  <c r="D71" i="4"/>
  <c r="M212" i="4"/>
  <c r="P212" i="4" s="1"/>
  <c r="D38" i="4"/>
  <c r="E65" i="4"/>
  <c r="N148" i="4"/>
  <c r="M59" i="4"/>
  <c r="P59" i="4" s="1"/>
  <c r="J115" i="4"/>
  <c r="G98" i="4"/>
  <c r="D175" i="4"/>
  <c r="I32" i="4"/>
  <c r="N214" i="4"/>
  <c r="D58" i="4"/>
  <c r="M61" i="4"/>
  <c r="P61" i="4" s="1"/>
  <c r="H50" i="4"/>
  <c r="F106" i="4"/>
  <c r="K43" i="4"/>
  <c r="G56" i="4"/>
  <c r="M52" i="4"/>
  <c r="P52" i="4" s="1"/>
  <c r="F104" i="4"/>
  <c r="J26" i="4"/>
  <c r="J113" i="4"/>
  <c r="I77" i="4"/>
  <c r="F165" i="4"/>
  <c r="K73" i="4"/>
  <c r="L113" i="4"/>
  <c r="C34" i="4"/>
  <c r="N83" i="4"/>
  <c r="I44" i="4"/>
  <c r="J38" i="4"/>
  <c r="E79" i="4"/>
  <c r="D28" i="4"/>
  <c r="C128" i="4"/>
  <c r="C28" i="4"/>
  <c r="F187" i="4"/>
  <c r="H121" i="4"/>
  <c r="K107" i="4"/>
  <c r="C64" i="4"/>
  <c r="D53" i="4"/>
  <c r="N96" i="4"/>
  <c r="K81" i="4"/>
  <c r="D151" i="4"/>
  <c r="M51" i="4"/>
  <c r="P51" i="4" s="1"/>
  <c r="G121" i="4"/>
  <c r="J108" i="4"/>
  <c r="M190" i="4"/>
  <c r="P190" i="4" s="1"/>
  <c r="D106" i="4"/>
  <c r="C52" i="4"/>
  <c r="I27" i="4"/>
  <c r="K95" i="4"/>
  <c r="C133" i="4"/>
  <c r="N29" i="4"/>
  <c r="H75" i="4"/>
  <c r="I25" i="4"/>
  <c r="N111" i="4"/>
  <c r="K72" i="4"/>
  <c r="N186" i="4"/>
  <c r="K108" i="4"/>
  <c r="F129" i="4"/>
  <c r="E118" i="4"/>
  <c r="L173" i="4"/>
  <c r="K210" i="4"/>
  <c r="F34" i="4"/>
  <c r="H205" i="4"/>
  <c r="G126" i="4"/>
  <c r="C307" i="4"/>
  <c r="C337" i="4"/>
  <c r="M156" i="4"/>
  <c r="P156" i="4" s="1"/>
  <c r="M40" i="4"/>
  <c r="P40" i="4" s="1"/>
  <c r="I49" i="4"/>
  <c r="J103" i="4"/>
  <c r="D192" i="4"/>
  <c r="J59" i="4"/>
  <c r="J215" i="4"/>
  <c r="H150" i="4"/>
  <c r="C35" i="4"/>
  <c r="I73" i="4"/>
  <c r="D157" i="4"/>
  <c r="J69" i="4"/>
  <c r="M95" i="4"/>
  <c r="P95" i="4" s="1"/>
  <c r="N165" i="4"/>
  <c r="I107" i="4"/>
  <c r="G116" i="4"/>
  <c r="M192" i="4"/>
  <c r="P192" i="4" s="1"/>
  <c r="I109" i="4"/>
  <c r="N130" i="4"/>
  <c r="M105" i="4"/>
  <c r="P105" i="4" s="1"/>
  <c r="K93" i="4"/>
  <c r="H114" i="4"/>
  <c r="F84" i="4"/>
  <c r="N68" i="4"/>
  <c r="H64" i="4"/>
  <c r="L60" i="4"/>
  <c r="M180" i="4"/>
  <c r="P180" i="4" s="1"/>
  <c r="G33" i="4"/>
  <c r="C160" i="4"/>
  <c r="H84" i="4"/>
  <c r="J75" i="4"/>
  <c r="F175" i="4"/>
  <c r="N26" i="4"/>
  <c r="J106" i="4"/>
  <c r="E114" i="4"/>
  <c r="M101" i="4"/>
  <c r="P101" i="4" s="1"/>
  <c r="I74" i="4"/>
  <c r="J93" i="4"/>
  <c r="K114" i="4"/>
  <c r="M219" i="4"/>
  <c r="P219" i="4" s="1"/>
  <c r="E25" i="4"/>
  <c r="M143" i="4"/>
  <c r="P143" i="4" s="1"/>
  <c r="L112" i="4"/>
  <c r="M129" i="4"/>
  <c r="P129" i="4" s="1"/>
  <c r="M216" i="4"/>
  <c r="P216" i="4" s="1"/>
  <c r="F42" i="4"/>
  <c r="N135" i="4"/>
  <c r="C109" i="4"/>
  <c r="D97" i="4"/>
  <c r="C183" i="4"/>
  <c r="F26" i="4"/>
  <c r="D145" i="4"/>
  <c r="M96" i="4"/>
  <c r="P96" i="4" s="1"/>
  <c r="C118" i="4"/>
  <c r="J80" i="4"/>
  <c r="N28" i="4"/>
  <c r="D26" i="4"/>
  <c r="D195" i="4"/>
  <c r="C63" i="4"/>
  <c r="N170" i="4"/>
  <c r="J118" i="4"/>
  <c r="E211" i="4"/>
  <c r="N121" i="4"/>
  <c r="F107" i="4"/>
  <c r="F27" i="4"/>
  <c r="M184" i="4"/>
  <c r="P184" i="4" s="1"/>
  <c r="K36" i="4"/>
  <c r="D67" i="4"/>
  <c r="E189" i="4"/>
  <c r="L56" i="4"/>
  <c r="E138" i="4"/>
  <c r="N42" i="4"/>
  <c r="N139" i="4"/>
  <c r="J110" i="4"/>
  <c r="C140" i="4"/>
  <c r="M58" i="4"/>
  <c r="P58" i="4" s="1"/>
  <c r="C88" i="4"/>
  <c r="D46" i="4"/>
  <c r="N82" i="4"/>
  <c r="E209" i="4"/>
  <c r="J105" i="4"/>
  <c r="N56" i="4"/>
  <c r="E137" i="4"/>
  <c r="M142" i="4"/>
  <c r="P142" i="4" s="1"/>
  <c r="I81" i="4"/>
  <c r="M179" i="4"/>
  <c r="P179" i="4" s="1"/>
  <c r="M24" i="4"/>
  <c r="P24" i="4" s="1"/>
  <c r="D162" i="4"/>
  <c r="L83" i="4"/>
  <c r="K34" i="4"/>
  <c r="F79" i="4"/>
  <c r="H28" i="4"/>
  <c r="E80" i="4"/>
  <c r="M57" i="4"/>
  <c r="P57" i="4" s="1"/>
  <c r="I100" i="4"/>
  <c r="M175" i="4"/>
  <c r="P175" i="4" s="1"/>
  <c r="M104" i="4"/>
  <c r="P104" i="4" s="1"/>
  <c r="I33" i="4"/>
  <c r="G83" i="4"/>
  <c r="I92" i="4"/>
  <c r="N97" i="4"/>
  <c r="D158" i="4"/>
  <c r="L215" i="4"/>
  <c r="K176" i="4"/>
  <c r="G108" i="4"/>
  <c r="H183" i="4"/>
  <c r="G211" i="4"/>
  <c r="M282" i="4"/>
  <c r="P282" i="4" s="1"/>
  <c r="M355" i="4"/>
  <c r="P355" i="4" s="1"/>
  <c r="E144" i="4"/>
  <c r="K109" i="4"/>
  <c r="G100" i="4"/>
  <c r="M54" i="4"/>
  <c r="P54" i="4" s="1"/>
  <c r="M32" i="4"/>
  <c r="P32" i="4" s="1"/>
  <c r="K77" i="4"/>
  <c r="J143" i="4"/>
  <c r="H217" i="4"/>
  <c r="D30" i="4"/>
  <c r="C159" i="4"/>
  <c r="D211" i="4"/>
  <c r="M46" i="4"/>
  <c r="P46" i="4" s="1"/>
  <c r="D94" i="4"/>
  <c r="J64" i="4"/>
  <c r="M147" i="4"/>
  <c r="P147" i="4" s="1"/>
  <c r="E126" i="4"/>
  <c r="J73" i="4"/>
  <c r="F114" i="4"/>
  <c r="C101" i="4"/>
  <c r="L40" i="4"/>
  <c r="J97" i="4"/>
  <c r="N43" i="4"/>
  <c r="E159" i="4"/>
  <c r="I94" i="4"/>
  <c r="E212" i="4"/>
  <c r="H65" i="4"/>
  <c r="M72" i="4"/>
  <c r="P72" i="4" s="1"/>
  <c r="M146" i="4"/>
  <c r="P146" i="4" s="1"/>
  <c r="C104" i="4"/>
  <c r="N174" i="4"/>
  <c r="D56" i="4"/>
  <c r="L63" i="4"/>
  <c r="K40" i="4"/>
  <c r="N38" i="4"/>
  <c r="D169" i="4"/>
  <c r="J84" i="4"/>
  <c r="J92" i="4"/>
  <c r="J112" i="4"/>
  <c r="J31" i="4"/>
  <c r="L75" i="4"/>
  <c r="N220" i="4"/>
  <c r="D52" i="4"/>
  <c r="N192" i="4"/>
  <c r="K76" i="4"/>
  <c r="C156" i="4"/>
  <c r="J95" i="4"/>
  <c r="C81" i="4"/>
  <c r="D27" i="4"/>
  <c r="C33" i="4"/>
  <c r="F68" i="4"/>
  <c r="H111" i="4"/>
  <c r="H115" i="4"/>
  <c r="E187" i="4"/>
  <c r="E75" i="4"/>
  <c r="M47" i="4"/>
  <c r="P47" i="4" s="1"/>
  <c r="I30" i="4"/>
  <c r="K70" i="4"/>
  <c r="E167" i="4"/>
  <c r="E185" i="4"/>
  <c r="N51" i="4"/>
  <c r="C216" i="4"/>
  <c r="I99" i="4"/>
  <c r="C102" i="4"/>
  <c r="D182" i="4"/>
  <c r="K97" i="4"/>
  <c r="D48" i="4"/>
  <c r="F220" i="4"/>
  <c r="K48" i="4"/>
  <c r="J71" i="4"/>
  <c r="N147" i="4"/>
  <c r="L111" i="4"/>
  <c r="D155" i="4"/>
  <c r="H66" i="4"/>
  <c r="J32" i="4"/>
  <c r="E161" i="4"/>
  <c r="H85" i="4"/>
  <c r="F59" i="4"/>
  <c r="C117" i="4"/>
  <c r="I61" i="4"/>
  <c r="D189" i="4"/>
  <c r="C69" i="4"/>
  <c r="C43" i="4"/>
  <c r="E86" i="4"/>
  <c r="N63" i="4"/>
  <c r="G51" i="4"/>
  <c r="M98" i="4"/>
  <c r="P98" i="4" s="1"/>
  <c r="C201" i="4"/>
  <c r="K65" i="4"/>
  <c r="N166" i="4"/>
  <c r="M141" i="4"/>
  <c r="P141" i="4" s="1"/>
  <c r="M210" i="4"/>
  <c r="P210" i="4" s="1"/>
  <c r="K103" i="4"/>
  <c r="M211" i="4"/>
  <c r="P211" i="4" s="1"/>
  <c r="N52" i="4"/>
  <c r="E207" i="4"/>
  <c r="N176" i="4"/>
  <c r="L114" i="4"/>
  <c r="J50" i="4"/>
  <c r="M205" i="4"/>
  <c r="P205" i="4" s="1"/>
  <c r="J119" i="4"/>
  <c r="D93" i="4"/>
  <c r="M139" i="4"/>
  <c r="P139" i="4" s="1"/>
  <c r="I65" i="4"/>
  <c r="D78" i="4"/>
  <c r="F29" i="4"/>
  <c r="M42" i="4"/>
  <c r="P42" i="4" s="1"/>
  <c r="L122" i="4"/>
  <c r="D73" i="4"/>
  <c r="J101" i="4"/>
  <c r="D201" i="4"/>
  <c r="L143" i="4"/>
  <c r="J49" i="4"/>
  <c r="I165" i="4"/>
  <c r="H153" i="4"/>
  <c r="G149" i="4"/>
  <c r="C282" i="4"/>
  <c r="C355" i="4"/>
  <c r="G54" i="4"/>
  <c r="I39" i="4"/>
  <c r="M189" i="4"/>
  <c r="P189" i="4" s="1"/>
  <c r="E37" i="4"/>
  <c r="N40" i="4"/>
  <c r="K203" i="4"/>
  <c r="J221" i="4"/>
  <c r="H145" i="4"/>
  <c r="D150" i="4"/>
  <c r="J111" i="4"/>
  <c r="I57" i="4"/>
  <c r="M38" i="4"/>
  <c r="P38" i="4" s="1"/>
  <c r="C39" i="4"/>
  <c r="K54" i="4"/>
  <c r="F115" i="4"/>
  <c r="F57" i="4"/>
  <c r="I66" i="4"/>
  <c r="L44" i="4"/>
  <c r="G82" i="4"/>
  <c r="C116" i="4"/>
  <c r="N179" i="4"/>
  <c r="K29" i="4"/>
  <c r="E122" i="4"/>
  <c r="M93" i="4"/>
  <c r="P93" i="4" s="1"/>
  <c r="N54" i="4"/>
  <c r="N158" i="4"/>
  <c r="I78" i="4"/>
  <c r="E162" i="4"/>
  <c r="L34" i="4"/>
  <c r="N27" i="4"/>
  <c r="F141" i="4"/>
  <c r="G67" i="4"/>
  <c r="H73" i="4"/>
  <c r="F205" i="4"/>
  <c r="F74" i="4"/>
  <c r="F212" i="4"/>
  <c r="F190" i="4"/>
  <c r="M163" i="4"/>
  <c r="P163" i="4" s="1"/>
  <c r="E70" i="4"/>
  <c r="J40" i="4"/>
  <c r="F136" i="4"/>
  <c r="J66" i="4"/>
  <c r="N164" i="4"/>
  <c r="G65" i="4"/>
  <c r="L100" i="4"/>
  <c r="C115" i="4"/>
  <c r="G46" i="4"/>
  <c r="N112" i="4"/>
  <c r="J96" i="4"/>
  <c r="M35" i="4"/>
  <c r="P35" i="4" s="1"/>
  <c r="C112" i="4"/>
  <c r="L32" i="4"/>
  <c r="H56" i="4"/>
  <c r="K90" i="4"/>
  <c r="D63" i="4"/>
  <c r="M89" i="4"/>
  <c r="P89" i="4" s="1"/>
  <c r="M207" i="4"/>
  <c r="P207" i="4" s="1"/>
  <c r="F113" i="4"/>
  <c r="C203" i="4"/>
  <c r="I72" i="4"/>
  <c r="I54" i="4"/>
  <c r="G120" i="4"/>
  <c r="K51" i="4"/>
  <c r="M173" i="4"/>
  <c r="P173" i="4" s="1"/>
  <c r="K88" i="4"/>
  <c r="D89" i="4"/>
  <c r="M214" i="4"/>
  <c r="P214" i="4" s="1"/>
  <c r="M76" i="4"/>
  <c r="P76" i="4" s="1"/>
  <c r="C120" i="4"/>
  <c r="D31" i="4"/>
  <c r="E103" i="4"/>
  <c r="F51" i="4"/>
  <c r="E149" i="4"/>
  <c r="L58" i="4"/>
  <c r="G96" i="4"/>
  <c r="E117" i="4"/>
  <c r="F134" i="4"/>
  <c r="G74" i="4"/>
  <c r="E68" i="4"/>
  <c r="N66" i="4"/>
  <c r="E95" i="4"/>
  <c r="F99" i="4"/>
  <c r="I47" i="4"/>
  <c r="D163" i="4"/>
  <c r="L221" i="4"/>
  <c r="K83" i="4"/>
  <c r="I126" i="4"/>
  <c r="H156" i="4"/>
  <c r="G175" i="4"/>
  <c r="M328" i="4"/>
  <c r="P328" i="4" s="1"/>
  <c r="M300" i="4"/>
  <c r="P300" i="4" s="1"/>
  <c r="D76" i="4"/>
  <c r="N200" i="4"/>
  <c r="C149" i="4"/>
  <c r="E196" i="4"/>
  <c r="L200" i="4"/>
  <c r="K133" i="4"/>
  <c r="I134" i="4"/>
  <c r="H157" i="4"/>
  <c r="E81" i="4"/>
  <c r="D65" i="4"/>
  <c r="M128" i="4"/>
  <c r="P128" i="4" s="1"/>
  <c r="E99" i="4"/>
  <c r="L52" i="4"/>
  <c r="M208" i="4"/>
  <c r="P208" i="4" s="1"/>
  <c r="F48" i="4"/>
  <c r="N141" i="4"/>
  <c r="L42" i="4"/>
  <c r="K80" i="4"/>
  <c r="N201" i="4"/>
  <c r="K28" i="4"/>
  <c r="E62" i="4"/>
  <c r="F207" i="4"/>
  <c r="D39" i="4"/>
  <c r="I89" i="4"/>
  <c r="K27" i="4"/>
  <c r="J29" i="4"/>
  <c r="N62" i="4"/>
  <c r="C44" i="4"/>
  <c r="N190" i="4"/>
  <c r="N132" i="4"/>
  <c r="C173" i="4"/>
  <c r="L51" i="4"/>
  <c r="E31" i="4"/>
  <c r="H68" i="4"/>
  <c r="E107" i="4"/>
  <c r="F127" i="4"/>
  <c r="C162" i="4"/>
  <c r="F200" i="4"/>
  <c r="E160" i="4"/>
  <c r="G77" i="4"/>
  <c r="C151" i="4"/>
  <c r="C83" i="4"/>
  <c r="E51" i="4"/>
  <c r="F64" i="4"/>
  <c r="G110" i="4"/>
  <c r="N207" i="4"/>
  <c r="N70" i="4"/>
  <c r="E181" i="4"/>
  <c r="L64" i="4"/>
  <c r="M137" i="4"/>
  <c r="P137" i="4" s="1"/>
  <c r="M121" i="4"/>
  <c r="P121" i="4" s="1"/>
  <c r="F41" i="4"/>
  <c r="J57" i="4"/>
  <c r="I116" i="4"/>
  <c r="N136" i="4"/>
  <c r="D35" i="4"/>
  <c r="G87" i="4"/>
  <c r="H30" i="4"/>
  <c r="F60" i="4"/>
  <c r="N131" i="4"/>
  <c r="M87" i="4"/>
  <c r="P87" i="4" s="1"/>
  <c r="N184" i="4"/>
  <c r="H95" i="4"/>
  <c r="D160" i="4"/>
  <c r="K38" i="4"/>
  <c r="F189" i="4"/>
  <c r="G115" i="4"/>
  <c r="D200" i="4"/>
  <c r="H32" i="4"/>
  <c r="C55" i="4"/>
  <c r="E46" i="4"/>
  <c r="E133" i="4"/>
  <c r="H49" i="4"/>
  <c r="C106" i="4"/>
  <c r="M198" i="4"/>
  <c r="P198" i="4" s="1"/>
  <c r="I68" i="4"/>
  <c r="E217" i="4"/>
  <c r="C103" i="4"/>
  <c r="L61" i="4"/>
  <c r="C177" i="4"/>
  <c r="H91" i="4"/>
  <c r="D105" i="4"/>
  <c r="C37" i="4"/>
  <c r="D194" i="4"/>
  <c r="D49" i="4"/>
  <c r="J212" i="4"/>
  <c r="I211" i="4"/>
  <c r="H130" i="4"/>
  <c r="G135" i="4"/>
  <c r="C328" i="4"/>
  <c r="C300" i="4"/>
  <c r="L68" i="4"/>
  <c r="M213" i="4"/>
  <c r="P213" i="4" s="1"/>
  <c r="C214" i="4"/>
  <c r="E166" i="4"/>
  <c r="L189" i="4"/>
  <c r="K162" i="4"/>
  <c r="I188" i="4"/>
  <c r="J82" i="4"/>
  <c r="L87" i="4"/>
  <c r="D102" i="4"/>
  <c r="J67" i="4"/>
  <c r="C60" i="4"/>
  <c r="M73" i="4"/>
  <c r="P73" i="4" s="1"/>
  <c r="F117" i="4"/>
  <c r="L95" i="4"/>
  <c r="D103" i="4"/>
  <c r="E121" i="4"/>
  <c r="F196" i="4"/>
  <c r="F96" i="4"/>
  <c r="H43" i="4"/>
  <c r="E190" i="4"/>
  <c r="C218" i="4"/>
  <c r="D181" i="4"/>
  <c r="E76" i="4"/>
  <c r="N162" i="4"/>
  <c r="D119" i="4"/>
  <c r="D40" i="4"/>
  <c r="E145" i="4"/>
  <c r="F208" i="4"/>
  <c r="F184" i="4"/>
  <c r="G25" i="4"/>
  <c r="N173" i="4"/>
  <c r="I28" i="4"/>
  <c r="E102" i="4"/>
  <c r="E45" i="4"/>
  <c r="C100" i="4"/>
  <c r="E44" i="4"/>
  <c r="M85" i="4"/>
  <c r="P85" i="4" s="1"/>
  <c r="M92" i="4"/>
  <c r="P92" i="4" s="1"/>
  <c r="C50" i="4"/>
  <c r="N41" i="4"/>
  <c r="L110" i="4"/>
  <c r="K110" i="4"/>
  <c r="I56" i="4"/>
  <c r="F164" i="4"/>
  <c r="M206" i="4"/>
  <c r="P206" i="4" s="1"/>
  <c r="M74" i="4"/>
  <c r="P74" i="4" s="1"/>
  <c r="G79" i="4"/>
  <c r="D98" i="4"/>
  <c r="M81" i="4"/>
  <c r="P81" i="4" s="1"/>
  <c r="D187" i="4"/>
  <c r="E105" i="4"/>
  <c r="M176" i="4"/>
  <c r="P176" i="4" s="1"/>
  <c r="C73" i="4"/>
  <c r="D140" i="4"/>
  <c r="J48" i="4"/>
  <c r="G57" i="4"/>
  <c r="E136" i="4"/>
  <c r="H90" i="4"/>
  <c r="M39" i="4"/>
  <c r="P39" i="4" s="1"/>
  <c r="N204" i="4"/>
  <c r="H107" i="4"/>
  <c r="C188" i="4"/>
  <c r="H88" i="4"/>
  <c r="L82" i="4"/>
  <c r="D146" i="4"/>
  <c r="C85" i="4"/>
  <c r="N156" i="4"/>
  <c r="E104" i="4"/>
  <c r="H78" i="4"/>
  <c r="K101" i="4"/>
  <c r="E67" i="4"/>
  <c r="C77" i="4"/>
  <c r="M75" i="4"/>
  <c r="P75" i="4" s="1"/>
  <c r="M158" i="4"/>
  <c r="P158" i="4" s="1"/>
  <c r="H99" i="4"/>
  <c r="C126" i="4"/>
  <c r="G112" i="4"/>
  <c r="E38" i="4"/>
  <c r="C31" i="4"/>
  <c r="C40" i="4"/>
  <c r="G85" i="4"/>
  <c r="H103" i="4"/>
  <c r="D184" i="4"/>
  <c r="C41" i="4"/>
  <c r="L49" i="4"/>
  <c r="F199" i="4"/>
  <c r="J89" i="4"/>
  <c r="D50" i="4"/>
  <c r="M170" i="4"/>
  <c r="P170" i="4" s="1"/>
  <c r="N55" i="4"/>
  <c r="N211" i="4"/>
  <c r="N221" i="4"/>
  <c r="N74" i="4"/>
  <c r="I111" i="4"/>
  <c r="M160" i="4"/>
  <c r="P160" i="4" s="1"/>
  <c r="G73" i="4"/>
  <c r="I119" i="4"/>
  <c r="G52" i="4"/>
  <c r="G105" i="4"/>
  <c r="E36" i="4"/>
  <c r="J207" i="4"/>
  <c r="I149" i="4"/>
  <c r="H173" i="4"/>
  <c r="G146" i="4"/>
  <c r="M363" i="4"/>
  <c r="P363" i="4" s="1"/>
  <c r="M359" i="4"/>
  <c r="P359" i="4" s="1"/>
  <c r="C158" i="4"/>
  <c r="M186" i="4"/>
  <c r="P186" i="4" s="1"/>
  <c r="F191" i="4"/>
  <c r="E186" i="4"/>
  <c r="L204" i="4"/>
  <c r="K154" i="4"/>
  <c r="I177" i="4"/>
  <c r="G134" i="4"/>
  <c r="K144" i="4"/>
  <c r="M64" i="4"/>
  <c r="P64" i="4" s="1"/>
  <c r="H200" i="4"/>
  <c r="G188" i="4"/>
  <c r="C271" i="4"/>
  <c r="C325" i="4"/>
  <c r="F86" i="4"/>
  <c r="M116" i="4"/>
  <c r="P116" i="4" s="1"/>
  <c r="H79" i="4"/>
  <c r="J77" i="4"/>
  <c r="D188" i="4"/>
  <c r="L152" i="4"/>
  <c r="K171" i="4"/>
  <c r="I76" i="4"/>
  <c r="H196" i="4"/>
  <c r="G133" i="4"/>
  <c r="M258" i="4"/>
  <c r="P258" i="4" s="1"/>
  <c r="M353" i="4"/>
  <c r="P353" i="4" s="1"/>
  <c r="I121" i="4"/>
  <c r="N197" i="4"/>
  <c r="N109" i="4"/>
  <c r="N113" i="4"/>
  <c r="H82" i="4"/>
  <c r="L179" i="4"/>
  <c r="K164" i="4"/>
  <c r="M97" i="4"/>
  <c r="P97" i="4" s="1"/>
  <c r="H195" i="4"/>
  <c r="G142" i="4"/>
  <c r="C235" i="4"/>
  <c r="C301" i="4"/>
  <c r="I102" i="4"/>
  <c r="E164" i="4"/>
  <c r="G29" i="4"/>
  <c r="F121" i="4"/>
  <c r="D205" i="4"/>
  <c r="L163" i="4"/>
  <c r="K143" i="4"/>
  <c r="H97" i="4"/>
  <c r="H208" i="4"/>
  <c r="G207" i="4"/>
  <c r="M223" i="4"/>
  <c r="P223" i="4" s="1"/>
  <c r="M289" i="4"/>
  <c r="P289" i="4" s="1"/>
  <c r="J87" i="4"/>
  <c r="C123" i="4"/>
  <c r="N193" i="4"/>
  <c r="F173" i="4"/>
  <c r="E171" i="4"/>
  <c r="L181" i="4"/>
  <c r="K145" i="4"/>
  <c r="J194" i="4"/>
  <c r="J94" i="4"/>
  <c r="G205" i="4"/>
  <c r="C369" i="4"/>
  <c r="C242" i="4"/>
  <c r="N160" i="4"/>
  <c r="F138" i="4"/>
  <c r="D214" i="4"/>
  <c r="F166" i="4"/>
  <c r="E215" i="4"/>
  <c r="L213" i="4"/>
  <c r="K124" i="4"/>
  <c r="J160" i="4"/>
  <c r="I157" i="4"/>
  <c r="G68" i="4"/>
  <c r="M370" i="4"/>
  <c r="P370" i="4" s="1"/>
  <c r="M305" i="4"/>
  <c r="P305" i="4" s="1"/>
  <c r="E83" i="4"/>
  <c r="C184" i="4"/>
  <c r="E109" i="4"/>
  <c r="F194" i="4"/>
  <c r="C95" i="4"/>
  <c r="L175" i="4"/>
  <c r="K214" i="4"/>
  <c r="D74" i="4"/>
  <c r="F76" i="4"/>
  <c r="G196" i="4"/>
  <c r="M249" i="4"/>
  <c r="P249" i="4" s="1"/>
  <c r="M368" i="4"/>
  <c r="P368" i="4" s="1"/>
  <c r="L59" i="4"/>
  <c r="C178" i="4"/>
  <c r="N172" i="4"/>
  <c r="F178" i="4"/>
  <c r="N23" i="4"/>
  <c r="L168" i="4"/>
  <c r="K163" i="4"/>
  <c r="J127" i="4"/>
  <c r="K35" i="4"/>
  <c r="G195" i="4"/>
  <c r="C285" i="4"/>
  <c r="C350" i="4"/>
  <c r="C132" i="4"/>
  <c r="F80" i="4"/>
  <c r="N188" i="4"/>
  <c r="F140" i="4"/>
  <c r="E213" i="4"/>
  <c r="L203" i="4"/>
  <c r="K138" i="4"/>
  <c r="J128" i="4"/>
  <c r="I147" i="4"/>
  <c r="H167" i="4"/>
  <c r="M286" i="4"/>
  <c r="P286" i="4" s="1"/>
  <c r="M255" i="4"/>
  <c r="P255" i="4" s="1"/>
  <c r="M251" i="4"/>
  <c r="P251" i="4" s="1"/>
  <c r="M185" i="4"/>
  <c r="P185" i="4" s="1"/>
  <c r="J104" i="4"/>
  <c r="I110" i="4"/>
  <c r="F73" i="4"/>
  <c r="F31" i="4"/>
  <c r="D83" i="4"/>
  <c r="J182" i="4"/>
  <c r="I181" i="4"/>
  <c r="H123" i="4"/>
  <c r="G160" i="4"/>
  <c r="M365" i="4"/>
  <c r="P365" i="4" s="1"/>
  <c r="M281" i="4"/>
  <c r="P281" i="4" s="1"/>
  <c r="N120" i="4"/>
  <c r="G86" i="4"/>
  <c r="J53" i="4"/>
  <c r="C93" i="4"/>
  <c r="D166" i="4"/>
  <c r="L164" i="4"/>
  <c r="C111" i="4"/>
  <c r="I218" i="4"/>
  <c r="H207" i="4"/>
  <c r="G206" i="4"/>
  <c r="C294" i="4"/>
  <c r="C272" i="4"/>
  <c r="K167" i="4"/>
  <c r="N91" i="4"/>
  <c r="H189" i="4"/>
  <c r="G177" i="4"/>
  <c r="M270" i="4"/>
  <c r="P270" i="4" s="1"/>
  <c r="M259" i="4"/>
  <c r="P259" i="4" s="1"/>
  <c r="M113" i="4"/>
  <c r="P113" i="4" s="1"/>
  <c r="G27" i="4"/>
  <c r="N81" i="4"/>
  <c r="K52" i="4"/>
  <c r="D168" i="4"/>
  <c r="L172" i="4"/>
  <c r="K49" i="4"/>
  <c r="I203" i="4"/>
  <c r="H219" i="4"/>
  <c r="G162" i="4"/>
  <c r="C258" i="4"/>
  <c r="C353" i="4"/>
  <c r="I24" i="4"/>
  <c r="C30" i="4"/>
  <c r="M55" i="4"/>
  <c r="P55" i="4" s="1"/>
  <c r="E115" i="4"/>
  <c r="D142" i="4"/>
  <c r="L214" i="4"/>
  <c r="K184" i="4"/>
  <c r="C96" i="4"/>
  <c r="H155" i="4"/>
  <c r="G170" i="4"/>
  <c r="M246" i="4"/>
  <c r="P246" i="4" s="1"/>
  <c r="M317" i="4"/>
  <c r="P317" i="4" s="1"/>
  <c r="N122" i="4"/>
  <c r="F25" i="4"/>
  <c r="F61" i="4"/>
  <c r="K67" i="4"/>
  <c r="D153" i="4"/>
  <c r="L147" i="4"/>
  <c r="K221" i="4"/>
  <c r="J74" i="4"/>
  <c r="H158" i="4"/>
  <c r="G137" i="4"/>
  <c r="C223" i="4"/>
  <c r="C289" i="4"/>
  <c r="E88" i="4"/>
  <c r="C192" i="4"/>
  <c r="E100" i="4"/>
  <c r="F143" i="4"/>
  <c r="F78" i="4"/>
  <c r="L174" i="4"/>
  <c r="K151" i="4"/>
  <c r="M23" i="4"/>
  <c r="P23" i="4" s="1"/>
  <c r="E54" i="4"/>
  <c r="G183" i="4"/>
  <c r="M366" i="4"/>
  <c r="P366" i="4" s="1"/>
  <c r="M277" i="4"/>
  <c r="P277" i="4" s="1"/>
  <c r="N33" i="4"/>
  <c r="F145" i="4"/>
  <c r="E214" i="4"/>
  <c r="F186" i="4"/>
  <c r="E221" i="4"/>
  <c r="L206" i="4"/>
  <c r="K186" i="4"/>
  <c r="J222" i="4"/>
  <c r="F122" i="4"/>
  <c r="G200" i="4"/>
  <c r="C370" i="4"/>
  <c r="C305" i="4"/>
  <c r="E55" i="4"/>
  <c r="K71" i="4"/>
  <c r="K106" i="4"/>
  <c r="N85" i="4"/>
  <c r="D218" i="4"/>
  <c r="L135" i="4"/>
  <c r="K209" i="4"/>
  <c r="D95" i="4"/>
  <c r="H165" i="4"/>
  <c r="G219" i="4"/>
  <c r="C249" i="4"/>
  <c r="C368" i="4"/>
  <c r="G114" i="4"/>
  <c r="F169" i="4"/>
  <c r="J72" i="4"/>
  <c r="F192" i="4"/>
  <c r="E72" i="4"/>
  <c r="L128" i="4"/>
  <c r="K147" i="4"/>
  <c r="J109" i="4"/>
  <c r="L96" i="4"/>
  <c r="G155" i="4"/>
  <c r="M308" i="4"/>
  <c r="P308" i="4" s="1"/>
  <c r="M236" i="4"/>
  <c r="P236" i="4" s="1"/>
  <c r="M149" i="4"/>
  <c r="P149" i="4" s="1"/>
  <c r="M165" i="4"/>
  <c r="P165" i="4" s="1"/>
  <c r="D161" i="4"/>
  <c r="E157" i="4"/>
  <c r="E131" i="4"/>
  <c r="L182" i="4"/>
  <c r="K181" i="4"/>
  <c r="J148" i="4"/>
  <c r="I194" i="4"/>
  <c r="N75" i="4"/>
  <c r="C286" i="4"/>
  <c r="C255" i="4"/>
  <c r="C251" i="4"/>
  <c r="I79" i="4"/>
  <c r="N77" i="4"/>
  <c r="C190" i="4"/>
  <c r="G70" i="4"/>
  <c r="F94" i="4"/>
  <c r="K218" i="4"/>
  <c r="J133" i="4"/>
  <c r="I174" i="4"/>
  <c r="H193" i="4"/>
  <c r="G222" i="4"/>
  <c r="C365" i="4"/>
  <c r="C281" i="4"/>
  <c r="K99" i="4"/>
  <c r="E108" i="4"/>
  <c r="C82" i="4"/>
  <c r="C105" i="4"/>
  <c r="D186" i="4"/>
  <c r="L184" i="4"/>
  <c r="E73" i="4"/>
  <c r="I141" i="4"/>
  <c r="H137" i="4"/>
  <c r="G131" i="4"/>
  <c r="M340" i="4"/>
  <c r="P340" i="4" s="1"/>
  <c r="M312" i="4"/>
  <c r="P312" i="4" s="1"/>
  <c r="G168" i="4"/>
  <c r="C270" i="4"/>
  <c r="C259" i="4"/>
  <c r="N116" i="4"/>
  <c r="N115" i="4"/>
  <c r="E120" i="4"/>
  <c r="K50" i="4"/>
  <c r="D148" i="4"/>
  <c r="L129" i="4"/>
  <c r="J200" i="4"/>
  <c r="I182" i="4"/>
  <c r="H166" i="4"/>
  <c r="G154" i="4"/>
  <c r="M304" i="4"/>
  <c r="P304" i="4" s="1"/>
  <c r="M276" i="4"/>
  <c r="P276" i="4" s="1"/>
  <c r="H116" i="4"/>
  <c r="M48" i="4"/>
  <c r="P48" i="4" s="1"/>
  <c r="F110" i="4"/>
  <c r="E29" i="4"/>
  <c r="D202" i="4"/>
  <c r="L209" i="4"/>
  <c r="E116" i="4"/>
  <c r="I180" i="4"/>
  <c r="H125" i="4"/>
  <c r="G202" i="4"/>
  <c r="C246" i="4"/>
  <c r="C317" i="4"/>
  <c r="K112" i="4"/>
  <c r="F83" i="4"/>
  <c r="E61" i="4"/>
  <c r="L90" i="4"/>
  <c r="D130" i="4"/>
  <c r="L194" i="4"/>
  <c r="K44" i="4"/>
  <c r="I212" i="4"/>
  <c r="H191" i="4"/>
  <c r="G187" i="4"/>
  <c r="M234" i="4"/>
  <c r="P234" i="4" s="1"/>
  <c r="M293" i="4"/>
  <c r="P293" i="4" s="1"/>
  <c r="K66" i="4"/>
  <c r="N171" i="4"/>
  <c r="M62" i="4"/>
  <c r="P62" i="4" s="1"/>
  <c r="M36" i="4"/>
  <c r="P36" i="4" s="1"/>
  <c r="D132" i="4"/>
  <c r="L140" i="4"/>
  <c r="K159" i="4"/>
  <c r="C71" i="4"/>
  <c r="H190" i="4"/>
  <c r="G153" i="4"/>
  <c r="C366" i="4"/>
  <c r="C277" i="4"/>
  <c r="C54" i="4"/>
  <c r="F167" i="4"/>
  <c r="G61" i="4"/>
  <c r="F172" i="4"/>
  <c r="E90" i="4"/>
  <c r="L131" i="4"/>
  <c r="K152" i="4"/>
  <c r="I38" i="4"/>
  <c r="K117" i="4"/>
  <c r="G189" i="4"/>
  <c r="M321" i="4"/>
  <c r="P321" i="4" s="1"/>
  <c r="M230" i="4"/>
  <c r="P230" i="4" s="1"/>
  <c r="I69" i="4"/>
  <c r="K26" i="4"/>
  <c r="N88" i="4"/>
  <c r="G75" i="4"/>
  <c r="D213" i="4"/>
  <c r="L146" i="4"/>
  <c r="K169" i="4"/>
  <c r="I132" i="4"/>
  <c r="H126" i="4"/>
  <c r="G166" i="4"/>
  <c r="M342" i="4"/>
  <c r="P342" i="4" s="1"/>
  <c r="M253" i="4"/>
  <c r="P253" i="4" s="1"/>
  <c r="I46" i="4"/>
  <c r="D112" i="4"/>
  <c r="J65" i="4"/>
  <c r="H117" i="4"/>
  <c r="D134" i="4"/>
  <c r="L148" i="4"/>
  <c r="K194" i="4"/>
  <c r="M53" i="4"/>
  <c r="P53" i="4" s="1"/>
  <c r="H134" i="4"/>
  <c r="G125" i="4"/>
  <c r="C308" i="4"/>
  <c r="C236" i="4"/>
  <c r="C194" i="4"/>
  <c r="F150" i="4"/>
  <c r="D164" i="4"/>
  <c r="F168" i="4"/>
  <c r="E197" i="4"/>
  <c r="L133" i="4"/>
  <c r="K174" i="4"/>
  <c r="J210" i="4"/>
  <c r="D23" i="4"/>
  <c r="I88" i="4"/>
  <c r="M333" i="4"/>
  <c r="P333" i="4" s="1"/>
  <c r="M338" i="4"/>
  <c r="P338" i="4" s="1"/>
  <c r="H81" i="4"/>
  <c r="M112" i="4"/>
  <c r="P112" i="4" s="1"/>
  <c r="K63" i="4"/>
  <c r="C137" i="4"/>
  <c r="E134" i="4"/>
  <c r="H62" i="4"/>
  <c r="K141" i="4"/>
  <c r="J162" i="4"/>
  <c r="I140" i="4"/>
  <c r="H139" i="4"/>
  <c r="M298" i="4"/>
  <c r="P298" i="4" s="1"/>
  <c r="M243" i="4"/>
  <c r="P243" i="4" s="1"/>
  <c r="M239" i="4"/>
  <c r="P239" i="4" s="1"/>
  <c r="M138" i="4"/>
  <c r="P138" i="4" s="1"/>
  <c r="F72" i="4"/>
  <c r="K91" i="4"/>
  <c r="H69" i="4"/>
  <c r="D172" i="4"/>
  <c r="I59" i="4"/>
  <c r="J180" i="4"/>
  <c r="I213" i="4"/>
  <c r="H187" i="4"/>
  <c r="G178" i="4"/>
  <c r="C340" i="4"/>
  <c r="C312" i="4"/>
  <c r="G128" i="4"/>
  <c r="M316" i="4"/>
  <c r="P316" i="4" s="1"/>
  <c r="M288" i="4"/>
  <c r="P288" i="4" s="1"/>
  <c r="D199" i="4"/>
  <c r="F77" i="4"/>
  <c r="N119" i="4"/>
  <c r="D25" i="4"/>
  <c r="D176" i="4"/>
  <c r="D29" i="4"/>
  <c r="J189" i="4"/>
  <c r="I133" i="4"/>
  <c r="H124" i="4"/>
  <c r="G185" i="4"/>
  <c r="C304" i="4"/>
  <c r="C276" i="4"/>
  <c r="N195" i="4"/>
  <c r="F32" i="4"/>
  <c r="J116" i="4"/>
  <c r="E96" i="4"/>
  <c r="D193" i="4"/>
  <c r="L169" i="4"/>
  <c r="J132" i="4"/>
  <c r="I142" i="4"/>
  <c r="H199" i="4"/>
  <c r="G123" i="4"/>
  <c r="M292" i="4"/>
  <c r="P292" i="4" s="1"/>
  <c r="M264" i="4"/>
  <c r="P264" i="4" s="1"/>
  <c r="M218" i="4"/>
  <c r="P218" i="4" s="1"/>
  <c r="L80" i="4"/>
  <c r="C47" i="4"/>
  <c r="L118" i="4"/>
  <c r="D215" i="4"/>
  <c r="K23" i="4"/>
  <c r="J195" i="4"/>
  <c r="I207" i="4"/>
  <c r="H201" i="4"/>
  <c r="G136" i="4"/>
  <c r="C234" i="4"/>
  <c r="C293" i="4"/>
  <c r="M29" i="4"/>
  <c r="P29" i="4" s="1"/>
  <c r="N46" i="4"/>
  <c r="N60" i="4"/>
  <c r="F65" i="4"/>
  <c r="D219" i="4"/>
  <c r="L160" i="4"/>
  <c r="K157" i="4"/>
  <c r="I205" i="4"/>
  <c r="H220" i="4"/>
  <c r="G156" i="4"/>
  <c r="M332" i="4"/>
  <c r="P332" i="4" s="1"/>
  <c r="M233" i="4"/>
  <c r="P233" i="4" s="1"/>
  <c r="L50" i="4"/>
  <c r="I23" i="4"/>
  <c r="F82" i="4"/>
  <c r="G111" i="4"/>
  <c r="D208" i="4"/>
  <c r="L178" i="4"/>
  <c r="K172" i="4"/>
  <c r="I86" i="4"/>
  <c r="H218" i="4"/>
  <c r="G204" i="4"/>
  <c r="C321" i="4"/>
  <c r="C230" i="4"/>
  <c r="K45" i="4"/>
  <c r="I114" i="4"/>
  <c r="F33" i="4"/>
  <c r="N58" i="4"/>
  <c r="D131" i="4"/>
  <c r="L127" i="4"/>
  <c r="N53" i="4"/>
  <c r="I196" i="4"/>
  <c r="H211" i="4"/>
  <c r="G124" i="4"/>
  <c r="C342" i="4"/>
  <c r="C253" i="4"/>
  <c r="J91" i="4"/>
  <c r="D111" i="4"/>
  <c r="G89" i="4"/>
  <c r="M84" i="4"/>
  <c r="P84" i="4" s="1"/>
  <c r="D177" i="4"/>
  <c r="L210" i="4"/>
  <c r="J23" i="4"/>
  <c r="I195" i="4"/>
  <c r="H188" i="4"/>
  <c r="G199" i="4"/>
  <c r="M330" i="4"/>
  <c r="P330" i="4" s="1"/>
  <c r="M241" i="4"/>
  <c r="P241" i="4" s="1"/>
  <c r="G95" i="4"/>
  <c r="F185" i="4"/>
  <c r="E127" i="4"/>
  <c r="F148" i="4"/>
  <c r="K31" i="4"/>
  <c r="L162" i="4"/>
  <c r="K140" i="4"/>
  <c r="J176" i="4"/>
  <c r="F36" i="4"/>
  <c r="G208" i="4"/>
  <c r="C333" i="4"/>
  <c r="C338" i="4"/>
  <c r="N218" i="4"/>
  <c r="M50" i="4"/>
  <c r="P50" i="4" s="1"/>
  <c r="F142" i="4"/>
  <c r="C135" i="4"/>
  <c r="E177" i="4"/>
  <c r="L180" i="4"/>
  <c r="K213" i="4"/>
  <c r="J154" i="4"/>
  <c r="I160" i="4"/>
  <c r="H171" i="4"/>
  <c r="C298" i="4"/>
  <c r="C243" i="4"/>
  <c r="C239" i="4"/>
  <c r="E151" i="4"/>
  <c r="M77" i="4"/>
  <c r="P77" i="4" s="1"/>
  <c r="K100" i="4"/>
  <c r="L116" i="4"/>
  <c r="L72" i="4"/>
  <c r="J120" i="4"/>
  <c r="J142" i="4"/>
  <c r="I206" i="4"/>
  <c r="H136" i="4"/>
  <c r="G197" i="4"/>
  <c r="M269" i="4"/>
  <c r="P269" i="4" s="1"/>
  <c r="M371" i="4"/>
  <c r="P371" i="4" s="1"/>
  <c r="G148" i="4"/>
  <c r="C316" i="4"/>
  <c r="C288" i="4"/>
  <c r="M159" i="4"/>
  <c r="P159" i="4" s="1"/>
  <c r="M45" i="4"/>
  <c r="P45" i="4" s="1"/>
  <c r="E91" i="4"/>
  <c r="I87" i="4"/>
  <c r="H37" i="4"/>
  <c r="F46" i="4"/>
  <c r="J204" i="4"/>
  <c r="I162" i="4"/>
  <c r="H186" i="4"/>
  <c r="G144" i="4"/>
  <c r="M339" i="4"/>
  <c r="P339" i="4" s="1"/>
  <c r="M335" i="4"/>
  <c r="P335" i="4" s="1"/>
  <c r="F149" i="4"/>
  <c r="K92" i="4"/>
  <c r="G69" i="4"/>
  <c r="G42" i="4"/>
  <c r="D171" i="4"/>
  <c r="K39" i="4"/>
  <c r="J196" i="4"/>
  <c r="I170" i="4"/>
  <c r="H161" i="4"/>
  <c r="G193" i="4"/>
  <c r="C292" i="4"/>
  <c r="C264" i="4"/>
  <c r="M187" i="4"/>
  <c r="P187" i="4" s="1"/>
  <c r="D45" i="4"/>
  <c r="I97" i="4"/>
  <c r="H51" i="4"/>
  <c r="D221" i="4"/>
  <c r="F67" i="4"/>
  <c r="J155" i="4"/>
  <c r="I137" i="4"/>
  <c r="H216" i="4"/>
  <c r="G198" i="4"/>
  <c r="M280" i="4"/>
  <c r="P280" i="4" s="1"/>
  <c r="M252" i="4"/>
  <c r="P252" i="4" s="1"/>
  <c r="I55" i="4"/>
  <c r="K24" i="4"/>
  <c r="J90" i="4"/>
  <c r="G40" i="4"/>
  <c r="D124" i="4"/>
  <c r="L222" i="4"/>
  <c r="M34" i="4"/>
  <c r="P34" i="4" s="1"/>
  <c r="I183" i="4"/>
  <c r="H138" i="4"/>
  <c r="G130" i="4"/>
  <c r="C332" i="4"/>
  <c r="C233" i="4"/>
  <c r="L35" i="4"/>
  <c r="F49" i="4"/>
  <c r="I103" i="4"/>
  <c r="L101" i="4"/>
  <c r="D191" i="4"/>
  <c r="L197" i="4"/>
  <c r="K129" i="4"/>
  <c r="I200" i="4"/>
  <c r="H141" i="4"/>
  <c r="G150" i="4"/>
  <c r="M354" i="4"/>
  <c r="P354" i="4" s="1"/>
  <c r="M265" i="4"/>
  <c r="P265" i="4" s="1"/>
  <c r="C155" i="4"/>
  <c r="C25" i="4"/>
  <c r="E27" i="4"/>
  <c r="F54" i="4"/>
  <c r="D197" i="4"/>
  <c r="M90" i="4"/>
  <c r="P90" i="4" s="1"/>
  <c r="J218" i="4"/>
  <c r="I219" i="4"/>
  <c r="H149" i="4"/>
  <c r="G186" i="4"/>
  <c r="M329" i="4"/>
  <c r="P329" i="4" s="1"/>
  <c r="M360" i="4"/>
  <c r="P360" i="4" s="1"/>
  <c r="H46" i="4"/>
  <c r="N35" i="4"/>
  <c r="L109" i="4"/>
  <c r="K113" i="4"/>
  <c r="D128" i="4"/>
  <c r="L176" i="4"/>
  <c r="I112" i="4"/>
  <c r="I155" i="4"/>
  <c r="H177" i="4"/>
  <c r="G161" i="4"/>
  <c r="C330" i="4"/>
  <c r="C241" i="4"/>
  <c r="H27" i="4"/>
  <c r="C167" i="4"/>
  <c r="J60" i="4"/>
  <c r="F176" i="4"/>
  <c r="F35" i="4"/>
  <c r="L154" i="4"/>
  <c r="K160" i="4"/>
  <c r="E40" i="4"/>
  <c r="G35" i="4"/>
  <c r="G158" i="4"/>
  <c r="M260" i="4"/>
  <c r="P260" i="4" s="1"/>
  <c r="M245" i="4"/>
  <c r="P245" i="4" s="1"/>
  <c r="N187" i="4"/>
  <c r="E203" i="4"/>
  <c r="M131" i="4"/>
  <c r="P131" i="4" s="1"/>
  <c r="E23" i="4"/>
  <c r="E128" i="4"/>
  <c r="L142" i="4"/>
  <c r="K206" i="4"/>
  <c r="J185" i="4"/>
  <c r="I222" i="4"/>
  <c r="H45" i="4"/>
  <c r="M261" i="4"/>
  <c r="P261" i="4" s="1"/>
  <c r="M326" i="4"/>
  <c r="P326" i="4" s="1"/>
  <c r="C70" i="4"/>
  <c r="L77" i="4"/>
  <c r="D75" i="4"/>
  <c r="M134" i="4"/>
  <c r="P134" i="4" s="1"/>
  <c r="H94" i="4"/>
  <c r="L86" i="4"/>
  <c r="K165" i="4"/>
  <c r="J170" i="4"/>
  <c r="I131" i="4"/>
  <c r="H198" i="4"/>
  <c r="G192" i="4"/>
  <c r="C269" i="4"/>
  <c r="C371" i="4"/>
  <c r="G210" i="4"/>
  <c r="M351" i="4"/>
  <c r="P351" i="4" s="1"/>
  <c r="M347" i="4"/>
  <c r="P347" i="4" s="1"/>
  <c r="L102" i="4"/>
  <c r="J25" i="4"/>
  <c r="E155" i="4"/>
  <c r="F105" i="4"/>
  <c r="H39" i="4"/>
  <c r="K180" i="4"/>
  <c r="J150" i="4"/>
  <c r="I154" i="4"/>
  <c r="H152" i="4"/>
  <c r="G167" i="4"/>
  <c r="C339" i="4"/>
  <c r="C335" i="4"/>
  <c r="E222" i="4"/>
  <c r="H96" i="4"/>
  <c r="C86" i="4"/>
  <c r="H44" i="4"/>
  <c r="C76" i="4"/>
  <c r="M117" i="4"/>
  <c r="P117" i="4" s="1"/>
  <c r="J219" i="4"/>
  <c r="I202" i="4"/>
  <c r="H179" i="4"/>
  <c r="G139" i="4"/>
  <c r="M327" i="4"/>
  <c r="P327" i="4" s="1"/>
  <c r="M323" i="4"/>
  <c r="P323" i="4" s="1"/>
  <c r="M167" i="4"/>
  <c r="P167" i="4" s="1"/>
  <c r="L105" i="4"/>
  <c r="K60" i="4"/>
  <c r="E28" i="4"/>
  <c r="I35" i="4"/>
  <c r="K205" i="4"/>
  <c r="J125" i="4"/>
  <c r="I187" i="4"/>
  <c r="H163" i="4"/>
  <c r="G164" i="4"/>
  <c r="C280" i="4"/>
  <c r="C252" i="4"/>
  <c r="F203" i="4"/>
  <c r="E71" i="4"/>
  <c r="G36" i="4"/>
  <c r="G26" i="4"/>
  <c r="D152" i="4"/>
  <c r="L37" i="4"/>
  <c r="J208" i="4"/>
  <c r="I153" i="4"/>
  <c r="H181" i="4"/>
  <c r="G173" i="4"/>
  <c r="M268" i="4"/>
  <c r="P268" i="4" s="1"/>
  <c r="M240" i="4"/>
  <c r="P240" i="4" s="1"/>
  <c r="M111" i="4"/>
  <c r="P111" i="4" s="1"/>
  <c r="D36" i="4"/>
  <c r="N48" i="4"/>
  <c r="M122" i="4"/>
  <c r="P122" i="4" s="1"/>
  <c r="D216" i="4"/>
  <c r="L192" i="4"/>
  <c r="H105" i="4"/>
  <c r="I189" i="4"/>
  <c r="H213" i="4"/>
  <c r="G217" i="4"/>
  <c r="C354" i="4"/>
  <c r="C265" i="4"/>
  <c r="D154" i="4"/>
  <c r="G118" i="4"/>
  <c r="E35" i="4"/>
  <c r="J46" i="4"/>
  <c r="N157" i="4"/>
  <c r="I117" i="4"/>
  <c r="J141" i="4"/>
  <c r="I166" i="4"/>
  <c r="H175" i="4"/>
  <c r="G152" i="4"/>
  <c r="C329" i="4"/>
  <c r="C360" i="4"/>
  <c r="N126" i="4"/>
  <c r="N100" i="4"/>
  <c r="J58" i="4"/>
  <c r="M106" i="4"/>
  <c r="P106" i="4" s="1"/>
  <c r="D210" i="4"/>
  <c r="H67" i="4"/>
  <c r="J165" i="4"/>
  <c r="I125" i="4"/>
  <c r="H168" i="4"/>
  <c r="G179" i="4"/>
  <c r="M257" i="4"/>
  <c r="P257" i="4" s="1"/>
  <c r="M348" i="4"/>
  <c r="P348" i="4" s="1"/>
  <c r="G66" i="4"/>
  <c r="J86" i="4"/>
  <c r="J42" i="4"/>
  <c r="C75" i="4"/>
  <c r="D180" i="4"/>
  <c r="L185" i="4"/>
  <c r="K222" i="4"/>
  <c r="L115" i="4"/>
  <c r="H203" i="4"/>
  <c r="G191" i="4"/>
  <c r="C260" i="4"/>
  <c r="C245" i="4"/>
  <c r="N167" i="4"/>
  <c r="C199" i="4"/>
  <c r="M172" i="4"/>
  <c r="P172" i="4" s="1"/>
  <c r="F202" i="4"/>
  <c r="E210" i="4"/>
  <c r="L170" i="4"/>
  <c r="K131" i="4"/>
  <c r="J144" i="4"/>
  <c r="L70" i="4"/>
  <c r="D115" i="4"/>
  <c r="C261" i="4"/>
  <c r="C326" i="4"/>
  <c r="J35" i="4"/>
  <c r="F119" i="4"/>
  <c r="I51" i="4"/>
  <c r="C166" i="4"/>
  <c r="E180" i="4"/>
  <c r="N78" i="4"/>
  <c r="K126" i="4"/>
  <c r="J202" i="4"/>
  <c r="I178" i="4"/>
  <c r="H164" i="4"/>
  <c r="M297" i="4"/>
  <c r="P297" i="4" s="1"/>
  <c r="M231" i="4"/>
  <c r="P231" i="4" s="1"/>
  <c r="M227" i="4"/>
  <c r="P227" i="4" s="1"/>
  <c r="J156" i="4"/>
  <c r="I128" i="4"/>
  <c r="H151" i="4"/>
  <c r="G176" i="4"/>
  <c r="C351" i="4"/>
  <c r="C347" i="4"/>
  <c r="I58" i="4"/>
  <c r="F195" i="4"/>
  <c r="C202" i="4"/>
  <c r="E158" i="4"/>
  <c r="L132" i="4"/>
  <c r="K142" i="4"/>
  <c r="J217" i="4"/>
  <c r="I185" i="4"/>
  <c r="H172" i="4"/>
  <c r="M273" i="4"/>
  <c r="P273" i="4" s="1"/>
  <c r="M284" i="4"/>
  <c r="P284" i="4" s="1"/>
  <c r="I42" i="4"/>
  <c r="E119" i="4"/>
  <c r="K55" i="4"/>
  <c r="C220" i="4"/>
  <c r="G99" i="4"/>
  <c r="J56" i="4"/>
  <c r="K212" i="4"/>
  <c r="J166" i="4"/>
  <c r="I123" i="4"/>
  <c r="H214" i="4"/>
  <c r="G171" i="4"/>
  <c r="C327" i="4"/>
  <c r="C323" i="4"/>
  <c r="J34" i="4"/>
  <c r="L46" i="4"/>
  <c r="M188" i="4"/>
  <c r="P188" i="4" s="1"/>
  <c r="H35" i="4"/>
  <c r="D122" i="4"/>
  <c r="K183" i="4"/>
  <c r="J199" i="4"/>
  <c r="I136" i="4"/>
  <c r="H147" i="4"/>
  <c r="G184" i="4"/>
  <c r="M315" i="4"/>
  <c r="P315" i="4" s="1"/>
  <c r="M311" i="4"/>
  <c r="P311" i="4" s="1"/>
  <c r="M124" i="4"/>
  <c r="P124" i="4" s="1"/>
  <c r="D66" i="4"/>
  <c r="M28" i="4"/>
  <c r="P28" i="4" s="1"/>
  <c r="I82" i="4"/>
  <c r="D129" i="4"/>
  <c r="L45" i="4"/>
  <c r="J158" i="4"/>
  <c r="I156" i="4"/>
  <c r="H174" i="4"/>
  <c r="G215" i="4"/>
  <c r="C268" i="4"/>
  <c r="C240" i="4"/>
  <c r="F183" i="4"/>
  <c r="J114" i="4"/>
  <c r="L67" i="4"/>
  <c r="G30" i="4"/>
  <c r="D147" i="4"/>
  <c r="F97" i="4"/>
  <c r="J190" i="4"/>
  <c r="I204" i="4"/>
  <c r="H206" i="4"/>
  <c r="G145" i="4"/>
  <c r="M295" i="4"/>
  <c r="P295" i="4" s="1"/>
  <c r="M372" i="4"/>
  <c r="P372" i="4" s="1"/>
  <c r="C58" i="4"/>
  <c r="C108" i="4"/>
  <c r="F45" i="4"/>
  <c r="L62" i="4"/>
  <c r="K85" i="4"/>
  <c r="K195" i="4"/>
  <c r="J213" i="4"/>
  <c r="I124" i="4"/>
  <c r="H135" i="4"/>
  <c r="G172" i="4"/>
  <c r="M244" i="4"/>
  <c r="P244" i="4" s="1"/>
  <c r="M344" i="4"/>
  <c r="P344" i="4" s="1"/>
  <c r="M145" i="4"/>
  <c r="P145" i="4" s="1"/>
  <c r="L119" i="4"/>
  <c r="H31" i="4"/>
  <c r="E56" i="4"/>
  <c r="N169" i="4"/>
  <c r="C61" i="4"/>
  <c r="J126" i="4"/>
  <c r="I199" i="4"/>
  <c r="H128" i="4"/>
  <c r="G214" i="4"/>
  <c r="C257" i="4"/>
  <c r="C348" i="4"/>
  <c r="K122" i="4"/>
  <c r="I64" i="4"/>
  <c r="L30" i="4"/>
  <c r="M68" i="4"/>
  <c r="P68" i="4" s="1"/>
  <c r="D170" i="4"/>
  <c r="L144" i="4"/>
  <c r="N89" i="4"/>
  <c r="I208" i="4"/>
  <c r="H182" i="4"/>
  <c r="G201" i="4"/>
  <c r="M318" i="4"/>
  <c r="P318" i="4" s="1"/>
  <c r="M229" i="4"/>
  <c r="P229" i="4" s="1"/>
  <c r="I122" i="4"/>
  <c r="C198" i="4"/>
  <c r="M157" i="4"/>
  <c r="P157" i="4" s="1"/>
  <c r="F193" i="4"/>
  <c r="E101" i="4"/>
  <c r="L202" i="4"/>
  <c r="K178" i="4"/>
  <c r="J167" i="4"/>
  <c r="L26" i="4"/>
  <c r="G190" i="4"/>
  <c r="M367" i="4"/>
  <c r="P367" i="4" s="1"/>
  <c r="M361" i="4"/>
  <c r="P361" i="4" s="1"/>
  <c r="M203" i="4"/>
  <c r="P203" i="4" s="1"/>
  <c r="H100" i="4"/>
  <c r="M204" i="4"/>
  <c r="P204" i="4" s="1"/>
  <c r="C193" i="4"/>
  <c r="E170" i="4"/>
  <c r="L212" i="4"/>
  <c r="K211" i="4"/>
  <c r="J123" i="4"/>
  <c r="I197" i="4"/>
  <c r="H184" i="4"/>
  <c r="C297" i="4"/>
  <c r="C231" i="4"/>
  <c r="C227" i="4"/>
  <c r="K182" i="4"/>
  <c r="J130" i="4"/>
  <c r="I148" i="4"/>
  <c r="H159" i="4"/>
  <c r="M274" i="4"/>
  <c r="P274" i="4" s="1"/>
  <c r="M296" i="4"/>
  <c r="P296" i="4" s="1"/>
  <c r="C141" i="4"/>
  <c r="J76" i="4"/>
  <c r="M133" i="4"/>
  <c r="P133" i="4" s="1"/>
  <c r="C197" i="4"/>
  <c r="E201" i="4"/>
  <c r="L196" i="4"/>
  <c r="K170" i="4"/>
  <c r="J145" i="4"/>
  <c r="I144" i="4"/>
  <c r="H129" i="4"/>
  <c r="C273" i="4"/>
  <c r="C284" i="4"/>
  <c r="L121" i="4"/>
  <c r="M44" i="4"/>
  <c r="P44" i="4" s="1"/>
  <c r="D190" i="4"/>
  <c r="F217" i="4"/>
  <c r="E141" i="4"/>
  <c r="L195" i="4"/>
  <c r="K207" i="4"/>
  <c r="J124" i="4"/>
  <c r="I193" i="4"/>
  <c r="H209" i="4"/>
  <c r="M334" i="4"/>
  <c r="P334" i="4" s="1"/>
  <c r="M224" i="4"/>
  <c r="P224" i="4" s="1"/>
  <c r="C29" i="4"/>
  <c r="D59" i="4"/>
  <c r="N134" i="4"/>
  <c r="C161" i="4"/>
  <c r="E188" i="4"/>
  <c r="L208" i="4"/>
  <c r="K153" i="4"/>
  <c r="J161" i="4"/>
  <c r="I198" i="4"/>
  <c r="H194" i="4"/>
  <c r="N222" i="4"/>
  <c r="C315" i="4"/>
  <c r="C311" i="4"/>
  <c r="N129" i="4"/>
  <c r="E93" i="4"/>
  <c r="J55" i="4"/>
  <c r="I113" i="4"/>
  <c r="D55" i="4"/>
  <c r="K200" i="4"/>
  <c r="J191" i="4"/>
  <c r="I130" i="4"/>
  <c r="H140" i="4"/>
  <c r="G143" i="4"/>
  <c r="M303" i="4"/>
  <c r="P303" i="4" s="1"/>
  <c r="M299" i="4"/>
  <c r="P299" i="4" s="1"/>
  <c r="C174" i="4"/>
  <c r="E41" i="4"/>
  <c r="F55" i="4"/>
  <c r="D104" i="4"/>
  <c r="C23" i="4"/>
  <c r="G55" i="4"/>
  <c r="J220" i="4"/>
  <c r="I150" i="4"/>
  <c r="H131" i="4"/>
  <c r="G151" i="4"/>
  <c r="C295" i="4"/>
  <c r="C372" i="4"/>
  <c r="M66" i="4"/>
  <c r="P66" i="4" s="1"/>
  <c r="I108" i="4"/>
  <c r="C125" i="4"/>
  <c r="E132" i="4"/>
  <c r="L76" i="4"/>
  <c r="K155" i="4"/>
  <c r="J206" i="4"/>
  <c r="I186" i="4"/>
  <c r="H146" i="4"/>
  <c r="G129" i="4"/>
  <c r="C244" i="4"/>
  <c r="C344" i="4"/>
  <c r="H101" i="4"/>
  <c r="I85" i="4"/>
  <c r="M200" i="4"/>
  <c r="P200" i="4" s="1"/>
  <c r="G62" i="4"/>
  <c r="E66" i="4"/>
  <c r="K208" i="4"/>
  <c r="J211" i="4"/>
  <c r="I161" i="4"/>
  <c r="H148" i="4"/>
  <c r="G209" i="4"/>
  <c r="M232" i="4"/>
  <c r="P232" i="4" s="1"/>
  <c r="M248" i="4"/>
  <c r="P248" i="4" s="1"/>
  <c r="K58" i="4"/>
  <c r="G101" i="4"/>
  <c r="E26" i="4"/>
  <c r="N95" i="4"/>
  <c r="D123" i="4"/>
  <c r="L167" i="4"/>
  <c r="C42" i="4"/>
  <c r="I158" i="4"/>
  <c r="H133" i="4"/>
  <c r="G216" i="4"/>
  <c r="C318" i="4"/>
  <c r="C229" i="4"/>
  <c r="J30" i="4"/>
  <c r="C221" i="4"/>
  <c r="L27" i="4"/>
  <c r="F171" i="4"/>
  <c r="H52" i="4"/>
  <c r="L123" i="4"/>
  <c r="K197" i="4"/>
  <c r="K47" i="4"/>
  <c r="N24" i="4"/>
  <c r="G220" i="4"/>
  <c r="C367" i="4"/>
  <c r="C361" i="4"/>
  <c r="N124" i="4"/>
  <c r="C212" i="4"/>
  <c r="M154" i="4"/>
  <c r="P154" i="4" s="1"/>
  <c r="F153" i="4"/>
  <c r="E123" i="4"/>
  <c r="L207" i="4"/>
  <c r="K149" i="4"/>
  <c r="J193" i="4"/>
  <c r="I192" i="4"/>
  <c r="E59" i="4"/>
  <c r="M346" i="4"/>
  <c r="P346" i="4" s="1"/>
  <c r="M314" i="4"/>
  <c r="P314" i="4" s="1"/>
  <c r="C274" i="4"/>
  <c r="C296" i="4"/>
  <c r="N145" i="4"/>
  <c r="M126" i="4"/>
  <c r="P126" i="4" s="1"/>
  <c r="M140" i="4"/>
  <c r="P140" i="4" s="1"/>
  <c r="F213" i="4"/>
  <c r="E163" i="4"/>
  <c r="L219" i="4"/>
  <c r="K202" i="4"/>
  <c r="J151" i="4"/>
  <c r="I167" i="4"/>
  <c r="D110" i="4"/>
  <c r="M250" i="4"/>
  <c r="P250" i="4" s="1"/>
  <c r="M278" i="4"/>
  <c r="P278" i="4" s="1"/>
  <c r="C182" i="4"/>
  <c r="C122" i="4"/>
  <c r="D137" i="4"/>
  <c r="F144" i="4"/>
  <c r="E206" i="4"/>
  <c r="L155" i="4"/>
  <c r="K137" i="4"/>
  <c r="J186" i="4"/>
  <c r="I139" i="4"/>
  <c r="H169" i="4"/>
  <c r="C334" i="4"/>
  <c r="C224" i="4"/>
  <c r="E204" i="4"/>
  <c r="M69" i="4"/>
  <c r="P69" i="4" s="1"/>
  <c r="M166" i="4"/>
  <c r="P166" i="4" s="1"/>
  <c r="C164" i="4"/>
  <c r="E168" i="4"/>
  <c r="L158" i="4"/>
  <c r="K156" i="4"/>
  <c r="J179" i="4"/>
  <c r="I164" i="4"/>
  <c r="G23" i="4"/>
  <c r="M262" i="4"/>
  <c r="P262" i="4" s="1"/>
  <c r="M343" i="4"/>
  <c r="P343" i="4" s="1"/>
  <c r="E87" i="4"/>
  <c r="C97" i="4"/>
  <c r="M43" i="4"/>
  <c r="P43" i="4" s="1"/>
  <c r="C142" i="4"/>
  <c r="I96" i="4"/>
  <c r="K37" i="4"/>
  <c r="K189" i="4"/>
  <c r="J201" i="4"/>
  <c r="I173" i="4"/>
  <c r="H160" i="4"/>
  <c r="G221" i="4"/>
  <c r="C303" i="4"/>
  <c r="C299" i="4"/>
  <c r="J100" i="4"/>
  <c r="J45" i="4"/>
  <c r="H76" i="4"/>
  <c r="C51" i="4"/>
  <c r="H26" i="4"/>
  <c r="K132" i="4"/>
  <c r="J138" i="4"/>
  <c r="I217" i="4"/>
  <c r="H178" i="4"/>
  <c r="G159" i="4"/>
  <c r="M256" i="4"/>
  <c r="P256" i="4" s="1"/>
  <c r="M228" i="4"/>
  <c r="P228" i="4" s="1"/>
  <c r="E89" i="4"/>
  <c r="F155" i="4"/>
  <c r="C136" i="4"/>
  <c r="E219" i="4"/>
  <c r="L165" i="4"/>
  <c r="K125" i="4"/>
  <c r="J131" i="4"/>
  <c r="I152" i="4"/>
  <c r="H127" i="4"/>
  <c r="M237" i="4"/>
  <c r="P237" i="4" s="1"/>
  <c r="M279" i="4"/>
  <c r="P279" i="4" s="1"/>
  <c r="M275" i="4"/>
  <c r="P275" i="4" s="1"/>
  <c r="H38" i="4"/>
  <c r="E24" i="4"/>
  <c r="C213" i="4"/>
  <c r="E208" i="4"/>
  <c r="F63" i="4"/>
  <c r="K158" i="4"/>
  <c r="J149" i="4"/>
  <c r="I179" i="4"/>
  <c r="H210" i="4"/>
  <c r="G169" i="4"/>
  <c r="C232" i="4"/>
  <c r="C248" i="4"/>
  <c r="N142" i="4"/>
  <c r="F66" i="4"/>
  <c r="C90" i="4"/>
  <c r="G92" i="4"/>
  <c r="D139" i="4"/>
  <c r="N101" i="4"/>
  <c r="J134" i="4"/>
  <c r="I191" i="4"/>
  <c r="H162" i="4"/>
  <c r="G163" i="4"/>
  <c r="M364" i="4"/>
  <c r="P364" i="4" s="1"/>
  <c r="M336" i="4"/>
  <c r="P336" i="4" s="1"/>
  <c r="I105" i="4"/>
  <c r="J27" i="4"/>
  <c r="K42" i="4"/>
  <c r="I101" i="4"/>
  <c r="D183" i="4"/>
  <c r="L193" i="4"/>
  <c r="K192" i="4"/>
  <c r="G104" i="4"/>
  <c r="H180" i="4"/>
  <c r="G138" i="4"/>
  <c r="M306" i="4"/>
  <c r="P306" i="4" s="1"/>
  <c r="M320" i="4"/>
  <c r="P320" i="4" s="1"/>
  <c r="C157" i="4"/>
  <c r="C206" i="4"/>
  <c r="M222" i="4"/>
  <c r="P222" i="4" s="1"/>
  <c r="F130" i="4"/>
  <c r="E139" i="4"/>
  <c r="L137" i="4"/>
  <c r="K175" i="4"/>
  <c r="J139" i="4"/>
  <c r="G31" i="4"/>
  <c r="J88" i="4"/>
  <c r="C346" i="4"/>
  <c r="C314" i="4"/>
  <c r="M322" i="4"/>
  <c r="P322" i="4" s="1"/>
  <c r="M290" i="4"/>
  <c r="P290" i="4" s="1"/>
  <c r="H98" i="4"/>
  <c r="C124" i="4"/>
  <c r="F157" i="4"/>
  <c r="F131" i="4"/>
  <c r="E194" i="4"/>
  <c r="L166" i="4"/>
  <c r="K123" i="4"/>
  <c r="J159" i="4"/>
  <c r="N114" i="4"/>
  <c r="F52" i="4"/>
  <c r="C250" i="4"/>
  <c r="C278" i="4"/>
  <c r="C163" i="4"/>
  <c r="E182" i="4"/>
  <c r="D135" i="4"/>
  <c r="F177" i="4"/>
  <c r="E178" i="4"/>
  <c r="L125" i="4"/>
  <c r="K187" i="4"/>
  <c r="J152" i="4"/>
  <c r="I171" i="4"/>
  <c r="K41" i="4"/>
  <c r="M310" i="4"/>
  <c r="P310" i="4" s="1"/>
  <c r="M266" i="4"/>
  <c r="P266" i="4" s="1"/>
  <c r="N185" i="4"/>
  <c r="C207" i="4"/>
  <c r="M193" i="4"/>
  <c r="P193" i="4" s="1"/>
  <c r="F170" i="4"/>
  <c r="E148" i="4"/>
  <c r="L191" i="4"/>
  <c r="K130" i="4"/>
  <c r="J214" i="4"/>
  <c r="I184" i="4"/>
  <c r="E32" i="4"/>
  <c r="C262" i="4"/>
  <c r="C343" i="4"/>
  <c r="M118" i="4"/>
  <c r="P118" i="4" s="1"/>
  <c r="L29" i="4"/>
  <c r="F180" i="4"/>
  <c r="C131" i="4"/>
  <c r="E142" i="4"/>
  <c r="L190" i="4"/>
  <c r="K204" i="4"/>
  <c r="J216" i="4"/>
  <c r="I215" i="4"/>
  <c r="H222" i="4"/>
  <c r="M309" i="4"/>
  <c r="P309" i="4" s="1"/>
  <c r="M341" i="4"/>
  <c r="P341" i="4" s="1"/>
  <c r="C49" i="4"/>
  <c r="H57" i="4"/>
  <c r="H34" i="4"/>
  <c r="F204" i="4"/>
  <c r="E205" i="4"/>
  <c r="E92" i="4"/>
  <c r="K196" i="4"/>
  <c r="J181" i="4"/>
  <c r="I145" i="4"/>
  <c r="H197" i="4"/>
  <c r="G157" i="4"/>
  <c r="C256" i="4"/>
  <c r="C228" i="4"/>
  <c r="M132" i="4"/>
  <c r="P132" i="4" s="1"/>
  <c r="M202" i="4"/>
  <c r="P202" i="4" s="1"/>
  <c r="C127" i="4"/>
  <c r="E124" i="4"/>
  <c r="L126" i="4"/>
  <c r="K199" i="4"/>
  <c r="J178" i="4"/>
  <c r="I172" i="4"/>
  <c r="M80" i="4"/>
  <c r="P80" i="4" s="1"/>
  <c r="C237" i="4"/>
  <c r="C279" i="4"/>
  <c r="C275" i="4"/>
  <c r="D60" i="4"/>
  <c r="D220" i="4"/>
  <c r="C186" i="4"/>
  <c r="E191" i="4"/>
  <c r="L134" i="4"/>
  <c r="K191" i="4"/>
  <c r="J175" i="4"/>
  <c r="I214" i="4"/>
  <c r="H176" i="4"/>
  <c r="M358" i="4"/>
  <c r="P358" i="4" s="1"/>
  <c r="M267" i="4"/>
  <c r="P267" i="4" s="1"/>
  <c r="M263" i="4"/>
  <c r="P263" i="4" s="1"/>
  <c r="E140" i="4"/>
  <c r="E112" i="4"/>
  <c r="D47" i="4"/>
  <c r="K82" i="4"/>
  <c r="M169" i="4"/>
  <c r="P169" i="4" s="1"/>
  <c r="J68" i="4"/>
  <c r="J188" i="4"/>
  <c r="I201" i="4"/>
  <c r="H154" i="4"/>
  <c r="G147" i="4"/>
  <c r="C364" i="4"/>
  <c r="C336" i="4"/>
  <c r="C78" i="4"/>
  <c r="N69" i="4"/>
  <c r="E111" i="4"/>
  <c r="L24" i="4"/>
  <c r="D156" i="4"/>
  <c r="L139" i="4"/>
  <c r="I48" i="4"/>
  <c r="I190" i="4"/>
  <c r="H142" i="4"/>
  <c r="G181" i="4"/>
  <c r="C306" i="4"/>
  <c r="C320" i="4"/>
  <c r="J61" i="4"/>
  <c r="C152" i="4"/>
  <c r="L38" i="4"/>
  <c r="F215" i="4"/>
  <c r="L104" i="4"/>
  <c r="L187" i="4"/>
  <c r="K135" i="4"/>
  <c r="J171" i="4"/>
  <c r="G37" i="4"/>
  <c r="G218" i="4"/>
  <c r="M331" i="4"/>
  <c r="P331" i="4" s="1"/>
  <c r="M349" i="4"/>
  <c r="P349" i="4" s="1"/>
  <c r="K59" i="4"/>
  <c r="C322" i="4"/>
  <c r="C290" i="4"/>
  <c r="L88" i="4"/>
  <c r="C139" i="4"/>
  <c r="D120" i="4"/>
  <c r="F197" i="4"/>
  <c r="C98" i="4"/>
  <c r="L124" i="4"/>
  <c r="K193" i="4"/>
  <c r="J157" i="4"/>
  <c r="N57" i="4"/>
  <c r="G203" i="4"/>
  <c r="M247" i="4"/>
  <c r="P247" i="4" s="1"/>
  <c r="M313" i="4"/>
  <c r="P313" i="4" s="1"/>
  <c r="H83" i="4"/>
  <c r="F174" i="4"/>
  <c r="L23" i="4"/>
  <c r="F128" i="4"/>
  <c r="E192" i="4"/>
  <c r="L199" i="4"/>
  <c r="K136" i="4"/>
  <c r="J172" i="4"/>
  <c r="I37" i="4"/>
  <c r="L39" i="4"/>
  <c r="C310" i="4"/>
  <c r="C266" i="4"/>
  <c r="I95" i="4"/>
  <c r="C175" i="4"/>
  <c r="N140" i="4"/>
  <c r="F123" i="4"/>
  <c r="E176" i="4"/>
  <c r="L201" i="4"/>
  <c r="K173" i="4"/>
  <c r="J209" i="4"/>
  <c r="D68" i="4"/>
  <c r="G41" i="4"/>
  <c r="M226" i="4"/>
  <c r="P226" i="4" s="1"/>
  <c r="M254" i="4"/>
  <c r="P254" i="4" s="1"/>
  <c r="N138" i="4"/>
  <c r="C26" i="4"/>
  <c r="M181" i="4"/>
  <c r="P181" i="4" s="1"/>
  <c r="C172" i="4"/>
  <c r="E202" i="4"/>
  <c r="L220" i="4"/>
  <c r="K150" i="4"/>
  <c r="J163" i="4"/>
  <c r="I143" i="4"/>
  <c r="L36" i="4"/>
  <c r="C309" i="4"/>
  <c r="C341" i="4"/>
  <c r="L47" i="4"/>
  <c r="G45" i="4"/>
  <c r="N189" i="4"/>
  <c r="F154" i="4"/>
  <c r="E153" i="4"/>
  <c r="L218" i="4"/>
  <c r="K219" i="4"/>
  <c r="J174" i="4"/>
  <c r="I151" i="4"/>
  <c r="H192" i="4"/>
  <c r="M238" i="4"/>
  <c r="P238" i="4" s="1"/>
  <c r="M291" i="4"/>
  <c r="P291" i="4" s="1"/>
  <c r="M287" i="4"/>
  <c r="P287" i="4" s="1"/>
  <c r="C211" i="4"/>
  <c r="M197" i="4"/>
  <c r="P197" i="4" s="1"/>
  <c r="F201" i="4"/>
  <c r="E152" i="4"/>
  <c r="L211" i="4"/>
  <c r="K161" i="4"/>
  <c r="J197" i="4"/>
  <c r="I129" i="4"/>
  <c r="M31" i="4"/>
  <c r="P31" i="4" s="1"/>
  <c r="M225" i="4"/>
  <c r="P225" i="4" s="1"/>
  <c r="M362" i="4"/>
  <c r="P362" i="4" s="1"/>
  <c r="E199" i="4"/>
  <c r="C208" i="4"/>
  <c r="M217" i="4"/>
  <c r="P217" i="4" s="1"/>
  <c r="C171" i="4"/>
  <c r="E216" i="4"/>
  <c r="L188" i="4"/>
  <c r="K201" i="4"/>
  <c r="J135" i="4"/>
  <c r="I209" i="4"/>
  <c r="H80" i="4"/>
  <c r="C358" i="4"/>
  <c r="C267" i="4"/>
  <c r="C263" i="4"/>
  <c r="M120" i="4"/>
  <c r="P120" i="4" s="1"/>
  <c r="N107" i="4"/>
  <c r="E195" i="4"/>
  <c r="F100" i="4"/>
  <c r="L85" i="4"/>
  <c r="K190" i="4"/>
  <c r="J177" i="4"/>
  <c r="I216" i="4"/>
  <c r="H185" i="4"/>
  <c r="G194" i="4"/>
  <c r="M283" i="4"/>
  <c r="P283" i="4" s="1"/>
  <c r="M319" i="4"/>
  <c r="P319" i="4" s="1"/>
  <c r="N102" i="4"/>
  <c r="L54" i="4"/>
  <c r="J102" i="4"/>
  <c r="I118" i="4"/>
  <c r="D173" i="4"/>
  <c r="L171" i="4"/>
  <c r="J47" i="4"/>
  <c r="I220" i="4"/>
  <c r="H170" i="4"/>
  <c r="G174" i="4"/>
  <c r="M352" i="4"/>
  <c r="P352" i="4" s="1"/>
  <c r="M324" i="4"/>
  <c r="P324" i="4" s="1"/>
  <c r="M86" i="4"/>
  <c r="P86" i="4" s="1"/>
  <c r="C169" i="4"/>
  <c r="C27" i="4"/>
  <c r="F221" i="4"/>
  <c r="E97" i="4"/>
  <c r="L136" i="4"/>
  <c r="K146" i="4"/>
  <c r="F88" i="4"/>
  <c r="H59" i="4"/>
  <c r="G141" i="4"/>
  <c r="C331" i="4"/>
  <c r="C349" i="4"/>
  <c r="M271" i="4"/>
  <c r="P271" i="4" s="1"/>
  <c r="M325" i="4"/>
  <c r="P325" i="4" s="1"/>
  <c r="I43" i="4"/>
  <c r="N151" i="4"/>
  <c r="J81" i="4"/>
  <c r="G81" i="4"/>
  <c r="G94" i="4"/>
  <c r="L186" i="4"/>
  <c r="K139" i="4"/>
  <c r="G47" i="4"/>
  <c r="H132" i="4"/>
  <c r="G182" i="4"/>
  <c r="C247" i="4"/>
  <c r="C313" i="4"/>
  <c r="N25" i="4"/>
  <c r="F159" i="4"/>
  <c r="M49" i="4"/>
  <c r="P49" i="4" s="1"/>
  <c r="F210" i="4"/>
  <c r="F103" i="4"/>
  <c r="L161" i="4"/>
  <c r="K198" i="4"/>
  <c r="J129" i="4"/>
  <c r="I41" i="4"/>
  <c r="G180" i="4"/>
  <c r="M235" i="4"/>
  <c r="P235" i="4" s="1"/>
  <c r="M301" i="4"/>
  <c r="P301" i="4" s="1"/>
  <c r="M107" i="4"/>
  <c r="P107" i="4" s="1"/>
  <c r="C209" i="4"/>
  <c r="N118" i="4"/>
  <c r="F139" i="4"/>
  <c r="N103" i="4"/>
  <c r="L216" i="4"/>
  <c r="K215" i="4"/>
  <c r="J169" i="4"/>
  <c r="J117" i="4"/>
  <c r="G212" i="4"/>
  <c r="C226" i="4"/>
  <c r="C254" i="4"/>
  <c r="C215" i="4"/>
  <c r="C219" i="4"/>
  <c r="M151" i="4"/>
  <c r="P151" i="4" s="1"/>
  <c r="F156" i="4"/>
  <c r="E193" i="4"/>
  <c r="L138" i="4"/>
  <c r="K217" i="4"/>
  <c r="J147" i="4"/>
  <c r="I221" i="4"/>
  <c r="L25" i="4"/>
  <c r="M369" i="4"/>
  <c r="P369" i="4" s="1"/>
  <c r="M242" i="4"/>
  <c r="P242" i="4" s="1"/>
  <c r="M177" i="4"/>
  <c r="P177" i="4" s="1"/>
  <c r="M100" i="4"/>
  <c r="P100" i="4" s="1"/>
  <c r="D149" i="4"/>
  <c r="F222" i="4"/>
  <c r="E130" i="4"/>
  <c r="L141" i="4"/>
  <c r="K166" i="4"/>
  <c r="J140" i="4"/>
  <c r="I159" i="4"/>
  <c r="F37" i="4"/>
  <c r="C238" i="4"/>
  <c r="C291" i="4"/>
  <c r="C287" i="4"/>
  <c r="C179" i="4"/>
  <c r="N144" i="4"/>
  <c r="F163" i="4"/>
  <c r="E129" i="4"/>
  <c r="L149" i="4"/>
  <c r="K179" i="4"/>
  <c r="J192" i="4"/>
  <c r="E50" i="4"/>
  <c r="G132" i="4"/>
  <c r="C225" i="4"/>
  <c r="C362" i="4"/>
  <c r="N159" i="4"/>
  <c r="C170" i="4"/>
  <c r="M144" i="4"/>
  <c r="P144" i="4" s="1"/>
  <c r="F206" i="4"/>
  <c r="E147" i="4"/>
  <c r="L177" i="4"/>
  <c r="K216" i="4"/>
  <c r="J146" i="4"/>
  <c r="I169" i="4"/>
  <c r="G39" i="4"/>
  <c r="M285" i="4"/>
  <c r="P285" i="4" s="1"/>
  <c r="M350" i="4"/>
  <c r="P350" i="4" s="1"/>
  <c r="J36" i="4"/>
  <c r="G93" i="4"/>
  <c r="D84" i="4"/>
  <c r="F133" i="4"/>
  <c r="E218" i="4"/>
  <c r="M67" i="4"/>
  <c r="P67" i="4" s="1"/>
  <c r="K220" i="4"/>
  <c r="J168" i="4"/>
  <c r="I163" i="4"/>
  <c r="H144" i="4"/>
  <c r="F23" i="4"/>
  <c r="C283" i="4"/>
  <c r="C319" i="4"/>
  <c r="D204" i="4"/>
  <c r="L98" i="4"/>
  <c r="J51" i="4"/>
  <c r="N106" i="4"/>
  <c r="D143" i="4"/>
  <c r="H86" i="4"/>
  <c r="J203" i="4"/>
  <c r="I138" i="4"/>
  <c r="H202" i="4"/>
  <c r="G140" i="4"/>
  <c r="C352" i="4"/>
  <c r="C324" i="4"/>
  <c r="K46" i="4"/>
  <c r="G88" i="4"/>
  <c r="F93" i="4"/>
  <c r="H61" i="4"/>
  <c r="D196" i="4"/>
  <c r="L198" i="4"/>
  <c r="K127" i="4"/>
  <c r="M102" i="4"/>
  <c r="P102" i="4" s="1"/>
  <c r="H212" i="4"/>
  <c r="G213" i="4"/>
  <c r="M294" i="4"/>
  <c r="P294" i="4" s="1"/>
  <c r="M272" i="4"/>
  <c r="P27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<sst xmlns="http://schemas.openxmlformats.org/spreadsheetml/2006/main" count="90" uniqueCount="88">
  <si>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</si>
  <si>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</si>
  <si>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</si>
  <si>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</si>
  <si>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</si>
  <si>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</si>
  <si>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</si>
  <si>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</si>
  <si>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</si>
  <si>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</si>
  <si>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</si>
  <si>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</si>
  <si>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</si>
  <si>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</si>
  <si>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</si>
  <si>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</si>
  <si>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</si>
  <si>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</si>
  <si>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</si>
  <si>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</si>
  <si>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</si>
  <si>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</si>
  <si>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</si>
  <si>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</si>
  <si>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</si>
  <si>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</si>
  <si>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</si>
  <si>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</si>
  <si>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</si>
  <si>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</si>
  <si>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</si>
  <si>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</si>
  <si>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</si>
  <si>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</si>
  <si>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</si>
  <si>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</si>
  <si>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</si>
  <si>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</si>
  <si>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</si>
  <si>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</si>
  <si>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</si>
  <si>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</si>
  <si>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</si>
  <si>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</si>
  <si>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</si>
  <si>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</si>
  <si>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</si>
  <si>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</si>
  <si>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</si>
  <si>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</si>
  <si>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</si>
  <si>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</si>
  <si>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</si>
  <si>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</si>
  <si>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</si>
  <si>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</si>
  <si>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</si>
  <si>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</si>
  <si>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</si>
  <si>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</si>
  <si>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</si>
  <si>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</si>
  <si>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</si>
  <si>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</si>
  <si>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</si>
  <si>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</si>
  <si>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</si>
  <si>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</si>
  <si>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</si>
  <si>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</si>
  <si>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</si>
  <si>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</si>
  <si>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</si>
  <si>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</si>
  <si>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</si>
  <si>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</si>
  <si>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</si>
  <si>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</si>
  <si>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</si>
  <si>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</si>
  <si>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</si>
  <si>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Log Pressure</t>
  </si>
  <si>
    <t>St_REFPROP</t>
  </si>
  <si>
    <t>Ht_REFPROP</t>
  </si>
  <si>
    <t>Delta S</t>
  </si>
  <si>
    <t>H at Triple Point</t>
  </si>
  <si>
    <t>Delta H</t>
  </si>
  <si>
    <t>Melting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</si>
</sst>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0" fillId="0" borderId="2" xfId="0" applyBorder="1"/>
    <xf numFmtId="0" fontId="2" fillId="2" borderId="2" xfId="1" applyBorder="1"/>
    <xf numFmtId="0" fontId="2" fillId="0" borderId="0" xfId="1" applyFill="1" applyBorder="1"/>
    <xf numFmtId="0" fontId="3" fillId="3" borderId="1" xfId="2" applyBorder="1"/>
  </cellXfs>
  <cellStyles count="3">
    <cellStyle name="Good" xfId="2" builtinId="26"/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Sweep!$C$23:$C$372</c:f>
              <c:numCache>
                <c:formatCode>General</c:formatCode>
                <c:ptCount val="350"/>
                <c:pt idx="0">
                  <c:v>0</c:v>
                </c:pt>
                <c:pt idx="1">
                  <c:v>34.53000282184361</c:v>
                </c:pt>
                <c:pt idx="2">
                  <c:v>34.53003748106461</c:v>
                </c:pt>
                <c:pt idx="3">
                  <c:v>34.530177985898604</c:v>
                </c:pt>
                <c:pt idx="4">
                  <c:v>34.530544459829585</c:v>
                </c:pt>
                <c:pt idx="5">
                  <c:v>34.531300074086325</c:v>
                </c:pt>
                <c:pt idx="6">
                  <c:v>34.532635776144254</c:v>
                </c:pt>
                <c:pt idx="7">
                  <c:v>34.534739787284657</c:v>
                </c:pt>
                <c:pt idx="8">
                  <c:v>34.53776653735445</c:v>
                </c:pt>
                <c:pt idx="9">
                  <c:v>34.541819559795776</c:v>
                </c:pt>
                <c:pt idx="10">
                  <c:v>34.546950006692036</c:v>
                </c:pt>
                <c:pt idx="11">
                  <c:v>34.553164836163276</c:v>
                </c:pt>
                <c:pt idx="12">
                  <c:v>34.560438412355168</c:v>
                </c:pt>
                <c:pt idx="13">
                  <c:v>34.56872365509772</c:v>
                </c:pt>
                <c:pt idx="14">
                  <c:v>34.577961099316759</c:v>
                </c:pt>
                <c:pt idx="15">
                  <c:v>34.588085553359932</c:v>
                </c:pt>
                <c:pt idx="16">
                  <c:v>34.599030645700793</c:v>
                </c:pt>
                <c:pt idx="17">
                  <c:v>34.610731729628469</c:v>
                </c:pt>
                <c:pt idx="18">
                  <c:v>34.623127601008797</c:v>
                </c:pt>
                <c:pt idx="19">
                  <c:v>34.63616140133913</c:v>
                </c:pt>
                <c:pt idx="20">
                  <c:v>34.649780984323797</c:v>
                </c:pt>
                <c:pt idx="21">
                  <c:v>34.663938944548995</c:v>
                </c:pt>
                <c:pt idx="22">
                  <c:v>34.678592443687926</c:v>
                </c:pt>
                <c:pt idx="23">
                  <c:v>34.69370292463416</c:v>
                </c:pt>
                <c:pt idx="24">
                  <c:v>34.709235772017834</c:v>
                </c:pt>
                <c:pt idx="25">
                  <c:v>34.725159955855261</c:v>
                </c:pt>
                <c:pt idx="26">
                  <c:v>34.741447680567191</c:v>
                </c:pt>
                <c:pt idx="27">
                  <c:v>34.758074052077831</c:v>
                </c:pt>
                <c:pt idx="28">
                  <c:v>34.775016769576595</c:v>
                </c:pt>
                <c:pt idx="29">
                  <c:v>34.792255844663323</c:v>
                </c:pt>
                <c:pt idx="30">
                  <c:v>34.809773348239204</c:v>
                </c:pt>
                <c:pt idx="31">
                  <c:v>34.827553184124199</c:v>
                </c:pt>
                <c:pt idx="32">
                  <c:v>34.845580887631669</c:v>
                </c:pt>
                <c:pt idx="33">
                  <c:v>34.863843446978372</c:v>
                </c:pt>
                <c:pt idx="34">
                  <c:v>34.882329145302414</c:v>
                </c:pt>
                <c:pt idx="35">
                  <c:v>34.901027421099045</c:v>
                </c:pt>
                <c:pt idx="36">
                  <c:v>34.919928745012122</c:v>
                </c:pt>
                <c:pt idx="37">
                  <c:v>34.939024511077328</c:v>
                </c:pt>
                <c:pt idx="38">
                  <c:v>34.958306940697732</c:v>
                </c:pt>
                <c:pt idx="39">
                  <c:v>34.97776899781271</c:v>
                </c:pt>
                <c:pt idx="40">
                  <c:v>34.997404313895025</c:v>
                </c:pt>
                <c:pt idx="41">
                  <c:v>35.017207121572177</c:v>
                </c:pt>
                <c:pt idx="42">
                  <c:v>35.037172195814861</c:v>
                </c:pt>
                <c:pt idx="43">
                  <c:v>35.057294801766375</c:v>
                </c:pt>
                <c:pt idx="44">
                  <c:v>35.077570648403636</c:v>
                </c:pt>
                <c:pt idx="45">
                  <c:v>35.097995847322984</c:v>
                </c:pt>
                <c:pt idx="46">
                  <c:v>35.11856687603408</c:v>
                </c:pt>
                <c:pt idx="47">
                  <c:v>35.139280545223635</c:v>
                </c:pt>
                <c:pt idx="48">
                  <c:v>35.160133969519535</c:v>
                </c:pt>
                <c:pt idx="49">
                  <c:v>35.181124541345099</c:v>
                </c:pt>
                <c:pt idx="50">
                  <c:v>35.202249907505426</c:v>
                </c:pt>
                <c:pt idx="51">
                  <c:v>35.223507948192378</c:v>
                </c:pt>
                <c:pt idx="52">
                  <c:v>35.244896758134146</c:v>
                </c:pt>
                <c:pt idx="53">
                  <c:v>35.266414629648985</c:v>
                </c:pt>
                <c:pt idx="54">
                  <c:v>35.288060037391347</c:v>
                </c:pt>
                <c:pt idx="55">
                  <c:v>35.309831624610226</c:v>
                </c:pt>
                <c:pt idx="56">
                  <c:v>35.331728190746887</c:v>
                </c:pt>
                <c:pt idx="57">
                  <c:v>35.353748680243456</c:v>
                </c:pt>
                <c:pt idx="58">
                  <c:v>35.375892172411383</c:v>
                </c:pt>
                <c:pt idx="59">
                  <c:v>35.398157872282738</c:v>
                </c:pt>
                <c:pt idx="60">
                  <c:v>35.420545102315707</c:v>
                </c:pt>
                <c:pt idx="61">
                  <c:v>35.443053294880642</c:v>
                </c:pt>
                <c:pt idx="62">
                  <c:v>35.465681985446658</c:v>
                </c:pt>
                <c:pt idx="63">
                  <c:v>35.488430806400125</c:v>
                </c:pt>
                <c:pt idx="64">
                  <c:v>35.511299481433845</c:v>
                </c:pt>
                <c:pt idx="65">
                  <c:v>35.534287820452775</c:v>
                </c:pt>
                <c:pt idx="66">
                  <c:v>35.557395714947766</c:v>
                </c:pt>
                <c:pt idx="67">
                  <c:v>35.580623133794155</c:v>
                </c:pt>
                <c:pt idx="68">
                  <c:v>35.603970119436781</c:v>
                </c:pt>
                <c:pt idx="69">
                  <c:v>35.627436784426855</c:v>
                </c:pt>
                <c:pt idx="70">
                  <c:v>35.651023308279989</c:v>
                </c:pt>
                <c:pt idx="71">
                  <c:v>35.674729934627671</c:v>
                </c:pt>
                <c:pt idx="72">
                  <c:v>35.698556968637597</c:v>
                </c:pt>
                <c:pt idx="73">
                  <c:v>35.722504774680495</c:v>
                </c:pt>
                <c:pt idx="74">
                  <c:v>35.746573774223769</c:v>
                </c:pt>
                <c:pt idx="75">
                  <c:v>35.770764443933778</c:v>
                </c:pt>
                <c:pt idx="76">
                  <c:v>35.795077313970985</c:v>
                </c:pt>
                <c:pt idx="77">
                  <c:v>35.819512966463307</c:v>
                </c:pt>
                <c:pt idx="78">
                  <c:v>35.844072034144702</c:v>
                </c:pt>
                <c:pt idx="79">
                  <c:v>35.868755199147472</c:v>
                </c:pt>
                <c:pt idx="80">
                  <c:v>35.893563191937538</c:v>
                </c:pt>
                <c:pt idx="81">
                  <c:v>35.918496790383429</c:v>
                </c:pt>
                <c:pt idx="82">
                  <c:v>35.94355681895037</c:v>
                </c:pt>
                <c:pt idx="83">
                  <c:v>35.968744148011915</c:v>
                </c:pt>
                <c:pt idx="84">
                  <c:v>35.994059693272355</c:v>
                </c:pt>
                <c:pt idx="85">
                  <c:v>36.019504415293575</c:v>
                </c:pt>
                <c:pt idx="86">
                  <c:v>36.045079319121129</c:v>
                </c:pt>
                <c:pt idx="87">
                  <c:v>36.070785454004472</c:v>
                </c:pt>
                <c:pt idx="88">
                  <c:v>36.096623913207182</c:v>
                </c:pt>
                <c:pt idx="89">
                  <c:v>36.122595833903155</c:v>
                </c:pt>
                <c:pt idx="90">
                  <c:v>36.148702397135246</c:v>
                </c:pt>
                <c:pt idx="91">
                  <c:v>36.174944827911709</c:v>
                </c:pt>
                <c:pt idx="92">
                  <c:v>36.201324395395908</c:v>
                </c:pt>
                <c:pt idx="93">
                  <c:v>36.227842412931558</c:v>
                </c:pt>
                <c:pt idx="94">
                  <c:v>36.254500238486315</c:v>
                </c:pt>
                <c:pt idx="95">
                  <c:v>36.281299274961619</c:v>
                </c:pt>
                <c:pt idx="96">
                  <c:v>36.308240970618328</c:v>
                </c:pt>
                <c:pt idx="97">
                  <c:v>36.335326819571762</c:v>
                </c:pt>
                <c:pt idx="98">
                  <c:v>36.362558362355202</c:v>
                </c:pt>
                <c:pt idx="99">
                  <c:v>36.389937186551599</c:v>
                </c:pt>
                <c:pt idx="100">
                  <c:v>36.417464927493135</c:v>
                </c:pt>
                <c:pt idx="101">
                  <c:v>36.445143269028655</c:v>
                </c:pt>
                <c:pt idx="102">
                  <c:v>36.472973944359182</c:v>
                </c:pt>
                <c:pt idx="103">
                  <c:v>36.500958736942039</c:v>
                </c:pt>
                <c:pt idx="104">
                  <c:v>36.529099481464094</c:v>
                </c:pt>
                <c:pt idx="105">
                  <c:v>36.557398064884978</c:v>
                </c:pt>
                <c:pt idx="106">
                  <c:v>36.585856427551441</c:v>
                </c:pt>
                <c:pt idx="107">
                  <c:v>36.614476564383949</c:v>
                </c:pt>
                <c:pt idx="108">
                  <c:v>36.643260526136935</c:v>
                </c:pt>
                <c:pt idx="109">
                  <c:v>36.672210420734437</c:v>
                </c:pt>
                <c:pt idx="110">
                  <c:v>36.70132841468282</c:v>
                </c:pt>
                <c:pt idx="111">
                  <c:v>36.730616734562602</c:v>
                </c:pt>
                <c:pt idx="112">
                  <c:v>36.760077668601532</c:v>
                </c:pt>
                <c:pt idx="113">
                  <c:v>36.789713568331337</c:v>
                </c:pt>
                <c:pt idx="114">
                  <c:v>36.819526850330618</c:v>
                </c:pt>
                <c:pt idx="115">
                  <c:v>36.849519998056671</c:v>
                </c:pt>
                <c:pt idx="116">
                  <c:v>36.87969556376904</c:v>
                </c:pt>
                <c:pt idx="117">
                  <c:v>36.910056170548067</c:v>
                </c:pt>
                <c:pt idx="118">
                  <c:v>36.940604514411532</c:v>
                </c:pt>
                <c:pt idx="119">
                  <c:v>36.971343366532913</c:v>
                </c:pt>
                <c:pt idx="120">
                  <c:v>37.00227557556483</c:v>
                </c:pt>
                <c:pt idx="121">
                  <c:v>37.033404070071477</c:v>
                </c:pt>
                <c:pt idx="122">
                  <c:v>37.064731861073916</c:v>
                </c:pt>
                <c:pt idx="123">
                  <c:v>37.096262044712248</c:v>
                </c:pt>
                <c:pt idx="124">
                  <c:v>37.127997805028912</c:v>
                </c:pt>
                <c:pt idx="125">
                  <c:v>37.15994241687725</c:v>
                </c:pt>
                <c:pt idx="126">
                  <c:v>37.1920992489597</c:v>
                </c:pt>
                <c:pt idx="127">
                  <c:v>37.224471766999862</c:v>
                </c:pt>
                <c:pt idx="128">
                  <c:v>37.257063537052794</c:v>
                </c:pt>
                <c:pt idx="129">
                  <c:v>37.289878228957619</c:v>
                </c:pt>
                <c:pt idx="130">
                  <c:v>37.3229196199364</c:v>
                </c:pt>
                <c:pt idx="131">
                  <c:v>37.356191598343088</c:v>
                </c:pt>
                <c:pt idx="132">
                  <c:v>37.389698167565541</c:v>
                </c:pt>
                <c:pt idx="133">
                  <c:v>37.423443450083447</c:v>
                </c:pt>
                <c:pt idx="134">
                  <c:v>37.457431691683801</c:v>
                </c:pt>
                <c:pt idx="135">
                  <c:v>37.491667265834764</c:v>
                </c:pt>
                <c:pt idx="136">
                  <c:v>37.526154678216976</c:v>
                </c:pt>
                <c:pt idx="137">
                  <c:v>37.560898571409815</c:v>
                </c:pt>
                <c:pt idx="138">
                  <c:v>37.595903729727482</c:v>
                </c:pt>
                <c:pt idx="139">
                  <c:v>37.631175084196535</c:v>
                </c:pt>
                <c:pt idx="140">
                  <c:v>37.666717717662529</c:v>
                </c:pt>
                <c:pt idx="141">
                  <c:v>37.702536870007904</c:v>
                </c:pt>
                <c:pt idx="142">
                  <c:v>37.738637942802676</c:v>
                </c:pt>
                <c:pt idx="143">
                  <c:v>37.775026507290882</c:v>
                </c:pt>
                <c:pt idx="144">
                  <c:v>37.811708305787455</c:v>
                </c:pt>
                <c:pt idx="145">
                  <c:v>37.848689259646193</c:v>
                </c:pt>
                <c:pt idx="146">
                  <c:v>37.885975473760567</c:v>
                </c:pt>
                <c:pt idx="147">
                  <c:v>37.923573241482458</c:v>
                </c:pt>
                <c:pt idx="148">
                  <c:v>37.961489049137562</c:v>
                </c:pt>
                <c:pt idx="149">
                  <c:v>37.999729579929337</c:v>
                </c:pt>
                <c:pt idx="150">
                  <c:v>38.038301716942748</c:v>
                </c:pt>
                <c:pt idx="151">
                  <c:v>38.077212544841636</c:v>
                </c:pt>
                <c:pt idx="152">
                  <c:v>38.116469349674851</c:v>
                </c:pt>
                <c:pt idx="153">
                  <c:v>38.15607961592589</c:v>
                </c:pt>
                <c:pt idx="154">
                  <c:v>38.196051019479306</c:v>
                </c:pt>
                <c:pt idx="155">
                  <c:v>38.236391414373969</c:v>
                </c:pt>
                <c:pt idx="156">
                  <c:v>38.277108809712857</c:v>
                </c:pt>
                <c:pt idx="157">
                  <c:v>38.318211330027943</c:v>
                </c:pt>
                <c:pt idx="158">
                  <c:v>38.359707145296646</c:v>
                </c:pt>
                <c:pt idx="159">
                  <c:v>38.401604337272346</c:v>
                </c:pt>
                <c:pt idx="160">
                  <c:v>38.443910598133144</c:v>
                </c:pt>
                <c:pt idx="161">
                  <c:v>38.48663220450306</c:v>
                </c:pt>
                <c:pt idx="162">
                  <c:v>38.479402137557621</c:v>
                </c:pt>
                <c:pt idx="163">
                  <c:v>38.457352617250223</c:v>
                </c:pt>
                <c:pt idx="164">
                  <c:v>38.436512231186164</c:v>
                </c:pt>
                <c:pt idx="165">
                  <c:v>38.415973155592461</c:v>
                </c:pt>
                <c:pt idx="166">
                  <c:v>38.395464172717951</c:v>
                </c:pt>
                <c:pt idx="167">
                  <c:v>38.374876644907758</c:v>
                </c:pt>
                <c:pt idx="168">
                  <c:v>38.3541628167577</c:v>
                </c:pt>
                <c:pt idx="169">
                  <c:v>38.333302283093765</c:v>
                </c:pt>
                <c:pt idx="170">
                  <c:v>38.312288275595016</c:v>
                </c:pt>
                <c:pt idx="171">
                  <c:v>38.291121254845876</c:v>
                </c:pt>
                <c:pt idx="172">
                  <c:v>38.269805632687927</c:v>
                </c:pt>
                <c:pt idx="173">
                  <c:v>38.248347984581855</c:v>
                </c:pt>
                <c:pt idx="174">
                  <c:v>38.226756028494307</c:v>
                </c:pt>
                <c:pt idx="175">
                  <c:v>38.205038022266429</c:v>
                </c:pt>
                <c:pt idx="176">
                  <c:v>38.183202400322415</c:v>
                </c:pt>
                <c:pt idx="177">
                  <c:v>38.16125755238815</c:v>
                </c:pt>
                <c:pt idx="178">
                  <c:v>38.139211688956244</c:v>
                </c:pt>
                <c:pt idx="179">
                  <c:v>38.117072760954791</c:v>
                </c:pt>
                <c:pt idx="180">
                  <c:v>38.094848413866465</c:v>
                </c:pt>
                <c:pt idx="181">
                  <c:v>38.072545963999374</c:v>
                </c:pt>
                <c:pt idx="182">
                  <c:v>38.050172389088551</c:v>
                </c:pt>
                <c:pt idx="183">
                  <c:v>38.027734328166368</c:v>
                </c:pt>
                <c:pt idx="184">
                  <c:v>38.005238087378935</c:v>
                </c:pt>
                <c:pt idx="185">
                  <c:v>37.982689649542856</c:v>
                </c:pt>
                <c:pt idx="186">
                  <c:v>37.960094685966311</c:v>
                </c:pt>
                <c:pt idx="187">
                  <c:v>37.937458569542066</c:v>
                </c:pt>
                <c:pt idx="188">
                  <c:v>37.914786388444668</c:v>
                </c:pt>
                <c:pt idx="189">
                  <c:v>37.892082959983597</c:v>
                </c:pt>
                <c:pt idx="190">
                  <c:v>37.869352844314776</c:v>
                </c:pt>
                <c:pt idx="191">
                  <c:v>37.846600357815895</c:v>
                </c:pt>
                <c:pt idx="192">
                  <c:v>37.823829586002368</c:v>
                </c:pt>
                <c:pt idx="193">
                  <c:v>37.801044395910345</c:v>
                </c:pt>
                <c:pt idx="194">
                  <c:v>37.778248447906883</c:v>
                </c:pt>
                <c:pt idx="195">
                  <c:v>37.755445206911169</c:v>
                </c:pt>
                <c:pt idx="196">
                  <c:v>37.732637953026625</c:v>
                </c:pt>
                <c:pt idx="197">
                  <c:v>37.709829791594316</c:v>
                </c:pt>
                <c:pt idx="198">
                  <c:v>37.687023662685405</c:v>
                </c:pt>
                <c:pt idx="199">
                  <c:v>37.664222350054558</c:v>
                </c:pt>
                <c:pt idx="200">
                  <c:v>37.641428489578971</c:v>
                </c:pt>
                <c:pt idx="201">
                  <c:v>37.618644577208968</c:v>
                </c:pt>
                <c:pt idx="202">
                  <c:v>37.595872976456377</c:v>
                </c:pt>
                <c:pt idx="203">
                  <c:v>37.573115925446849</c:v>
                </c:pt>
                <c:pt idx="204">
                  <c:v>37.550375543561643</c:v>
                </c:pt>
                <c:pt idx="205">
                  <c:v>37.527653837693229</c:v>
                </c:pt>
                <c:pt idx="206">
                  <c:v>37.504952708138397</c:v>
                </c:pt>
                <c:pt idx="207">
                  <c:v>37.482273954151047</c:v>
                </c:pt>
                <c:pt idx="208">
                  <c:v>37.459619279175769</c:v>
                </c:pt>
                <c:pt idx="209">
                  <c:v>37.436990295782188</c:v>
                </c:pt>
                <c:pt idx="210">
                  <c:v>37.41438853031859</c:v>
                </c:pt>
                <c:pt idx="211">
                  <c:v>37.39181542730249</c:v>
                </c:pt>
                <c:pt idx="212">
                  <c:v>37.369272353564504</c:v>
                </c:pt>
                <c:pt idx="213">
                  <c:v>37.346760602160813</c:v>
                </c:pt>
                <c:pt idx="214">
                  <c:v>37.324281396068642</c:v>
                </c:pt>
                <c:pt idx="215">
                  <c:v>37.301835891678088</c:v>
                </c:pt>
                <c:pt idx="216">
                  <c:v>37.279425182092858</c:v>
                </c:pt>
                <c:pt idx="217">
                  <c:v>37.257050300251535</c:v>
                </c:pt>
                <c:pt idx="218">
                  <c:v>37.234712221880308</c:v>
                </c:pt>
                <c:pt idx="219">
                  <c:v>37.212411868287298</c:v>
                </c:pt>
                <c:pt idx="220">
                  <c:v>37.190150109008101</c:v>
                </c:pt>
                <c:pt idx="221">
                  <c:v>37.16792776431123</c:v>
                </c:pt>
                <c:pt idx="222">
                  <c:v>37.145745607571918</c:v>
                </c:pt>
                <c:pt idx="223">
                  <c:v>37.123604367521878</c:v>
                </c:pt>
                <c:pt idx="224">
                  <c:v>37.101504730382452</c:v>
                </c:pt>
                <c:pt idx="225">
                  <c:v>37.079447341887658</c:v>
                </c:pt>
                <c:pt idx="226">
                  <c:v>37.057432809203732</c:v>
                </c:pt>
                <c:pt idx="227">
                  <c:v>37.035461702750872</c:v>
                </c:pt>
                <c:pt idx="228">
                  <c:v>37.013534557932886</c:v>
                </c:pt>
                <c:pt idx="229">
                  <c:v>36.991651876779855</c:v>
                </c:pt>
                <c:pt idx="230">
                  <c:v>36.969814129508734</c:v>
                </c:pt>
                <c:pt idx="231">
                  <c:v>36.948021756006362</c:v>
                </c:pt>
                <c:pt idx="232">
                  <c:v>36.926275167239304</c:v>
                </c:pt>
                <c:pt idx="233">
                  <c:v>36.904574746594434</c:v>
                </c:pt>
                <c:pt idx="234">
                  <c:v>36.882920851154054</c:v>
                </c:pt>
                <c:pt idx="235">
                  <c:v>36.861313812909138</c:v>
                </c:pt>
                <c:pt idx="236">
                  <c:v>36.839753939913948</c:v>
                </c:pt>
                <c:pt idx="237">
                  <c:v>36.818241517385225</c:v>
                </c:pt>
                <c:pt idx="238">
                  <c:v>36.796776808748888</c:v>
                </c:pt>
                <c:pt idx="239">
                  <c:v>36.775360056636941</c:v>
                </c:pt>
                <c:pt idx="240">
                  <c:v>36.753991483837268</c:v>
                </c:pt>
                <c:pt idx="241">
                  <c:v>36.732671294198795</c:v>
                </c:pt>
                <c:pt idx="242">
                  <c:v>36.711399673494199</c:v>
                </c:pt>
                <c:pt idx="243">
                  <c:v>36.690176790242454</c:v>
                </c:pt>
                <c:pt idx="244">
                  <c:v>36.669002796493324</c:v>
                </c:pt>
                <c:pt idx="245">
                  <c:v>36.647877828575503</c:v>
                </c:pt>
                <c:pt idx="246">
                  <c:v>36.626802007810539</c:v>
                </c:pt>
                <c:pt idx="247">
                  <c:v>36.605775441193991</c:v>
                </c:pt>
                <c:pt idx="248">
                  <c:v>36.584798222045691</c:v>
                </c:pt>
                <c:pt idx="249">
                  <c:v>36.563870430630409</c:v>
                </c:pt>
                <c:pt idx="250">
                  <c:v>36.542992134750591</c:v>
                </c:pt>
                <c:pt idx="251">
                  <c:v>36.522163390312421</c:v>
                </c:pt>
                <c:pt idx="252">
                  <c:v>36.501384241866532</c:v>
                </c:pt>
                <c:pt idx="253">
                  <c:v>36.480654723124616</c:v>
                </c:pt>
                <c:pt idx="254">
                  <c:v>36.459974857453112</c:v>
                </c:pt>
                <c:pt idx="255">
                  <c:v>36.439344658344979</c:v>
                </c:pt>
                <c:pt idx="256">
                  <c:v>36.418764129870745</c:v>
                </c:pt>
                <c:pt idx="257">
                  <c:v>36.398233267109724</c:v>
                </c:pt>
                <c:pt idx="258">
                  <c:v>36.377752056562315</c:v>
                </c:pt>
                <c:pt idx="259">
                  <c:v>36.357320476544373</c:v>
                </c:pt>
                <c:pt idx="260">
                  <c:v>36.336938497564439</c:v>
                </c:pt>
                <c:pt idx="261">
                  <c:v>36.31660608268453</c:v>
                </c:pt>
                <c:pt idx="262">
                  <c:v>36.29632318786549</c:v>
                </c:pt>
                <c:pt idx="263">
                  <c:v>36.276089762297381</c:v>
                </c:pt>
                <c:pt idx="264">
                  <c:v>36.255905748715698</c:v>
                </c:pt>
                <c:pt idx="265">
                  <c:v>36.235771083704066</c:v>
                </c:pt>
                <c:pt idx="266">
                  <c:v>36.215685697984057</c:v>
                </c:pt>
                <c:pt idx="267">
                  <c:v>36.195649516692562</c:v>
                </c:pt>
                <c:pt idx="268">
                  <c:v>36.175662459647562</c:v>
                </c:pt>
                <c:pt idx="269">
                  <c:v>36.155724441602473</c:v>
                </c:pt>
                <c:pt idx="270">
                  <c:v>36.135835372489858</c:v>
                </c:pt>
                <c:pt idx="271">
                  <c:v>36.115995157654872</c:v>
                </c:pt>
                <c:pt idx="272">
                  <c:v>36.096203698078817</c:v>
                </c:pt>
                <c:pt idx="273">
                  <c:v>36.076460890593417</c:v>
                </c:pt>
                <c:pt idx="274">
                  <c:v>36.056766628086088</c:v>
                </c:pt>
                <c:pt idx="275">
                  <c:v>36.037120799696623</c:v>
                </c:pt>
                <c:pt idx="276">
                  <c:v>36.017523291005688</c:v>
                </c:pt>
                <c:pt idx="277">
                  <c:v>35.997973984215527</c:v>
                </c:pt>
                <c:pt idx="278">
                  <c:v>35.978472758323058</c:v>
                </c:pt>
                <c:pt idx="279">
                  <c:v>35.959019489285929</c:v>
                </c:pt>
                <c:pt idx="280">
                  <c:v>35.939614050181582</c:v>
                </c:pt>
                <c:pt idx="281">
                  <c:v>35.920256311359829</c:v>
                </c:pt>
                <c:pt idx="282">
                  <c:v>35.900946140589078</c:v>
                </c:pt>
                <c:pt idx="283">
                  <c:v>35.88168340319654</c:v>
                </c:pt>
                <c:pt idx="284">
                  <c:v>35.86246796220275</c:v>
                </c:pt>
                <c:pt idx="285">
                  <c:v>35.843299678450379</c:v>
                </c:pt>
                <c:pt idx="286">
                  <c:v>35.824178410727953</c:v>
                </c:pt>
                <c:pt idx="287">
                  <c:v>35.805104015888354</c:v>
                </c:pt>
                <c:pt idx="288">
                  <c:v>35.786076348962524</c:v>
                </c:pt>
                <c:pt idx="289">
                  <c:v>35.767095263268509</c:v>
                </c:pt>
                <c:pt idx="290">
                  <c:v>35.748160610516003</c:v>
                </c:pt>
                <c:pt idx="291">
                  <c:v>35.729272240906631</c:v>
                </c:pt>
                <c:pt idx="292">
                  <c:v>35.710430003230151</c:v>
                </c:pt>
                <c:pt idx="293">
                  <c:v>35.691633744956683</c:v>
                </c:pt>
                <c:pt idx="294">
                  <c:v>35.672883312325169</c:v>
                </c:pt>
                <c:pt idx="295">
                  <c:v>35.654178550428227</c:v>
                </c:pt>
                <c:pt idx="296">
                  <c:v>35.635519303293563</c:v>
                </c:pt>
                <c:pt idx="297">
                  <c:v>35.616905413961938</c:v>
                </c:pt>
                <c:pt idx="298">
                  <c:v>35.598336724562088</c:v>
                </c:pt>
                <c:pt idx="299">
                  <c:v>35.579813076382472</c:v>
                </c:pt>
                <c:pt idx="300">
                  <c:v>35.561334309940094</c:v>
                </c:pt>
                <c:pt idx="301">
                  <c:v>35.542900265046548</c:v>
                </c:pt>
                <c:pt idx="302">
                  <c:v>35.524510780871282</c:v>
                </c:pt>
                <c:pt idx="303">
                  <c:v>35.506165696002313</c:v>
                </c:pt>
                <c:pt idx="304">
                  <c:v>35.487864848504415</c:v>
                </c:pt>
                <c:pt idx="305">
                  <c:v>35.469608075974904</c:v>
                </c:pt>
                <c:pt idx="306">
                  <c:v>35.451395215597117</c:v>
                </c:pt>
                <c:pt idx="307">
                  <c:v>35.433226104191718</c:v>
                </c:pt>
                <c:pt idx="308">
                  <c:v>35.415100578265815</c:v>
                </c:pt>
                <c:pt idx="309">
                  <c:v>35.397018474060069</c:v>
                </c:pt>
                <c:pt idx="310">
                  <c:v>35.378979627593829</c:v>
                </c:pt>
                <c:pt idx="311">
                  <c:v>35.360983874708403</c:v>
                </c:pt>
                <c:pt idx="312">
                  <c:v>35.34303105110849</c:v>
                </c:pt>
                <c:pt idx="313">
                  <c:v>35.325120992401878</c:v>
                </c:pt>
                <c:pt idx="314">
                  <c:v>35.307253534137473</c:v>
                </c:pt>
                <c:pt idx="315">
                  <c:v>35.289428511841756</c:v>
                </c:pt>
                <c:pt idx="316">
                  <c:v>35.271645761053577</c:v>
                </c:pt>
                <c:pt idx="317">
                  <c:v>35.253905117357654</c:v>
                </c:pt>
                <c:pt idx="318">
                  <c:v>35.236206416416437</c:v>
                </c:pt>
                <c:pt idx="319">
                  <c:v>35.21854949400074</c:v>
                </c:pt>
                <c:pt idx="320">
                  <c:v>35.200934186019033</c:v>
                </c:pt>
                <c:pt idx="321">
                  <c:v>35.183360328545412</c:v>
                </c:pt>
                <c:pt idx="322">
                  <c:v>35.165827757846387</c:v>
                </c:pt>
                <c:pt idx="323">
                  <c:v>35.148336310406471</c:v>
                </c:pt>
                <c:pt idx="324">
                  <c:v>35.130885822952727</c:v>
                </c:pt>
                <c:pt idx="325">
                  <c:v>35.11347613247807</c:v>
                </c:pt>
                <c:pt idx="326">
                  <c:v>35.096107076263692</c:v>
                </c:pt>
                <c:pt idx="327">
                  <c:v>35.078778491900387</c:v>
                </c:pt>
                <c:pt idx="328">
                  <c:v>35.061490217308922</c:v>
                </c:pt>
                <c:pt idx="329">
                  <c:v>35.044242090759518</c:v>
                </c:pt>
                <c:pt idx="330">
                  <c:v>35.027033950890377</c:v>
                </c:pt>
                <c:pt idx="331">
                  <c:v>35.009865636725422</c:v>
                </c:pt>
                <c:pt idx="332">
                  <c:v>34.99273698769116</c:v>
                </c:pt>
                <c:pt idx="333">
                  <c:v>34.975647843632764</c:v>
                </c:pt>
                <c:pt idx="334">
                  <c:v>34.958598044829394</c:v>
                </c:pt>
                <c:pt idx="335">
                  <c:v>34.941587432008774</c:v>
                </c:pt>
                <c:pt idx="336">
                  <c:v>34.924615846361085</c:v>
                </c:pt>
                <c:pt idx="337">
                  <c:v>34.907683129552147</c:v>
                </c:pt>
                <c:pt idx="338">
                  <c:v>34.890789123735956</c:v>
                </c:pt>
                <c:pt idx="339">
                  <c:v>34.873933671566597</c:v>
                </c:pt>
                <c:pt idx="340">
                  <c:v>34.857116616209574</c:v>
                </c:pt>
                <c:pt idx="341">
                  <c:v>34.840337801352483</c:v>
                </c:pt>
                <c:pt idx="342">
                  <c:v>34.823597071215232</c:v>
                </c:pt>
                <c:pt idx="343">
                  <c:v>34.806894270559603</c:v>
                </c:pt>
                <c:pt idx="344">
                  <c:v>34.790229244698402</c:v>
                </c:pt>
                <c:pt idx="345">
                  <c:v>34.773601839504032</c:v>
                </c:pt>
                <c:pt idx="346">
                  <c:v>34.757011901416625</c:v>
                </c:pt>
                <c:pt idx="347">
                  <c:v>34.740459277451713</c:v>
                </c:pt>
                <c:pt idx="348">
                  <c:v>34.723943815207427</c:v>
                </c:pt>
                <c:pt idx="349">
                  <c:v>34.707465362871297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3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Vm (cm^3/mol)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Sweep!$G$23:$G$222</c:f>
              <c:numCache>
                <c:formatCode>General</c:formatCode>
                <c:ptCount val="200"/>
                <c:pt idx="0">
                  <c:v>0</c:v>
                </c:pt>
                <c:pt idx="1">
                  <c:v>1.2964210951799008E-2</c:v>
                </c:pt>
                <c:pt idx="2">
                  <c:v>9.0200717643974151E-2</c:v>
                </c:pt>
                <c:pt idx="3">
                  <c:v>0.29016474737007403</c:v>
                </c:pt>
                <c:pt idx="4">
                  <c:v>0.67051600894934826</c:v>
                </c:pt>
                <c:pt idx="5">
                  <c:v>1.2796218645230901</c:v>
                </c:pt>
                <c:pt idx="6">
                  <c:v>2.135379812728853</c:v>
                </c:pt>
                <c:pt idx="7">
                  <c:v>3.2125852356149172</c:v>
                </c:pt>
                <c:pt idx="8">
                  <c:v>4.4537893414460434</c:v>
                </c:pt>
                <c:pt idx="9">
                  <c:v>5.7905962393073587</c:v>
                </c:pt>
                <c:pt idx="10">
                  <c:v>7.1603484166175821</c:v>
                </c:pt>
                <c:pt idx="11">
                  <c:v>8.5140363225450226</c:v>
                </c:pt>
                <c:pt idx="12">
                  <c:v>9.8176439176514805</c:v>
                </c:pt>
                <c:pt idx="13">
                  <c:v>11.050172692541004</c:v>
                </c:pt>
                <c:pt idx="14">
                  <c:v>12.200606769347123</c:v>
                </c:pt>
                <c:pt idx="15">
                  <c:v>13.26497757802318</c:v>
                </c:pt>
                <c:pt idx="16">
                  <c:v>14.243966682563114</c:v>
                </c:pt>
                <c:pt idx="17">
                  <c:v>15.141118302856</c:v>
                </c:pt>
                <c:pt idx="18">
                  <c:v>15.961583072210287</c:v>
                </c:pt>
                <c:pt idx="19">
                  <c:v>16.711274223417121</c:v>
                </c:pt>
                <c:pt idx="20">
                  <c:v>17.396323773150563</c:v>
                </c:pt>
                <c:pt idx="21">
                  <c:v>18.022747744808452</c:v>
                </c:pt>
                <c:pt idx="22">
                  <c:v>18.59625250494592</c:v>
                </c:pt>
                <c:pt idx="23">
                  <c:v>19.122133749100232</c:v>
                </c:pt>
                <c:pt idx="24">
                  <c:v>19.605234717533314</c:v>
                </c:pt>
                <c:pt idx="25">
                  <c:v>20.049940948766015</c:v>
                </c:pt>
                <c:pt idx="26">
                  <c:v>20.460196680624158</c:v>
                </c:pt>
                <c:pt idx="27">
                  <c:v>20.839533075034499</c:v>
                </c:pt>
                <c:pt idx="28">
                  <c:v>21.191102102461166</c:v>
                </c:pt>
                <c:pt idx="29">
                  <c:v>21.517712194883721</c:v>
                </c:pt>
                <c:pt idx="30">
                  <c:v>21.821863367450792</c:v>
                </c:pt>
                <c:pt idx="31">
                  <c:v>22.105780457566155</c:v>
                </c:pt>
                <c:pt idx="32">
                  <c:v>22.371443845684258</c:v>
                </c:pt>
                <c:pt idx="33">
                  <c:v>22.62061736101488</c:v>
                </c:pt>
                <c:pt idx="34">
                  <c:v>22.854873323519755</c:v>
                </c:pt>
                <c:pt idx="35">
                  <c:v>23.075614892689909</c:v>
                </c:pt>
                <c:pt idx="36">
                  <c:v>23.284095809334246</c:v>
                </c:pt>
                <c:pt idx="37">
                  <c:v>23.481437878643654</c:v>
                </c:pt>
                <c:pt idx="38">
                  <c:v>23.668646318507719</c:v>
                </c:pt>
                <c:pt idx="39">
                  <c:v>23.846623256068327</c:v>
                </c:pt>
                <c:pt idx="40">
                  <c:v>24.016179584335813</c:v>
                </c:pt>
                <c:pt idx="41">
                  <c:v>24.17804537311968</c:v>
                </c:pt>
                <c:pt idx="42">
                  <c:v>24.332878983864568</c:v>
                </c:pt>
                <c:pt idx="43">
                  <c:v>24.481275098293821</c:v>
                </c:pt>
                <c:pt idx="44">
                  <c:v>24.6237717503273</c:v>
                </c:pt>
                <c:pt idx="45">
                  <c:v>24.760856527688482</c:v>
                </c:pt>
                <c:pt idx="46">
                  <c:v>24.892972019431607</c:v>
                </c:pt>
                <c:pt idx="47">
                  <c:v>25.020520629514863</c:v>
                </c:pt>
                <c:pt idx="48">
                  <c:v>25.143868795235374</c:v>
                </c:pt>
                <c:pt idx="49">
                  <c:v>25.263350752582628</c:v>
                </c:pt>
                <c:pt idx="50">
                  <c:v>25.379271844128606</c:v>
                </c:pt>
                <c:pt idx="51">
                  <c:v>25.491911448293852</c:v>
                </c:pt>
                <c:pt idx="52">
                  <c:v>25.601525578654968</c:v>
                </c:pt>
                <c:pt idx="53">
                  <c:v>25.708349217795039</c:v>
                </c:pt>
                <c:pt idx="54">
                  <c:v>25.812598352815854</c:v>
                </c:pt>
                <c:pt idx="55">
                  <c:v>25.914471837370805</c:v>
                </c:pt>
                <c:pt idx="56">
                  <c:v>26.01415297896882</c:v>
                </c:pt>
                <c:pt idx="57">
                  <c:v>26.111811059621726</c:v>
                </c:pt>
                <c:pt idx="58">
                  <c:v>26.207602613434553</c:v>
                </c:pt>
                <c:pt idx="59">
                  <c:v>26.301672596787213</c:v>
                </c:pt>
                <c:pt idx="60">
                  <c:v>26.394155457418755</c:v>
                </c:pt>
                <c:pt idx="61">
                  <c:v>26.485176075225237</c:v>
                </c:pt>
                <c:pt idx="62">
                  <c:v>26.574850597346131</c:v>
                </c:pt>
                <c:pt idx="63">
                  <c:v>26.663287238925946</c:v>
                </c:pt>
                <c:pt idx="64">
                  <c:v>26.750586949974874</c:v>
                </c:pt>
                <c:pt idx="65">
                  <c:v>26.836844046121623</c:v>
                </c:pt>
                <c:pt idx="66">
                  <c:v>26.922146790899884</c:v>
                </c:pt>
                <c:pt idx="67">
                  <c:v>27.006577885143095</c:v>
                </c:pt>
                <c:pt idx="68">
                  <c:v>27.09021495940387</c:v>
                </c:pt>
                <c:pt idx="69">
                  <c:v>27.173130978214449</c:v>
                </c:pt>
                <c:pt idx="70">
                  <c:v>27.255394635962659</c:v>
                </c:pt>
                <c:pt idx="71">
                  <c:v>27.337070697374045</c:v>
                </c:pt>
                <c:pt idx="72">
                  <c:v>27.418220342087658</c:v>
                </c:pt>
                <c:pt idx="73">
                  <c:v>27.498901432764047</c:v>
                </c:pt>
                <c:pt idx="74">
                  <c:v>27.579168790825179</c:v>
                </c:pt>
                <c:pt idx="75">
                  <c:v>27.659074447596929</c:v>
                </c:pt>
                <c:pt idx="76">
                  <c:v>27.738667870254105</c:v>
                </c:pt>
                <c:pt idx="77">
                  <c:v>27.817996152094533</c:v>
                </c:pt>
                <c:pt idx="78">
                  <c:v>27.897104237231567</c:v>
                </c:pt>
                <c:pt idx="79">
                  <c:v>27.976035052255195</c:v>
                </c:pt>
                <c:pt idx="80">
                  <c:v>28.054829710112628</c:v>
                </c:pt>
                <c:pt idx="81">
                  <c:v>28.133527632494058</c:v>
                </c:pt>
                <c:pt idx="82">
                  <c:v>28.212166694168207</c:v>
                </c:pt>
                <c:pt idx="83">
                  <c:v>28.29078335981546</c:v>
                </c:pt>
                <c:pt idx="84">
                  <c:v>28.369412800046636</c:v>
                </c:pt>
                <c:pt idx="85">
                  <c:v>28.44808899489648</c:v>
                </c:pt>
                <c:pt idx="86">
                  <c:v>28.526844851754142</c:v>
                </c:pt>
                <c:pt idx="87">
                  <c:v>28.605712281755967</c:v>
                </c:pt>
                <c:pt idx="88">
                  <c:v>28.68472231533984</c:v>
                </c:pt>
                <c:pt idx="89">
                  <c:v>28.763905166186813</c:v>
                </c:pt>
                <c:pt idx="90">
                  <c:v>28.843290323156133</c:v>
                </c:pt>
                <c:pt idx="91">
                  <c:v>28.922906617580175</c:v>
                </c:pt>
                <c:pt idx="92">
                  <c:v>29.002782301310386</c:v>
                </c:pt>
                <c:pt idx="93">
                  <c:v>29.08294511100064</c:v>
                </c:pt>
                <c:pt idx="94">
                  <c:v>29.163422327772615</c:v>
                </c:pt>
                <c:pt idx="95">
                  <c:v>29.244240843779256</c:v>
                </c:pt>
                <c:pt idx="96">
                  <c:v>29.325427223207388</c:v>
                </c:pt>
                <c:pt idx="97">
                  <c:v>29.407007750205622</c:v>
                </c:pt>
                <c:pt idx="98">
                  <c:v>29.489008479943323</c:v>
                </c:pt>
                <c:pt idx="99">
                  <c:v>29.571455299871218</c:v>
                </c:pt>
                <c:pt idx="100">
                  <c:v>29.654373972343077</c:v>
                </c:pt>
                <c:pt idx="101">
                  <c:v>29.737790187835337</c:v>
                </c:pt>
                <c:pt idx="102">
                  <c:v>29.821729603315699</c:v>
                </c:pt>
                <c:pt idx="103">
                  <c:v>29.906217900370084</c:v>
                </c:pt>
                <c:pt idx="104">
                  <c:v>29.991280820780343</c:v>
                </c:pt>
                <c:pt idx="105">
                  <c:v>30.076944210139676</c:v>
                </c:pt>
                <c:pt idx="106">
                  <c:v>30.163234069243213</c:v>
                </c:pt>
                <c:pt idx="107">
                  <c:v>30.250176589772895</c:v>
                </c:pt>
                <c:pt idx="108">
                  <c:v>30.337798204936671</c:v>
                </c:pt>
                <c:pt idx="109">
                  <c:v>30.426125622000111</c:v>
                </c:pt>
                <c:pt idx="110">
                  <c:v>30.515185878520395</c:v>
                </c:pt>
                <c:pt idx="111">
                  <c:v>30.605006381708293</c:v>
                </c:pt>
                <c:pt idx="112">
                  <c:v>30.695614936457474</c:v>
                </c:pt>
                <c:pt idx="113">
                  <c:v>30.787039814082366</c:v>
                </c:pt>
                <c:pt idx="114">
                  <c:v>30.879309789633943</c:v>
                </c:pt>
                <c:pt idx="115">
                  <c:v>30.972454178791615</c:v>
                </c:pt>
                <c:pt idx="116">
                  <c:v>31.066502891084625</c:v>
                </c:pt>
                <c:pt idx="117">
                  <c:v>31.161486484376876</c:v>
                </c:pt>
                <c:pt idx="118">
                  <c:v>31.257436205286293</c:v>
                </c:pt>
                <c:pt idx="119">
                  <c:v>31.354384050708049</c:v>
                </c:pt>
                <c:pt idx="120">
                  <c:v>31.452362808419529</c:v>
                </c:pt>
                <c:pt idx="121">
                  <c:v>31.551406119935379</c:v>
                </c:pt>
                <c:pt idx="122">
                  <c:v>31.651548545456695</c:v>
                </c:pt>
                <c:pt idx="123">
                  <c:v>31.752825601742057</c:v>
                </c:pt>
                <c:pt idx="124">
                  <c:v>31.855273852936264</c:v>
                </c:pt>
                <c:pt idx="125">
                  <c:v>31.958930946214767</c:v>
                </c:pt>
                <c:pt idx="126">
                  <c:v>32.063835707646</c:v>
                </c:pt>
                <c:pt idx="127">
                  <c:v>32.170028185635928</c:v>
                </c:pt>
                <c:pt idx="128">
                  <c:v>32.277549758973223</c:v>
                </c:pt>
                <c:pt idx="129">
                  <c:v>32.386443182059956</c:v>
                </c:pt>
                <c:pt idx="130">
                  <c:v>32.496752695005789</c:v>
                </c:pt>
                <c:pt idx="131">
                  <c:v>32.608524097235318</c:v>
                </c:pt>
                <c:pt idx="132">
                  <c:v>32.721804840200967</c:v>
                </c:pt>
                <c:pt idx="133">
                  <c:v>32.836644139239681</c:v>
                </c:pt>
                <c:pt idx="134">
                  <c:v>32.953093053399122</c:v>
                </c:pt>
                <c:pt idx="135">
                  <c:v>33.071204628265868</c:v>
                </c:pt>
                <c:pt idx="136">
                  <c:v>33.191033979553602</c:v>
                </c:pt>
                <c:pt idx="137">
                  <c:v>33.312638442212091</c:v>
                </c:pt>
                <c:pt idx="138">
                  <c:v>33.436077689796221</c:v>
                </c:pt>
                <c:pt idx="139">
                  <c:v>33.561413885281063</c:v>
                </c:pt>
                <c:pt idx="140">
                  <c:v>33.688711807201884</c:v>
                </c:pt>
                <c:pt idx="141">
                  <c:v>33.818039051393534</c:v>
                </c:pt>
                <c:pt idx="142">
                  <c:v>33.949466168294776</c:v>
                </c:pt>
                <c:pt idx="143">
                  <c:v>34.083066827495266</c:v>
                </c:pt>
                <c:pt idx="144">
                  <c:v>34.218918056831939</c:v>
                </c:pt>
                <c:pt idx="145">
                  <c:v>34.357100434697685</c:v>
                </c:pt>
                <c:pt idx="146">
                  <c:v>34.49769829302317</c:v>
                </c:pt>
                <c:pt idx="147">
                  <c:v>34.640799968484927</c:v>
                </c:pt>
                <c:pt idx="148">
                  <c:v>34.786498046862278</c:v>
                </c:pt>
                <c:pt idx="149">
                  <c:v>34.934889632225449</c:v>
                </c:pt>
                <c:pt idx="150">
                  <c:v>35.086076626660336</c:v>
                </c:pt>
                <c:pt idx="151">
                  <c:v>35.240166046615158</c:v>
                </c:pt>
                <c:pt idx="152">
                  <c:v>35.39727033194287</c:v>
                </c:pt>
                <c:pt idx="153">
                  <c:v>35.557507672537085</c:v>
                </c:pt>
                <c:pt idx="154">
                  <c:v>35.721002378349255</c:v>
                </c:pt>
                <c:pt idx="155">
                  <c:v>35.887885240911352</c:v>
                </c:pt>
                <c:pt idx="156">
                  <c:v>36.058293869407869</c:v>
                </c:pt>
                <c:pt idx="157">
                  <c:v>36.232373043622225</c:v>
                </c:pt>
                <c:pt idx="158">
                  <c:v>36.410275005049904</c:v>
                </c:pt>
                <c:pt idx="159">
                  <c:v>36.592159538950881</c:v>
                </c:pt>
                <c:pt idx="160">
                  <c:v>36.7781936013576</c:v>
                </c:pt>
                <c:pt idx="161">
                  <c:v>36.968548697903408</c:v>
                </c:pt>
                <c:pt idx="162">
                  <c:v>37.012414845586541</c:v>
                </c:pt>
                <c:pt idx="163">
                  <c:v>37.012181819984072</c:v>
                </c:pt>
                <c:pt idx="164">
                  <c:v>37.015434864824385</c:v>
                </c:pt>
                <c:pt idx="165">
                  <c:v>37.019471819351921</c:v>
                </c:pt>
                <c:pt idx="166">
                  <c:v>37.023493559643079</c:v>
                </c:pt>
                <c:pt idx="167">
                  <c:v>37.027186318520563</c:v>
                </c:pt>
                <c:pt idx="168">
                  <c:v>37.030417509343039</c:v>
                </c:pt>
                <c:pt idx="169">
                  <c:v>37.033135444236692</c:v>
                </c:pt>
                <c:pt idx="170">
                  <c:v>37.035328371871138</c:v>
                </c:pt>
                <c:pt idx="171">
                  <c:v>37.037005364152598</c:v>
                </c:pt>
                <c:pt idx="172">
                  <c:v>37.03818653667993</c:v>
                </c:pt>
                <c:pt idx="173">
                  <c:v>37.03889777388077</c:v>
                </c:pt>
                <c:pt idx="174">
                  <c:v>37.039167711111837</c:v>
                </c:pt>
                <c:pt idx="175">
                  <c:v>37.039025980877646</c:v>
                </c:pt>
                <c:pt idx="176">
                  <c:v>37.038502181163686</c:v>
                </c:pt>
                <c:pt idx="177">
                  <c:v>37.03762522532795</c:v>
                </c:pt>
                <c:pt idx="178">
                  <c:v>37.036422996269415</c:v>
                </c:pt>
                <c:pt idx="179">
                  <c:v>37.034922166997561</c:v>
                </c:pt>
                <c:pt idx="180">
                  <c:v>37.033148043901207</c:v>
                </c:pt>
                <c:pt idx="181">
                  <c:v>37.031124576272163</c:v>
                </c:pt>
                <c:pt idx="182">
                  <c:v>37.028874334663797</c:v>
                </c:pt>
                <c:pt idx="183">
                  <c:v>37.026418558903565</c:v>
                </c:pt>
                <c:pt idx="184">
                  <c:v>37.023777162149322</c:v>
                </c:pt>
                <c:pt idx="185">
                  <c:v>37.02096883550022</c:v>
                </c:pt>
                <c:pt idx="186">
                  <c:v>37.018011076885351</c:v>
                </c:pt>
                <c:pt idx="187">
                  <c:v>37.014920255427924</c:v>
                </c:pt>
                <c:pt idx="188">
                  <c:v>37.011711674555301</c:v>
                </c:pt>
                <c:pt idx="189">
                  <c:v>37.008399638535828</c:v>
                </c:pt>
                <c:pt idx="190">
                  <c:v>37.004997505433252</c:v>
                </c:pt>
                <c:pt idx="191">
                  <c:v>37.001517739421061</c:v>
                </c:pt>
                <c:pt idx="192">
                  <c:v>36.997971978088394</c:v>
                </c:pt>
                <c:pt idx="193">
                  <c:v>36.994371069297387</c:v>
                </c:pt>
                <c:pt idx="194">
                  <c:v>36.990725124377356</c:v>
                </c:pt>
                <c:pt idx="195">
                  <c:v>36.987043580706548</c:v>
                </c:pt>
                <c:pt idx="196">
                  <c:v>36.983335209813127</c:v>
                </c:pt>
                <c:pt idx="197">
                  <c:v>36.979608183525379</c:v>
                </c:pt>
                <c:pt idx="198">
                  <c:v>36.97587011653011</c:v>
                </c:pt>
                <c:pt idx="199">
                  <c:v>36.972128083181076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Sweep!$F$23:$F$222</c:f>
              <c:numCache>
                <c:formatCode>General</c:formatCode>
                <c:ptCount val="200"/>
                <c:pt idx="0">
                  <c:v>0</c:v>
                </c:pt>
                <c:pt idx="1">
                  <c:v>2.9715780958048278E-7</c:v>
                </c:pt>
                <c:pt idx="2">
                  <c:v>2.0675297431022891E-6</c:v>
                </c:pt>
                <c:pt idx="3">
                  <c:v>6.65103625772427E-6</c:v>
                </c:pt>
                <c:pt idx="4">
                  <c:v>1.5369557631471145E-5</c:v>
                </c:pt>
                <c:pt idx="5">
                  <c:v>2.9332524068161659E-5</c:v>
                </c:pt>
                <c:pt idx="6">
                  <c:v>4.8952000052447008E-5</c:v>
                </c:pt>
                <c:pt idx="7">
                  <c:v>7.3653491658286208E-5</c:v>
                </c:pt>
                <c:pt idx="8">
                  <c:v>1.0212469733670758E-4</c:v>
                </c:pt>
                <c:pt idx="9">
                  <c:v>1.3280305247449748E-4</c:v>
                </c:pt>
                <c:pt idx="10">
                  <c:v>1.642573976499396E-4</c:v>
                </c:pt>
                <c:pt idx="11">
                  <c:v>1.9536864138405022E-4</c:v>
                </c:pt>
                <c:pt idx="12">
                  <c:v>2.253602598502634E-4</c:v>
                </c:pt>
                <c:pt idx="13">
                  <c:v>2.5375293637149845E-4</c:v>
                </c:pt>
                <c:pt idx="14">
                  <c:v>2.8029511079994074E-4</c:v>
                </c:pt>
                <c:pt idx="15">
                  <c:v>3.0489589850638346E-4</c:v>
                </c:pt>
                <c:pt idx="16">
                  <c:v>3.2757036397005604E-4</c:v>
                </c:pt>
                <c:pt idx="17">
                  <c:v>3.4839875059678772E-4</c:v>
                </c:pt>
                <c:pt idx="18">
                  <c:v>3.6749785199879595E-4</c:v>
                </c:pt>
                <c:pt idx="19">
                  <c:v>3.8500179842358381E-4</c:v>
                </c:pt>
                <c:pt idx="20">
                  <c:v>4.0104968484303558E-4</c:v>
                </c:pt>
                <c:pt idx="21">
                  <c:v>4.1577796189530406E-4</c:v>
                </c:pt>
                <c:pt idx="22">
                  <c:v>4.2931603917289318E-4</c:v>
                </c:pt>
                <c:pt idx="23">
                  <c:v>4.4178399571044E-4</c:v>
                </c:pt>
                <c:pt idx="24">
                  <c:v>4.5329163633309319E-4</c:v>
                </c:pt>
                <c:pt idx="25">
                  <c:v>4.6393837733460427E-4</c:v>
                </c:pt>
                <c:pt idx="26">
                  <c:v>4.7381362289381076E-4</c:v>
                </c:pt>
                <c:pt idx="27">
                  <c:v>4.8299740899886709E-4</c:v>
                </c:pt>
                <c:pt idx="28">
                  <c:v>4.9156117498565341E-4</c:v>
                </c:pt>
                <c:pt idx="29">
                  <c:v>4.9956857445613136E-4</c:v>
                </c:pt>
                <c:pt idx="30">
                  <c:v>5.0707627351554297E-4</c:v>
                </c:pt>
                <c:pt idx="31">
                  <c:v>5.1413470577392712E-4</c:v>
                </c:pt>
                <c:pt idx="32">
                  <c:v>5.2078876982284414E-4</c:v>
                </c:pt>
                <c:pt idx="33">
                  <c:v>5.270784625416088E-4</c:v>
                </c:pt>
                <c:pt idx="34">
                  <c:v>5.330394472002688E-4</c:v>
                </c:pt>
                <c:pt idx="35">
                  <c:v>5.3870356032883517E-4</c:v>
                </c:pt>
                <c:pt idx="36">
                  <c:v>5.4409925929767592E-4</c:v>
                </c:pt>
                <c:pt idx="37">
                  <c:v>5.4925201862783286E-4</c:v>
                </c:pt>
                <c:pt idx="38">
                  <c:v>5.5418467780437024E-4</c:v>
                </c:pt>
                <c:pt idx="39">
                  <c:v>5.5891774706854649E-4</c:v>
                </c:pt>
                <c:pt idx="40">
                  <c:v>5.6346967600956455E-4</c:v>
                </c:pt>
                <c:pt idx="41">
                  <c:v>5.6785708937289391E-4</c:v>
                </c:pt>
                <c:pt idx="42">
                  <c:v>5.7209499346391952E-4</c:v>
                </c:pt>
                <c:pt idx="43">
                  <c:v>5.7619695795326387E-4</c:v>
                </c:pt>
                <c:pt idx="44">
                  <c:v>5.8017527507671861E-4</c:v>
                </c:pt>
                <c:pt idx="45">
                  <c:v>5.8404110004137719E-4</c:v>
                </c:pt>
                <c:pt idx="46">
                  <c:v>5.8780457434197929E-4</c:v>
                </c:pt>
                <c:pt idx="47">
                  <c:v>5.914749347350084E-4</c:v>
                </c:pt>
                <c:pt idx="48">
                  <c:v>5.9506060871060439E-4</c:v>
                </c:pt>
                <c:pt idx="49">
                  <c:v>5.9856929974971156E-4</c:v>
                </c:pt>
                <c:pt idx="50">
                  <c:v>6.0200806220488264E-4</c:v>
                </c:pt>
                <c:pt idx="51">
                  <c:v>6.0538336761392956E-4</c:v>
                </c:pt>
                <c:pt idx="52">
                  <c:v>6.0870116355013276E-4</c:v>
                </c:pt>
                <c:pt idx="53">
                  <c:v>6.1196692650002235E-4</c:v>
                </c:pt>
                <c:pt idx="54">
                  <c:v>6.151857079453913E-4</c:v>
                </c:pt>
                <c:pt idx="55">
                  <c:v>6.1836217658515688E-4</c:v>
                </c:pt>
                <c:pt idx="56">
                  <c:v>6.21500654253804E-4</c:v>
                </c:pt>
                <c:pt idx="57">
                  <c:v>6.2460515046857713E-4</c:v>
                </c:pt>
                <c:pt idx="58">
                  <c:v>6.2767939137513002E-4</c:v>
                </c:pt>
                <c:pt idx="59">
                  <c:v>6.3072684630334226E-4</c:v>
                </c:pt>
                <c:pt idx="60">
                  <c:v>6.3375075206824067E-4</c:v>
                </c:pt>
                <c:pt idx="61">
                  <c:v>6.3675413434776383E-4</c:v>
                </c:pt>
                <c:pt idx="62">
                  <c:v>6.3973982665889179E-4</c:v>
                </c:pt>
                <c:pt idx="63">
                  <c:v>6.4271048863495303E-4</c:v>
                </c:pt>
                <c:pt idx="64">
                  <c:v>6.456686211978402E-4</c:v>
                </c:pt>
                <c:pt idx="65">
                  <c:v>6.4861658096309932E-4</c:v>
                </c:pt>
                <c:pt idx="66">
                  <c:v>6.515565935744387E-4</c:v>
                </c:pt>
                <c:pt idx="67">
                  <c:v>6.5449076488350774E-4</c:v>
                </c:pt>
                <c:pt idx="68">
                  <c:v>6.5742109228444793E-4</c:v>
                </c:pt>
                <c:pt idx="69">
                  <c:v>6.6034947399089879E-4</c:v>
                </c:pt>
                <c:pt idx="70">
                  <c:v>6.6327771817881469E-4</c:v>
                </c:pt>
                <c:pt idx="71">
                  <c:v>6.6620755084991076E-4</c:v>
                </c:pt>
                <c:pt idx="72">
                  <c:v>6.6914062385649428E-4</c:v>
                </c:pt>
                <c:pt idx="73">
                  <c:v>6.7207852112192903E-4</c:v>
                </c:pt>
                <c:pt idx="74">
                  <c:v>6.7502276509834801E-4</c:v>
                </c:pt>
                <c:pt idx="75">
                  <c:v>6.779748226753028E-4</c:v>
                </c:pt>
                <c:pt idx="76">
                  <c:v>6.8093611052024252E-4</c:v>
                </c:pt>
                <c:pt idx="77">
                  <c:v>6.8390799958864307E-4</c:v>
                </c:pt>
                <c:pt idx="78">
                  <c:v>6.8689182052188516E-4</c:v>
                </c:pt>
                <c:pt idx="79">
                  <c:v>6.8988886680049287E-4</c:v>
                </c:pt>
                <c:pt idx="80">
                  <c:v>6.9290039971109472E-4</c:v>
                </c:pt>
                <c:pt idx="81">
                  <c:v>6.9592765134528028E-4</c:v>
                </c:pt>
                <c:pt idx="82">
                  <c:v>6.9897182817279298E-4</c:v>
                </c:pt>
                <c:pt idx="83">
                  <c:v>7.0203411446537298E-4</c:v>
                </c:pt>
                <c:pt idx="84">
                  <c:v>7.0511567523965247E-4</c:v>
                </c:pt>
                <c:pt idx="85">
                  <c:v>7.0821765892097499E-4</c:v>
                </c:pt>
                <c:pt idx="86">
                  <c:v>7.1134120039811834E-4</c:v>
                </c:pt>
                <c:pt idx="87">
                  <c:v>7.144874230762074E-4</c:v>
                </c:pt>
                <c:pt idx="88">
                  <c:v>7.1765744193605851E-4</c:v>
                </c:pt>
                <c:pt idx="89">
                  <c:v>7.2085236533767983E-4</c:v>
                </c:pt>
                <c:pt idx="90">
                  <c:v>7.2407329755147575E-4</c:v>
                </c:pt>
                <c:pt idx="91">
                  <c:v>7.2732134070673438E-4</c:v>
                </c:pt>
                <c:pt idx="92">
                  <c:v>7.3059759704097865E-4</c:v>
                </c:pt>
                <c:pt idx="93">
                  <c:v>7.3390317082371211E-4</c:v>
                </c:pt>
                <c:pt idx="94">
                  <c:v>7.3723917021078903E-4</c:v>
                </c:pt>
                <c:pt idx="95">
                  <c:v>7.4060670929468439E-4</c:v>
                </c:pt>
                <c:pt idx="96">
                  <c:v>7.4400691005004017E-4</c:v>
                </c:pt>
                <c:pt idx="97">
                  <c:v>7.4744090398100793E-4</c:v>
                </c:pt>
                <c:pt idx="98">
                  <c:v>7.5090983388027203E-4</c:v>
                </c:pt>
                <c:pt idx="99">
                  <c:v>7.5441485588261274E-4</c:v>
                </c:pt>
                <c:pt idx="100">
                  <c:v>7.579571410808141E-4</c:v>
                </c:pt>
                <c:pt idx="101">
                  <c:v>7.6153787744805568E-4</c:v>
                </c:pt>
                <c:pt idx="102">
                  <c:v>7.6515827141908864E-4</c:v>
                </c:pt>
                <c:pt idx="103">
                  <c:v>7.6881955001660736E-4</c:v>
                </c:pt>
                <c:pt idx="104">
                  <c:v>7.7252296244177882E-4</c:v>
                </c:pt>
                <c:pt idx="105">
                  <c:v>7.7626978191243118E-4</c:v>
                </c:pt>
                <c:pt idx="106">
                  <c:v>7.8006130774696146E-4</c:v>
                </c:pt>
                <c:pt idx="107">
                  <c:v>7.8389886709050638E-4</c:v>
                </c:pt>
                <c:pt idx="108">
                  <c:v>7.8778381707609983E-4</c:v>
                </c:pt>
                <c:pt idx="109">
                  <c:v>7.9171754656845916E-4</c:v>
                </c:pt>
                <c:pt idx="110">
                  <c:v>7.9570147857637775E-4</c:v>
                </c:pt>
                <c:pt idx="111">
                  <c:v>7.9973707228521733E-4</c:v>
                </c:pt>
                <c:pt idx="112">
                  <c:v>8.0382582485103045E-4</c:v>
                </c:pt>
                <c:pt idx="113">
                  <c:v>8.0796927432053717E-4</c:v>
                </c:pt>
                <c:pt idx="114">
                  <c:v>8.1216900179923585E-4</c:v>
                </c:pt>
                <c:pt idx="115">
                  <c:v>8.1642663367577318E-4</c:v>
                </c:pt>
                <c:pt idx="116">
                  <c:v>8.2074384434853388E-4</c:v>
                </c:pt>
                <c:pt idx="117">
                  <c:v>8.2512235906612977E-4</c:v>
                </c:pt>
                <c:pt idx="118">
                  <c:v>8.295639564798007E-4</c:v>
                </c:pt>
                <c:pt idx="119">
                  <c:v>8.3407047184174007E-4</c:v>
                </c:pt>
                <c:pt idx="120">
                  <c:v>8.386437997427046E-4</c:v>
                </c:pt>
                <c:pt idx="121">
                  <c:v>8.4328589753866051E-4</c:v>
                </c:pt>
                <c:pt idx="122">
                  <c:v>8.4799878894163596E-4</c:v>
                </c:pt>
                <c:pt idx="123">
                  <c:v>8.5278456699822863E-4</c:v>
                </c:pt>
                <c:pt idx="124">
                  <c:v>8.5764539860436163E-4</c:v>
                </c:pt>
                <c:pt idx="125">
                  <c:v>8.6258352766860552E-4</c:v>
                </c:pt>
                <c:pt idx="126">
                  <c:v>8.6760128002801419E-4</c:v>
                </c:pt>
                <c:pt idx="127">
                  <c:v>8.7270106709707391E-4</c:v>
                </c:pt>
                <c:pt idx="128">
                  <c:v>8.7788539141535977E-4</c:v>
                </c:pt>
                <c:pt idx="129">
                  <c:v>8.8315685065971255E-4</c:v>
                </c:pt>
                <c:pt idx="130">
                  <c:v>8.8851814359008289E-4</c:v>
                </c:pt>
                <c:pt idx="131">
                  <c:v>8.939720751930222E-4</c:v>
                </c:pt>
                <c:pt idx="132">
                  <c:v>8.9952156254327392E-4</c:v>
                </c:pt>
                <c:pt idx="133">
                  <c:v>9.0516964140567536E-4</c:v>
                </c:pt>
                <c:pt idx="134">
                  <c:v>9.1091947218518814E-4</c:v>
                </c:pt>
                <c:pt idx="135">
                  <c:v>9.1677434785519308E-4</c:v>
                </c:pt>
                <c:pt idx="136">
                  <c:v>9.2273770051383528E-4</c:v>
                </c:pt>
                <c:pt idx="137">
                  <c:v>9.2881311002883545E-4</c:v>
                </c:pt>
                <c:pt idx="138">
                  <c:v>9.3500431215914382E-4</c:v>
                </c:pt>
                <c:pt idx="139">
                  <c:v>9.4131520786903727E-4</c:v>
                </c:pt>
                <c:pt idx="140">
                  <c:v>9.4774987229120228E-4</c:v>
                </c:pt>
                <c:pt idx="141">
                  <c:v>9.5431256617145002E-4</c:v>
                </c:pt>
                <c:pt idx="142">
                  <c:v>9.6100774584074577E-4</c:v>
                </c:pt>
                <c:pt idx="143">
                  <c:v>9.6784007462388593E-4</c:v>
                </c:pt>
                <c:pt idx="144">
                  <c:v>9.7481443624911274E-4</c:v>
                </c:pt>
                <c:pt idx="145">
                  <c:v>9.8193594794841526E-4</c:v>
                </c:pt>
                <c:pt idx="146">
                  <c:v>9.8920997406210377E-4</c:v>
                </c:pt>
                <c:pt idx="147">
                  <c:v>9.9664214157647608E-4</c:v>
                </c:pt>
                <c:pt idx="148">
                  <c:v>1.0042383559900362E-3</c:v>
                </c:pt>
                <c:pt idx="149">
                  <c:v>1.0120048184218545E-3</c:v>
                </c:pt>
                <c:pt idx="150">
                  <c:v>1.0199480435514343E-3</c:v>
                </c:pt>
                <c:pt idx="151">
                  <c:v>1.0280748791262498E-3</c:v>
                </c:pt>
                <c:pt idx="152">
                  <c:v>1.0363925257134837E-3</c:v>
                </c:pt>
                <c:pt idx="153">
                  <c:v>1.0449085573064078E-3</c:v>
                </c:pt>
                <c:pt idx="154">
                  <c:v>1.0536309433551488E-3</c:v>
                </c:pt>
                <c:pt idx="155">
                  <c:v>1.0625680703606967E-3</c:v>
                </c:pt>
                <c:pt idx="156">
                  <c:v>1.0717287618726365E-3</c:v>
                </c:pt>
                <c:pt idx="157">
                  <c:v>1.0811222968885033E-3</c:v>
                </c:pt>
                <c:pt idx="158">
                  <c:v>1.0907584216976623E-3</c:v>
                </c:pt>
                <c:pt idx="159">
                  <c:v>1.1006473443479804E-3</c:v>
                </c:pt>
                <c:pt idx="160">
                  <c:v>1.1107996844313471E-3</c:v>
                </c:pt>
                <c:pt idx="161">
                  <c:v>1.1212262191015159E-3</c:v>
                </c:pt>
                <c:pt idx="162">
                  <c:v>1.1181302872542171E-3</c:v>
                </c:pt>
                <c:pt idx="163">
                  <c:v>1.1110661697240969E-3</c:v>
                </c:pt>
                <c:pt idx="164">
                  <c:v>1.1044048290475307E-3</c:v>
                </c:pt>
                <c:pt idx="165">
                  <c:v>1.0978962845998388E-3</c:v>
                </c:pt>
                <c:pt idx="166">
                  <c:v>1.0914664303581366E-3</c:v>
                </c:pt>
                <c:pt idx="167">
                  <c:v>1.0850859951860034E-3</c:v>
                </c:pt>
                <c:pt idx="168">
                  <c:v>1.0787423827190951E-3</c:v>
                </c:pt>
                <c:pt idx="169">
                  <c:v>1.0724303872738168E-3</c:v>
                </c:pt>
                <c:pt idx="170">
                  <c:v>1.0661484057507011E-3</c:v>
                </c:pt>
                <c:pt idx="171">
                  <c:v>1.0598966759634257E-3</c:v>
                </c:pt>
                <c:pt idx="172">
                  <c:v>1.0536763821997505E-3</c:v>
                </c:pt>
                <c:pt idx="173">
                  <c:v>1.0474891748180539E-3</c:v>
                </c:pt>
                <c:pt idx="174">
                  <c:v>1.0413369005501227E-3</c:v>
                </c:pt>
                <c:pt idx="175">
                  <c:v>1.0352214482654816E-3</c:v>
                </c:pt>
                <c:pt idx="176">
                  <c:v>1.0291446603124502E-3</c:v>
                </c:pt>
                <c:pt idx="177">
                  <c:v>1.0231082811018462E-3</c:v>
                </c:pt>
                <c:pt idx="178">
                  <c:v>1.0171139301269662E-3</c:v>
                </c:pt>
                <c:pt idx="179">
                  <c:v>1.0111630892999182E-3</c:v>
                </c:pt>
                <c:pt idx="180">
                  <c:v>1.0052570968894245E-3</c:v>
                </c:pt>
                <c:pt idx="181">
                  <c:v>9.993971496678241E-4</c:v>
                </c:pt>
                <c:pt idx="182">
                  <c:v>9.935843063770748E-4</c:v>
                </c:pt>
                <c:pt idx="183">
                  <c:v>9.8781949433911459E-4</c:v>
                </c:pt>
                <c:pt idx="184">
                  <c:v>9.8210351554325719E-4</c:v>
                </c:pt>
                <c:pt idx="185">
                  <c:v>9.7643705569549078E-4</c:v>
                </c:pt>
                <c:pt idx="186">
                  <c:v>9.7082069125939289E-4</c:v>
                </c:pt>
                <c:pt idx="187">
                  <c:v>9.6525489731487737E-4</c:v>
                </c:pt>
                <c:pt idx="188">
                  <c:v>9.59740055149094E-4</c:v>
                </c:pt>
                <c:pt idx="189">
                  <c:v>9.5427645964423489E-4</c:v>
                </c:pt>
                <c:pt idx="190">
                  <c:v>9.4886432599098518E-4</c:v>
                </c:pt>
                <c:pt idx="191">
                  <c:v>9.4350379605689667E-4</c:v>
                </c:pt>
                <c:pt idx="192">
                  <c:v>9.3819494480345189E-4</c:v>
                </c:pt>
                <c:pt idx="193">
                  <c:v>9.3293778559549458E-4</c:v>
                </c:pt>
                <c:pt idx="194">
                  <c:v>9.2773227561542687E-4</c:v>
                </c:pt>
                <c:pt idx="195">
                  <c:v>9.2257832120492124E-4</c:v>
                </c:pt>
                <c:pt idx="196">
                  <c:v>9.174757815547189E-4</c:v>
                </c:pt>
                <c:pt idx="197">
                  <c:v>9.1242447358531919E-4</c:v>
                </c:pt>
                <c:pt idx="198">
                  <c:v>9.074241759749244E-4</c:v>
                </c:pt>
                <c:pt idx="199">
                  <c:v>9.0247463231909E-4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Sweep!$D$23:$D$222</c:f>
              <c:numCache>
                <c:formatCode>General</c:formatCode>
                <c:ptCount val="200"/>
                <c:pt idx="0">
                  <c:v>0</c:v>
                </c:pt>
                <c:pt idx="1">
                  <c:v>2.953270718878054E-4</c:v>
                </c:pt>
                <c:pt idx="2">
                  <c:v>2.9533103152427161E-4</c:v>
                </c:pt>
                <c:pt idx="3">
                  <c:v>2.9534708390812291E-4</c:v>
                </c:pt>
                <c:pt idx="4">
                  <c:v>2.9538891002967547E-4</c:v>
                </c:pt>
                <c:pt idx="5">
                  <c:v>2.9547449572242681E-4</c:v>
                </c:pt>
                <c:pt idx="6">
                  <c:v>2.9562261521602401E-4</c:v>
                </c:pt>
                <c:pt idx="7">
                  <c:v>2.9584777220724451E-4</c:v>
                </c:pt>
                <c:pt idx="8">
                  <c:v>2.9615720179783958E-4</c:v>
                </c:pt>
                <c:pt idx="9">
                  <c:v>2.9655108066064227E-4</c:v>
                </c:pt>
                <c:pt idx="10">
                  <c:v>2.9702454918296403E-4</c:v>
                </c:pt>
                <c:pt idx="11">
                  <c:v>2.9756999209379424E-4</c:v>
                </c:pt>
                <c:pt idx="12">
                  <c:v>2.9817881396735306E-4</c:v>
                </c:pt>
                <c:pt idx="13">
                  <c:v>2.988425641551163E-4</c:v>
                </c:pt>
                <c:pt idx="14">
                  <c:v>2.9955353314894701E-4</c:v>
                </c:pt>
                <c:pt idx="15">
                  <c:v>3.0030499636379799E-4</c:v>
                </c:pt>
                <c:pt idx="16">
                  <c:v>3.0109125179085273E-4</c:v>
                </c:pt>
                <c:pt idx="17">
                  <c:v>3.019075515748893E-4</c:v>
                </c:pt>
                <c:pt idx="18">
                  <c:v>3.0274998846916199E-4</c:v>
                </c:pt>
                <c:pt idx="19">
                  <c:v>3.0361537110728631E-4</c:v>
                </c:pt>
                <c:pt idx="20">
                  <c:v>3.0450110522053226E-4</c:v>
                </c:pt>
                <c:pt idx="21">
                  <c:v>3.0540508822040529E-4</c:v>
                </c:pt>
                <c:pt idx="22">
                  <c:v>3.0632561931150917E-4</c:v>
                </c:pt>
                <c:pt idx="23">
                  <c:v>3.0726132467373286E-4</c:v>
                </c:pt>
                <c:pt idx="24">
                  <c:v>3.0821109613590205E-4</c:v>
                </c:pt>
                <c:pt idx="25">
                  <c:v>3.0917404134294079E-4</c:v>
                </c:pt>
                <c:pt idx="26">
                  <c:v>3.1014944351376013E-4</c:v>
                </c:pt>
                <c:pt idx="27">
                  <c:v>3.1113672901135351E-4</c:v>
                </c:pt>
                <c:pt idx="28">
                  <c:v>3.1213544125393265E-4</c:v>
                </c:pt>
                <c:pt idx="29">
                  <c:v>3.1314521971455766E-4</c:v>
                </c:pt>
                <c:pt idx="30">
                  <c:v>3.1416578300742386E-4</c:v>
                </c:pt>
                <c:pt idx="31">
                  <c:v>3.1519691522658496E-4</c:v>
                </c:pt>
                <c:pt idx="32">
                  <c:v>3.1623845490560054E-4</c:v>
                </c:pt>
                <c:pt idx="33">
                  <c:v>3.17290286066721E-4</c:v>
                </c:pt>
                <c:pt idx="34">
                  <c:v>3.1835233093397119E-4</c:v>
                </c:pt>
                <c:pt idx="35">
                  <c:v>3.1942454401792035E-4</c:v>
                </c:pt>
                <c:pt idx="36">
                  <c:v>3.205069072464999E-4</c:v>
                </c:pt>
                <c:pt idx="37">
                  <c:v>3.2159942601336005E-4</c:v>
                </c:pt>
                <c:pt idx="38">
                  <c:v>3.2270212590720796E-4</c:v>
                </c:pt>
                <c:pt idx="39">
                  <c:v>3.2381505002390329E-4</c:v>
                </c:pt>
                <c:pt idx="40">
                  <c:v>3.2493825675404081E-4</c:v>
                </c:pt>
                <c:pt idx="41">
                  <c:v>3.2607181795926612E-4</c:v>
                </c:pt>
                <c:pt idx="42">
                  <c:v>3.2721581744598536E-4</c:v>
                </c:pt>
                <c:pt idx="43">
                  <c:v>3.283703497200727E-4</c:v>
                </c:pt>
                <c:pt idx="44">
                  <c:v>3.2953551893789487E-4</c:v>
                </c:pt>
                <c:pt idx="45">
                  <c:v>3.307114380513237E-4</c:v>
                </c:pt>
                <c:pt idx="46">
                  <c:v>3.318982280911695E-4</c:v>
                </c:pt>
                <c:pt idx="47">
                  <c:v>3.3309601758667399E-4</c:v>
                </c:pt>
                <c:pt idx="48">
                  <c:v>3.34304942062189E-4</c:v>
                </c:pt>
                <c:pt idx="49">
                  <c:v>3.3552514365850229E-4</c:v>
                </c:pt>
                <c:pt idx="50">
                  <c:v>3.3675677080577203E-4</c:v>
                </c:pt>
                <c:pt idx="51">
                  <c:v>3.3799997795831753E-4</c:v>
                </c:pt>
                <c:pt idx="52">
                  <c:v>3.3925492538327726E-4</c:v>
                </c:pt>
                <c:pt idx="53">
                  <c:v>3.4052177902221353E-4</c:v>
                </c:pt>
                <c:pt idx="54">
                  <c:v>3.4180071034759163E-4</c:v>
                </c:pt>
                <c:pt idx="55">
                  <c:v>3.4309189630741952E-4</c:v>
                </c:pt>
                <c:pt idx="56">
                  <c:v>3.44395519216253E-4</c:v>
                </c:pt>
                <c:pt idx="57">
                  <c:v>3.4571176679000661E-4</c:v>
                </c:pt>
                <c:pt idx="58">
                  <c:v>3.4704083210651505E-4</c:v>
                </c:pt>
                <c:pt idx="59">
                  <c:v>3.4838291361722576E-4</c:v>
                </c:pt>
                <c:pt idx="60">
                  <c:v>3.497382152002812E-4</c:v>
                </c:pt>
                <c:pt idx="61">
                  <c:v>3.5110694620576392E-4</c:v>
                </c:pt>
                <c:pt idx="62">
                  <c:v>3.52489321501386E-4</c:v>
                </c:pt>
                <c:pt idx="63">
                  <c:v>3.5388556159464071E-4</c:v>
                </c:pt>
                <c:pt idx="64">
                  <c:v>3.5529589269474169E-4</c:v>
                </c:pt>
                <c:pt idx="65">
                  <c:v>3.5672054682436995E-4</c:v>
                </c:pt>
                <c:pt idx="66">
                  <c:v>3.581597619590173E-4</c:v>
                </c:pt>
                <c:pt idx="67">
                  <c:v>3.5961378212418383E-4</c:v>
                </c:pt>
                <c:pt idx="68">
                  <c:v>3.6108285757190724E-4</c:v>
                </c:pt>
                <c:pt idx="69">
                  <c:v>3.6256724490561423E-4</c:v>
                </c:pt>
                <c:pt idx="70">
                  <c:v>3.6406720725641622E-4</c:v>
                </c:pt>
                <c:pt idx="71">
                  <c:v>3.6558301443944844E-4</c:v>
                </c:pt>
                <c:pt idx="72">
                  <c:v>3.6711494317218145E-4</c:v>
                </c:pt>
                <c:pt idx="73">
                  <c:v>3.6866327723075211E-4</c:v>
                </c:pt>
                <c:pt idx="74">
                  <c:v>3.7022830766435629E-4</c:v>
                </c:pt>
                <c:pt idx="75">
                  <c:v>3.7181033301795043E-4</c:v>
                </c:pt>
                <c:pt idx="76">
                  <c:v>3.7340965955848932E-4</c:v>
                </c:pt>
                <c:pt idx="77">
                  <c:v>3.7502660148325701E-4</c:v>
                </c:pt>
                <c:pt idx="78">
                  <c:v>3.766614812231415E-4</c:v>
                </c:pt>
                <c:pt idx="79">
                  <c:v>3.7831462962854834E-4</c:v>
                </c:pt>
                <c:pt idx="80">
                  <c:v>3.7998638631028299E-4</c:v>
                </c:pt>
                <c:pt idx="81">
                  <c:v>3.8167709987655784E-4</c:v>
                </c:pt>
                <c:pt idx="82">
                  <c:v>3.8338712823807647E-4</c:v>
                </c:pt>
                <c:pt idx="83">
                  <c:v>3.8511683893220541E-4</c:v>
                </c:pt>
                <c:pt idx="84">
                  <c:v>3.8686660944069261E-4</c:v>
                </c:pt>
                <c:pt idx="85">
                  <c:v>3.8863682751329127E-4</c:v>
                </c:pt>
                <c:pt idx="86">
                  <c:v>3.9042789154756802E-4</c:v>
                </c:pt>
                <c:pt idx="87">
                  <c:v>3.9224021091912936E-4</c:v>
                </c:pt>
                <c:pt idx="88">
                  <c:v>3.940742064150321E-4</c:v>
                </c:pt>
                <c:pt idx="89">
                  <c:v>3.9593031059618897E-4</c:v>
                </c:pt>
                <c:pt idx="90">
                  <c:v>3.9780896824123977E-4</c:v>
                </c:pt>
                <c:pt idx="91">
                  <c:v>3.9971063677241079E-4</c:v>
                </c:pt>
                <c:pt idx="92">
                  <c:v>4.016357867323311E-4</c:v>
                </c:pt>
                <c:pt idx="93">
                  <c:v>4.0358490225190005E-4</c:v>
                </c:pt>
                <c:pt idx="94">
                  <c:v>4.0555848155137244E-4</c:v>
                </c:pt>
                <c:pt idx="95">
                  <c:v>4.0755703747761196E-4</c:v>
                </c:pt>
                <c:pt idx="96">
                  <c:v>4.0958109806262541E-4</c:v>
                </c:pt>
                <c:pt idx="97">
                  <c:v>4.1163120708441161E-4</c:v>
                </c:pt>
                <c:pt idx="98">
                  <c:v>4.1370792466590296E-4</c:v>
                </c:pt>
                <c:pt idx="99">
                  <c:v>4.1581182793071485E-4</c:v>
                </c:pt>
                <c:pt idx="100">
                  <c:v>4.1794351165093608E-4</c:v>
                </c:pt>
                <c:pt idx="101">
                  <c:v>4.2010358895472246E-4</c:v>
                </c:pt>
                <c:pt idx="102">
                  <c:v>4.2229269203550578E-4</c:v>
                </c:pt>
                <c:pt idx="103">
                  <c:v>4.245114729469928E-4</c:v>
                </c:pt>
                <c:pt idx="104">
                  <c:v>4.267606043839449E-4</c:v>
                </c:pt>
                <c:pt idx="105">
                  <c:v>4.2904078052334555E-4</c:v>
                </c:pt>
                <c:pt idx="106">
                  <c:v>4.3135271792932431E-4</c:v>
                </c:pt>
                <c:pt idx="107">
                  <c:v>4.3369715646420523E-4</c:v>
                </c:pt>
                <c:pt idx="108">
                  <c:v>4.3607486028583703E-4</c:v>
                </c:pt>
                <c:pt idx="109">
                  <c:v>4.3848661884800998E-4</c:v>
                </c:pt>
                <c:pt idx="110">
                  <c:v>4.4093324801664624E-4</c:v>
                </c:pt>
                <c:pt idx="111">
                  <c:v>4.4341559119785376E-4</c:v>
                </c:pt>
                <c:pt idx="112">
                  <c:v>4.4593452049194662E-4</c:v>
                </c:pt>
                <c:pt idx="113">
                  <c:v>4.4849093802251156E-4</c:v>
                </c:pt>
                <c:pt idx="114">
                  <c:v>4.5108577724562723E-4</c:v>
                </c:pt>
                <c:pt idx="115">
                  <c:v>4.5372000432545141E-4</c:v>
                </c:pt>
                <c:pt idx="116">
                  <c:v>4.5639461962987225E-4</c:v>
                </c:pt>
                <c:pt idx="117">
                  <c:v>4.5911065930936409E-4</c:v>
                </c:pt>
                <c:pt idx="118">
                  <c:v>4.6186919691679321E-4</c:v>
                </c:pt>
                <c:pt idx="119">
                  <c:v>4.64671345178271E-4</c:v>
                </c:pt>
                <c:pt idx="120">
                  <c:v>4.6751825779365463E-4</c:v>
                </c:pt>
                <c:pt idx="121">
                  <c:v>4.7041113140403458E-4</c:v>
                </c:pt>
                <c:pt idx="122">
                  <c:v>4.7335120767330667E-4</c:v>
                </c:pt>
                <c:pt idx="123">
                  <c:v>4.7633977539470932E-4</c:v>
                </c:pt>
                <c:pt idx="124">
                  <c:v>4.7937817288763035E-4</c:v>
                </c:pt>
                <c:pt idx="125">
                  <c:v>4.8246779034259219E-4</c:v>
                </c:pt>
                <c:pt idx="126">
                  <c:v>4.8561007250042773E-4</c:v>
                </c:pt>
                <c:pt idx="127">
                  <c:v>4.8880652130149855E-4</c:v>
                </c:pt>
                <c:pt idx="128">
                  <c:v>4.9205869890940797E-4</c:v>
                </c:pt>
                <c:pt idx="129">
                  <c:v>4.9536823068446734E-4</c:v>
                </c:pt>
                <c:pt idx="130">
                  <c:v>4.9873680855898783E-4</c:v>
                </c:pt>
                <c:pt idx="131">
                  <c:v>5.0216619447479994E-4</c:v>
                </c:pt>
                <c:pt idx="132">
                  <c:v>5.0565822408943958E-4</c:v>
                </c:pt>
                <c:pt idx="133">
                  <c:v>5.0921481077047497E-4</c:v>
                </c:pt>
                <c:pt idx="134">
                  <c:v>5.1283794970212058E-4</c:v>
                </c:pt>
                <c:pt idx="135">
                  <c:v>5.1652972247656658E-4</c:v>
                </c:pt>
                <c:pt idx="136">
                  <c:v>5.202923017267239E-4</c:v>
                </c:pt>
                <c:pt idx="137">
                  <c:v>5.2412795629370589E-4</c:v>
                </c:pt>
                <c:pt idx="138">
                  <c:v>5.2803905658527488E-4</c:v>
                </c:pt>
                <c:pt idx="139">
                  <c:v>5.3202808038428455E-4</c:v>
                </c:pt>
                <c:pt idx="140">
                  <c:v>5.3609761890516434E-4</c:v>
                </c:pt>
                <c:pt idx="141">
                  <c:v>5.4025038353389717E-4</c:v>
                </c:pt>
                <c:pt idx="142">
                  <c:v>5.4448921265468552E-4</c:v>
                </c:pt>
                <c:pt idx="143">
                  <c:v>5.4881707924974289E-4</c:v>
                </c:pt>
                <c:pt idx="144">
                  <c:v>5.532370987864592E-4</c:v>
                </c:pt>
                <c:pt idx="145">
                  <c:v>5.5775253787734684E-4</c:v>
                </c:pt>
                <c:pt idx="146">
                  <c:v>5.6236682324506285E-4</c:v>
                </c:pt>
                <c:pt idx="147">
                  <c:v>5.6708355148408194E-4</c:v>
                </c:pt>
                <c:pt idx="148">
                  <c:v>5.7190649935165644E-4</c:v>
                </c:pt>
                <c:pt idx="149">
                  <c:v>5.7683963474698685E-4</c:v>
                </c:pt>
                <c:pt idx="150">
                  <c:v>5.8188712832299991E-4</c:v>
                </c:pt>
                <c:pt idx="151">
                  <c:v>5.8705336584877232E-4</c:v>
                </c:pt>
                <c:pt idx="152">
                  <c:v>5.9234296108138314E-4</c:v>
                </c:pt>
                <c:pt idx="153">
                  <c:v>5.9776076918369105E-4</c:v>
                </c:pt>
                <c:pt idx="154">
                  <c:v>6.0331190066827026E-4</c:v>
                </c:pt>
                <c:pt idx="155">
                  <c:v>6.0900173532666844E-4</c:v>
                </c:pt>
                <c:pt idx="156">
                  <c:v>6.1483593550396888E-4</c:v>
                </c:pt>
                <c:pt idx="157">
                  <c:v>6.2082045786886501E-4</c:v>
                </c:pt>
                <c:pt idx="158">
                  <c:v>6.2696156101186044E-4</c:v>
                </c:pt>
                <c:pt idx="159">
                  <c:v>6.332658025453025E-4</c:v>
                </c:pt>
                <c:pt idx="160">
                  <c:v>6.3974000718873135E-4</c:v>
                </c:pt>
                <c:pt idx="161">
                  <c:v>6.4639110545055428E-4</c:v>
                </c:pt>
                <c:pt idx="162">
                  <c:v>6.444413585671219E-4</c:v>
                </c:pt>
                <c:pt idx="163">
                  <c:v>6.399677114117422E-4</c:v>
                </c:pt>
                <c:pt idx="164">
                  <c:v>6.3575079131757682E-4</c:v>
                </c:pt>
                <c:pt idx="165">
                  <c:v>6.3163154566721574E-4</c:v>
                </c:pt>
                <c:pt idx="166">
                  <c:v>6.2756281711285797E-4</c:v>
                </c:pt>
                <c:pt idx="167">
                  <c:v>6.2352597315716845E-4</c:v>
                </c:pt>
                <c:pt idx="168">
                  <c:v>6.1951298999312417E-4</c:v>
                </c:pt>
                <c:pt idx="169">
                  <c:v>6.1552054595588037E-4</c:v>
                </c:pt>
                <c:pt idx="170">
                  <c:v>6.1154761130058474E-4</c:v>
                </c:pt>
                <c:pt idx="171">
                  <c:v>6.0759432734090681E-4</c:v>
                </c:pt>
                <c:pt idx="172">
                  <c:v>6.0366143773277561E-4</c:v>
                </c:pt>
                <c:pt idx="173">
                  <c:v>5.9974998255029385E-4</c:v>
                </c:pt>
                <c:pt idx="174">
                  <c:v>5.958611268606427E-4</c:v>
                </c:pt>
                <c:pt idx="175">
                  <c:v>5.9199606257299064E-4</c:v>
                </c:pt>
                <c:pt idx="176">
                  <c:v>5.8815595190488763E-4</c:v>
                </c:pt>
                <c:pt idx="177">
                  <c:v>5.843418950559554E-4</c:v>
                </c:pt>
                <c:pt idx="178">
                  <c:v>5.8055491283415717E-4</c:v>
                </c:pt>
                <c:pt idx="179">
                  <c:v>5.7679593831696564E-4</c:v>
                </c:pt>
                <c:pt idx="180">
                  <c:v>5.7306581367605556E-4</c:v>
                </c:pt>
                <c:pt idx="181">
                  <c:v>5.6936529096175074E-4</c:v>
                </c:pt>
                <c:pt idx="182">
                  <c:v>5.6569503461490758E-4</c:v>
                </c:pt>
                <c:pt idx="183">
                  <c:v>5.6205562544162958E-4</c:v>
                </c:pt>
                <c:pt idx="184">
                  <c:v>5.5844756497800459E-4</c:v>
                </c:pt>
                <c:pt idx="185">
                  <c:v>5.548712806395194E-4</c:v>
                </c:pt>
                <c:pt idx="186">
                  <c:v>5.5132713056737701E-4</c:v>
                </c:pt>
                <c:pt idx="187">
                  <c:v>5.4781540859183961E-4</c:v>
                </c:pt>
                <c:pt idx="188">
                  <c:v>5.4433634904415195E-4</c:v>
                </c:pt>
                <c:pt idx="189">
                  <c:v>5.4089013138847479E-4</c:v>
                </c:pt>
                <c:pt idx="190">
                  <c:v>5.3747688456347721E-4</c:v>
                </c:pt>
                <c:pt idx="191">
                  <c:v>5.3409669108318532E-4</c:v>
                </c:pt>
                <c:pt idx="192">
                  <c:v>5.3074959096588003E-4</c:v>
                </c:pt>
                <c:pt idx="193">
                  <c:v>5.274355852791044E-4</c:v>
                </c:pt>
                <c:pt idx="194">
                  <c:v>5.2415463952938917E-4</c:v>
                </c:pt>
                <c:pt idx="195">
                  <c:v>5.2090668687045463E-4</c:v>
                </c:pt>
                <c:pt idx="196">
                  <c:v>5.1769163084773161E-4</c:v>
                </c:pt>
                <c:pt idx="197">
                  <c:v>5.1450934821090652E-4</c:v>
                </c:pt>
                <c:pt idx="198">
                  <c:v>5.1135969142727239E-4</c:v>
                </c:pt>
                <c:pt idx="199">
                  <c:v>5.0824249090270597E-4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Sweep!$E$23:$E$222</c:f>
              <c:numCache>
                <c:formatCode>General</c:formatCode>
                <c:ptCount val="200"/>
                <c:pt idx="0">
                  <c:v>0</c:v>
                </c:pt>
                <c:pt idx="1">
                  <c:v>2.9532681317524947E-4</c:v>
                </c:pt>
                <c:pt idx="2">
                  <c:v>2.953275950754252E-4</c:v>
                </c:pt>
                <c:pt idx="3">
                  <c:v>2.953307648723889E-4</c:v>
                </c:pt>
                <c:pt idx="4">
                  <c:v>2.9533903296727077E-4</c:v>
                </c:pt>
                <c:pt idx="5">
                  <c:v>2.9535608246594031E-4</c:v>
                </c:pt>
                <c:pt idx="6">
                  <c:v>2.9538622727839106E-4</c:v>
                </c:pt>
                <c:pt idx="7">
                  <c:v>2.9543372814792412E-4</c:v>
                </c:pt>
                <c:pt idx="8">
                  <c:v>2.9550209642447659E-4</c:v>
                </c:pt>
                <c:pt idx="9">
                  <c:v>2.9559371149843452E-4</c:v>
                </c:pt>
                <c:pt idx="10">
                  <c:v>2.9570978820429422E-4</c:v>
                </c:pt>
                <c:pt idx="11">
                  <c:v>2.958505600152422E-4</c:v>
                </c:pt>
                <c:pt idx="12">
                  <c:v>2.9601553759696467E-4</c:v>
                </c:pt>
                <c:pt idx="13">
                  <c:v>2.9620375654268953E-4</c:v>
                </c:pt>
                <c:pt idx="14">
                  <c:v>2.9641397805218702E-4</c:v>
                </c:pt>
                <c:pt idx="15">
                  <c:v>2.9664483598015998E-4</c:v>
                </c:pt>
                <c:pt idx="16">
                  <c:v>2.9689493695143801E-4</c:v>
                </c:pt>
                <c:pt idx="17">
                  <c:v>2.9716292413123921E-4</c:v>
                </c:pt>
                <c:pt idx="18">
                  <c:v>2.9744751482374462E-4</c:v>
                </c:pt>
                <c:pt idx="19">
                  <c:v>2.9774752017322113E-4</c:v>
                </c:pt>
                <c:pt idx="20">
                  <c:v>2.9806185312337199E-4</c:v>
                </c:pt>
                <c:pt idx="21">
                  <c:v>2.9838952901087279E-4</c:v>
                </c:pt>
                <c:pt idx="22">
                  <c:v>2.9872966176511484E-4</c:v>
                </c:pt>
                <c:pt idx="23">
                  <c:v>2.9908145769053513E-4</c:v>
                </c:pt>
                <c:pt idx="24">
                  <c:v>2.9944420810426266E-4</c:v>
                </c:pt>
                <c:pt idx="25">
                  <c:v>2.9981728162578022E-4</c:v>
                </c:pt>
                <c:pt idx="26">
                  <c:v>3.0020011659811683E-4</c:v>
                </c:pt>
                <c:pt idx="27">
                  <c:v>3.0059221391283913E-4</c:v>
                </c:pt>
                <c:pt idx="28">
                  <c:v>3.0099313037823837E-4</c:v>
                </c:pt>
                <c:pt idx="29">
                  <c:v>3.0140247268681985E-4</c:v>
                </c:pt>
                <c:pt idx="30">
                  <c:v>3.0181989198759321E-4</c:v>
                </c:pt>
                <c:pt idx="31">
                  <c:v>3.0224507903925282E-4</c:v>
                </c:pt>
                <c:pt idx="32">
                  <c:v>3.0267775990453611E-4</c:v>
                </c:pt>
                <c:pt idx="33">
                  <c:v>3.0311769213879706E-4</c:v>
                </c:pt>
                <c:pt idx="34">
                  <c:v>3.0356466142386011E-4</c:v>
                </c:pt>
                <c:pt idx="35">
                  <c:v>3.0401847859926138E-4</c:v>
                </c:pt>
                <c:pt idx="36">
                  <c:v>3.0447897704594812E-4</c:v>
                </c:pt>
                <c:pt idx="37">
                  <c:v>3.0494601038106461E-4</c:v>
                </c:pt>
                <c:pt idx="38">
                  <c:v>3.0541945042655469E-4</c:v>
                </c:pt>
                <c:pt idx="39">
                  <c:v>3.0589918541828505E-4</c:v>
                </c:pt>
                <c:pt idx="40">
                  <c:v>3.0638511842620992E-4</c:v>
                </c:pt>
                <c:pt idx="41">
                  <c:v>3.0687716595962429E-4</c:v>
                </c:pt>
                <c:pt idx="42">
                  <c:v>3.0737525673474255E-4</c:v>
                </c:pt>
                <c:pt idx="43">
                  <c:v>3.0787933058470029E-4</c:v>
                </c:pt>
                <c:pt idx="44">
                  <c:v>3.083893374946015E-4</c:v>
                </c:pt>
                <c:pt idx="45">
                  <c:v>3.0890523674645729E-4</c:v>
                </c:pt>
                <c:pt idx="46">
                  <c:v>3.0942699616081298E-4</c:v>
                </c:pt>
                <c:pt idx="47">
                  <c:v>3.0995459142355302E-4</c:v>
                </c:pt>
                <c:pt idx="48">
                  <c:v>3.1048800548785137E-4</c:v>
                </c:pt>
                <c:pt idx="49">
                  <c:v>3.1102722804252899E-4</c:v>
                </c:pt>
                <c:pt idx="50">
                  <c:v>3.1157225503917411E-4</c:v>
                </c:pt>
                <c:pt idx="51">
                  <c:v>3.121230882714516E-4</c:v>
                </c:pt>
                <c:pt idx="52">
                  <c:v>3.1267973500031105E-4</c:v>
                </c:pt>
                <c:pt idx="53">
                  <c:v>3.1324220762111792E-4</c:v>
                </c:pt>
                <c:pt idx="54">
                  <c:v>3.1381052336675611E-4</c:v>
                </c:pt>
                <c:pt idx="55">
                  <c:v>3.1438470404399554E-4</c:v>
                </c:pt>
                <c:pt idx="56">
                  <c:v>3.1496477579900472E-4</c:v>
                </c:pt>
                <c:pt idx="57">
                  <c:v>3.1555076890945266E-4</c:v>
                </c:pt>
                <c:pt idx="58">
                  <c:v>3.1614271759989573E-4</c:v>
                </c:pt>
                <c:pt idx="59">
                  <c:v>3.1674065987903166E-4</c:v>
                </c:pt>
                <c:pt idx="60">
                  <c:v>3.173446373959662E-4</c:v>
                </c:pt>
                <c:pt idx="61">
                  <c:v>3.1795469531404528E-4</c:v>
                </c:pt>
                <c:pt idx="62">
                  <c:v>3.1857088220057969E-4</c:v>
                </c:pt>
                <c:pt idx="63">
                  <c:v>3.1919324993104527E-4</c:v>
                </c:pt>
                <c:pt idx="64">
                  <c:v>3.1982185360651991E-4</c:v>
                </c:pt>
                <c:pt idx="65">
                  <c:v>3.204567514832368E-4</c:v>
                </c:pt>
                <c:pt idx="66">
                  <c:v>3.2109800491329934E-4</c:v>
                </c:pt>
                <c:pt idx="67">
                  <c:v>3.2174567829567296E-4</c:v>
                </c:pt>
                <c:pt idx="68">
                  <c:v>3.2239983903671095E-4</c:v>
                </c:pt>
                <c:pt idx="69">
                  <c:v>3.2306055751953234E-4</c:v>
                </c:pt>
                <c:pt idx="70">
                  <c:v>3.2372790708166233E-4</c:v>
                </c:pt>
                <c:pt idx="71">
                  <c:v>3.2440196400041659E-4</c:v>
                </c:pt>
                <c:pt idx="72">
                  <c:v>3.2508280748556623E-4</c:v>
                </c:pt>
                <c:pt idx="73">
                  <c:v>3.2577051967889E-4</c:v>
                </c:pt>
                <c:pt idx="74">
                  <c:v>3.2646518566026289E-4</c:v>
                </c:pt>
                <c:pt idx="75">
                  <c:v>3.27166893459977E-4</c:v>
                </c:pt>
                <c:pt idx="76">
                  <c:v>3.2787573407703558E-4</c:v>
                </c:pt>
                <c:pt idx="77">
                  <c:v>3.2859180150320212E-4</c:v>
                </c:pt>
                <c:pt idx="78">
                  <c:v>3.2931519275261113E-4</c:v>
                </c:pt>
                <c:pt idx="79">
                  <c:v>3.3004600789679608E-4</c:v>
                </c:pt>
                <c:pt idx="80">
                  <c:v>3.3078435010499912E-4</c:v>
                </c:pt>
                <c:pt idx="81">
                  <c:v>3.3153032568967398E-4</c:v>
                </c:pt>
                <c:pt idx="82">
                  <c:v>3.3228404415710291E-4</c:v>
                </c:pt>
                <c:pt idx="83">
                  <c:v>3.3304561826308837E-4</c:v>
                </c:pt>
                <c:pt idx="84">
                  <c:v>3.3381516407368536E-4</c:v>
                </c:pt>
                <c:pt idx="85">
                  <c:v>3.3459280103097781E-4</c:v>
                </c:pt>
                <c:pt idx="86">
                  <c:v>3.3537865202390915E-4</c:v>
                </c:pt>
                <c:pt idx="87">
                  <c:v>3.3617284346421132E-4</c:v>
                </c:pt>
                <c:pt idx="88">
                  <c:v>3.369755053674773E-4</c:v>
                </c:pt>
                <c:pt idx="89">
                  <c:v>3.3778677143945504E-4</c:v>
                </c:pt>
                <c:pt idx="90">
                  <c:v>3.3860677916702189E-4</c:v>
                </c:pt>
                <c:pt idx="91">
                  <c:v>3.3943566991638925E-4</c:v>
                </c:pt>
                <c:pt idx="92">
                  <c:v>3.4027358903741703E-4</c:v>
                </c:pt>
                <c:pt idx="93">
                  <c:v>3.4112068596600485E-4</c:v>
                </c:pt>
                <c:pt idx="94">
                  <c:v>3.4197711434326281E-4</c:v>
                </c:pt>
                <c:pt idx="95">
                  <c:v>3.4284303213423533E-4</c:v>
                </c:pt>
                <c:pt idx="96">
                  <c:v>3.437186017542961E-4</c:v>
                </c:pt>
                <c:pt idx="97">
                  <c:v>3.4460399020198895E-4</c:v>
                </c:pt>
                <c:pt idx="98">
                  <c:v>3.4549936919855083E-4</c:v>
                </c:pt>
                <c:pt idx="99">
                  <c:v>3.4640491533437988E-4</c:v>
                </c:pt>
                <c:pt idx="100">
                  <c:v>3.4732081022271068E-4</c:v>
                </c:pt>
                <c:pt idx="101">
                  <c:v>3.4824724066080345E-4</c:v>
                </c:pt>
                <c:pt idx="102">
                  <c:v>3.4918439879895712E-4</c:v>
                </c:pt>
                <c:pt idx="103">
                  <c:v>3.5013248231769616E-4</c:v>
                </c:pt>
                <c:pt idx="104">
                  <c:v>3.5109169461348478E-4</c:v>
                </c:pt>
                <c:pt idx="105">
                  <c:v>3.5206224499336657E-4</c:v>
                </c:pt>
                <c:pt idx="106">
                  <c:v>3.5304434887894185E-4</c:v>
                </c:pt>
                <c:pt idx="107">
                  <c:v>3.540382280201223E-4</c:v>
                </c:pt>
                <c:pt idx="108">
                  <c:v>3.5504411071914305E-4</c:v>
                </c:pt>
                <c:pt idx="109">
                  <c:v>3.5606223206532901E-4</c:v>
                </c:pt>
                <c:pt idx="110">
                  <c:v>3.5709283418115161E-4</c:v>
                </c:pt>
                <c:pt idx="111">
                  <c:v>3.5813616648014353E-4</c:v>
                </c:pt>
                <c:pt idx="112">
                  <c:v>3.5919248593728573E-4</c:v>
                </c:pt>
                <c:pt idx="113">
                  <c:v>3.6026205737249589E-4</c:v>
                </c:pt>
                <c:pt idx="114">
                  <c:v>3.6134515374790997E-4</c:v>
                </c:pt>
                <c:pt idx="115">
                  <c:v>3.6244205647968793E-4</c:v>
                </c:pt>
                <c:pt idx="116">
                  <c:v>3.635530557651061E-4</c:v>
                </c:pt>
                <c:pt idx="117">
                  <c:v>3.6467845092575497E-4</c:v>
                </c:pt>
                <c:pt idx="118">
                  <c:v>3.6581855076772327E-4</c:v>
                </c:pt>
                <c:pt idx="119">
                  <c:v>3.6697367395967608E-4</c:v>
                </c:pt>
                <c:pt idx="120">
                  <c:v>3.681441494298153E-4</c:v>
                </c:pt>
                <c:pt idx="121">
                  <c:v>3.6933031678275868E-4</c:v>
                </c:pt>
                <c:pt idx="122">
                  <c:v>3.7053252673742789E-4</c:v>
                </c:pt>
                <c:pt idx="123">
                  <c:v>3.7175114158712383E-4</c:v>
                </c:pt>
                <c:pt idx="124">
                  <c:v>3.7298653568300957E-4</c:v>
                </c:pt>
                <c:pt idx="125">
                  <c:v>3.742390959423095E-4</c:v>
                </c:pt>
                <c:pt idx="126">
                  <c:v>3.7550922238259655E-4</c:v>
                </c:pt>
                <c:pt idx="127">
                  <c:v>3.7679732868362394E-4</c:v>
                </c:pt>
                <c:pt idx="128">
                  <c:v>3.7810384277822136E-4</c:v>
                </c:pt>
                <c:pt idx="129">
                  <c:v>3.7942920747387101E-4</c:v>
                </c:pt>
                <c:pt idx="130">
                  <c:v>3.8077388110664603E-4</c:v>
                </c:pt>
                <c:pt idx="131">
                  <c:v>3.8213833822926536E-4</c:v>
                </c:pt>
                <c:pt idx="132">
                  <c:v>3.8352307033510962E-4</c:v>
                </c:pt>
                <c:pt idx="133">
                  <c:v>3.8492858662010176E-4</c:v>
                </c:pt>
                <c:pt idx="134">
                  <c:v>3.8635541478440545E-4</c:v>
                </c:pt>
                <c:pt idx="135">
                  <c:v>3.8780410187595976E-4</c:v>
                </c:pt>
                <c:pt idx="136">
                  <c:v>3.8927521517788822E-4</c:v>
                </c:pt>
                <c:pt idx="137">
                  <c:v>3.9076934314181153E-4</c:v>
                </c:pt>
                <c:pt idx="138">
                  <c:v>3.922870963690821E-4</c:v>
                </c:pt>
                <c:pt idx="139">
                  <c:v>3.9382910864184324E-4</c:v>
                </c:pt>
                <c:pt idx="140">
                  <c:v>3.9539603800569696E-4</c:v>
                </c:pt>
                <c:pt idx="141">
                  <c:v>3.9698856790549084E-4</c:v>
                </c:pt>
                <c:pt idx="142">
                  <c:v>3.986074083459342E-4</c:v>
                </c:pt>
                <c:pt idx="143">
                  <c:v>4.0025329725476783E-4</c:v>
                </c:pt>
                <c:pt idx="144">
                  <c:v>4.019270016044877E-4</c:v>
                </c:pt>
                <c:pt idx="145">
                  <c:v>4.036293188845284E-4</c:v>
                </c:pt>
                <c:pt idx="146">
                  <c:v>4.0536107847510692E-4</c:v>
                </c:pt>
                <c:pt idx="147">
                  <c:v>4.0712314309648064E-4</c:v>
                </c:pt>
                <c:pt idx="148">
                  <c:v>4.0891641029550455E-4</c:v>
                </c:pt>
                <c:pt idx="149">
                  <c:v>4.1074181395667171E-4</c:v>
                </c:pt>
                <c:pt idx="150">
                  <c:v>4.1260032581817149E-4</c:v>
                </c:pt>
                <c:pt idx="151">
                  <c:v>4.1449295696348553E-4</c:v>
                </c:pt>
                <c:pt idx="152">
                  <c:v>4.1642075924384707E-4</c:v>
                </c:pt>
                <c:pt idx="153">
                  <c:v>4.1838482656271112E-4</c:v>
                </c:pt>
                <c:pt idx="154">
                  <c:v>4.2038629591359584E-4</c:v>
                </c:pt>
                <c:pt idx="155">
                  <c:v>4.2242634799342292E-4</c:v>
                </c:pt>
                <c:pt idx="156">
                  <c:v>4.2450620708446796E-4</c:v>
                </c:pt>
                <c:pt idx="157">
                  <c:v>4.2662713963525557E-4</c:v>
                </c:pt>
                <c:pt idx="158">
                  <c:v>4.2879045036650637E-4</c:v>
                </c:pt>
                <c:pt idx="159">
                  <c:v>4.3099747307695643E-4</c:v>
                </c:pt>
                <c:pt idx="160">
                  <c:v>4.332495473899846E-4</c:v>
                </c:pt>
                <c:pt idx="161">
                  <c:v>4.355479349106876E-4</c:v>
                </c:pt>
                <c:pt idx="162">
                  <c:v>4.3374902541964288E-4</c:v>
                </c:pt>
                <c:pt idx="163">
                  <c:v>4.3076442299816198E-4</c:v>
                </c:pt>
                <c:pt idx="164">
                  <c:v>4.279121515369951E-4</c:v>
                </c:pt>
                <c:pt idx="165">
                  <c:v>4.2511667714637501E-4</c:v>
                </c:pt>
                <c:pt idx="166">
                  <c:v>4.2235546153181013E-4</c:v>
                </c:pt>
                <c:pt idx="167">
                  <c:v>4.1961948384838994E-4</c:v>
                </c:pt>
                <c:pt idx="168">
                  <c:v>4.1690475349734189E-4</c:v>
                </c:pt>
                <c:pt idx="169">
                  <c:v>4.1420951159335402E-4</c:v>
                </c:pt>
                <c:pt idx="170">
                  <c:v>4.1153308892456016E-4</c:v>
                </c:pt>
                <c:pt idx="171">
                  <c:v>4.088753749171389E-4</c:v>
                </c:pt>
                <c:pt idx="172">
                  <c:v>4.0623654831960313E-4</c:v>
                </c:pt>
                <c:pt idx="173">
                  <c:v>4.036169322718702E-4</c:v>
                </c:pt>
                <c:pt idx="174">
                  <c:v>4.0101691316714587E-4</c:v>
                </c:pt>
                <c:pt idx="175">
                  <c:v>3.9843689416706711E-4</c:v>
                </c:pt>
                <c:pt idx="176">
                  <c:v>3.9587726838706338E-4</c:v>
                </c:pt>
                <c:pt idx="177">
                  <c:v>3.9333840362696846E-4</c:v>
                </c:pt>
                <c:pt idx="178">
                  <c:v>3.9082063404729286E-4</c:v>
                </c:pt>
                <c:pt idx="179">
                  <c:v>3.8832425609441082E-4</c:v>
                </c:pt>
                <c:pt idx="180">
                  <c:v>3.8584952704760371E-4</c:v>
                </c:pt>
                <c:pt idx="181">
                  <c:v>3.8339666518327531E-4</c:v>
                </c:pt>
                <c:pt idx="182">
                  <c:v>3.8096585092444016E-4</c:v>
                </c:pt>
                <c:pt idx="183">
                  <c:v>3.7855722857249401E-4</c:v>
                </c:pt>
                <c:pt idx="184">
                  <c:v>3.7617090836184229E-4</c:v>
                </c:pt>
                <c:pt idx="185">
                  <c:v>3.7380696866960234E-4</c:v>
                </c:pt>
                <c:pt idx="186">
                  <c:v>3.7146545827200077E-4</c:v>
                </c:pt>
                <c:pt idx="187">
                  <c:v>3.6914639857803298E-4</c:v>
                </c:pt>
                <c:pt idx="188">
                  <c:v>3.6684978579672065E-4</c:v>
                </c:pt>
                <c:pt idx="189">
                  <c:v>3.6457559301151707E-4</c:v>
                </c:pt>
                <c:pt idx="190">
                  <c:v>3.6232377214685563E-4</c:v>
                </c:pt>
                <c:pt idx="191">
                  <c:v>3.6009425581953091E-4</c:v>
                </c:pt>
                <c:pt idx="192">
                  <c:v>3.5788695907270002E-4</c:v>
                </c:pt>
                <c:pt idx="193">
                  <c:v>3.5570178099363938E-4</c:v>
                </c:pt>
                <c:pt idx="194">
                  <c:v>3.5353860621854485E-4</c:v>
                </c:pt>
                <c:pt idx="195">
                  <c:v>3.5139730632902436E-4</c:v>
                </c:pt>
                <c:pt idx="196">
                  <c:v>3.4927774114568735E-4</c:v>
                </c:pt>
                <c:pt idx="197">
                  <c:v>3.4717975992465004E-4</c:v>
                </c:pt>
                <c:pt idx="198">
                  <c:v>3.4510320246290807E-4</c:v>
                </c:pt>
                <c:pt idx="199">
                  <c:v>3.430479001184865E-4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Sublimation Pressure]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Sweep!$B$22</c:f>
              <c:strCache>
                <c:ptCount val="1"/>
                <c:pt idx="0">
                  <c:v>p(T) [MPa]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Sweep!$B$23:$B$222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1.8435807213083954E-249</c:v>
                </c:pt>
                <c:pt idx="6">
                  <c:v>6.6327243518992226E-205</c:v>
                </c:pt>
                <c:pt idx="7">
                  <c:v>5.5856495977750459E-173</c:v>
                </c:pt>
                <c:pt idx="8">
                  <c:v>5.2629527538908082E-149</c:v>
                </c:pt>
                <c:pt idx="9">
                  <c:v>2.3263585575192892E-130</c:v>
                </c:pt>
                <c:pt idx="10">
                  <c:v>1.8505363091005237E-115</c:v>
                </c:pt>
                <c:pt idx="11">
                  <c:v>2.7301935033913423E-103</c:v>
                </c:pt>
                <c:pt idx="12">
                  <c:v>3.5607707421086625E-93</c:v>
                </c:pt>
                <c:pt idx="13">
                  <c:v>1.2146206888366937E-84</c:v>
                </c:pt>
                <c:pt idx="14">
                  <c:v>2.3567953385782372E-77</c:v>
                </c:pt>
                <c:pt idx="15">
                  <c:v>4.6049951781501448E-71</c:v>
                </c:pt>
                <c:pt idx="16">
                  <c:v>1.3917792794489802E-65</c:v>
                </c:pt>
                <c:pt idx="17">
                  <c:v>9.0394294665303682E-61</c:v>
                </c:pt>
                <c:pt idx="18">
                  <c:v>1.6299420770743086E-56</c:v>
                </c:pt>
                <c:pt idx="19">
                  <c:v>9.9906400720680629E-53</c:v>
                </c:pt>
                <c:pt idx="20">
                  <c:v>2.448098308478274E-49</c:v>
                </c:pt>
                <c:pt idx="21">
                  <c:v>2.7349304397228741E-46</c:v>
                </c:pt>
                <c:pt idx="22">
                  <c:v>1.5512369901682654E-43</c:v>
                </c:pt>
                <c:pt idx="23">
                  <c:v>4.8826893939413668E-41</c:v>
                </c:pt>
                <c:pt idx="24">
                  <c:v>9.1855669015142465E-39</c:v>
                </c:pt>
                <c:pt idx="25">
                  <c:v>1.0992495032885399E-36</c:v>
                </c:pt>
                <c:pt idx="26">
                  <c:v>8.8217110523094814E-35</c:v>
                </c:pt>
                <c:pt idx="27">
                  <c:v>4.9660405692412144E-33</c:v>
                </c:pt>
                <c:pt idx="28">
                  <c:v>2.0380648112416206E-31</c:v>
                </c:pt>
                <c:pt idx="29">
                  <c:v>6.3040373791350412E-30</c:v>
                </c:pt>
                <c:pt idx="30">
                  <c:v>1.5126273630190961E-28</c:v>
                </c:pt>
                <c:pt idx="31">
                  <c:v>2.8871054864220608E-27</c:v>
                </c:pt>
                <c:pt idx="32">
                  <c:v>4.4807767058663126E-26</c:v>
                </c:pt>
                <c:pt idx="33">
                  <c:v>5.7648695448559556E-25</c:v>
                </c:pt>
                <c:pt idx="34">
                  <c:v>6.2541686990519955E-24</c:v>
                </c:pt>
                <c:pt idx="35">
                  <c:v>5.8082524302438808E-23</c:v>
                </c:pt>
                <c:pt idx="36">
                  <c:v>4.6799342856308233E-22</c:v>
                </c:pt>
                <c:pt idx="37">
                  <c:v>3.3108846790533031E-21</c:v>
                </c:pt>
                <c:pt idx="38">
                  <c:v>2.0787482816467839E-20</c:v>
                </c:pt>
                <c:pt idx="39">
                  <c:v>1.1694423522989679E-19</c:v>
                </c:pt>
                <c:pt idx="40">
                  <c:v>5.9459593304923537E-19</c:v>
                </c:pt>
                <c:pt idx="41">
                  <c:v>2.7536638834830766E-18</c:v>
                </c:pt>
                <c:pt idx="42">
                  <c:v>1.1697732402092181E-17</c:v>
                </c:pt>
                <c:pt idx="43">
                  <c:v>4.5873710355331305E-17</c:v>
                </c:pt>
                <c:pt idx="44">
                  <c:v>1.670372848208396E-16</c:v>
                </c:pt>
                <c:pt idx="45">
                  <c:v>5.6772849731957492E-16</c:v>
                </c:pt>
                <c:pt idx="46">
                  <c:v>1.8098181489378448E-15</c:v>
                </c:pt>
                <c:pt idx="47">
                  <c:v>5.4350767525250891E-15</c:v>
                </c:pt>
                <c:pt idx="48">
                  <c:v>1.543836916640625E-14</c:v>
                </c:pt>
                <c:pt idx="49">
                  <c:v>4.1631882785267622E-14</c:v>
                </c:pt>
                <c:pt idx="50">
                  <c:v>1.0694323293216522E-13</c:v>
                </c:pt>
                <c:pt idx="51">
                  <c:v>2.6250617640061087E-13</c:v>
                </c:pt>
                <c:pt idx="52">
                  <c:v>6.1749710044184206E-13</c:v>
                </c:pt>
                <c:pt idx="53">
                  <c:v>1.3957049256827776E-12</c:v>
                </c:pt>
                <c:pt idx="54">
                  <c:v>3.0386627353531568E-12</c:v>
                </c:pt>
                <c:pt idx="55">
                  <c:v>6.3868868601352157E-12</c:v>
                </c:pt>
                <c:pt idx="56">
                  <c:v>1.2987609544028913E-11</c:v>
                </c:pt>
                <c:pt idx="57">
                  <c:v>2.5600714895693397E-11</c:v>
                </c:pt>
                <c:pt idx="58">
                  <c:v>4.9005774173239167E-11</c:v>
                </c:pt>
                <c:pt idx="59">
                  <c:v>9.1253403146746043E-11</c:v>
                </c:pt>
                <c:pt idx="60">
                  <c:v>1.6555467063566959E-10</c:v>
                </c:pt>
                <c:pt idx="61">
                  <c:v>2.9306363943289423E-10</c:v>
                </c:pt>
                <c:pt idx="62">
                  <c:v>5.0688049645109539E-10</c:v>
                </c:pt>
                <c:pt idx="63">
                  <c:v>8.5768573958285365E-10</c:v>
                </c:pt>
                <c:pt idx="64">
                  <c:v>1.4215085529703069E-9</c:v>
                </c:pt>
                <c:pt idx="65">
                  <c:v>2.3102332777003973E-9</c:v>
                </c:pt>
                <c:pt idx="66">
                  <c:v>3.6855547592994827E-9</c:v>
                </c:pt>
                <c:pt idx="67">
                  <c:v>5.7772039886216731E-9</c:v>
                </c:pt>
                <c:pt idx="68">
                  <c:v>8.9063773669870646E-9</c:v>
                </c:pt>
                <c:pt idx="69">
                  <c:v>1.3515413697901337E-8</c:v>
                </c:pt>
                <c:pt idx="70">
                  <c:v>2.0204870479776375E-8</c:v>
                </c:pt>
                <c:pt idx="71">
                  <c:v>2.9779253543240484E-8</c:v>
                </c:pt>
                <c:pt idx="72">
                  <c:v>4.3302750446821911E-8</c:v>
                </c:pt>
                <c:pt idx="73">
                  <c:v>6.2166407936683745E-8</c:v>
                </c:pt>
                <c:pt idx="74">
                  <c:v>8.8168277585033267E-8</c:v>
                </c:pt>
                <c:pt idx="75">
                  <c:v>1.2360813262357693E-7</c:v>
                </c:pt>
                <c:pt idx="76">
                  <c:v>1.7139843489671264E-7</c:v>
                </c:pt>
                <c:pt idx="77">
                  <c:v>2.3519330634352406E-7</c:v>
                </c:pt>
                <c:pt idx="78">
                  <c:v>3.1953733759130972E-7</c:v>
                </c:pt>
                <c:pt idx="79">
                  <c:v>4.3003615063413345E-7</c:v>
                </c:pt>
                <c:pt idx="80">
                  <c:v>5.7355072698490321E-7</c:v>
                </c:pt>
                <c:pt idx="81">
                  <c:v>7.5841762108561162E-7</c:v>
                </c:pt>
                <c:pt idx="82">
                  <c:v>9.94697305128431E-7</c:v>
                </c:pt>
                <c:pt idx="83">
                  <c:v>1.2944530397103907E-6</c:v>
                </c:pt>
                <c:pt idx="84">
                  <c:v>1.672062838716687E-6</c:v>
                </c:pt>
                <c:pt idx="85">
                  <c:v>2.1445673001302014E-6</c:v>
                </c:pt>
                <c:pt idx="86">
                  <c:v>2.7320563105399358E-6</c:v>
                </c:pt>
                <c:pt idx="87">
                  <c:v>3.458097903235903E-6</c:v>
                </c:pt>
                <c:pt idx="88">
                  <c:v>4.350212861060431E-6</c:v>
                </c:pt>
                <c:pt idx="89">
                  <c:v>5.4403990086783627E-6</c:v>
                </c:pt>
                <c:pt idx="90">
                  <c:v>6.7657095376585508E-6</c:v>
                </c:pt>
                <c:pt idx="91">
                  <c:v>8.3688901548242851E-6</c:v>
                </c:pt>
                <c:pt idx="92">
                  <c:v>1.029908034298704E-5</c:v>
                </c:pt>
                <c:pt idx="93">
                  <c:v>1.261258457694267E-5</c:v>
                </c:pt>
                <c:pt idx="94">
                  <c:v>1.5373719950363008E-5</c:v>
                </c:pt>
                <c:pt idx="95">
                  <c:v>1.8655747345298927E-5</c:v>
                </c:pt>
                <c:pt idx="96">
                  <c:v>2.2541894020356098E-5</c:v>
                </c:pt>
                <c:pt idx="97">
                  <c:v>2.7126476311805692E-5</c:v>
                </c:pt>
                <c:pt idx="98">
                  <c:v>3.251613204037623E-5</c:v>
                </c:pt>
                <c:pt idx="99">
                  <c:v>3.8831173202551702E-5</c:v>
                </c:pt>
                <c:pt idx="100">
                  <c:v>4.6207070607271006E-5</c:v>
                </c:pt>
                <c:pt idx="101">
                  <c:v>5.4796083306529869E-5</c:v>
                </c:pt>
                <c:pt idx="102">
                  <c:v>6.4769046972442296E-5</c:v>
                </c:pt>
                <c:pt idx="103">
                  <c:v>7.6317336806217933E-5</c:v>
                </c:pt>
                <c:pt idx="104">
                  <c:v>8.96550221403603E-5</c:v>
                </c:pt>
                <c:pt idx="105">
                  <c:v>1.0502123163019102E-4</c:v>
                </c:pt>
                <c:pt idx="106">
                  <c:v>1.2268274984276629E-4</c:v>
                </c:pt>
                <c:pt idx="107">
                  <c:v>1.4293686816096979E-4</c:v>
                </c:pt>
                <c:pt idx="108">
                  <c:v>1.6611451525153564E-4</c:v>
                </c:pt>
                <c:pt idx="109">
                  <c:v>1.9258369492459383E-4</c:v>
                </c:pt>
                <c:pt idx="110">
                  <c:v>2.2275326206937498E-4</c:v>
                </c:pt>
                <c:pt idx="111">
                  <c:v>2.5707707052053969E-4</c:v>
                </c:pt>
                <c:pt idx="112">
                  <c:v>2.9605853023164042E-4</c:v>
                </c:pt>
                <c:pt idx="113">
                  <c:v>3.4025561505163617E-4</c:v>
                </c:pt>
                <c:pt idx="114">
                  <c:v>3.9028636676888604E-4</c:v>
                </c:pt>
                <c:pt idx="115">
                  <c:v>4.4683494596407981E-4</c:v>
                </c:pt>
                <c:pt idx="116">
                  <c:v>5.1065828566759048E-4</c:v>
                </c:pt>
                <c:pt idx="117">
                  <c:v>5.8259340992681467E-4</c:v>
                </c:pt>
                <c:pt idx="118">
                  <c:v>6.6356548624676157E-4</c:v>
                </c:pt>
                <c:pt idx="119">
                  <c:v>7.5459668857888148E-4</c:v>
                </c:pt>
                <c:pt idx="120">
                  <c:v>8.5681595622266965E-4</c:v>
                </c:pt>
                <c:pt idx="121">
                  <c:v>9.7146974381707584E-4</c:v>
                </c:pt>
                <c:pt idx="122">
                  <c:v>1.099933868703853E-3</c:v>
                </c:pt>
                <c:pt idx="123">
                  <c:v>1.2437265745429268E-3</c:v>
                </c:pt>
                <c:pt idx="124">
                  <c:v>1.4045229443872135E-3</c:v>
                </c:pt>
                <c:pt idx="125">
                  <c:v>1.5841708127611008E-3</c:v>
                </c:pt>
                <c:pt idx="126">
                  <c:v>1.7847083449680872E-3</c:v>
                </c:pt>
                <c:pt idx="127">
                  <c:v>2.0083834732780035E-3</c:v>
                </c:pt>
                <c:pt idx="128">
                  <c:v>2.257675404294696E-3</c:v>
                </c:pt>
                <c:pt idx="129">
                  <c:v>2.5353184402621266E-3</c:v>
                </c:pt>
                <c:pt idx="130">
                  <c:v>2.8443283900373472E-3</c:v>
                </c:pt>
                <c:pt idx="131">
                  <c:v>3.1880318838063992E-3</c:v>
                </c:pt>
                <c:pt idx="132">
                  <c:v>3.5700989504060311E-3</c:v>
                </c:pt>
                <c:pt idx="133">
                  <c:v>3.9945792686547519E-3</c:v>
                </c:pt>
                <c:pt idx="134">
                  <c:v>4.4659425660305502E-3</c:v>
                </c:pt>
                <c:pt idx="135">
                  <c:v>4.9891237114172747E-3</c:v>
                </c:pt>
                <c:pt idx="136">
                  <c:v>5.5695731360854627E-3</c:v>
                </c:pt>
                <c:pt idx="137">
                  <c:v>6.2133133219056721E-3</c:v>
                </c:pt>
                <c:pt idx="138">
                  <c:v>6.9270022223095404E-3</c:v>
                </c:pt>
                <c:pt idx="139">
                  <c:v>7.7180046353148499E-3</c:v>
                </c:pt>
                <c:pt idx="140">
                  <c:v>8.5944727363921145E-3</c:v>
                </c:pt>
                <c:pt idx="141">
                  <c:v>9.5654372119169731E-3</c:v>
                </c:pt>
                <c:pt idx="142">
                  <c:v>1.0640910724731053E-2</c:v>
                </c:pt>
                <c:pt idx="143">
                  <c:v>1.183200581018188E-2</c:v>
                </c:pt>
                <c:pt idx="144">
                  <c:v>1.3151069769383451E-2</c:v>
                </c:pt>
                <c:pt idx="145">
                  <c:v>1.4611839732446964E-2</c:v>
                </c:pt>
                <c:pt idx="146">
                  <c:v>1.6229621860342061E-2</c:v>
                </c:pt>
                <c:pt idx="147">
                  <c:v>1.8021499717148511E-2</c:v>
                </c:pt>
                <c:pt idx="148">
                  <c:v>2.0006578291866792E-2</c:v>
                </c:pt>
                <c:pt idx="149">
                  <c:v>2.2206272163061522E-2</c:v>
                </c:pt>
                <c:pt idx="150">
                  <c:v>2.4644649173370857E-2</c:v>
                </c:pt>
                <c:pt idx="151">
                  <c:v>2.7348845201801881E-2</c:v>
                </c:pt>
                <c:pt idx="152">
                  <c:v>3.034957203450275E-2</c:v>
                </c:pt>
                <c:pt idx="153">
                  <c:v>3.3681750474221527E-2</c:v>
                </c:pt>
                <c:pt idx="154">
                  <c:v>3.7385317643864414E-2</c:v>
                </c:pt>
                <c:pt idx="155">
                  <c:v>4.1506286989335998E-2</c:v>
                </c:pt>
                <c:pt idx="156">
                  <c:v>4.609819528819141E-2</c:v>
                </c:pt>
                <c:pt idx="157">
                  <c:v>5.1224186485542639E-2</c:v>
                </c:pt>
                <c:pt idx="158">
                  <c:v>5.6960252398671536E-2</c:v>
                </c:pt>
                <c:pt idx="159">
                  <c:v>6.3400901893917685E-2</c:v>
                </c:pt>
                <c:pt idx="160">
                  <c:v>7.0671278307414626E-2</c:v>
                </c:pt>
                <c:pt idx="161">
                  <c:v>7.8967562992883975E-2</c:v>
                </c:pt>
                <c:pt idx="162">
                  <c:v>2.1048784150911288</c:v>
                </c:pt>
                <c:pt idx="163">
                  <c:v>4.7329999051786098</c:v>
                </c:pt>
                <c:pt idx="164">
                  <c:v>7.3194607984165074</c:v>
                </c:pt>
                <c:pt idx="165">
                  <c:v>9.9006287875047612</c:v>
                </c:pt>
                <c:pt idx="166">
                  <c:v>12.487514843583808</c:v>
                </c:pt>
                <c:pt idx="167">
                  <c:v>15.084649648119079</c:v>
                </c:pt>
                <c:pt idx="168">
                  <c:v>17.694128502837781</c:v>
                </c:pt>
                <c:pt idx="169">
                  <c:v>20.31694466780559</c:v>
                </c:pt>
                <c:pt idx="170">
                  <c:v>22.953535010356145</c:v>
                </c:pt>
                <c:pt idx="171">
                  <c:v>25.60403543586812</c:v>
                </c:pt>
                <c:pt idx="172">
                  <c:v>28.268411971172167</c:v>
                </c:pt>
                <c:pt idx="173">
                  <c:v>30.946532635853369</c:v>
                </c:pt>
                <c:pt idx="174">
                  <c:v>33.638208823548005</c:v>
                </c:pt>
                <c:pt idx="175">
                  <c:v>36.343220010197143</c:v>
                </c:pt>
                <c:pt idx="176">
                  <c:v>39.061328902783167</c:v>
                </c:pt>
                <c:pt idx="177">
                  <c:v>41.792290895572407</c:v>
                </c:pt>
                <c:pt idx="178">
                  <c:v>44.535860031586893</c:v>
                </c:pt>
                <c:pt idx="179">
                  <c:v>47.291792765223157</c:v>
                </c:pt>
                <c:pt idx="180">
                  <c:v>50.05985031414356</c:v>
                </c:pt>
                <c:pt idx="181">
                  <c:v>52.839800092389034</c:v>
                </c:pt>
                <c:pt idx="182">
                  <c:v>55.631416538625139</c:v>
                </c:pt>
                <c:pt idx="183">
                  <c:v>58.43448154358439</c:v>
                </c:pt>
                <c:pt idx="184">
                  <c:v>61.248784611436271</c:v>
                </c:pt>
                <c:pt idx="185">
                  <c:v>64.074122845192022</c:v>
                </c:pt>
                <c:pt idx="186">
                  <c:v>66.910300817023838</c:v>
                </c:pt>
                <c:pt idx="187">
                  <c:v>69.757130364950655</c:v>
                </c:pt>
                <c:pt idx="188">
                  <c:v>72.614430344261109</c:v>
                </c:pt>
                <c:pt idx="189">
                  <c:v>75.482026353130621</c:v>
                </c:pt>
                <c:pt idx="190">
                  <c:v>78.359750445769308</c:v>
                </c:pt>
                <c:pt idx="191">
                  <c:v>81.247440842188809</c:v>
                </c:pt>
                <c:pt idx="192">
                  <c:v>84.144941640721512</c:v>
                </c:pt>
                <c:pt idx="193">
                  <c:v>87.052102537353662</c:v>
                </c:pt>
                <c:pt idx="194">
                  <c:v>89.968778554478632</c:v>
                </c:pt>
                <c:pt idx="195">
                  <c:v>92.894829780660089</c:v>
                </c:pt>
                <c:pt idx="196">
                  <c:v>95.830121122275727</c:v>
                </c:pt>
                <c:pt idx="197">
                  <c:v>98.774522067415731</c:v>
                </c:pt>
                <c:pt idx="198">
                  <c:v>101.7279064620672</c:v>
                </c:pt>
                <c:pt idx="199">
                  <c:v>104.69015229837888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40-4294-817F-572F7F43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63359"/>
        <c:axId val="2083467679"/>
      </c:scatterChart>
      <c:valAx>
        <c:axId val="2083463359"/>
        <c:scaling>
          <c:orientation val="minMax"/>
          <c:max val="160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7679"/>
        <c:crosses val="autoZero"/>
        <c:crossBetween val="midCat"/>
      </c:valAx>
      <c:valAx>
        <c:axId val="2083467679"/>
        <c:scaling>
          <c:logBase val="10"/>
          <c:orientation val="minMax"/>
          <c:min val="1.0000000000000009E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Melting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Sweep!$O$22</c:f>
              <c:strCache>
                <c:ptCount val="1"/>
                <c:pt idx="0">
                  <c:v>Log Pressure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Sweep!$O$23:$O$372</c:f>
              <c:numCache>
                <c:formatCode>General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-248.73433784202786</c:v>
                </c:pt>
                <c:pt idx="6">
                  <c:v>-204.17830805108647</c:v>
                </c:pt>
                <c:pt idx="7">
                  <c:v>-172.25292631219497</c:v>
                </c:pt>
                <c:pt idx="8">
                  <c:v>-148.27877052867484</c:v>
                </c:pt>
                <c:pt idx="9">
                  <c:v>-129.6333233474102</c:v>
                </c:pt>
                <c:pt idx="10">
                  <c:v>-114.73270238925717</c:v>
                </c:pt>
                <c:pt idx="11">
                  <c:v>-102.56380657109956</c:v>
                </c:pt>
                <c:pt idx="12">
                  <c:v>-92.448455987191323</c:v>
                </c:pt>
                <c:pt idx="13">
                  <c:v>-83.915559325740134</c:v>
                </c:pt>
                <c:pt idx="14">
                  <c:v>-76.627678129476223</c:v>
                </c:pt>
                <c:pt idx="15">
                  <c:v>-70.33677082021282</c:v>
                </c:pt>
                <c:pt idx="16">
                  <c:v>-64.856429633488332</c:v>
                </c:pt>
                <c:pt idx="17">
                  <c:v>-60.043858979630485</c:v>
                </c:pt>
                <c:pt idx="18">
                  <c:v>-55.78782782875799</c:v>
                </c:pt>
                <c:pt idx="19">
                  <c:v>-52.000406686862874</c:v>
                </c:pt>
                <c:pt idx="20">
                  <c:v>-48.611171146178286</c:v>
                </c:pt>
                <c:pt idx="21">
                  <c:v>-45.56305371504488</c:v>
                </c:pt>
                <c:pt idx="22">
                  <c:v>-42.809321847795758</c:v>
                </c:pt>
                <c:pt idx="23">
                  <c:v>-40.311340901926769</c:v>
                </c:pt>
                <c:pt idx="24">
                  <c:v>-38.036894035373209</c:v>
                </c:pt>
                <c:pt idx="25">
                  <c:v>-35.958903721950328</c:v>
                </c:pt>
                <c:pt idx="26">
                  <c:v>-34.054447171273395</c:v>
                </c:pt>
                <c:pt idx="27">
                  <c:v>-32.303989736870534</c:v>
                </c:pt>
                <c:pt idx="28">
                  <c:v>-30.690782009379127</c:v>
                </c:pt>
                <c:pt idx="29">
                  <c:v>-29.200381220406832</c:v>
                </c:pt>
                <c:pt idx="30">
                  <c:v>-27.82026804759936</c:v>
                </c:pt>
                <c:pt idx="31">
                  <c:v>-26.539537347974463</c:v>
                </c:pt>
                <c:pt idx="32">
                  <c:v>-25.348646698092399</c:v>
                </c:pt>
                <c:pt idx="33">
                  <c:v>-24.239210516051891</c:v>
                </c:pt>
                <c:pt idx="34">
                  <c:v>-23.203830408337847</c:v>
                </c:pt>
                <c:pt idx="35">
                  <c:v>-22.23595451719094</c:v>
                </c:pt>
                <c:pt idx="36">
                  <c:v>-21.329760245128501</c:v>
                </c:pt>
                <c:pt idx="37">
                  <c:v>-20.480055945832955</c:v>
                </c:pt>
                <c:pt idx="38">
                  <c:v>-19.682198096772606</c:v>
                </c:pt>
                <c:pt idx="39">
                  <c:v>-18.932021181888619</c:v>
                </c:pt>
                <c:pt idx="40">
                  <c:v>-18.225778065632788</c:v>
                </c:pt>
                <c:pt idx="41">
                  <c:v>-17.560089071507235</c:v>
                </c:pt>
                <c:pt idx="42">
                  <c:v>-16.931898317801217</c:v>
                </c:pt>
                <c:pt idx="43">
                  <c:v>-16.338436131861073</c:v>
                </c:pt>
                <c:pt idx="44">
                  <c:v>-15.77718657804631</c:v>
                </c:pt>
                <c:pt idx="45">
                  <c:v>-15.245859305672385</c:v>
                </c:pt>
                <c:pt idx="46">
                  <c:v>-14.742365060976397</c:v>
                </c:pt>
                <c:pt idx="47">
                  <c:v>-14.264794318557859</c:v>
                </c:pt>
                <c:pt idx="48">
                  <c:v>-13.811398578316217</c:v>
                </c:pt>
                <c:pt idx="49">
                  <c:v>-13.380573947874636</c:v>
                </c:pt>
                <c:pt idx="50">
                  <c:v>-12.970846691159775</c:v>
                </c:pt>
                <c:pt idx="51">
                  <c:v>-12.580860473800323</c:v>
                </c:pt>
                <c:pt idx="52">
                  <c:v>-12.209365077363948</c:v>
                </c:pt>
                <c:pt idx="53">
                  <c:v>-11.855206388799646</c:v>
                </c:pt>
                <c:pt idx="54">
                  <c:v>-11.517317500085678</c:v>
                </c:pt>
                <c:pt idx="55">
                  <c:v>-11.194710777039786</c:v>
                </c:pt>
                <c:pt idx="56">
                  <c:v>-10.8864707763613</c:v>
                </c:pt>
                <c:pt idx="57">
                  <c:v>-10.591747906917847</c:v>
                </c:pt>
                <c:pt idx="58">
                  <c:v>-10.30975274560754</c:v>
                </c:pt>
                <c:pt idx="59">
                  <c:v>-10.039750930265534</c:v>
                </c:pt>
                <c:pt idx="60">
                  <c:v>-9.7810585624040005</c:v>
                </c:pt>
                <c:pt idx="61">
                  <c:v>-9.5330380613746772</c:v>
                </c:pt>
                <c:pt idx="62">
                  <c:v>-9.2950944190678246</c:v>
                </c:pt>
                <c:pt idx="63">
                  <c:v>-9.0666718107127906</c:v>
                </c:pt>
                <c:pt idx="64">
                  <c:v>-8.8472505228911373</c:v>
                </c:pt>
                <c:pt idx="65">
                  <c:v>-8.6363441646520673</c:v>
                </c:pt>
                <c:pt idx="66">
                  <c:v>-8.4334971317482079</c:v>
                </c:pt>
                <c:pt idx="67">
                  <c:v>-8.2382822975843091</c:v>
                </c:pt>
                <c:pt idx="68">
                  <c:v>-8.0502989075735272</c:v>
                </c:pt>
                <c:pt idx="69">
                  <c:v>-7.8691706562940791</c:v>
                </c:pt>
                <c:pt idx="70">
                  <c:v>-7.6945439291905835</c:v>
                </c:pt>
                <c:pt idx="71">
                  <c:v>-7.5260861926185854</c:v>
                </c:pt>
                <c:pt idx="72">
                  <c:v>-7.3634845178281294</c:v>
                </c:pt>
                <c:pt idx="73">
                  <c:v>-7.2064442260586725</c:v>
                </c:pt>
                <c:pt idx="74">
                  <c:v>-7.0546876433023398</c:v>
                </c:pt>
                <c:pt idx="75">
                  <c:v>-6.9079529545113587</c:v>
                </c:pt>
                <c:pt idx="76">
                  <c:v>-6.7659931481002458</c:v>
                </c:pt>
                <c:pt idx="77">
                  <c:v>-6.6285750425424892</c:v>
                </c:pt>
                <c:pt idx="78">
                  <c:v>-6.4954783877013424</c:v>
                </c:pt>
                <c:pt idx="79">
                  <c:v>-6.3664950342785573</c:v>
                </c:pt>
                <c:pt idx="80">
                  <c:v>-6.2414281654255372</c:v>
                </c:pt>
                <c:pt idx="81">
                  <c:v>-6.1200915851487041</c:v>
                </c:pt>
                <c:pt idx="82">
                  <c:v>-6.0023090586637196</c:v>
                </c:pt>
                <c:pt idx="83">
                  <c:v>-5.8879137003195536</c:v>
                </c:pt>
                <c:pt idx="84">
                  <c:v>-5.7767474051296039</c:v>
                </c:pt>
                <c:pt idx="85">
                  <c:v>-5.6686603203194945</c:v>
                </c:pt>
                <c:pt idx="86">
                  <c:v>-5.5635103536344506</c:v>
                </c:pt>
                <c:pt idx="87">
                  <c:v>-5.4611627154480926</c:v>
                </c:pt>
                <c:pt idx="88">
                  <c:v>-5.3614894919827849</c:v>
                </c:pt>
                <c:pt idx="89">
                  <c:v>-5.2643692471929064</c:v>
                </c:pt>
                <c:pt idx="90">
                  <c:v>-5.169686651079501</c:v>
                </c:pt>
                <c:pt idx="91">
                  <c:v>-5.0773321324003478</c:v>
                </c:pt>
                <c:pt idx="92">
                  <c:v>-4.9872015539159689</c:v>
                </c:pt>
                <c:pt idx="93">
                  <c:v>-4.8991959084714773</c:v>
                </c:pt>
                <c:pt idx="94">
                  <c:v>-4.8132210343581887</c:v>
                </c:pt>
                <c:pt idx="95">
                  <c:v>-4.7291873485294369</c:v>
                </c:pt>
                <c:pt idx="96">
                  <c:v>-4.6470095963630476</c:v>
                </c:pt>
                <c:pt idx="97">
                  <c:v>-4.5666066167701933</c:v>
                </c:pt>
                <c:pt idx="98">
                  <c:v>-4.4879011215475035</c:v>
                </c:pt>
                <c:pt idx="99">
                  <c:v>-4.410819487957756</c:v>
                </c:pt>
                <c:pt idx="100">
                  <c:v>-4.3352915636047351</c:v>
                </c:pt>
                <c:pt idx="101">
                  <c:v>-4.2612504827410245</c:v>
                </c:pt>
                <c:pt idx="102">
                  <c:v>-4.1886324932140466</c:v>
                </c:pt>
                <c:pt idx="103">
                  <c:v>-4.1173767933163337</c:v>
                </c:pt>
                <c:pt idx="104">
                  <c:v>-4.0474253778613472</c:v>
                </c:pt>
                <c:pt idx="105">
                  <c:v>-3.9787228928566245</c:v>
                </c:pt>
                <c:pt idx="106">
                  <c:v>-3.9112164981920352</c:v>
                </c:pt>
                <c:pt idx="107">
                  <c:v>-3.8448557378029902</c:v>
                </c:pt>
                <c:pt idx="108">
                  <c:v>-3.7795924168067807</c:v>
                </c:pt>
                <c:pt idx="109">
                  <c:v>-3.7153804851451921</c:v>
                </c:pt>
                <c:pt idx="110">
                  <c:v>-3.6521759272984688</c:v>
                </c:pt>
                <c:pt idx="111">
                  <c:v>-3.5899366576647544</c:v>
                </c:pt>
                <c:pt idx="112">
                  <c:v>-3.5286224212255881</c:v>
                </c:pt>
                <c:pt idx="113">
                  <c:v>-3.4681946991420567</c:v>
                </c:pt>
                <c:pt idx="114">
                  <c:v>-3.408616618947943</c:v>
                </c:pt>
                <c:pt idx="115">
                  <c:v>-3.34985286902582</c:v>
                </c:pt>
                <c:pt idx="116">
                  <c:v>-3.2918696170696573</c:v>
                </c:pt>
                <c:pt idx="117">
                  <c:v>-3.2346344322531624</c:v>
                </c:pt>
                <c:pt idx="118">
                  <c:v>-3.1781162108369267</c:v>
                </c:pt>
                <c:pt idx="119">
                  <c:v>-3.1222851049593996</c:v>
                </c:pt>
                <c:pt idx="120">
                  <c:v>-3.0671124543669896</c:v>
                </c:pt>
                <c:pt idx="121">
                  <c:v>-3.0125707208469139</c:v>
                </c:pt>
                <c:pt idx="122">
                  <c:v>-2.9586334251330113</c:v>
                </c:pt>
                <c:pt idx="123">
                  <c:v>-2.9052750860593246</c:v>
                </c:pt>
                <c:pt idx="124">
                  <c:v>-2.8524711617387535</c:v>
                </c:pt>
                <c:pt idx="125">
                  <c:v>-2.8001979925444682</c:v>
                </c:pt>
                <c:pt idx="126">
                  <c:v>-2.7484327456694762</c:v>
                </c:pt>
                <c:pt idx="127">
                  <c:v>-2.6971533610348439</c:v>
                </c:pt>
                <c:pt idx="128">
                  <c:v>-2.6463384983088001</c:v>
                </c:pt>
                <c:pt idx="129">
                  <c:v>-2.595967484787002</c:v>
                </c:pt>
                <c:pt idx="130">
                  <c:v>-2.5460202638677694</c:v>
                </c:pt>
                <c:pt idx="131">
                  <c:v>-2.4964773438342882</c:v>
                </c:pt>
                <c:pt idx="132">
                  <c:v>-2.4473197466273646</c:v>
                </c:pt>
                <c:pt idx="133">
                  <c:v>-2.3985289562558423</c:v>
                </c:pt>
                <c:pt idx="134">
                  <c:v>-2.3500868664451442</c:v>
                </c:pt>
                <c:pt idx="135">
                  <c:v>-2.3019757270650776</c:v>
                </c:pt>
                <c:pt idx="136">
                  <c:v>-2.2541780888023144</c:v>
                </c:pt>
                <c:pt idx="137">
                  <c:v>-2.206676745446325</c:v>
                </c:pt>
                <c:pt idx="138">
                  <c:v>-2.1594546730334923</c:v>
                </c:pt>
                <c:pt idx="139">
                  <c:v>-2.1124949649339593</c:v>
                </c:pt>
                <c:pt idx="140">
                  <c:v>-2.0657807617575417</c:v>
                </c:pt>
                <c:pt idx="141">
                  <c:v>-2.019295174681802</c:v>
                </c:pt>
                <c:pt idx="142">
                  <c:v>-1.9730212004433274</c:v>
                </c:pt>
                <c:pt idx="143">
                  <c:v>-1.9269416257480376</c:v>
                </c:pt>
                <c:pt idx="144">
                  <c:v>-1.8810389181975338</c:v>
                </c:pt>
                <c:pt idx="145">
                  <c:v>-1.8352950999213602</c:v>
                </c:pt>
                <c:pt idx="146">
                  <c:v>-1.789691598835504</c:v>
                </c:pt>
                <c:pt idx="147">
                  <c:v>-1.7442090706388391</c:v>
                </c:pt>
                <c:pt idx="148">
                  <c:v>-1.6988271820299969</c:v>
                </c:pt>
                <c:pt idx="149">
                  <c:v>-1.6535243417169816</c:v>
                </c:pt>
                <c:pt idx="150">
                  <c:v>-1.6082773598242746</c:v>
                </c:pt>
                <c:pt idx="151">
                  <c:v>-1.5630610069200692</c:v>
                </c:pt>
                <c:pt idx="152">
                  <c:v>-1.5178474286204977</c:v>
                </c:pt>
                <c:pt idx="153">
                  <c:v>-1.4726053458677548</c:v>
                </c:pt>
                <c:pt idx="154">
                  <c:v>-1.427298925024217</c:v>
                </c:pt>
                <c:pt idx="155">
                  <c:v>-1.3818861153848301</c:v>
                </c:pt>
                <c:pt idx="156">
                  <c:v>-1.3363160765999798</c:v>
                </c:pt>
                <c:pt idx="157">
                  <c:v>-1.2905249300989541</c:v>
                </c:pt>
                <c:pt idx="158">
                  <c:v>-1.2444280949486679</c:v>
                </c:pt>
                <c:pt idx="159">
                  <c:v>-1.1979045641251163</c:v>
                </c:pt>
                <c:pt idx="160">
                  <c:v>-1.1507570530628717</c:v>
                </c:pt>
                <c:pt idx="161">
                  <c:v>-1.1025512644824913</c:v>
                </c:pt>
                <c:pt idx="162">
                  <c:v>0.32322701457547093</c:v>
                </c:pt>
                <c:pt idx="163">
                  <c:v>0.67513649576729529</c:v>
                </c:pt>
                <c:pt idx="164">
                  <c:v>0.86447908913250404</c:v>
                </c:pt>
                <c:pt idx="165">
                  <c:v>0.99566277745328946</c:v>
                </c:pt>
                <c:pt idx="166">
                  <c:v>1.0964760174688901</c:v>
                </c:pt>
                <c:pt idx="167">
                  <c:v>1.1785352278251895</c:v>
                </c:pt>
                <c:pt idx="168">
                  <c:v>1.2478291769916587</c:v>
                </c:pt>
                <c:pt idx="169">
                  <c:v>1.3078583978205254</c:v>
                </c:pt>
                <c:pt idx="170">
                  <c:v>1.3608495795145172</c:v>
                </c:pt>
                <c:pt idx="171">
                  <c:v>1.4083084195857485</c:v>
                </c:pt>
                <c:pt idx="172">
                  <c:v>1.4513014119020256</c:v>
                </c:pt>
                <c:pt idx="173">
                  <c:v>1.490611996119517</c:v>
                </c:pt>
                <c:pt idx="174">
                  <c:v>1.5268328623113765</c:v>
                </c:pt>
                <c:pt idx="175">
                  <c:v>1.5604234031786164</c:v>
                </c:pt>
                <c:pt idx="176">
                  <c:v>1.5917470143058619</c:v>
                </c:pt>
                <c:pt idx="177">
                  <c:v>1.6210961781796691</c:v>
                </c:pt>
                <c:pt idx="178">
                  <c:v>1.6487098433894833</c:v>
                </c:pt>
                <c:pt idx="179">
                  <c:v>1.6747857778193169</c:v>
                </c:pt>
                <c:pt idx="180">
                  <c:v>1.6994895466737494</c:v>
                </c:pt>
                <c:pt idx="181">
                  <c:v>1.7229611658891859</c:v>
                </c:pt>
                <c:pt idx="182">
                  <c:v>1.7453201184897387</c:v>
                </c:pt>
                <c:pt idx="183">
                  <c:v>1.7666691951415627</c:v>
                </c:pt>
                <c:pt idx="184">
                  <c:v>1.7870974752115314</c:v>
                </c:pt>
                <c:pt idx="185">
                  <c:v>1.8066826695406302</c:v>
                </c:pt>
                <c:pt idx="186">
                  <c:v>1.8254929823959432</c:v>
                </c:pt>
                <c:pt idx="187">
                  <c:v>1.8435886064958869</c:v>
                </c:pt>
                <c:pt idx="188">
                  <c:v>1.8610229346964415</c:v>
                </c:pt>
                <c:pt idx="189">
                  <c:v>1.8778435505041606</c:v>
                </c:pt>
                <c:pt idx="190">
                  <c:v>1.8940930442165489</c:v>
                </c:pt>
                <c:pt idx="191">
                  <c:v>1.9098096903202093</c:v>
                </c:pt>
                <c:pt idx="192">
                  <c:v>1.9250280135554378</c:v>
                </c:pt>
                <c:pt idx="193">
                  <c:v>1.9397792649346075</c:v>
                </c:pt>
                <c:pt idx="194">
                  <c:v>1.9540918243954866</c:v>
                </c:pt>
                <c:pt idx="195">
                  <c:v>1.9679915432701316</c:v>
                </c:pt>
                <c:pt idx="196">
                  <c:v>1.9815020370651073</c:v>
                </c:pt>
                <c:pt idx="197">
                  <c:v>1.9946449369716945</c:v>
                </c:pt>
                <c:pt idx="198">
                  <c:v>2.0074401069048311</c:v>
                </c:pt>
                <c:pt idx="199">
                  <c:v>2.0199058315965468</c:v>
                </c:pt>
                <c:pt idx="200">
                  <c:v>2.0320589802621791</c:v>
                </c:pt>
                <c:pt idx="201">
                  <c:v>2.0439151495549046</c:v>
                </c:pt>
                <c:pt idx="202">
                  <c:v>2.0554887888804467</c:v>
                </c:pt>
                <c:pt idx="203">
                  <c:v>2.0667933106246261</c:v>
                </c:pt>
                <c:pt idx="204">
                  <c:v>2.0778411874251512</c:v>
                </c:pt>
                <c:pt idx="205">
                  <c:v>2.0886440382755511</c:v>
                </c:pt>
                <c:pt idx="206">
                  <c:v>2.0992127049674503</c:v>
                </c:pt>
                <c:pt idx="207">
                  <c:v>2.1095573201453952</c:v>
                </c:pt>
                <c:pt idx="208">
                  <c:v>2.1196873680564132</c:v>
                </c:pt>
                <c:pt idx="209">
                  <c:v>2.1296117389168336</c:v>
                </c:pt>
                <c:pt idx="210">
                  <c:v>2.1393387776856918</c:v>
                </c:pt>
                <c:pt idx="211">
                  <c:v>2.1488763279223084</c:v>
                </c:pt>
                <c:pt idx="212">
                  <c:v>2.1582317713116952</c:v>
                </c:pt>
                <c:pt idx="213">
                  <c:v>2.1674120633620748</c:v>
                </c:pt>
                <c:pt idx="214">
                  <c:v>2.1764237657115459</c:v>
                </c:pt>
                <c:pt idx="215">
                  <c:v>2.1852730754237566</c:v>
                </c:pt>
                <c:pt idx="216">
                  <c:v>2.1939658516036458</c:v>
                </c:pt>
                <c:pt idx="217">
                  <c:v>2.2025076396225844</c:v>
                </c:pt>
                <c:pt idx="218">
                  <c:v>2.2109036932063963</c:v>
                </c:pt>
                <c:pt idx="219">
                  <c:v>2.2191589946089034</c:v>
                </c:pt>
                <c:pt idx="220">
                  <c:v>2.227278273067022</c:v>
                </c:pt>
                <c:pt idx="221">
                  <c:v>2.2352660217103657</c:v>
                </c:pt>
                <c:pt idx="222">
                  <c:v>2.2431265130783462</c:v>
                </c:pt>
                <c:pt idx="223">
                  <c:v>2.250863813380334</c:v>
                </c:pt>
                <c:pt idx="224">
                  <c:v>2.2584817956192991</c:v>
                </c:pt>
                <c:pt idx="225">
                  <c:v>2.2659841516860721</c:v>
                </c:pt>
                <c:pt idx="226">
                  <c:v>2.2733744035197652</c:v>
                </c:pt>
                <c:pt idx="227">
                  <c:v>2.280655913419686</c:v>
                </c:pt>
                <c:pt idx="228">
                  <c:v>2.2878318935851079</c:v>
                </c:pt>
                <c:pt idx="229">
                  <c:v>2.294905414951363</c:v>
                </c:pt>
                <c:pt idx="230">
                  <c:v>2.3018794153837221</c:v>
                </c:pt>
                <c:pt idx="231">
                  <c:v>2.308756707284354</c:v>
                </c:pt>
                <c:pt idx="232">
                  <c:v>2.3155399846621765</c:v>
                </c:pt>
                <c:pt idx="233">
                  <c:v>2.3222318297105424</c:v>
                </c:pt>
                <c:pt idx="234">
                  <c:v>2.3288347189333631</c:v>
                </c:pt>
                <c:pt idx="235">
                  <c:v>2.3353510288564294</c:v>
                </c:pt>
                <c:pt idx="236">
                  <c:v>2.3417830413572269</c:v>
                </c:pt>
                <c:pt idx="237">
                  <c:v>2.3481329486434714</c:v>
                </c:pt>
                <c:pt idx="238">
                  <c:v>2.3544028579078269</c:v>
                </c:pt>
                <c:pt idx="239">
                  <c:v>2.3605947956837872</c:v>
                </c:pt>
                <c:pt idx="240">
                  <c:v>2.3667107119254958</c:v>
                </c:pt>
                <c:pt idx="241">
                  <c:v>2.3727524838322607</c:v>
                </c:pt>
                <c:pt idx="242">
                  <c:v>2.3787219194367273</c:v>
                </c:pt>
                <c:pt idx="243">
                  <c:v>2.3846207609740522</c:v>
                </c:pt>
                <c:pt idx="244">
                  <c:v>2.3904506880479381</c:v>
                </c:pt>
                <c:pt idx="245">
                  <c:v>2.3962133206080907</c:v>
                </c:pt>
                <c:pt idx="246">
                  <c:v>2.4019102217524151</c:v>
                </c:pt>
                <c:pt idx="247">
                  <c:v>2.4075429003662294</c:v>
                </c:pt>
                <c:pt idx="248">
                  <c:v>2.4131128136097373</c:v>
                </c:pt>
                <c:pt idx="249">
                  <c:v>2.4186213692641361</c:v>
                </c:pt>
                <c:pt idx="250">
                  <c:v>2.4240699279459061</c:v>
                </c:pt>
                <c:pt idx="251">
                  <c:v>2.4294598051980767</c:v>
                </c:pt>
                <c:pt idx="252">
                  <c:v>2.4347922734666034</c:v>
                </c:pt>
                <c:pt idx="253">
                  <c:v>2.4400685639693505</c:v>
                </c:pt>
                <c:pt idx="254">
                  <c:v>2.44528986846462</c:v>
                </c:pt>
                <c:pt idx="255">
                  <c:v>2.4504573409256478</c:v>
                </c:pt>
                <c:pt idx="256">
                  <c:v>2.4555720991270125</c:v>
                </c:pt>
                <c:pt idx="257">
                  <c:v>2.4606352261484634</c:v>
                </c:pt>
                <c:pt idx="258">
                  <c:v>2.4656477718012919</c:v>
                </c:pt>
                <c:pt idx="259">
                  <c:v>2.4706107539819739</c:v>
                </c:pt>
                <c:pt idx="260">
                  <c:v>2.4755251599575159</c:v>
                </c:pt>
                <c:pt idx="261">
                  <c:v>2.4803919475865861</c:v>
                </c:pt>
                <c:pt idx="262">
                  <c:v>2.4852120464802638</c:v>
                </c:pt>
                <c:pt idx="263">
                  <c:v>2.4899863591059437</c:v>
                </c:pt>
                <c:pt idx="264">
                  <c:v>2.4947157618377251</c:v>
                </c:pt>
                <c:pt idx="265">
                  <c:v>2.4994011059563612</c:v>
                </c:pt>
                <c:pt idx="266">
                  <c:v>2.5040432186016592</c:v>
                </c:pt>
                <c:pt idx="267">
                  <c:v>2.5086429036800175</c:v>
                </c:pt>
                <c:pt idx="268">
                  <c:v>2.5132009427296209</c:v>
                </c:pt>
                <c:pt idx="269">
                  <c:v>2.5177180957456442</c:v>
                </c:pt>
                <c:pt idx="270">
                  <c:v>2.5221951019676627</c:v>
                </c:pt>
                <c:pt idx="271">
                  <c:v>2.5266326806313359</c:v>
                </c:pt>
                <c:pt idx="272">
                  <c:v>2.531031531686291</c:v>
                </c:pt>
                <c:pt idx="273">
                  <c:v>2.5353923364820194</c:v>
                </c:pt>
                <c:pt idx="274">
                  <c:v>2.5397157584234793</c:v>
                </c:pt>
                <c:pt idx="275">
                  <c:v>2.5440024435980058</c:v>
                </c:pt>
                <c:pt idx="276">
                  <c:v>2.5482530213750163</c:v>
                </c:pt>
                <c:pt idx="277">
                  <c:v>2.5524681049799258</c:v>
                </c:pt>
                <c:pt idx="278">
                  <c:v>2.5566482920435858</c:v>
                </c:pt>
                <c:pt idx="279">
                  <c:v>2.5607941651284958</c:v>
                </c:pt>
                <c:pt idx="280">
                  <c:v>2.564906292232958</c:v>
                </c:pt>
                <c:pt idx="281">
                  <c:v>2.5689852272742737</c:v>
                </c:pt>
                <c:pt idx="282">
                  <c:v>2.5730315105520218</c:v>
                </c:pt>
                <c:pt idx="283">
                  <c:v>2.5770456691923971</c:v>
                </c:pt>
                <c:pt idx="284">
                  <c:v>2.5810282175745338</c:v>
                </c:pt>
                <c:pt idx="285">
                  <c:v>2.5849796577396833</c:v>
                </c:pt>
                <c:pt idx="286">
                  <c:v>2.5889004797840656</c:v>
                </c:pt>
                <c:pt idx="287">
                  <c:v>2.5927911622361774</c:v>
                </c:pt>
                <c:pt idx="288">
                  <c:v>2.5966521724192835</c:v>
                </c:pt>
                <c:pt idx="289">
                  <c:v>2.600483966799791</c:v>
                </c:pt>
                <c:pt idx="290">
                  <c:v>2.6042869913221565</c:v>
                </c:pt>
                <c:pt idx="291">
                  <c:v>2.6080616817309528</c:v>
                </c:pt>
                <c:pt idx="292">
                  <c:v>2.6118084638806773</c:v>
                </c:pt>
                <c:pt idx="293">
                  <c:v>2.6155277540338626</c:v>
                </c:pt>
                <c:pt idx="294">
                  <c:v>2.6192199591480096</c:v>
                </c:pt>
                <c:pt idx="295">
                  <c:v>2.6228854771518559</c:v>
                </c:pt>
                <c:pt idx="296">
                  <c:v>2.6265246972114351</c:v>
                </c:pt>
                <c:pt idx="297">
                  <c:v>2.6301379999863927</c:v>
                </c:pt>
                <c:pt idx="298">
                  <c:v>2.6337257578769746</c:v>
                </c:pt>
                <c:pt idx="299">
                  <c:v>2.6372883352620957</c:v>
                </c:pt>
                <c:pt idx="300">
                  <c:v>2.6408260887288768</c:v>
                </c:pt>
                <c:pt idx="301">
                  <c:v>2.6443393672940068</c:v>
                </c:pt>
                <c:pt idx="302">
                  <c:v>2.647828512617286</c:v>
                </c:pt>
                <c:pt idx="303">
                  <c:v>2.651293859207676</c:v>
                </c:pt>
                <c:pt idx="304">
                  <c:v>2.6547357346221649</c:v>
                </c:pt>
                <c:pt idx="305">
                  <c:v>2.6581544596577618</c:v>
                </c:pt>
                <c:pt idx="306">
                  <c:v>2.661550348536883</c:v>
                </c:pt>
                <c:pt idx="307">
                  <c:v>2.6649237090864233</c:v>
                </c:pt>
                <c:pt idx="308">
                  <c:v>2.6682748429107503</c:v>
                </c:pt>
                <c:pt idx="309">
                  <c:v>2.671604045558881</c:v>
                </c:pt>
                <c:pt idx="310">
                  <c:v>2.6749116066860674</c:v>
                </c:pt>
                <c:pt idx="311">
                  <c:v>2.6781978102100155</c:v>
                </c:pt>
                <c:pt idx="312">
                  <c:v>2.6814629344619534</c:v>
                </c:pt>
                <c:pt idx="313">
                  <c:v>2.6847072523327475</c:v>
                </c:pt>
                <c:pt idx="314">
                  <c:v>2.6879310314142639</c:v>
                </c:pt>
                <c:pt idx="315">
                  <c:v>2.6911345341361539</c:v>
                </c:pt>
                <c:pt idx="316">
                  <c:v>2.6943180178982504</c:v>
                </c:pt>
                <c:pt idx="317">
                  <c:v>2.6974817351987341</c:v>
                </c:pt>
                <c:pt idx="318">
                  <c:v>2.7006259337582352</c:v>
                </c:pt>
                <c:pt idx="319">
                  <c:v>2.7037508566400219</c:v>
                </c:pt>
                <c:pt idx="320">
                  <c:v>2.7068567423664289</c:v>
                </c:pt>
                <c:pt idx="321">
                  <c:v>2.709943825031659</c:v>
                </c:pt>
                <c:pt idx="322">
                  <c:v>2.7130123344110983</c:v>
                </c:pt>
                <c:pt idx="323">
                  <c:v>2.7160624960672681</c:v>
                </c:pt>
                <c:pt idx="324">
                  <c:v>2.7190945314525452</c:v>
                </c:pt>
                <c:pt idx="325">
                  <c:v>2.7221086580087608</c:v>
                </c:pt>
                <c:pt idx="326">
                  <c:v>2.7251050892637938</c:v>
                </c:pt>
                <c:pt idx="327">
                  <c:v>2.7280840349252693</c:v>
                </c:pt>
                <c:pt idx="328">
                  <c:v>2.7310457009714608</c:v>
                </c:pt>
                <c:pt idx="329">
                  <c:v>2.733990289739503</c:v>
                </c:pt>
                <c:pt idx="330">
                  <c:v>2.7369180000110029</c:v>
                </c:pt>
                <c:pt idx="331">
                  <c:v>2.7398290270951429</c:v>
                </c:pt>
                <c:pt idx="332">
                  <c:v>2.7427235629093714</c:v>
                </c:pt>
                <c:pt idx="333">
                  <c:v>2.7456017960577479</c:v>
                </c:pt>
                <c:pt idx="334">
                  <c:v>2.7484639119070455</c:v>
                </c:pt>
                <c:pt idx="335">
                  <c:v>2.7513100926606664</c:v>
                </c:pt>
                <c:pt idx="336">
                  <c:v>2.7541405174304603</c:v>
                </c:pt>
                <c:pt idx="337">
                  <c:v>2.7569553623065128</c:v>
                </c:pt>
                <c:pt idx="338">
                  <c:v>2.7597548004249672</c:v>
                </c:pt>
                <c:pt idx="339">
                  <c:v>2.7625390020339546</c:v>
                </c:pt>
                <c:pt idx="340">
                  <c:v>2.765308134557686</c:v>
                </c:pt>
                <c:pt idx="341">
                  <c:v>2.7680623626587777</c:v>
                </c:pt>
                <c:pt idx="342">
                  <c:v>2.7708018482988588</c:v>
                </c:pt>
                <c:pt idx="343">
                  <c:v>2.7735267507975232</c:v>
                </c:pt>
                <c:pt idx="344">
                  <c:v>2.77623722688968</c:v>
                </c:pt>
                <c:pt idx="345">
                  <c:v>2.7789334307813505</c:v>
                </c:pt>
                <c:pt idx="346">
                  <c:v>2.7816155142039638</c:v>
                </c:pt>
                <c:pt idx="347">
                  <c:v>2.7842836264672046</c:v>
                </c:pt>
                <c:pt idx="348">
                  <c:v>2.7869379145104487</c:v>
                </c:pt>
                <c:pt idx="349">
                  <c:v>2.7895785229528416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8-4762-82B1-1CF7EE7E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2495"/>
        <c:axId val="362756815"/>
      </c:scatterChart>
      <c:valAx>
        <c:axId val="362752495"/>
        <c:scaling>
          <c:orientation val="minMax"/>
          <c:min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6815"/>
        <c:crosses val="autoZero"/>
        <c:crossBetween val="midCat"/>
      </c:valAx>
      <c:valAx>
        <c:axId val="362756815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2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Sublimation Enthalpy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Sweep!$P$22</c:f>
              <c:strCache>
                <c:ptCount val="1"/>
                <c:pt idx="0">
                  <c:v>Melting 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Sweep!$P$23:$P$372</c:f>
              <c:numCache>
                <c:formatCode>General</c:formatCode>
                <c:ptCount val="350"/>
                <c:pt idx="0">
                  <c:v>0</c:v>
                </c:pt>
                <c:pt idx="1">
                  <c:v>-6756.3064355291935</c:v>
                </c:pt>
                <c:pt idx="2">
                  <c:v>-6756.2626449641166</c:v>
                </c:pt>
                <c:pt idx="3">
                  <c:v>-6756.0851238100367</c:v>
                </c:pt>
                <c:pt idx="4">
                  <c:v>-6755.6221104491615</c:v>
                </c:pt>
                <c:pt idx="5">
                  <c:v>-6754.6674872904332</c:v>
                </c:pt>
                <c:pt idx="6">
                  <c:v>-6752.9801312855398</c:v>
                </c:pt>
                <c:pt idx="7">
                  <c:v>-6750.3225406518022</c:v>
                </c:pt>
                <c:pt idx="8">
                  <c:v>-6746.500181858295</c:v>
                </c:pt>
                <c:pt idx="9">
                  <c:v>-6741.3831709432616</c:v>
                </c:pt>
                <c:pt idx="10">
                  <c:v>-6734.9081680145173</c:v>
                </c:pt>
                <c:pt idx="11">
                  <c:v>-6727.0679995969222</c:v>
                </c:pt>
                <c:pt idx="12">
                  <c:v>-6717.8969346102776</c:v>
                </c:pt>
                <c:pt idx="13">
                  <c:v>-6707.4565153457861</c:v>
                </c:pt>
                <c:pt idx="14">
                  <c:v>-6695.8240316472265</c:v>
                </c:pt>
                <c:pt idx="15">
                  <c:v>-6683.0840403976053</c:v>
                </c:pt>
                <c:pt idx="16">
                  <c:v>-6669.3225681574322</c:v>
                </c:pt>
                <c:pt idx="17">
                  <c:v>-6654.6234034817635</c:v>
                </c:pt>
                <c:pt idx="18">
                  <c:v>-6639.0659019147097</c:v>
                </c:pt>
                <c:pt idx="19">
                  <c:v>-6622.7238307186099</c:v>
                </c:pt>
                <c:pt idx="20">
                  <c:v>-6605.6648991971506</c:v>
                </c:pt>
                <c:pt idx="21">
                  <c:v>-6587.9507214722098</c:v>
                </c:pt>
                <c:pt idx="22">
                  <c:v>-6569.637038806316</c:v>
                </c:pt>
                <c:pt idx="23">
                  <c:v>-6550.7740858959396</c:v>
                </c:pt>
                <c:pt idx="24">
                  <c:v>-6531.4070262882915</c:v>
                </c:pt>
                <c:pt idx="25">
                  <c:v>-6511.5764097892752</c:v>
                </c:pt>
                <c:pt idx="26">
                  <c:v>-6491.3186232926464</c:v>
                </c:pt>
                <c:pt idx="27">
                  <c:v>-6470.6663186562037</c:v>
                </c:pt>
                <c:pt idx="28">
                  <c:v>-6449.6488091135598</c:v>
                </c:pt>
                <c:pt idx="29">
                  <c:v>-6428.2924306709392</c:v>
                </c:pt>
                <c:pt idx="30">
                  <c:v>-6406.6208679745359</c:v>
                </c:pt>
                <c:pt idx="31">
                  <c:v>-6384.6554459172576</c:v>
                </c:pt>
                <c:pt idx="32">
                  <c:v>-6362.4153892255999</c:v>
                </c:pt>
                <c:pt idx="33">
                  <c:v>-6339.9180527278977</c:v>
                </c:pt>
                <c:pt idx="34">
                  <c:v>-6317.1791251475088</c:v>
                </c:pt>
                <c:pt idx="35">
                  <c:v>-6294.2128092211869</c:v>
                </c:pt>
                <c:pt idx="36">
                  <c:v>-6271.0319807835785</c:v>
                </c:pt>
                <c:pt idx="37">
                  <c:v>-6247.648329257735</c:v>
                </c:pt>
                <c:pt idx="38">
                  <c:v>-6224.0724817573846</c:v>
                </c:pt>
                <c:pt idx="39">
                  <c:v>-6200.3141127767249</c:v>
                </c:pt>
                <c:pt idx="40">
                  <c:v>-6176.3820412212681</c:v>
                </c:pt>
                <c:pt idx="41">
                  <c:v>-6152.2843163270481</c:v>
                </c:pt>
                <c:pt idx="42">
                  <c:v>-6128.0282938278569</c:v>
                </c:pt>
                <c:pt idx="43">
                  <c:v>-6103.620703561849</c:v>
                </c:pt>
                <c:pt idx="44">
                  <c:v>-6079.0677095594256</c:v>
                </c:pt>
                <c:pt idx="45">
                  <c:v>-6054.3749635224904</c:v>
                </c:pt>
                <c:pt idx="46">
                  <c:v>-6029.5476524896167</c:v>
                </c:pt>
                <c:pt idx="47">
                  <c:v>-6004.5905413806086</c:v>
                </c:pt>
                <c:pt idx="48">
                  <c:v>-5979.5080110259341</c:v>
                </c:pt>
                <c:pt idx="49">
                  <c:v>-5954.3040922098098</c:v>
                </c:pt>
                <c:pt idx="50">
                  <c:v>-5928.9824961891572</c:v>
                </c:pt>
                <c:pt idx="51">
                  <c:v>-5903.5466420926023</c:v>
                </c:pt>
                <c:pt idx="52">
                  <c:v>-5877.9996815542017</c:v>
                </c:pt>
                <c:pt idx="53">
                  <c:v>-5852.3445208906232</c:v>
                </c:pt>
                <c:pt idx="54">
                  <c:v>-5826.5838410974211</c:v>
                </c:pt>
                <c:pt idx="55">
                  <c:v>-5800.7201158963126</c:v>
                </c:pt>
                <c:pt idx="56">
                  <c:v>-5774.7556280564095</c:v>
                </c:pt>
                <c:pt idx="57">
                  <c:v>-5748.6924841571117</c:v>
                </c:pt>
                <c:pt idx="58">
                  <c:v>-5722.5326279854926</c:v>
                </c:pt>
                <c:pt idx="59">
                  <c:v>-5696.2778526715338</c:v>
                </c:pt>
                <c:pt idx="60">
                  <c:v>-5669.9298117246635</c:v>
                </c:pt>
                <c:pt idx="61">
                  <c:v>-5643.4900290684982</c:v>
                </c:pt>
                <c:pt idx="62">
                  <c:v>-5616.9599081772321</c:v>
                </c:pt>
                <c:pt idx="63">
                  <c:v>-5590.3407404028385</c:v>
                </c:pt>
                <c:pt idx="64">
                  <c:v>-5563.6337125723639</c:v>
                </c:pt>
                <c:pt idx="65">
                  <c:v>-5536.8399139259109</c:v>
                </c:pt>
                <c:pt idx="66">
                  <c:v>-5509.9603424582474</c:v>
                </c:pt>
                <c:pt idx="67">
                  <c:v>-5482.995910720244</c:v>
                </c:pt>
                <c:pt idx="68">
                  <c:v>-5455.9474511303133</c:v>
                </c:pt>
                <c:pt idx="69">
                  <c:v>-5428.8157208408338</c:v>
                </c:pt>
                <c:pt idx="70">
                  <c:v>-5401.6014061997666</c:v>
                </c:pt>
                <c:pt idx="71">
                  <c:v>-5374.3051268436075</c:v>
                </c:pt>
                <c:pt idx="72">
                  <c:v>-5346.9274394540698</c:v>
                </c:pt>
                <c:pt idx="73">
                  <c:v>-5319.4688412076412</c:v>
                </c:pt>
                <c:pt idx="74">
                  <c:v>-5291.9297729442469</c:v>
                </c:pt>
                <c:pt idx="75">
                  <c:v>-5264.3106220786212</c:v>
                </c:pt>
                <c:pt idx="76">
                  <c:v>-5236.6117252756867</c:v>
                </c:pt>
                <c:pt idx="77">
                  <c:v>-5208.8333709091503</c:v>
                </c:pt>
                <c:pt idx="78">
                  <c:v>-5180.9758013206692</c:v>
                </c:pt>
                <c:pt idx="79">
                  <c:v>-5153.0392148952515</c:v>
                </c:pt>
                <c:pt idx="80">
                  <c:v>-5125.0237679670936</c:v>
                </c:pt>
                <c:pt idx="81">
                  <c:v>-5096.9295765686711</c:v>
                </c:pt>
                <c:pt idx="82">
                  <c:v>-5068.7567180347014</c:v>
                </c:pt>
                <c:pt idx="83">
                  <c:v>-5040.5052324715061</c:v>
                </c:pt>
                <c:pt idx="84">
                  <c:v>-5012.1751241012853</c:v>
                </c:pt>
                <c:pt idx="85">
                  <c:v>-4983.7663624899542</c:v>
                </c:pt>
                <c:pt idx="86">
                  <c:v>-4955.2788836663567</c:v>
                </c:pt>
                <c:pt idx="87">
                  <c:v>-4926.7125911399189</c:v>
                </c:pt>
                <c:pt idx="88">
                  <c:v>-4898.0673568231659</c:v>
                </c:pt>
                <c:pt idx="89">
                  <c:v>-4869.3430218648955</c:v>
                </c:pt>
                <c:pt idx="90">
                  <c:v>-4840.5393974215585</c:v>
                </c:pt>
                <c:pt idx="91">
                  <c:v>-4811.6562652850916</c:v>
                </c:pt>
                <c:pt idx="92">
                  <c:v>-4782.6933784184812</c:v>
                </c:pt>
                <c:pt idx="93">
                  <c:v>-4753.6504616827224</c:v>
                </c:pt>
                <c:pt idx="94">
                  <c:v>-4724.5272121160651</c:v>
                </c:pt>
                <c:pt idx="95">
                  <c:v>-4695.323299374315</c:v>
                </c:pt>
                <c:pt idx="96">
                  <c:v>-4666.0383660585812</c:v>
                </c:pt>
                <c:pt idx="97">
                  <c:v>-4636.6720279830533</c:v>
                </c:pt>
                <c:pt idx="98">
                  <c:v>-4607.2238743848084</c:v>
                </c:pt>
                <c:pt idx="99">
                  <c:v>-4577.6934680773693</c:v>
                </c:pt>
                <c:pt idx="100">
                  <c:v>-4548.0803455494752</c:v>
                </c:pt>
                <c:pt idx="101">
                  <c:v>-4518.3840170102412</c:v>
                </c:pt>
                <c:pt idx="102">
                  <c:v>-4488.60396638164</c:v>
                </c:pt>
                <c:pt idx="103">
                  <c:v>-4458.7396512389496</c:v>
                </c:pt>
                <c:pt idx="104">
                  <c:v>-4428.7905026996341</c:v>
                </c:pt>
                <c:pt idx="105">
                  <c:v>-4398.7559252608189</c:v>
                </c:pt>
                <c:pt idx="106">
                  <c:v>-4368.6352965853384</c:v>
                </c:pt>
                <c:pt idx="107">
                  <c:v>-4338.4279672360544</c:v>
                </c:pt>
                <c:pt idx="108">
                  <c:v>-4308.1332603579322</c:v>
                </c:pt>
                <c:pt idx="109">
                  <c:v>-4277.7504713071012</c:v>
                </c:pt>
                <c:pt idx="110">
                  <c:v>-4247.2788672259121</c:v>
                </c:pt>
                <c:pt idx="111">
                  <c:v>-4216.7176865627052</c:v>
                </c:pt>
                <c:pt idx="112">
                  <c:v>-4186.066138534753</c:v>
                </c:pt>
                <c:pt idx="113">
                  <c:v>-4155.3234025326083</c:v>
                </c:pt>
                <c:pt idx="114">
                  <c:v>-4124.4886274637374</c:v>
                </c:pt>
                <c:pt idx="115">
                  <c:v>-4093.5609310330251</c:v>
                </c:pt>
                <c:pt idx="116">
                  <c:v>-4062.5393989574559</c:v>
                </c:pt>
                <c:pt idx="117">
                  <c:v>-4031.4230841118847</c:v>
                </c:pt>
                <c:pt idx="118">
                  <c:v>-4000.2110056024167</c:v>
                </c:pt>
                <c:pt idx="119">
                  <c:v>-3968.902147763567</c:v>
                </c:pt>
                <c:pt idx="120">
                  <c:v>-3937.4954590748848</c:v>
                </c:pt>
                <c:pt idx="121">
                  <c:v>-3905.9898509922359</c:v>
                </c:pt>
                <c:pt idx="122">
                  <c:v>-3874.3841966884588</c:v>
                </c:pt>
                <c:pt idx="123">
                  <c:v>-3842.6773296974488</c:v>
                </c:pt>
                <c:pt idx="124">
                  <c:v>-3810.8680424551408</c:v>
                </c:pt>
                <c:pt idx="125">
                  <c:v>-3778.9550847301161</c:v>
                </c:pt>
                <c:pt idx="126">
                  <c:v>-3746.9371619357466</c:v>
                </c:pt>
                <c:pt idx="127">
                  <c:v>-3714.8129333149031</c:v>
                </c:pt>
                <c:pt idx="128">
                  <c:v>-3682.5810099872633</c:v>
                </c:pt>
                <c:pt idx="129">
                  <c:v>-3650.2399528480473</c:v>
                </c:pt>
                <c:pt idx="130">
                  <c:v>-3617.7882703057849</c:v>
                </c:pt>
                <c:pt idx="131">
                  <c:v>-3585.2244158452045</c:v>
                </c:pt>
                <c:pt idx="132">
                  <c:v>-3552.5467853996438</c:v>
                </c:pt>
                <c:pt idx="133">
                  <c:v>-3519.7537145154065</c:v>
                </c:pt>
                <c:pt idx="134">
                  <c:v>-3486.8434752883086</c:v>
                </c:pt>
                <c:pt idx="135">
                  <c:v>-3453.8142730499308</c:v>
                </c:pt>
                <c:pt idx="136">
                  <c:v>-3420.6642427780762</c:v>
                </c:pt>
                <c:pt idx="137">
                  <c:v>-3387.3914452022818</c:v>
                </c:pt>
                <c:pt idx="138">
                  <c:v>-3353.9938625708705</c:v>
                </c:pt>
                <c:pt idx="139">
                  <c:v>-3320.4693940409456</c:v>
                </c:pt>
                <c:pt idx="140">
                  <c:v>-3286.8158506463042</c:v>
                </c:pt>
                <c:pt idx="141">
                  <c:v>-3253.0309497907956</c:v>
                </c:pt>
                <c:pt idx="142">
                  <c:v>-3219.1123098169351</c:v>
                </c:pt>
                <c:pt idx="143">
                  <c:v>-3185.0574408882653</c:v>
                </c:pt>
                <c:pt idx="144">
                  <c:v>-3150.8637413571209</c:v>
                </c:pt>
                <c:pt idx="145">
                  <c:v>-3116.5284871074646</c:v>
                </c:pt>
                <c:pt idx="146">
                  <c:v>-3082.0488230838332</c:v>
                </c:pt>
                <c:pt idx="147">
                  <c:v>-3047.421753085946</c:v>
                </c:pt>
                <c:pt idx="148">
                  <c:v>-3012.6441282466772</c:v>
                </c:pt>
                <c:pt idx="149">
                  <c:v>-2977.7126339203346</c:v>
                </c:pt>
                <c:pt idx="150">
                  <c:v>-2942.6237746193342</c:v>
                </c:pt>
                <c:pt idx="151">
                  <c:v>-2907.37385650742</c:v>
                </c:pt>
                <c:pt idx="152">
                  <c:v>-2871.9589667597638</c:v>
                </c:pt>
                <c:pt idx="153">
                  <c:v>-2836.3749487877558</c:v>
                </c:pt>
                <c:pt idx="154">
                  <c:v>-2800.6173718068312</c:v>
                </c:pt>
                <c:pt idx="155">
                  <c:v>-2764.681492311392</c:v>
                </c:pt>
                <c:pt idx="156">
                  <c:v>-2728.5622032902511</c:v>
                </c:pt>
                <c:pt idx="157">
                  <c:v>-2692.253963424715</c:v>
                </c:pt>
                <c:pt idx="158">
                  <c:v>-2655.7506900890476</c:v>
                </c:pt>
                <c:pt idx="159">
                  <c:v>-2619.0455764907874</c:v>
                </c:pt>
                <c:pt idx="160">
                  <c:v>-2582.1307072203554</c:v>
                </c:pt>
                <c:pt idx="161">
                  <c:v>-2544.9957870912676</c:v>
                </c:pt>
                <c:pt idx="162">
                  <c:v>-2444.1487424386314</c:v>
                </c:pt>
                <c:pt idx="163">
                  <c:v>-2324.3593535234204</c:v>
                </c:pt>
                <c:pt idx="164">
                  <c:v>-2205.9252402547118</c:v>
                </c:pt>
                <c:pt idx="165">
                  <c:v>-2087.7001951230686</c:v>
                </c:pt>
                <c:pt idx="166">
                  <c:v>-1969.337659260902</c:v>
                </c:pt>
                <c:pt idx="167">
                  <c:v>-1850.6954519210958</c:v>
                </c:pt>
                <c:pt idx="168">
                  <c:v>-1731.7081825575078</c:v>
                </c:pt>
                <c:pt idx="169">
                  <c:v>-1612.3451893102865</c:v>
                </c:pt>
                <c:pt idx="170">
                  <c:v>-1492.5933264969981</c:v>
                </c:pt>
                <c:pt idx="171">
                  <c:v>-1372.4489084633587</c:v>
                </c:pt>
                <c:pt idx="172">
                  <c:v>-1251.9135766985046</c:v>
                </c:pt>
                <c:pt idx="173">
                  <c:v>-1130.9920350497641</c:v>
                </c:pt>
                <c:pt idx="174">
                  <c:v>-1009.6907467425644</c:v>
                </c:pt>
                <c:pt idx="175">
                  <c:v>-888.01715722454173</c:v>
                </c:pt>
                <c:pt idx="176">
                  <c:v>-765.97921838443199</c:v>
                </c:pt>
                <c:pt idx="177">
                  <c:v>-643.58509214475362</c:v>
                </c:pt>
                <c:pt idx="178">
                  <c:v>-520.84296410437764</c:v>
                </c:pt>
                <c:pt idx="179">
                  <c:v>-397.76092636356498</c:v>
                </c:pt>
                <c:pt idx="180">
                  <c:v>-274.34690468600547</c:v>
                </c:pt>
                <c:pt idx="181">
                  <c:v>-150.60861449617914</c:v>
                </c:pt>
                <c:pt idx="182">
                  <c:v>-26.553535826102234</c:v>
                </c:pt>
                <c:pt idx="183">
                  <c:v>97.811099210613065</c:v>
                </c:pt>
                <c:pt idx="184">
                  <c:v>222.47831065366154</c:v>
                </c:pt>
                <c:pt idx="185">
                  <c:v>347.44136947016705</c:v>
                </c:pt>
                <c:pt idx="186">
                  <c:v>472.69379277757162</c:v>
                </c:pt>
                <c:pt idx="187">
                  <c:v>598.22933681345239</c:v>
                </c:pt>
                <c:pt idx="188">
                  <c:v>724.04198853879734</c:v>
                </c:pt>
                <c:pt idx="189">
                  <c:v>850.12595648127626</c:v>
                </c:pt>
                <c:pt idx="190">
                  <c:v>976.47566123282286</c:v>
                </c:pt>
                <c:pt idx="191">
                  <c:v>1103.0857258826272</c:v>
                </c:pt>
                <c:pt idx="192">
                  <c:v>1229.9509665741371</c:v>
                </c:pt>
                <c:pt idx="193">
                  <c:v>1357.0663833100161</c:v>
                </c:pt>
                <c:pt idx="194">
                  <c:v>1484.4271510834214</c:v>
                </c:pt>
                <c:pt idx="195">
                  <c:v>1612.0286113825705</c:v>
                </c:pt>
                <c:pt idx="196">
                  <c:v>1739.8662640931752</c:v>
                </c:pt>
                <c:pt idx="197">
                  <c:v>1867.9357598080342</c:v>
                </c:pt>
                <c:pt idx="198">
                  <c:v>1996.2328925425181</c:v>
                </c:pt>
                <c:pt idx="199">
                  <c:v>2124.75359284758</c:v>
                </c:pt>
                <c:pt idx="200">
                  <c:v>2253.4939213072657</c:v>
                </c:pt>
                <c:pt idx="201">
                  <c:v>2382.4500624047168</c:v>
                </c:pt>
                <c:pt idx="202">
                  <c:v>2511.6183187391334</c:v>
                </c:pt>
                <c:pt idx="203">
                  <c:v>2640.9951055751089</c:v>
                </c:pt>
                <c:pt idx="204">
                  <c:v>2770.5769457058332</c:v>
                </c:pt>
                <c:pt idx="205">
                  <c:v>2900.3604646117064</c:v>
                </c:pt>
                <c:pt idx="206">
                  <c:v>3030.3423858964297</c:v>
                </c:pt>
                <c:pt idx="207">
                  <c:v>3160.519526983403</c:v>
                </c:pt>
                <c:pt idx="208">
                  <c:v>3290.8887950560666</c:v>
                </c:pt>
                <c:pt idx="209">
                  <c:v>3421.4471832265017</c:v>
                </c:pt>
                <c:pt idx="210">
                  <c:v>3552.191766917821</c:v>
                </c:pt>
                <c:pt idx="211">
                  <c:v>3683.119700446473</c:v>
                </c:pt>
                <c:pt idx="212">
                  <c:v>3814.2282137916018</c:v>
                </c:pt>
                <c:pt idx="213">
                  <c:v>3945.514609539453</c:v>
                </c:pt>
                <c:pt idx="214">
                  <c:v>4076.976259991502</c:v>
                </c:pt>
                <c:pt idx="215">
                  <c:v>4208.6106044259441</c:v>
                </c:pt>
                <c:pt idx="216">
                  <c:v>4340.4151465026962</c:v>
                </c:pt>
                <c:pt idx="217">
                  <c:v>4472.3874518028779</c:v>
                </c:pt>
                <c:pt idx="218">
                  <c:v>4604.52514549432</c:v>
                </c:pt>
                <c:pt idx="219">
                  <c:v>4736.8259101151989</c:v>
                </c:pt>
                <c:pt idx="220">
                  <c:v>4869.2874834686181</c:v>
                </c:pt>
                <c:pt idx="221">
                  <c:v>5001.9076566211434</c:v>
                </c:pt>
                <c:pt idx="222">
                  <c:v>5134.6842719991628</c:v>
                </c:pt>
                <c:pt idx="223">
                  <c:v>5267.6152215770426</c:v>
                </c:pt>
                <c:pt idx="224">
                  <c:v>5400.6984451517064</c:v>
                </c:pt>
                <c:pt idx="225">
                  <c:v>5533.931928698431</c:v>
                </c:pt>
                <c:pt idx="226">
                  <c:v>5667.3137028032243</c:v>
                </c:pt>
                <c:pt idx="227">
                  <c:v>5800.8418411672419</c:v>
                </c:pt>
                <c:pt idx="228">
                  <c:v>5934.5144591792041</c:v>
                </c:pt>
                <c:pt idx="229">
                  <c:v>6068.3297125518848</c:v>
                </c:pt>
                <c:pt idx="230">
                  <c:v>6202.285796019135</c:v>
                </c:pt>
                <c:pt idx="231">
                  <c:v>6336.3809420900352</c:v>
                </c:pt>
                <c:pt idx="232">
                  <c:v>6470.6134198570408</c:v>
                </c:pt>
                <c:pt idx="233">
                  <c:v>6604.9815338552517</c:v>
                </c:pt>
                <c:pt idx="234">
                  <c:v>6739.4836229698931</c:v>
                </c:pt>
                <c:pt idx="235">
                  <c:v>6874.1180593896888</c:v>
                </c:pt>
                <c:pt idx="236">
                  <c:v>7008.8832476033976</c:v>
                </c:pt>
                <c:pt idx="237">
                  <c:v>7143.7776234375751</c:v>
                </c:pt>
                <c:pt idx="238">
                  <c:v>7278.7996531332128</c:v>
                </c:pt>
                <c:pt idx="239">
                  <c:v>7413.9478324593192</c:v>
                </c:pt>
                <c:pt idx="240">
                  <c:v>7549.2206858616692</c:v>
                </c:pt>
                <c:pt idx="241">
                  <c:v>7684.6167656448515</c:v>
                </c:pt>
                <c:pt idx="242">
                  <c:v>7820.1346511859765</c:v>
                </c:pt>
                <c:pt idx="243">
                  <c:v>7955.7729481785982</c:v>
                </c:pt>
                <c:pt idx="244">
                  <c:v>8091.5302879052551</c:v>
                </c:pt>
                <c:pt idx="245">
                  <c:v>8227.4053265373041</c:v>
                </c:pt>
                <c:pt idx="246">
                  <c:v>8363.3967443894326</c:v>
                </c:pt>
                <c:pt idx="247">
                  <c:v>8499.5032455625587</c:v>
                </c:pt>
                <c:pt idx="248">
                  <c:v>8635.7235568687829</c:v>
                </c:pt>
                <c:pt idx="249">
                  <c:v>8772.0564275354918</c:v>
                </c:pt>
                <c:pt idx="250">
                  <c:v>8908.5006285447344</c:v>
                </c:pt>
                <c:pt idx="251">
                  <c:v>9045.0549520720524</c:v>
                </c:pt>
                <c:pt idx="252">
                  <c:v>9181.7182109449313</c:v>
                </c:pt>
                <c:pt idx="253">
                  <c:v>9318.4892381200079</c:v>
                </c:pt>
                <c:pt idx="254">
                  <c:v>9455.3668861781625</c:v>
                </c:pt>
                <c:pt idx="255">
                  <c:v>9592.3500268367679</c:v>
                </c:pt>
                <c:pt idx="256">
                  <c:v>9729.4375504783784</c:v>
                </c:pt>
                <c:pt idx="257">
                  <c:v>9866.6283656950618</c:v>
                </c:pt>
                <c:pt idx="258">
                  <c:v>10003.921398847822</c:v>
                </c:pt>
                <c:pt idx="259">
                  <c:v>10141.315593640393</c:v>
                </c:pt>
                <c:pt idx="260">
                  <c:v>10278.809910706877</c:v>
                </c:pt>
                <c:pt idx="261">
                  <c:v>10416.403327212578</c:v>
                </c:pt>
                <c:pt idx="262">
                  <c:v>10554.094836467615</c:v>
                </c:pt>
                <c:pt idx="263">
                  <c:v>10691.883447552642</c:v>
                </c:pt>
                <c:pt idx="264">
                  <c:v>10829.76818495632</c:v>
                </c:pt>
                <c:pt idx="265">
                  <c:v>10967.748088224009</c:v>
                </c:pt>
                <c:pt idx="266">
                  <c:v>11105.822211617276</c:v>
                </c:pt>
                <c:pt idx="267">
                  <c:v>11243.989623783746</c:v>
                </c:pt>
                <c:pt idx="268">
                  <c:v>11382.249407436946</c:v>
                </c:pt>
                <c:pt idx="269">
                  <c:v>11520.600659045755</c:v>
                </c:pt>
                <c:pt idx="270">
                  <c:v>11659.042488533029</c:v>
                </c:pt>
                <c:pt idx="271">
                  <c:v>11797.574018983178</c:v>
                </c:pt>
                <c:pt idx="272">
                  <c:v>11936.194386358224</c:v>
                </c:pt>
                <c:pt idx="273">
                  <c:v>12074.902739222136</c:v>
                </c:pt>
                <c:pt idx="274">
                  <c:v>12213.698238473062</c:v>
                </c:pt>
                <c:pt idx="275">
                  <c:v>12352.580057083225</c:v>
                </c:pt>
                <c:pt idx="276">
                  <c:v>12491.547379846143</c:v>
                </c:pt>
                <c:pt idx="277">
                  <c:v>12630.599403131047</c:v>
                </c:pt>
                <c:pt idx="278">
                  <c:v>12769.735334643967</c:v>
                </c:pt>
                <c:pt idx="279">
                  <c:v>12908.954393195625</c:v>
                </c:pt>
                <c:pt idx="280">
                  <c:v>13048.255808475551</c:v>
                </c:pt>
                <c:pt idx="281">
                  <c:v>13187.638820832424</c:v>
                </c:pt>
                <c:pt idx="282">
                  <c:v>13327.102681060347</c:v>
                </c:pt>
                <c:pt idx="283">
                  <c:v>13466.646650190807</c:v>
                </c:pt>
                <c:pt idx="284">
                  <c:v>13606.269999290264</c:v>
                </c:pt>
                <c:pt idx="285">
                  <c:v>13745.972009263009</c:v>
                </c:pt>
                <c:pt idx="286">
                  <c:v>13885.751970659247</c:v>
                </c:pt>
                <c:pt idx="287">
                  <c:v>14025.609183488177</c:v>
                </c:pt>
                <c:pt idx="288">
                  <c:v>14165.542957035905</c:v>
                </c:pt>
                <c:pt idx="289">
                  <c:v>14305.552609688039</c:v>
                </c:pt>
                <c:pt idx="290">
                  <c:v>14445.637468756784</c:v>
                </c:pt>
                <c:pt idx="291">
                  <c:v>14585.796870312508</c:v>
                </c:pt>
                <c:pt idx="292">
                  <c:v>14726.030159019407</c:v>
                </c:pt>
                <c:pt idx="293">
                  <c:v>14866.336687975461</c:v>
                </c:pt>
                <c:pt idx="294">
                  <c:v>15006.71581855616</c:v>
                </c:pt>
                <c:pt idx="295">
                  <c:v>15147.166920262262</c:v>
                </c:pt>
                <c:pt idx="296">
                  <c:v>15287.689370571195</c:v>
                </c:pt>
                <c:pt idx="297">
                  <c:v>15428.282554792066</c:v>
                </c:pt>
                <c:pt idx="298">
                  <c:v>15568.945865924245</c:v>
                </c:pt>
                <c:pt idx="299">
                  <c:v>15709.678704519269</c:v>
                </c:pt>
                <c:pt idx="300">
                  <c:v>15850.480478546102</c:v>
                </c:pt>
                <c:pt idx="301">
                  <c:v>15991.350603259554</c:v>
                </c:pt>
                <c:pt idx="302">
                  <c:v>16132.288501071835</c:v>
                </c:pt>
                <c:pt idx="303">
                  <c:v>16273.293601427089</c:v>
                </c:pt>
                <c:pt idx="304">
                  <c:v>16414.365340678865</c:v>
                </c:pt>
                <c:pt idx="305">
                  <c:v>16555.503161970413</c:v>
                </c:pt>
                <c:pt idx="306">
                  <c:v>16696.706515117745</c:v>
                </c:pt>
                <c:pt idx="307">
                  <c:v>16837.974856495359</c:v>
                </c:pt>
                <c:pt idx="308">
                  <c:v>16979.307648924569</c:v>
                </c:pt>
                <c:pt idx="309">
                  <c:v>17120.704361564334</c:v>
                </c:pt>
                <c:pt idx="310">
                  <c:v>17262.16446980456</c:v>
                </c:pt>
                <c:pt idx="311">
                  <c:v>17403.68745516178</c:v>
                </c:pt>
                <c:pt idx="312">
                  <c:v>17545.272805177137</c:v>
                </c:pt>
                <c:pt idx="313">
                  <c:v>17686.920013316641</c:v>
                </c:pt>
                <c:pt idx="314">
                  <c:v>17828.628578873551</c:v>
                </c:pt>
                <c:pt idx="315">
                  <c:v>17970.398006872994</c:v>
                </c:pt>
                <c:pt idx="316">
                  <c:v>18112.22780797851</c:v>
                </c:pt>
                <c:pt idx="317">
                  <c:v>18254.117498400763</c:v>
                </c:pt>
                <c:pt idx="318">
                  <c:v>18396.066599808088</c:v>
                </c:pt>
                <c:pt idx="319">
                  <c:v>18538.07463923897</c:v>
                </c:pt>
                <c:pt idx="320">
                  <c:v>18680.141149016465</c:v>
                </c:pt>
                <c:pt idx="321">
                  <c:v>18822.265666664291</c:v>
                </c:pt>
                <c:pt idx="322">
                  <c:v>18964.447734824782</c:v>
                </c:pt>
                <c:pt idx="323">
                  <c:v>19106.686901178477</c:v>
                </c:pt>
                <c:pt idx="324">
                  <c:v>19248.982718365449</c:v>
                </c:pt>
                <c:pt idx="325">
                  <c:v>19391.334743908214</c:v>
                </c:pt>
                <c:pt idx="326">
                  <c:v>19533.74254013618</c:v>
                </c:pt>
                <c:pt idx="327">
                  <c:v>19676.20567411177</c:v>
                </c:pt>
                <c:pt idx="328">
                  <c:v>19818.723717557845</c:v>
                </c:pt>
                <c:pt idx="329">
                  <c:v>19961.296246786824</c:v>
                </c:pt>
                <c:pt idx="330">
                  <c:v>20103.922842631044</c:v>
                </c:pt>
                <c:pt idx="331">
                  <c:v>20246.603090374538</c:v>
                </c:pt>
                <c:pt idx="332">
                  <c:v>20389.336579686318</c:v>
                </c:pt>
                <c:pt idx="333">
                  <c:v>20532.122904554752</c:v>
                </c:pt>
                <c:pt idx="334">
                  <c:v>20674.961663223436</c:v>
                </c:pt>
                <c:pt idx="335">
                  <c:v>20817.852458128164</c:v>
                </c:pt>
                <c:pt idx="336">
                  <c:v>20960.794895835224</c:v>
                </c:pt>
                <c:pt idx="337">
                  <c:v>21103.788586980885</c:v>
                </c:pt>
                <c:pt idx="338">
                  <c:v>21246.833146211964</c:v>
                </c:pt>
                <c:pt idx="339">
                  <c:v>21389.928192127631</c:v>
                </c:pt>
                <c:pt idx="340">
                  <c:v>21533.07334722234</c:v>
                </c:pt>
                <c:pt idx="341">
                  <c:v>21676.268237829649</c:v>
                </c:pt>
                <c:pt idx="342">
                  <c:v>21819.51249406741</c:v>
                </c:pt>
                <c:pt idx="343">
                  <c:v>21962.805749783711</c:v>
                </c:pt>
                <c:pt idx="344">
                  <c:v>22106.147642504024</c:v>
                </c:pt>
                <c:pt idx="345">
                  <c:v>22249.537813379204</c:v>
                </c:pt>
                <c:pt idx="346">
                  <c:v>22392.975907134529</c:v>
                </c:pt>
                <c:pt idx="347">
                  <c:v>22536.461572019685</c:v>
                </c:pt>
                <c:pt idx="348">
                  <c:v>22679.994459759604</c:v>
                </c:pt>
                <c:pt idx="349">
                  <c:v>22823.574225506265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82-4A55-9A57-5568083A5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675824"/>
        <c:axId val="954675344"/>
      </c:scatterChart>
      <c:valAx>
        <c:axId val="954675824"/>
        <c:scaling>
          <c:orientation val="minMax"/>
          <c:max val="180"/>
          <c:min val="1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675344"/>
        <c:crosses val="autoZero"/>
        <c:crossBetween val="midCat"/>
      </c:valAx>
      <c:valAx>
        <c:axId val="95467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67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108857</xdr:colOff>
      <xdr:row>21</xdr:row>
      <xdr:rowOff>68036</xdr:rowOff>
    </xdr:from>
    <xdr:to>
      <xdr:col>31</xdr:col>
      <xdr:colOff>40822</xdr:colOff>
      <xdr:row>53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20410</xdr:colOff>
      <xdr:row>54</xdr:row>
      <xdr:rowOff>2720</xdr:rowOff>
    </xdr:from>
    <xdr:to>
      <xdr:col>31</xdr:col>
      <xdr:colOff>54429</xdr:colOff>
      <xdr:row>84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39729</xdr:colOff>
      <xdr:row>86</xdr:row>
      <xdr:rowOff>47472</xdr:rowOff>
    </xdr:from>
    <xdr:to>
      <xdr:col>31</xdr:col>
      <xdr:colOff>23429</xdr:colOff>
      <xdr:row>120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1</xdr:colOff>
      <xdr:row>20</xdr:row>
      <xdr:rowOff>187037</xdr:rowOff>
    </xdr:from>
    <xdr:to>
      <xdr:col>46</xdr:col>
      <xdr:colOff>0</xdr:colOff>
      <xdr:row>53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23813</xdr:colOff>
      <xdr:row>54</xdr:row>
      <xdr:rowOff>23812</xdr:rowOff>
    </xdr:from>
    <xdr:to>
      <xdr:col>46</xdr:col>
      <xdr:colOff>1</xdr:colOff>
      <xdr:row>85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476250</xdr:colOff>
      <xdr:row>87</xdr:row>
      <xdr:rowOff>71437</xdr:rowOff>
    </xdr:from>
    <xdr:to>
      <xdr:col>46</xdr:col>
      <xdr:colOff>599514</xdr:colOff>
      <xdr:row>117</xdr:row>
      <xdr:rowOff>103935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1E4572-E908-41A6-81D4-0A8A101D7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48244</xdr:colOff>
      <xdr:row>120</xdr:row>
      <xdr:rowOff>174419</xdr:rowOff>
    </xdr:from>
    <xdr:to>
      <xdr:col>30</xdr:col>
      <xdr:colOff>572738</xdr:colOff>
      <xdr:row>158</xdr:row>
      <xdr:rowOff>35626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FEC1A18-897E-452B-A088-4C8A34AABF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591909</xdr:colOff>
      <xdr:row>121</xdr:row>
      <xdr:rowOff>43545</xdr:rowOff>
    </xdr:from>
    <xdr:to>
      <xdr:col>47</xdr:col>
      <xdr:colOff>23813</xdr:colOff>
      <xdr:row>157</xdr:row>
      <xdr:rowOff>119062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52A23EC-8166-7461-D5F1-010458ADAB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topLeftCell="A22" zoomScale="220" zoomScaleNormal="220" workbookViewId="0">
      <selection activeCell="B32" sqref="B32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34.53</v>
      </c>
      <c r="D2" s="3">
        <v>13.38</v>
      </c>
    </row>
    <row r="3" spans="1:4" x14ac:dyDescent="0.25">
      <c r="A3" s="2" t="s">
        <v>11</v>
      </c>
      <c r="B3" s="3">
        <v>3386.08</v>
      </c>
      <c r="D3" s="3">
        <v>997.79</v>
      </c>
    </row>
    <row r="4" spans="1:4" x14ac:dyDescent="0.25">
      <c r="A4" s="2" t="s">
        <v>12</v>
      </c>
      <c r="B4" s="3">
        <v>7310.03</v>
      </c>
      <c r="D4" s="3">
        <v>469.13</v>
      </c>
    </row>
    <row r="5" spans="1:4" x14ac:dyDescent="0.25">
      <c r="A5" s="2" t="s">
        <v>13</v>
      </c>
      <c r="B5" s="3">
        <v>123.09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58.44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2.68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0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5.87</v>
      </c>
      <c r="D30" s="3">
        <v>0</v>
      </c>
    </row>
    <row r="31" spans="1:4" x14ac:dyDescent="0.25">
      <c r="A31" s="2" t="s">
        <v>39</v>
      </c>
      <c r="B31" s="3">
        <v>6.18</v>
      </c>
      <c r="D31" s="3">
        <v>0</v>
      </c>
    </row>
    <row r="32" spans="1:4" x14ac:dyDescent="0.25">
      <c r="A32" s="2" t="s">
        <v>40</v>
      </c>
      <c r="B32" s="3">
        <v>81.71942258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34.545362159556987</v>
      </c>
    </row>
    <row r="3" spans="1:2" x14ac:dyDescent="0.25">
      <c r="A3" t="s">
        <v>43</v>
      </c>
      <c r="B3">
        <f>INDEX(ComputeThermoProps(T_in,p_in,ParametersRange),1,2)</f>
        <v>2.9691780281249493E-4</v>
      </c>
    </row>
    <row r="4" spans="1:2" x14ac:dyDescent="0.25">
      <c r="A4" t="s">
        <v>44</v>
      </c>
      <c r="B4">
        <f>INDEX(ComputeThermoProps(T_in,p_in,ParametersRange),1,3)</f>
        <v>2.9564168205549826E-4</v>
      </c>
    </row>
    <row r="5" spans="1:2" x14ac:dyDescent="0.25">
      <c r="A5" t="s">
        <v>45</v>
      </c>
      <c r="B5">
        <f>INDEX(ComputeThermoProps(T_in,p_in,ParametersRange),1,4)</f>
        <v>1.6106134231658835E-4</v>
      </c>
    </row>
    <row r="6" spans="1:2" x14ac:dyDescent="0.25">
      <c r="A6" t="s">
        <v>46</v>
      </c>
      <c r="B6">
        <f>INDEX(ComputeThermoProps(T_in,p_in,ParametersRange),1,5)</f>
        <v>7.0223198346491404</v>
      </c>
    </row>
    <row r="7" spans="1:2" x14ac:dyDescent="0.25">
      <c r="A7" t="s">
        <v>47</v>
      </c>
      <c r="B7">
        <f>INDEX(ComputeThermoProps(T_in,p_in,ParametersRange),1,6)</f>
        <v>6.9921386598648034</v>
      </c>
    </row>
    <row r="8" spans="1:2" x14ac:dyDescent="0.25">
      <c r="A8" t="s">
        <v>48</v>
      </c>
      <c r="B8">
        <f>INDEX(ComputeThermoProps(T_in,p_in,ParametersRange),1,7)</f>
        <v>2.68</v>
      </c>
    </row>
    <row r="9" spans="1:2" x14ac:dyDescent="0.25">
      <c r="A9" t="s">
        <v>49</v>
      </c>
      <c r="B9">
        <f>INDEX(ComputeThermoProps(T_in,p_in,ParametersRange),1,8)</f>
        <v>20.687130138028557</v>
      </c>
    </row>
    <row r="10" spans="1:2" x14ac:dyDescent="0.25">
      <c r="A10" t="s">
        <v>50</v>
      </c>
      <c r="B10">
        <f>INDEX(ComputeThermoProps(T_in,p_in,ParametersRange),1,9)</f>
        <v>2.8296212868972668</v>
      </c>
    </row>
    <row r="11" spans="1:2" x14ac:dyDescent="0.25">
      <c r="A11" t="s">
        <v>51</v>
      </c>
      <c r="B11">
        <f>INDEX(ComputeThermoProps(T_in,p_in,ParametersRange),1,10)</f>
        <v>-7.6090827309441105</v>
      </c>
    </row>
    <row r="12" spans="1:2" x14ac:dyDescent="0.25">
      <c r="A12" t="s">
        <v>52</v>
      </c>
      <c r="B12">
        <f>INDEX(ComputeThermoProps(T_in,p_in,ParametersRange),1,11)</f>
        <v>24.141666353984256</v>
      </c>
    </row>
    <row r="13" spans="1:2" x14ac:dyDescent="0.25">
      <c r="A13" t="s">
        <v>53</v>
      </c>
      <c r="B13">
        <f>INDEX(ComputeThermoProps(T_in,p_in,ParametersRange),1,12)</f>
        <v>-4.1545465149884118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34.545362159556987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dimension ref="A2:XFD391"/>
  <sheetViews>
    <sheetView tabSelected="1" topLeftCell="A4" zoomScaleNormal="100" workbookViewId="0">
      <selection activeCell="M15" sqref="M15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1024 1026:2048 2050:3072 3074:4096 4098:5120 5122:6144 6146:7168 7170:8192 8194:9216 9218:10240 10242:11264 11266:12288 12290:13312 13314:14336 14338:15360 15362:16384" x14ac:dyDescent="0.25">
      <c r="A2" s="2" t="s">
        <v>55</v>
      </c>
      <c r="B2" s="3">
        <v>0.1</v>
      </c>
    </row>
    <row r="3" spans="1:1024 1026:2048 2050:3072 3074:4096 4098:5120 5122:6144 6146:7168 7170:8192 8194:9216 9218:10240 10242:11264 11266:12288 12290:13312 13314:14336 14338:15360 15362:16384" x14ac:dyDescent="0.25">
      <c r="A3" s="2" t="s">
        <v>56</v>
      </c>
      <c r="B3" s="3">
        <v>350</v>
      </c>
    </row>
    <row r="4" spans="1:1024 1026:2048 2050:3072 3074:4096 4098:5120 5122:6144 6146:7168 7170:8192 8194:9216 9218:10240 10242:11264 11266:12288 12290:13312 13314:14336 14338:15360 15362:16384" x14ac:dyDescent="0.25">
      <c r="A4" s="2" t="s">
        <v>57</v>
      </c>
      <c r="B4" s="3">
        <v>1</v>
      </c>
    </row>
    <row r="5" spans="1:1024 1026:2048 2050:3072 3074:4096 4098:5120 5122:6144 6146:7168 7170:8192 8194:9216 9218:10240 10242:11264 11266:12288 12290:13312 13314:14336 14338:15360 15362:16384" x14ac:dyDescent="0.25">
      <c r="A5" s="2" t="s">
        <v>70</v>
      </c>
      <c r="B5" s="3">
        <v>161.405</v>
      </c>
    </row>
    <row r="6" spans="1:1024 1026:2048 2050:3072 3074:4096 4098:5120 5122:6144 6146:7168 7170:8192 8194:9216 9218:10240 10242:11264 11266:12288 12290:13312 13314:14336 14338:15360 15362:16384" x14ac:dyDescent="0.25">
      <c r="A6" s="4" t="s">
        <v>71</v>
      </c>
      <c r="B6" s="5">
        <v>8.1769999999999995E-2</v>
      </c>
    </row>
    <row r="7" spans="1:1024 1026:2048 2050:3072 3074:4096 4098:5120 5122:6144 6146:7168 7170:8192 8194:9216 9218:10240 10242:11264 11266:12288 12290:13312 13314:14336 14338:15360 15362:16384" x14ac:dyDescent="0.25">
      <c r="A7" s="2" t="s">
        <v>82</v>
      </c>
      <c r="B7" s="3">
        <v>77.430000000000007</v>
      </c>
      <c r="D7" s="6"/>
      <c r="F7" s="6"/>
      <c r="H7" s="6"/>
      <c r="J7" s="6"/>
      <c r="L7" s="6"/>
      <c r="N7" s="6"/>
      <c r="P7" s="6"/>
      <c r="R7" s="6"/>
      <c r="T7" s="6"/>
      <c r="V7" s="6"/>
      <c r="X7" s="6"/>
      <c r="Z7" s="6"/>
      <c r="AB7" s="6"/>
      <c r="AD7" s="6"/>
      <c r="AF7" s="6"/>
      <c r="AH7" s="6"/>
      <c r="AJ7" s="6"/>
      <c r="AL7" s="6"/>
      <c r="AN7" s="6"/>
      <c r="AP7" s="6"/>
      <c r="AR7" s="6"/>
      <c r="AT7" s="6"/>
      <c r="AV7" s="6"/>
      <c r="AX7" s="6"/>
      <c r="AZ7" s="6"/>
      <c r="BB7" s="6"/>
      <c r="BD7" s="6"/>
      <c r="BF7" s="6"/>
      <c r="BH7" s="6"/>
      <c r="BJ7" s="6"/>
      <c r="BL7" s="6"/>
      <c r="BN7" s="6"/>
      <c r="BP7" s="6"/>
      <c r="BR7" s="6"/>
      <c r="BT7" s="6"/>
      <c r="BV7" s="6"/>
      <c r="BX7" s="6"/>
      <c r="BZ7" s="6"/>
      <c r="CB7" s="6"/>
      <c r="CD7" s="6"/>
      <c r="CF7" s="6"/>
      <c r="CH7" s="6"/>
      <c r="CJ7" s="6"/>
      <c r="CL7" s="6"/>
      <c r="CN7" s="6"/>
      <c r="CP7" s="6"/>
      <c r="CR7" s="6"/>
      <c r="CT7" s="6"/>
      <c r="CV7" s="6"/>
      <c r="CX7" s="6"/>
      <c r="CZ7" s="6"/>
      <c r="DB7" s="6"/>
      <c r="DD7" s="6"/>
      <c r="DF7" s="6"/>
      <c r="DH7" s="6"/>
      <c r="DJ7" s="6"/>
      <c r="DL7" s="6"/>
      <c r="DN7" s="6"/>
      <c r="DP7" s="6"/>
      <c r="DR7" s="6"/>
      <c r="DT7" s="6"/>
      <c r="DV7" s="6"/>
      <c r="DX7" s="6"/>
      <c r="DZ7" s="6"/>
      <c r="EB7" s="6"/>
      <c r="ED7" s="6"/>
      <c r="EF7" s="6"/>
      <c r="EH7" s="6"/>
      <c r="EJ7" s="6"/>
      <c r="EL7" s="6"/>
      <c r="EN7" s="6"/>
      <c r="EP7" s="6"/>
      <c r="ER7" s="6"/>
      <c r="ET7" s="6"/>
      <c r="EV7" s="6"/>
      <c r="EX7" s="6"/>
      <c r="EZ7" s="6"/>
      <c r="FB7" s="6"/>
      <c r="FD7" s="6"/>
      <c r="FF7" s="6"/>
      <c r="FH7" s="6"/>
      <c r="FJ7" s="6"/>
      <c r="FL7" s="6"/>
      <c r="FN7" s="6"/>
      <c r="FP7" s="6"/>
      <c r="FR7" s="6"/>
      <c r="FT7" s="6"/>
      <c r="FV7" s="6"/>
      <c r="FX7" s="6"/>
      <c r="FZ7" s="6"/>
      <c r="GB7" s="6"/>
      <c r="GD7" s="6"/>
      <c r="GF7" s="6"/>
      <c r="GH7" s="6"/>
      <c r="GJ7" s="6"/>
      <c r="GL7" s="6"/>
      <c r="GN7" s="6"/>
      <c r="GP7" s="6"/>
      <c r="GR7" s="6"/>
      <c r="GT7" s="6"/>
      <c r="GV7" s="6"/>
      <c r="GX7" s="6"/>
      <c r="GZ7" s="6"/>
      <c r="HB7" s="6"/>
      <c r="HD7" s="6"/>
      <c r="HF7" s="6"/>
      <c r="HH7" s="6"/>
      <c r="HJ7" s="6"/>
      <c r="HL7" s="6"/>
      <c r="HN7" s="6"/>
      <c r="HP7" s="6"/>
      <c r="HR7" s="6"/>
      <c r="HT7" s="6"/>
      <c r="HV7" s="6"/>
      <c r="HX7" s="6"/>
      <c r="HZ7" s="6"/>
      <c r="IB7" s="6"/>
      <c r="ID7" s="6"/>
      <c r="IF7" s="6"/>
      <c r="IH7" s="6"/>
      <c r="IJ7" s="6"/>
      <c r="IL7" s="6"/>
      <c r="IN7" s="6"/>
      <c r="IP7" s="6"/>
      <c r="IR7" s="6"/>
      <c r="IT7" s="6"/>
      <c r="IV7" s="6"/>
      <c r="IX7" s="6"/>
      <c r="IZ7" s="6"/>
      <c r="JB7" s="6"/>
      <c r="JD7" s="6"/>
      <c r="JF7" s="6"/>
      <c r="JH7" s="6"/>
      <c r="JJ7" s="6"/>
      <c r="JL7" s="6"/>
      <c r="JN7" s="6"/>
      <c r="JP7" s="6"/>
      <c r="JR7" s="6"/>
      <c r="JT7" s="6"/>
      <c r="JV7" s="6"/>
      <c r="JX7" s="6"/>
      <c r="JZ7" s="6"/>
      <c r="KB7" s="6"/>
      <c r="KD7" s="6"/>
      <c r="KF7" s="6"/>
      <c r="KH7" s="6"/>
      <c r="KJ7" s="6"/>
      <c r="KL7" s="6"/>
      <c r="KN7" s="6"/>
      <c r="KP7" s="6"/>
      <c r="KR7" s="6"/>
      <c r="KT7" s="6"/>
      <c r="KV7" s="6"/>
      <c r="KX7" s="6"/>
      <c r="KZ7" s="6"/>
      <c r="LB7" s="6"/>
      <c r="LD7" s="6"/>
      <c r="LF7" s="6"/>
      <c r="LH7" s="6"/>
      <c r="LJ7" s="6"/>
      <c r="LL7" s="6"/>
      <c r="LN7" s="6"/>
      <c r="LP7" s="6"/>
      <c r="LR7" s="6"/>
      <c r="LT7" s="6"/>
      <c r="LV7" s="6"/>
      <c r="LX7" s="6"/>
      <c r="LZ7" s="6"/>
      <c r="MB7" s="6"/>
      <c r="MD7" s="6"/>
      <c r="MF7" s="6"/>
      <c r="MH7" s="6"/>
      <c r="MJ7" s="6"/>
      <c r="ML7" s="6"/>
      <c r="MN7" s="6"/>
      <c r="MP7" s="6"/>
      <c r="MR7" s="6"/>
      <c r="MT7" s="6"/>
      <c r="MV7" s="6"/>
      <c r="MX7" s="6"/>
      <c r="MZ7" s="6"/>
      <c r="NB7" s="6"/>
      <c r="ND7" s="6"/>
      <c r="NF7" s="6"/>
      <c r="NH7" s="6"/>
      <c r="NJ7" s="6"/>
      <c r="NL7" s="6"/>
      <c r="NN7" s="6"/>
      <c r="NP7" s="6"/>
      <c r="NR7" s="6"/>
      <c r="NT7" s="6"/>
      <c r="NV7" s="6"/>
      <c r="NX7" s="6"/>
      <c r="NZ7" s="6"/>
      <c r="OB7" s="6"/>
      <c r="OD7" s="6"/>
      <c r="OF7" s="6"/>
      <c r="OH7" s="6"/>
      <c r="OJ7" s="6"/>
      <c r="OL7" s="6"/>
      <c r="ON7" s="6"/>
      <c r="OP7" s="6"/>
      <c r="OR7" s="6"/>
      <c r="OT7" s="6"/>
      <c r="OV7" s="6"/>
      <c r="OX7" s="6"/>
      <c r="OZ7" s="6"/>
      <c r="PB7" s="6"/>
      <c r="PD7" s="6"/>
      <c r="PF7" s="6"/>
      <c r="PH7" s="6"/>
      <c r="PJ7" s="6"/>
      <c r="PL7" s="6"/>
      <c r="PN7" s="6"/>
      <c r="PP7" s="6"/>
      <c r="PR7" s="6"/>
      <c r="PT7" s="6"/>
      <c r="PV7" s="6"/>
      <c r="PX7" s="6"/>
      <c r="PZ7" s="6"/>
      <c r="QB7" s="6"/>
      <c r="QD7" s="6"/>
      <c r="QF7" s="6"/>
      <c r="QH7" s="6"/>
      <c r="QJ7" s="6"/>
      <c r="QL7" s="6"/>
      <c r="QN7" s="6"/>
      <c r="QP7" s="6"/>
      <c r="QR7" s="6"/>
      <c r="QT7" s="6"/>
      <c r="QV7" s="6"/>
      <c r="QX7" s="6"/>
      <c r="QZ7" s="6"/>
      <c r="RB7" s="6"/>
      <c r="RD7" s="6"/>
      <c r="RF7" s="6"/>
      <c r="RH7" s="6"/>
      <c r="RJ7" s="6"/>
      <c r="RL7" s="6"/>
      <c r="RN7" s="6"/>
      <c r="RP7" s="6"/>
      <c r="RR7" s="6"/>
      <c r="RT7" s="6"/>
      <c r="RV7" s="6"/>
      <c r="RX7" s="6"/>
      <c r="RZ7" s="6"/>
      <c r="SB7" s="6"/>
      <c r="SD7" s="6"/>
      <c r="SF7" s="6"/>
      <c r="SH7" s="6"/>
      <c r="SJ7" s="6"/>
      <c r="SL7" s="6"/>
      <c r="SN7" s="6"/>
      <c r="SP7" s="6"/>
      <c r="SR7" s="6"/>
      <c r="ST7" s="6"/>
      <c r="SV7" s="6"/>
      <c r="SX7" s="6"/>
      <c r="SZ7" s="6"/>
      <c r="TB7" s="6"/>
      <c r="TD7" s="6"/>
      <c r="TF7" s="6"/>
      <c r="TH7" s="6"/>
      <c r="TJ7" s="6"/>
      <c r="TL7" s="6"/>
      <c r="TN7" s="6"/>
      <c r="TP7" s="6"/>
      <c r="TR7" s="6"/>
      <c r="TT7" s="6"/>
      <c r="TV7" s="6"/>
      <c r="TX7" s="6"/>
      <c r="TZ7" s="6"/>
      <c r="UB7" s="6"/>
      <c r="UD7" s="6"/>
      <c r="UF7" s="6"/>
      <c r="UH7" s="6"/>
      <c r="UJ7" s="6"/>
      <c r="UL7" s="6"/>
      <c r="UN7" s="6"/>
      <c r="UP7" s="6"/>
      <c r="UR7" s="6"/>
      <c r="UT7" s="6"/>
      <c r="UV7" s="6"/>
      <c r="UX7" s="6"/>
      <c r="UZ7" s="6"/>
      <c r="VB7" s="6"/>
      <c r="VD7" s="6"/>
      <c r="VF7" s="6"/>
      <c r="VH7" s="6"/>
      <c r="VJ7" s="6"/>
      <c r="VL7" s="6"/>
      <c r="VN7" s="6"/>
      <c r="VP7" s="6"/>
      <c r="VR7" s="6"/>
      <c r="VT7" s="6"/>
      <c r="VV7" s="6"/>
      <c r="VX7" s="6"/>
      <c r="VZ7" s="6"/>
      <c r="WB7" s="6"/>
      <c r="WD7" s="6"/>
      <c r="WF7" s="6"/>
      <c r="WH7" s="6"/>
      <c r="WJ7" s="6"/>
      <c r="WL7" s="6"/>
      <c r="WN7" s="6"/>
      <c r="WP7" s="6"/>
      <c r="WR7" s="6"/>
      <c r="WT7" s="6"/>
      <c r="WV7" s="6"/>
      <c r="WX7" s="6"/>
      <c r="WZ7" s="6"/>
      <c r="XB7" s="6"/>
      <c r="XD7" s="6"/>
      <c r="XF7" s="6"/>
      <c r="XH7" s="6"/>
      <c r="XJ7" s="6"/>
      <c r="XL7" s="6"/>
      <c r="XN7" s="6"/>
      <c r="XP7" s="6"/>
      <c r="XR7" s="6"/>
      <c r="XT7" s="6"/>
      <c r="XV7" s="6"/>
      <c r="XX7" s="6"/>
      <c r="XZ7" s="6"/>
      <c r="YB7" s="6"/>
      <c r="YD7" s="6"/>
      <c r="YF7" s="6"/>
      <c r="YH7" s="6"/>
      <c r="YJ7" s="6"/>
      <c r="YL7" s="6"/>
      <c r="YN7" s="6"/>
      <c r="YP7" s="6"/>
      <c r="YR7" s="6"/>
      <c r="YT7" s="6"/>
      <c r="YV7" s="6"/>
      <c r="YX7" s="6"/>
      <c r="YZ7" s="6"/>
      <c r="ZB7" s="6"/>
      <c r="ZD7" s="6"/>
      <c r="ZF7" s="6"/>
      <c r="ZH7" s="6"/>
      <c r="ZJ7" s="6"/>
      <c r="ZL7" s="6"/>
      <c r="ZN7" s="6"/>
      <c r="ZP7" s="6"/>
      <c r="ZR7" s="6"/>
      <c r="ZT7" s="6"/>
      <c r="ZV7" s="6"/>
      <c r="ZX7" s="6"/>
      <c r="ZZ7" s="6"/>
      <c r="AAB7" s="6"/>
      <c r="AAD7" s="6"/>
      <c r="AAF7" s="6"/>
      <c r="AAH7" s="6"/>
      <c r="AAJ7" s="6"/>
      <c r="AAL7" s="6"/>
      <c r="AAN7" s="6"/>
      <c r="AAP7" s="6"/>
      <c r="AAR7" s="6"/>
      <c r="AAT7" s="6"/>
      <c r="AAV7" s="6"/>
      <c r="AAX7" s="6"/>
      <c r="AAZ7" s="6"/>
      <c r="ABB7" s="6"/>
      <c r="ABD7" s="6"/>
      <c r="ABF7" s="6"/>
      <c r="ABH7" s="6"/>
      <c r="ABJ7" s="6"/>
      <c r="ABL7" s="6"/>
      <c r="ABN7" s="6"/>
      <c r="ABP7" s="6"/>
      <c r="ABR7" s="6"/>
      <c r="ABT7" s="6"/>
      <c r="ABV7" s="6"/>
      <c r="ABX7" s="6"/>
      <c r="ABZ7" s="6"/>
      <c r="ACB7" s="6"/>
      <c r="ACD7" s="6"/>
      <c r="ACF7" s="6"/>
      <c r="ACH7" s="6"/>
      <c r="ACJ7" s="6"/>
      <c r="ACL7" s="6"/>
      <c r="ACN7" s="6"/>
      <c r="ACP7" s="6"/>
      <c r="ACR7" s="6"/>
      <c r="ACT7" s="6"/>
      <c r="ACV7" s="6"/>
      <c r="ACX7" s="6"/>
      <c r="ACZ7" s="6"/>
      <c r="ADB7" s="6"/>
      <c r="ADD7" s="6"/>
      <c r="ADF7" s="6"/>
      <c r="ADH7" s="6"/>
      <c r="ADJ7" s="6"/>
      <c r="ADL7" s="6"/>
      <c r="ADN7" s="6"/>
      <c r="ADP7" s="6"/>
      <c r="ADR7" s="6"/>
      <c r="ADT7" s="6"/>
      <c r="ADV7" s="6"/>
      <c r="ADX7" s="6"/>
      <c r="ADZ7" s="6"/>
      <c r="AEB7" s="6"/>
      <c r="AED7" s="6"/>
      <c r="AEF7" s="6"/>
      <c r="AEH7" s="6"/>
      <c r="AEJ7" s="6"/>
      <c r="AEL7" s="6"/>
      <c r="AEN7" s="6"/>
      <c r="AEP7" s="6"/>
      <c r="AER7" s="6"/>
      <c r="AET7" s="6"/>
      <c r="AEV7" s="6"/>
      <c r="AEX7" s="6"/>
      <c r="AEZ7" s="6"/>
      <c r="AFB7" s="6"/>
      <c r="AFD7" s="6"/>
      <c r="AFF7" s="6"/>
      <c r="AFH7" s="6"/>
      <c r="AFJ7" s="6"/>
      <c r="AFL7" s="6"/>
      <c r="AFN7" s="6"/>
      <c r="AFP7" s="6"/>
      <c r="AFR7" s="6"/>
      <c r="AFT7" s="6"/>
      <c r="AFV7" s="6"/>
      <c r="AFX7" s="6"/>
      <c r="AFZ7" s="6"/>
      <c r="AGB7" s="6"/>
      <c r="AGD7" s="6"/>
      <c r="AGF7" s="6"/>
      <c r="AGH7" s="6"/>
      <c r="AGJ7" s="6"/>
      <c r="AGL7" s="6"/>
      <c r="AGN7" s="6"/>
      <c r="AGP7" s="6"/>
      <c r="AGR7" s="6"/>
      <c r="AGT7" s="6"/>
      <c r="AGV7" s="6"/>
      <c r="AGX7" s="6"/>
      <c r="AGZ7" s="6"/>
      <c r="AHB7" s="6"/>
      <c r="AHD7" s="6"/>
      <c r="AHF7" s="6"/>
      <c r="AHH7" s="6"/>
      <c r="AHJ7" s="6"/>
      <c r="AHL7" s="6"/>
      <c r="AHN7" s="6"/>
      <c r="AHP7" s="6"/>
      <c r="AHR7" s="6"/>
      <c r="AHT7" s="6"/>
      <c r="AHV7" s="6"/>
      <c r="AHX7" s="6"/>
      <c r="AHZ7" s="6"/>
      <c r="AIB7" s="6"/>
      <c r="AID7" s="6"/>
      <c r="AIF7" s="6"/>
      <c r="AIH7" s="6"/>
      <c r="AIJ7" s="6"/>
      <c r="AIL7" s="6"/>
      <c r="AIN7" s="6"/>
      <c r="AIP7" s="6"/>
      <c r="AIR7" s="6"/>
      <c r="AIT7" s="6"/>
      <c r="AIV7" s="6"/>
      <c r="AIX7" s="6"/>
      <c r="AIZ7" s="6"/>
      <c r="AJB7" s="6"/>
      <c r="AJD7" s="6"/>
      <c r="AJF7" s="6"/>
      <c r="AJH7" s="6"/>
      <c r="AJJ7" s="6"/>
      <c r="AJL7" s="6"/>
      <c r="AJN7" s="6"/>
      <c r="AJP7" s="6"/>
      <c r="AJR7" s="6"/>
      <c r="AJT7" s="6"/>
      <c r="AJV7" s="6"/>
      <c r="AJX7" s="6"/>
      <c r="AJZ7" s="6"/>
      <c r="AKB7" s="6"/>
      <c r="AKD7" s="6"/>
      <c r="AKF7" s="6"/>
      <c r="AKH7" s="6"/>
      <c r="AKJ7" s="6"/>
      <c r="AKL7" s="6"/>
      <c r="AKN7" s="6"/>
      <c r="AKP7" s="6"/>
      <c r="AKR7" s="6"/>
      <c r="AKT7" s="6"/>
      <c r="AKV7" s="6"/>
      <c r="AKX7" s="6"/>
      <c r="AKZ7" s="6"/>
      <c r="ALB7" s="6"/>
      <c r="ALD7" s="6"/>
      <c r="ALF7" s="6"/>
      <c r="ALH7" s="6"/>
      <c r="ALJ7" s="6"/>
      <c r="ALL7" s="6"/>
      <c r="ALN7" s="6"/>
      <c r="ALP7" s="6"/>
      <c r="ALR7" s="6"/>
      <c r="ALT7" s="6"/>
      <c r="ALV7" s="6"/>
      <c r="ALX7" s="6"/>
      <c r="ALZ7" s="6"/>
      <c r="AMB7" s="6"/>
      <c r="AMD7" s="6"/>
      <c r="AMF7" s="6"/>
      <c r="AMH7" s="6"/>
      <c r="AMJ7" s="6"/>
      <c r="AML7" s="6"/>
      <c r="AMN7" s="6"/>
      <c r="AMP7" s="6"/>
      <c r="AMR7" s="6"/>
      <c r="AMT7" s="6"/>
      <c r="AMV7" s="6"/>
      <c r="AMX7" s="6"/>
      <c r="AMZ7" s="6"/>
      <c r="ANB7" s="6"/>
      <c r="AND7" s="6"/>
      <c r="ANF7" s="6"/>
      <c r="ANH7" s="6"/>
      <c r="ANJ7" s="6"/>
      <c r="ANL7" s="6"/>
      <c r="ANN7" s="6"/>
      <c r="ANP7" s="6"/>
      <c r="ANR7" s="6"/>
      <c r="ANT7" s="6"/>
      <c r="ANV7" s="6"/>
      <c r="ANX7" s="6"/>
      <c r="ANZ7" s="6"/>
      <c r="AOB7" s="6"/>
      <c r="AOD7" s="6"/>
      <c r="AOF7" s="6"/>
      <c r="AOH7" s="6"/>
      <c r="AOJ7" s="6"/>
      <c r="AOL7" s="6"/>
      <c r="AON7" s="6"/>
      <c r="AOP7" s="6"/>
      <c r="AOR7" s="6"/>
      <c r="AOT7" s="6"/>
      <c r="AOV7" s="6"/>
      <c r="AOX7" s="6"/>
      <c r="AOZ7" s="6"/>
      <c r="APB7" s="6"/>
      <c r="APD7" s="6"/>
      <c r="APF7" s="6"/>
      <c r="APH7" s="6"/>
      <c r="APJ7" s="6"/>
      <c r="APL7" s="6"/>
      <c r="APN7" s="6"/>
      <c r="APP7" s="6"/>
      <c r="APR7" s="6"/>
      <c r="APT7" s="6"/>
      <c r="APV7" s="6"/>
      <c r="APX7" s="6"/>
      <c r="APZ7" s="6"/>
      <c r="AQB7" s="6"/>
      <c r="AQD7" s="6"/>
      <c r="AQF7" s="6"/>
      <c r="AQH7" s="6"/>
      <c r="AQJ7" s="6"/>
      <c r="AQL7" s="6"/>
      <c r="AQN7" s="6"/>
      <c r="AQP7" s="6"/>
      <c r="AQR7" s="6"/>
      <c r="AQT7" s="6"/>
      <c r="AQV7" s="6"/>
      <c r="AQX7" s="6"/>
      <c r="AQZ7" s="6"/>
      <c r="ARB7" s="6"/>
      <c r="ARD7" s="6"/>
      <c r="ARF7" s="6"/>
      <c r="ARH7" s="6"/>
      <c r="ARJ7" s="6"/>
      <c r="ARL7" s="6"/>
      <c r="ARN7" s="6"/>
      <c r="ARP7" s="6"/>
      <c r="ARR7" s="6"/>
      <c r="ART7" s="6"/>
      <c r="ARV7" s="6"/>
      <c r="ARX7" s="6"/>
      <c r="ARZ7" s="6"/>
      <c r="ASB7" s="6"/>
      <c r="ASD7" s="6"/>
      <c r="ASF7" s="6"/>
      <c r="ASH7" s="6"/>
      <c r="ASJ7" s="6"/>
      <c r="ASL7" s="6"/>
      <c r="ASN7" s="6"/>
      <c r="ASP7" s="6"/>
      <c r="ASR7" s="6"/>
      <c r="AST7" s="6"/>
      <c r="ASV7" s="6"/>
      <c r="ASX7" s="6"/>
      <c r="ASZ7" s="6"/>
      <c r="ATB7" s="6"/>
      <c r="ATD7" s="6"/>
      <c r="ATF7" s="6"/>
      <c r="ATH7" s="6"/>
      <c r="ATJ7" s="6"/>
      <c r="ATL7" s="6"/>
      <c r="ATN7" s="6"/>
      <c r="ATP7" s="6"/>
      <c r="ATR7" s="6"/>
      <c r="ATT7" s="6"/>
      <c r="ATV7" s="6"/>
      <c r="ATX7" s="6"/>
      <c r="ATZ7" s="6"/>
      <c r="AUB7" s="6"/>
      <c r="AUD7" s="6"/>
      <c r="AUF7" s="6"/>
      <c r="AUH7" s="6"/>
      <c r="AUJ7" s="6"/>
      <c r="AUL7" s="6"/>
      <c r="AUN7" s="6"/>
      <c r="AUP7" s="6"/>
      <c r="AUR7" s="6"/>
      <c r="AUT7" s="6"/>
      <c r="AUV7" s="6"/>
      <c r="AUX7" s="6"/>
      <c r="AUZ7" s="6"/>
      <c r="AVB7" s="6"/>
      <c r="AVD7" s="6"/>
      <c r="AVF7" s="6"/>
      <c r="AVH7" s="6"/>
      <c r="AVJ7" s="6"/>
      <c r="AVL7" s="6"/>
      <c r="AVN7" s="6"/>
      <c r="AVP7" s="6"/>
      <c r="AVR7" s="6"/>
      <c r="AVT7" s="6"/>
      <c r="AVV7" s="6"/>
      <c r="AVX7" s="6"/>
      <c r="AVZ7" s="6"/>
      <c r="AWB7" s="6"/>
      <c r="AWD7" s="6"/>
      <c r="AWF7" s="6"/>
      <c r="AWH7" s="6"/>
      <c r="AWJ7" s="6"/>
      <c r="AWL7" s="6"/>
      <c r="AWN7" s="6"/>
      <c r="AWP7" s="6"/>
      <c r="AWR7" s="6"/>
      <c r="AWT7" s="6"/>
      <c r="AWV7" s="6"/>
      <c r="AWX7" s="6"/>
      <c r="AWZ7" s="6"/>
      <c r="AXB7" s="6"/>
      <c r="AXD7" s="6"/>
      <c r="AXF7" s="6"/>
      <c r="AXH7" s="6"/>
      <c r="AXJ7" s="6"/>
      <c r="AXL7" s="6"/>
      <c r="AXN7" s="6"/>
      <c r="AXP7" s="6"/>
      <c r="AXR7" s="6"/>
      <c r="AXT7" s="6"/>
      <c r="AXV7" s="6"/>
      <c r="AXX7" s="6"/>
      <c r="AXZ7" s="6"/>
      <c r="AYB7" s="6"/>
      <c r="AYD7" s="6"/>
      <c r="AYF7" s="6"/>
      <c r="AYH7" s="6"/>
      <c r="AYJ7" s="6"/>
      <c r="AYL7" s="6"/>
      <c r="AYN7" s="6"/>
      <c r="AYP7" s="6"/>
      <c r="AYR7" s="6"/>
      <c r="AYT7" s="6"/>
      <c r="AYV7" s="6"/>
      <c r="AYX7" s="6"/>
      <c r="AYZ7" s="6"/>
      <c r="AZB7" s="6"/>
      <c r="AZD7" s="6"/>
      <c r="AZF7" s="6"/>
      <c r="AZH7" s="6"/>
      <c r="AZJ7" s="6"/>
      <c r="AZL7" s="6"/>
      <c r="AZN7" s="6"/>
      <c r="AZP7" s="6"/>
      <c r="AZR7" s="6"/>
      <c r="AZT7" s="6"/>
      <c r="AZV7" s="6"/>
      <c r="AZX7" s="6"/>
      <c r="AZZ7" s="6"/>
      <c r="BAB7" s="6"/>
      <c r="BAD7" s="6"/>
      <c r="BAF7" s="6"/>
      <c r="BAH7" s="6"/>
      <c r="BAJ7" s="6"/>
      <c r="BAL7" s="6"/>
      <c r="BAN7" s="6"/>
      <c r="BAP7" s="6"/>
      <c r="BAR7" s="6"/>
      <c r="BAT7" s="6"/>
      <c r="BAV7" s="6"/>
      <c r="BAX7" s="6"/>
      <c r="BAZ7" s="6"/>
      <c r="BBB7" s="6"/>
      <c r="BBD7" s="6"/>
      <c r="BBF7" s="6"/>
      <c r="BBH7" s="6"/>
      <c r="BBJ7" s="6"/>
      <c r="BBL7" s="6"/>
      <c r="BBN7" s="6"/>
      <c r="BBP7" s="6"/>
      <c r="BBR7" s="6"/>
      <c r="BBT7" s="6"/>
      <c r="BBV7" s="6"/>
      <c r="BBX7" s="6"/>
      <c r="BBZ7" s="6"/>
      <c r="BCB7" s="6"/>
      <c r="BCD7" s="6"/>
      <c r="BCF7" s="6"/>
      <c r="BCH7" s="6"/>
      <c r="BCJ7" s="6"/>
      <c r="BCL7" s="6"/>
      <c r="BCN7" s="6"/>
      <c r="BCP7" s="6"/>
      <c r="BCR7" s="6"/>
      <c r="BCT7" s="6"/>
      <c r="BCV7" s="6"/>
      <c r="BCX7" s="6"/>
      <c r="BCZ7" s="6"/>
      <c r="BDB7" s="6"/>
      <c r="BDD7" s="6"/>
      <c r="BDF7" s="6"/>
      <c r="BDH7" s="6"/>
      <c r="BDJ7" s="6"/>
      <c r="BDL7" s="6"/>
      <c r="BDN7" s="6"/>
      <c r="BDP7" s="6"/>
      <c r="BDR7" s="6"/>
      <c r="BDT7" s="6"/>
      <c r="BDV7" s="6"/>
      <c r="BDX7" s="6"/>
      <c r="BDZ7" s="6"/>
      <c r="BEB7" s="6"/>
      <c r="BED7" s="6"/>
      <c r="BEF7" s="6"/>
      <c r="BEH7" s="6"/>
      <c r="BEJ7" s="6"/>
      <c r="BEL7" s="6"/>
      <c r="BEN7" s="6"/>
      <c r="BEP7" s="6"/>
      <c r="BER7" s="6"/>
      <c r="BET7" s="6"/>
      <c r="BEV7" s="6"/>
      <c r="BEX7" s="6"/>
      <c r="BEZ7" s="6"/>
      <c r="BFB7" s="6"/>
      <c r="BFD7" s="6"/>
      <c r="BFF7" s="6"/>
      <c r="BFH7" s="6"/>
      <c r="BFJ7" s="6"/>
      <c r="BFL7" s="6"/>
      <c r="BFN7" s="6"/>
      <c r="BFP7" s="6"/>
      <c r="BFR7" s="6"/>
      <c r="BFT7" s="6"/>
      <c r="BFV7" s="6"/>
      <c r="BFX7" s="6"/>
      <c r="BFZ7" s="6"/>
      <c r="BGB7" s="6"/>
      <c r="BGD7" s="6"/>
      <c r="BGF7" s="6"/>
      <c r="BGH7" s="6"/>
      <c r="BGJ7" s="6"/>
      <c r="BGL7" s="6"/>
      <c r="BGN7" s="6"/>
      <c r="BGP7" s="6"/>
      <c r="BGR7" s="6"/>
      <c r="BGT7" s="6"/>
      <c r="BGV7" s="6"/>
      <c r="BGX7" s="6"/>
      <c r="BGZ7" s="6"/>
      <c r="BHB7" s="6"/>
      <c r="BHD7" s="6"/>
      <c r="BHF7" s="6"/>
      <c r="BHH7" s="6"/>
      <c r="BHJ7" s="6"/>
      <c r="BHL7" s="6"/>
      <c r="BHN7" s="6"/>
      <c r="BHP7" s="6"/>
      <c r="BHR7" s="6"/>
      <c r="BHT7" s="6"/>
      <c r="BHV7" s="6"/>
      <c r="BHX7" s="6"/>
      <c r="BHZ7" s="6"/>
      <c r="BIB7" s="6"/>
      <c r="BID7" s="6"/>
      <c r="BIF7" s="6"/>
      <c r="BIH7" s="6"/>
      <c r="BIJ7" s="6"/>
      <c r="BIL7" s="6"/>
      <c r="BIN7" s="6"/>
      <c r="BIP7" s="6"/>
      <c r="BIR7" s="6"/>
      <c r="BIT7" s="6"/>
      <c r="BIV7" s="6"/>
      <c r="BIX7" s="6"/>
      <c r="BIZ7" s="6"/>
      <c r="BJB7" s="6"/>
      <c r="BJD7" s="6"/>
      <c r="BJF7" s="6"/>
      <c r="BJH7" s="6"/>
      <c r="BJJ7" s="6"/>
      <c r="BJL7" s="6"/>
      <c r="BJN7" s="6"/>
      <c r="BJP7" s="6"/>
      <c r="BJR7" s="6"/>
      <c r="BJT7" s="6"/>
      <c r="BJV7" s="6"/>
      <c r="BJX7" s="6"/>
      <c r="BJZ7" s="6"/>
      <c r="BKB7" s="6"/>
      <c r="BKD7" s="6"/>
      <c r="BKF7" s="6"/>
      <c r="BKH7" s="6"/>
      <c r="BKJ7" s="6"/>
      <c r="BKL7" s="6"/>
      <c r="BKN7" s="6"/>
      <c r="BKP7" s="6"/>
      <c r="BKR7" s="6"/>
      <c r="BKT7" s="6"/>
      <c r="BKV7" s="6"/>
      <c r="BKX7" s="6"/>
      <c r="BKZ7" s="6"/>
      <c r="BLB7" s="6"/>
      <c r="BLD7" s="6"/>
      <c r="BLF7" s="6"/>
      <c r="BLH7" s="6"/>
      <c r="BLJ7" s="6"/>
      <c r="BLL7" s="6"/>
      <c r="BLN7" s="6"/>
      <c r="BLP7" s="6"/>
      <c r="BLR7" s="6"/>
      <c r="BLT7" s="6"/>
      <c r="BLV7" s="6"/>
      <c r="BLX7" s="6"/>
      <c r="BLZ7" s="6"/>
      <c r="BMB7" s="6"/>
      <c r="BMD7" s="6"/>
      <c r="BMF7" s="6"/>
      <c r="BMH7" s="6"/>
      <c r="BMJ7" s="6"/>
      <c r="BML7" s="6"/>
      <c r="BMN7" s="6"/>
      <c r="BMP7" s="6"/>
      <c r="BMR7" s="6"/>
      <c r="BMT7" s="6"/>
      <c r="BMV7" s="6"/>
      <c r="BMX7" s="6"/>
      <c r="BMZ7" s="6"/>
      <c r="BNB7" s="6"/>
      <c r="BND7" s="6"/>
      <c r="BNF7" s="6"/>
      <c r="BNH7" s="6"/>
      <c r="BNJ7" s="6"/>
      <c r="BNL7" s="6"/>
      <c r="BNN7" s="6"/>
      <c r="BNP7" s="6"/>
      <c r="BNR7" s="6"/>
      <c r="BNT7" s="6"/>
      <c r="BNV7" s="6"/>
      <c r="BNX7" s="6"/>
      <c r="BNZ7" s="6"/>
      <c r="BOB7" s="6"/>
      <c r="BOD7" s="6"/>
      <c r="BOF7" s="6"/>
      <c r="BOH7" s="6"/>
      <c r="BOJ7" s="6"/>
      <c r="BOL7" s="6"/>
      <c r="BON7" s="6"/>
      <c r="BOP7" s="6"/>
      <c r="BOR7" s="6"/>
      <c r="BOT7" s="6"/>
      <c r="BOV7" s="6"/>
      <c r="BOX7" s="6"/>
      <c r="BOZ7" s="6"/>
      <c r="BPB7" s="6"/>
      <c r="BPD7" s="6"/>
      <c r="BPF7" s="6"/>
      <c r="BPH7" s="6"/>
      <c r="BPJ7" s="6"/>
      <c r="BPL7" s="6"/>
      <c r="BPN7" s="6"/>
      <c r="BPP7" s="6"/>
      <c r="BPR7" s="6"/>
      <c r="BPT7" s="6"/>
      <c r="BPV7" s="6"/>
      <c r="BPX7" s="6"/>
      <c r="BPZ7" s="6"/>
      <c r="BQB7" s="6"/>
      <c r="BQD7" s="6"/>
      <c r="BQF7" s="6"/>
      <c r="BQH7" s="6"/>
      <c r="BQJ7" s="6"/>
      <c r="BQL7" s="6"/>
      <c r="BQN7" s="6"/>
      <c r="BQP7" s="6"/>
      <c r="BQR7" s="6"/>
      <c r="BQT7" s="6"/>
      <c r="BQV7" s="6"/>
      <c r="BQX7" s="6"/>
      <c r="BQZ7" s="6"/>
      <c r="BRB7" s="6"/>
      <c r="BRD7" s="6"/>
      <c r="BRF7" s="6"/>
      <c r="BRH7" s="6"/>
      <c r="BRJ7" s="6"/>
      <c r="BRL7" s="6"/>
      <c r="BRN7" s="6"/>
      <c r="BRP7" s="6"/>
      <c r="BRR7" s="6"/>
      <c r="BRT7" s="6"/>
      <c r="BRV7" s="6"/>
      <c r="BRX7" s="6"/>
      <c r="BRZ7" s="6"/>
      <c r="BSB7" s="6"/>
      <c r="BSD7" s="6"/>
      <c r="BSF7" s="6"/>
      <c r="BSH7" s="6"/>
      <c r="BSJ7" s="6"/>
      <c r="BSL7" s="6"/>
      <c r="BSN7" s="6"/>
      <c r="BSP7" s="6"/>
      <c r="BSR7" s="6"/>
      <c r="BST7" s="6"/>
      <c r="BSV7" s="6"/>
      <c r="BSX7" s="6"/>
      <c r="BSZ7" s="6"/>
      <c r="BTB7" s="6"/>
      <c r="BTD7" s="6"/>
      <c r="BTF7" s="6"/>
      <c r="BTH7" s="6"/>
      <c r="BTJ7" s="6"/>
      <c r="BTL7" s="6"/>
      <c r="BTN7" s="6"/>
      <c r="BTP7" s="6"/>
      <c r="BTR7" s="6"/>
      <c r="BTT7" s="6"/>
      <c r="BTV7" s="6"/>
      <c r="BTX7" s="6"/>
      <c r="BTZ7" s="6"/>
      <c r="BUB7" s="6"/>
      <c r="BUD7" s="6"/>
      <c r="BUF7" s="6"/>
      <c r="BUH7" s="6"/>
      <c r="BUJ7" s="6"/>
      <c r="BUL7" s="6"/>
      <c r="BUN7" s="6"/>
      <c r="BUP7" s="6"/>
      <c r="BUR7" s="6"/>
      <c r="BUT7" s="6"/>
      <c r="BUV7" s="6"/>
      <c r="BUX7" s="6"/>
      <c r="BUZ7" s="6"/>
      <c r="BVB7" s="6"/>
      <c r="BVD7" s="6"/>
      <c r="BVF7" s="6"/>
      <c r="BVH7" s="6"/>
      <c r="BVJ7" s="6"/>
      <c r="BVL7" s="6"/>
      <c r="BVN7" s="6"/>
      <c r="BVP7" s="6"/>
      <c r="BVR7" s="6"/>
      <c r="BVT7" s="6"/>
      <c r="BVV7" s="6"/>
      <c r="BVX7" s="6"/>
      <c r="BVZ7" s="6"/>
      <c r="BWB7" s="6"/>
      <c r="BWD7" s="6"/>
      <c r="BWF7" s="6"/>
      <c r="BWH7" s="6"/>
      <c r="BWJ7" s="6"/>
      <c r="BWL7" s="6"/>
      <c r="BWN7" s="6"/>
      <c r="BWP7" s="6"/>
      <c r="BWR7" s="6"/>
      <c r="BWT7" s="6"/>
      <c r="BWV7" s="6"/>
      <c r="BWX7" s="6"/>
      <c r="BWZ7" s="6"/>
      <c r="BXB7" s="6"/>
      <c r="BXD7" s="6"/>
      <c r="BXF7" s="6"/>
      <c r="BXH7" s="6"/>
      <c r="BXJ7" s="6"/>
      <c r="BXL7" s="6"/>
      <c r="BXN7" s="6"/>
      <c r="BXP7" s="6"/>
      <c r="BXR7" s="6"/>
      <c r="BXT7" s="6"/>
      <c r="BXV7" s="6"/>
      <c r="BXX7" s="6"/>
      <c r="BXZ7" s="6"/>
      <c r="BYB7" s="6"/>
      <c r="BYD7" s="6"/>
      <c r="BYF7" s="6"/>
      <c r="BYH7" s="6"/>
      <c r="BYJ7" s="6"/>
      <c r="BYL7" s="6"/>
      <c r="BYN7" s="6"/>
      <c r="BYP7" s="6"/>
      <c r="BYR7" s="6"/>
      <c r="BYT7" s="6"/>
      <c r="BYV7" s="6"/>
      <c r="BYX7" s="6"/>
      <c r="BYZ7" s="6"/>
      <c r="BZB7" s="6"/>
      <c r="BZD7" s="6"/>
      <c r="BZF7" s="6"/>
      <c r="BZH7" s="6"/>
      <c r="BZJ7" s="6"/>
      <c r="BZL7" s="6"/>
      <c r="BZN7" s="6"/>
      <c r="BZP7" s="6"/>
      <c r="BZR7" s="6"/>
      <c r="BZT7" s="6"/>
      <c r="BZV7" s="6"/>
      <c r="BZX7" s="6"/>
      <c r="BZZ7" s="6"/>
      <c r="CAB7" s="6"/>
      <c r="CAD7" s="6"/>
      <c r="CAF7" s="6"/>
      <c r="CAH7" s="6"/>
      <c r="CAJ7" s="6"/>
      <c r="CAL7" s="6"/>
      <c r="CAN7" s="6"/>
      <c r="CAP7" s="6"/>
      <c r="CAR7" s="6"/>
      <c r="CAT7" s="6"/>
      <c r="CAV7" s="6"/>
      <c r="CAX7" s="6"/>
      <c r="CAZ7" s="6"/>
      <c r="CBB7" s="6"/>
      <c r="CBD7" s="6"/>
      <c r="CBF7" s="6"/>
      <c r="CBH7" s="6"/>
      <c r="CBJ7" s="6"/>
      <c r="CBL7" s="6"/>
      <c r="CBN7" s="6"/>
      <c r="CBP7" s="6"/>
      <c r="CBR7" s="6"/>
      <c r="CBT7" s="6"/>
      <c r="CBV7" s="6"/>
      <c r="CBX7" s="6"/>
      <c r="CBZ7" s="6"/>
      <c r="CCB7" s="6"/>
      <c r="CCD7" s="6"/>
      <c r="CCF7" s="6"/>
      <c r="CCH7" s="6"/>
      <c r="CCJ7" s="6"/>
      <c r="CCL7" s="6"/>
      <c r="CCN7" s="6"/>
      <c r="CCP7" s="6"/>
      <c r="CCR7" s="6"/>
      <c r="CCT7" s="6"/>
      <c r="CCV7" s="6"/>
      <c r="CCX7" s="6"/>
      <c r="CCZ7" s="6"/>
      <c r="CDB7" s="6"/>
      <c r="CDD7" s="6"/>
      <c r="CDF7" s="6"/>
      <c r="CDH7" s="6"/>
      <c r="CDJ7" s="6"/>
      <c r="CDL7" s="6"/>
      <c r="CDN7" s="6"/>
      <c r="CDP7" s="6"/>
      <c r="CDR7" s="6"/>
      <c r="CDT7" s="6"/>
      <c r="CDV7" s="6"/>
      <c r="CDX7" s="6"/>
      <c r="CDZ7" s="6"/>
      <c r="CEB7" s="6"/>
      <c r="CED7" s="6"/>
      <c r="CEF7" s="6"/>
      <c r="CEH7" s="6"/>
      <c r="CEJ7" s="6"/>
      <c r="CEL7" s="6"/>
      <c r="CEN7" s="6"/>
      <c r="CEP7" s="6"/>
      <c r="CER7" s="6"/>
      <c r="CET7" s="6"/>
      <c r="CEV7" s="6"/>
      <c r="CEX7" s="6"/>
      <c r="CEZ7" s="6"/>
      <c r="CFB7" s="6"/>
      <c r="CFD7" s="6"/>
      <c r="CFF7" s="6"/>
      <c r="CFH7" s="6"/>
      <c r="CFJ7" s="6"/>
      <c r="CFL7" s="6"/>
      <c r="CFN7" s="6"/>
      <c r="CFP7" s="6"/>
      <c r="CFR7" s="6"/>
      <c r="CFT7" s="6"/>
      <c r="CFV7" s="6"/>
      <c r="CFX7" s="6"/>
      <c r="CFZ7" s="6"/>
      <c r="CGB7" s="6"/>
      <c r="CGD7" s="6"/>
      <c r="CGF7" s="6"/>
      <c r="CGH7" s="6"/>
      <c r="CGJ7" s="6"/>
      <c r="CGL7" s="6"/>
      <c r="CGN7" s="6"/>
      <c r="CGP7" s="6"/>
      <c r="CGR7" s="6"/>
      <c r="CGT7" s="6"/>
      <c r="CGV7" s="6"/>
      <c r="CGX7" s="6"/>
      <c r="CGZ7" s="6"/>
      <c r="CHB7" s="6"/>
      <c r="CHD7" s="6"/>
      <c r="CHF7" s="6"/>
      <c r="CHH7" s="6"/>
      <c r="CHJ7" s="6"/>
      <c r="CHL7" s="6"/>
      <c r="CHN7" s="6"/>
      <c r="CHP7" s="6"/>
      <c r="CHR7" s="6"/>
      <c r="CHT7" s="6"/>
      <c r="CHV7" s="6"/>
      <c r="CHX7" s="6"/>
      <c r="CHZ7" s="6"/>
      <c r="CIB7" s="6"/>
      <c r="CID7" s="6"/>
      <c r="CIF7" s="6"/>
      <c r="CIH7" s="6"/>
      <c r="CIJ7" s="6"/>
      <c r="CIL7" s="6"/>
      <c r="CIN7" s="6"/>
      <c r="CIP7" s="6"/>
      <c r="CIR7" s="6"/>
      <c r="CIT7" s="6"/>
      <c r="CIV7" s="6"/>
      <c r="CIX7" s="6"/>
      <c r="CIZ7" s="6"/>
      <c r="CJB7" s="6"/>
      <c r="CJD7" s="6"/>
      <c r="CJF7" s="6"/>
      <c r="CJH7" s="6"/>
      <c r="CJJ7" s="6"/>
      <c r="CJL7" s="6"/>
      <c r="CJN7" s="6"/>
      <c r="CJP7" s="6"/>
      <c r="CJR7" s="6"/>
      <c r="CJT7" s="6"/>
      <c r="CJV7" s="6"/>
      <c r="CJX7" s="6"/>
      <c r="CJZ7" s="6"/>
      <c r="CKB7" s="6"/>
      <c r="CKD7" s="6"/>
      <c r="CKF7" s="6"/>
      <c r="CKH7" s="6"/>
      <c r="CKJ7" s="6"/>
      <c r="CKL7" s="6"/>
      <c r="CKN7" s="6"/>
      <c r="CKP7" s="6"/>
      <c r="CKR7" s="6"/>
      <c r="CKT7" s="6"/>
      <c r="CKV7" s="6"/>
      <c r="CKX7" s="6"/>
      <c r="CKZ7" s="6"/>
      <c r="CLB7" s="6"/>
      <c r="CLD7" s="6"/>
      <c r="CLF7" s="6"/>
      <c r="CLH7" s="6"/>
      <c r="CLJ7" s="6"/>
      <c r="CLL7" s="6"/>
      <c r="CLN7" s="6"/>
      <c r="CLP7" s="6"/>
      <c r="CLR7" s="6"/>
      <c r="CLT7" s="6"/>
      <c r="CLV7" s="6"/>
      <c r="CLX7" s="6"/>
      <c r="CLZ7" s="6"/>
      <c r="CMB7" s="6"/>
      <c r="CMD7" s="6"/>
      <c r="CMF7" s="6"/>
      <c r="CMH7" s="6"/>
      <c r="CMJ7" s="6"/>
      <c r="CML7" s="6"/>
      <c r="CMN7" s="6"/>
      <c r="CMP7" s="6"/>
      <c r="CMR7" s="6"/>
      <c r="CMT7" s="6"/>
      <c r="CMV7" s="6"/>
      <c r="CMX7" s="6"/>
      <c r="CMZ7" s="6"/>
      <c r="CNB7" s="6"/>
      <c r="CND7" s="6"/>
      <c r="CNF7" s="6"/>
      <c r="CNH7" s="6"/>
      <c r="CNJ7" s="6"/>
      <c r="CNL7" s="6"/>
      <c r="CNN7" s="6"/>
      <c r="CNP7" s="6"/>
      <c r="CNR7" s="6"/>
      <c r="CNT7" s="6"/>
      <c r="CNV7" s="6"/>
      <c r="CNX7" s="6"/>
      <c r="CNZ7" s="6"/>
      <c r="COB7" s="6"/>
      <c r="COD7" s="6"/>
      <c r="COF7" s="6"/>
      <c r="COH7" s="6"/>
      <c r="COJ7" s="6"/>
      <c r="COL7" s="6"/>
      <c r="CON7" s="6"/>
      <c r="COP7" s="6"/>
      <c r="COR7" s="6"/>
      <c r="COT7" s="6"/>
      <c r="COV7" s="6"/>
      <c r="COX7" s="6"/>
      <c r="COZ7" s="6"/>
      <c r="CPB7" s="6"/>
      <c r="CPD7" s="6"/>
      <c r="CPF7" s="6"/>
      <c r="CPH7" s="6"/>
      <c r="CPJ7" s="6"/>
      <c r="CPL7" s="6"/>
      <c r="CPN7" s="6"/>
      <c r="CPP7" s="6"/>
      <c r="CPR7" s="6"/>
      <c r="CPT7" s="6"/>
      <c r="CPV7" s="6"/>
      <c r="CPX7" s="6"/>
      <c r="CPZ7" s="6"/>
      <c r="CQB7" s="6"/>
      <c r="CQD7" s="6"/>
      <c r="CQF7" s="6"/>
      <c r="CQH7" s="6"/>
      <c r="CQJ7" s="6"/>
      <c r="CQL7" s="6"/>
      <c r="CQN7" s="6"/>
      <c r="CQP7" s="6"/>
      <c r="CQR7" s="6"/>
      <c r="CQT7" s="6"/>
      <c r="CQV7" s="6"/>
      <c r="CQX7" s="6"/>
      <c r="CQZ7" s="6"/>
      <c r="CRB7" s="6"/>
      <c r="CRD7" s="6"/>
      <c r="CRF7" s="6"/>
      <c r="CRH7" s="6"/>
      <c r="CRJ7" s="6"/>
      <c r="CRL7" s="6"/>
      <c r="CRN7" s="6"/>
      <c r="CRP7" s="6"/>
      <c r="CRR7" s="6"/>
      <c r="CRT7" s="6"/>
      <c r="CRV7" s="6"/>
      <c r="CRX7" s="6"/>
      <c r="CRZ7" s="6"/>
      <c r="CSB7" s="6"/>
      <c r="CSD7" s="6"/>
      <c r="CSF7" s="6"/>
      <c r="CSH7" s="6"/>
      <c r="CSJ7" s="6"/>
      <c r="CSL7" s="6"/>
      <c r="CSN7" s="6"/>
      <c r="CSP7" s="6"/>
      <c r="CSR7" s="6"/>
      <c r="CST7" s="6"/>
      <c r="CSV7" s="6"/>
      <c r="CSX7" s="6"/>
      <c r="CSZ7" s="6"/>
      <c r="CTB7" s="6"/>
      <c r="CTD7" s="6"/>
      <c r="CTF7" s="6"/>
      <c r="CTH7" s="6"/>
      <c r="CTJ7" s="6"/>
      <c r="CTL7" s="6"/>
      <c r="CTN7" s="6"/>
      <c r="CTP7" s="6"/>
      <c r="CTR7" s="6"/>
      <c r="CTT7" s="6"/>
      <c r="CTV7" s="6"/>
      <c r="CTX7" s="6"/>
      <c r="CTZ7" s="6"/>
      <c r="CUB7" s="6"/>
      <c r="CUD7" s="6"/>
      <c r="CUF7" s="6"/>
      <c r="CUH7" s="6"/>
      <c r="CUJ7" s="6"/>
      <c r="CUL7" s="6"/>
      <c r="CUN7" s="6"/>
      <c r="CUP7" s="6"/>
      <c r="CUR7" s="6"/>
      <c r="CUT7" s="6"/>
      <c r="CUV7" s="6"/>
      <c r="CUX7" s="6"/>
      <c r="CUZ7" s="6"/>
      <c r="CVB7" s="6"/>
      <c r="CVD7" s="6"/>
      <c r="CVF7" s="6"/>
      <c r="CVH7" s="6"/>
      <c r="CVJ7" s="6"/>
      <c r="CVL7" s="6"/>
      <c r="CVN7" s="6"/>
      <c r="CVP7" s="6"/>
      <c r="CVR7" s="6"/>
      <c r="CVT7" s="6"/>
      <c r="CVV7" s="6"/>
      <c r="CVX7" s="6"/>
      <c r="CVZ7" s="6"/>
      <c r="CWB7" s="6"/>
      <c r="CWD7" s="6"/>
      <c r="CWF7" s="6"/>
      <c r="CWH7" s="6"/>
      <c r="CWJ7" s="6"/>
      <c r="CWL7" s="6"/>
      <c r="CWN7" s="6"/>
      <c r="CWP7" s="6"/>
      <c r="CWR7" s="6"/>
      <c r="CWT7" s="6"/>
      <c r="CWV7" s="6"/>
      <c r="CWX7" s="6"/>
      <c r="CWZ7" s="6"/>
      <c r="CXB7" s="6"/>
      <c r="CXD7" s="6"/>
      <c r="CXF7" s="6"/>
      <c r="CXH7" s="6"/>
      <c r="CXJ7" s="6"/>
      <c r="CXL7" s="6"/>
      <c r="CXN7" s="6"/>
      <c r="CXP7" s="6"/>
      <c r="CXR7" s="6"/>
      <c r="CXT7" s="6"/>
      <c r="CXV7" s="6"/>
      <c r="CXX7" s="6"/>
      <c r="CXZ7" s="6"/>
      <c r="CYB7" s="6"/>
      <c r="CYD7" s="6"/>
      <c r="CYF7" s="6"/>
      <c r="CYH7" s="6"/>
      <c r="CYJ7" s="6"/>
      <c r="CYL7" s="6"/>
      <c r="CYN7" s="6"/>
      <c r="CYP7" s="6"/>
      <c r="CYR7" s="6"/>
      <c r="CYT7" s="6"/>
      <c r="CYV7" s="6"/>
      <c r="CYX7" s="6"/>
      <c r="CYZ7" s="6"/>
      <c r="CZB7" s="6"/>
      <c r="CZD7" s="6"/>
      <c r="CZF7" s="6"/>
      <c r="CZH7" s="6"/>
      <c r="CZJ7" s="6"/>
      <c r="CZL7" s="6"/>
      <c r="CZN7" s="6"/>
      <c r="CZP7" s="6"/>
      <c r="CZR7" s="6"/>
      <c r="CZT7" s="6"/>
      <c r="CZV7" s="6"/>
      <c r="CZX7" s="6"/>
      <c r="CZZ7" s="6"/>
      <c r="DAB7" s="6"/>
      <c r="DAD7" s="6"/>
      <c r="DAF7" s="6"/>
      <c r="DAH7" s="6"/>
      <c r="DAJ7" s="6"/>
      <c r="DAL7" s="6"/>
      <c r="DAN7" s="6"/>
      <c r="DAP7" s="6"/>
      <c r="DAR7" s="6"/>
      <c r="DAT7" s="6"/>
      <c r="DAV7" s="6"/>
      <c r="DAX7" s="6"/>
      <c r="DAZ7" s="6"/>
      <c r="DBB7" s="6"/>
      <c r="DBD7" s="6"/>
      <c r="DBF7" s="6"/>
      <c r="DBH7" s="6"/>
      <c r="DBJ7" s="6"/>
      <c r="DBL7" s="6"/>
      <c r="DBN7" s="6"/>
      <c r="DBP7" s="6"/>
      <c r="DBR7" s="6"/>
      <c r="DBT7" s="6"/>
      <c r="DBV7" s="6"/>
      <c r="DBX7" s="6"/>
      <c r="DBZ7" s="6"/>
      <c r="DCB7" s="6"/>
      <c r="DCD7" s="6"/>
      <c r="DCF7" s="6"/>
      <c r="DCH7" s="6"/>
      <c r="DCJ7" s="6"/>
      <c r="DCL7" s="6"/>
      <c r="DCN7" s="6"/>
      <c r="DCP7" s="6"/>
      <c r="DCR7" s="6"/>
      <c r="DCT7" s="6"/>
      <c r="DCV7" s="6"/>
      <c r="DCX7" s="6"/>
      <c r="DCZ7" s="6"/>
      <c r="DDB7" s="6"/>
      <c r="DDD7" s="6"/>
      <c r="DDF7" s="6"/>
      <c r="DDH7" s="6"/>
      <c r="DDJ7" s="6"/>
      <c r="DDL7" s="6"/>
      <c r="DDN7" s="6"/>
      <c r="DDP7" s="6"/>
      <c r="DDR7" s="6"/>
      <c r="DDT7" s="6"/>
      <c r="DDV7" s="6"/>
      <c r="DDX7" s="6"/>
      <c r="DDZ7" s="6"/>
      <c r="DEB7" s="6"/>
      <c r="DED7" s="6"/>
      <c r="DEF7" s="6"/>
      <c r="DEH7" s="6"/>
      <c r="DEJ7" s="6"/>
      <c r="DEL7" s="6"/>
      <c r="DEN7" s="6"/>
      <c r="DEP7" s="6"/>
      <c r="DER7" s="6"/>
      <c r="DET7" s="6"/>
      <c r="DEV7" s="6"/>
      <c r="DEX7" s="6"/>
      <c r="DEZ7" s="6"/>
      <c r="DFB7" s="6"/>
      <c r="DFD7" s="6"/>
      <c r="DFF7" s="6"/>
      <c r="DFH7" s="6"/>
      <c r="DFJ7" s="6"/>
      <c r="DFL7" s="6"/>
      <c r="DFN7" s="6"/>
      <c r="DFP7" s="6"/>
      <c r="DFR7" s="6"/>
      <c r="DFT7" s="6"/>
      <c r="DFV7" s="6"/>
      <c r="DFX7" s="6"/>
      <c r="DFZ7" s="6"/>
      <c r="DGB7" s="6"/>
      <c r="DGD7" s="6"/>
      <c r="DGF7" s="6"/>
      <c r="DGH7" s="6"/>
      <c r="DGJ7" s="6"/>
      <c r="DGL7" s="6"/>
      <c r="DGN7" s="6"/>
      <c r="DGP7" s="6"/>
      <c r="DGR7" s="6"/>
      <c r="DGT7" s="6"/>
      <c r="DGV7" s="6"/>
      <c r="DGX7" s="6"/>
      <c r="DGZ7" s="6"/>
      <c r="DHB7" s="6"/>
      <c r="DHD7" s="6"/>
      <c r="DHF7" s="6"/>
      <c r="DHH7" s="6"/>
      <c r="DHJ7" s="6"/>
      <c r="DHL7" s="6"/>
      <c r="DHN7" s="6"/>
      <c r="DHP7" s="6"/>
      <c r="DHR7" s="6"/>
      <c r="DHT7" s="6"/>
      <c r="DHV7" s="6"/>
      <c r="DHX7" s="6"/>
      <c r="DHZ7" s="6"/>
      <c r="DIB7" s="6"/>
      <c r="DID7" s="6"/>
      <c r="DIF7" s="6"/>
      <c r="DIH7" s="6"/>
      <c r="DIJ7" s="6"/>
      <c r="DIL7" s="6"/>
      <c r="DIN7" s="6"/>
      <c r="DIP7" s="6"/>
      <c r="DIR7" s="6"/>
      <c r="DIT7" s="6"/>
      <c r="DIV7" s="6"/>
      <c r="DIX7" s="6"/>
      <c r="DIZ7" s="6"/>
      <c r="DJB7" s="6"/>
      <c r="DJD7" s="6"/>
      <c r="DJF7" s="6"/>
      <c r="DJH7" s="6"/>
      <c r="DJJ7" s="6"/>
      <c r="DJL7" s="6"/>
      <c r="DJN7" s="6"/>
      <c r="DJP7" s="6"/>
      <c r="DJR7" s="6"/>
      <c r="DJT7" s="6"/>
      <c r="DJV7" s="6"/>
      <c r="DJX7" s="6"/>
      <c r="DJZ7" s="6"/>
      <c r="DKB7" s="6"/>
      <c r="DKD7" s="6"/>
      <c r="DKF7" s="6"/>
      <c r="DKH7" s="6"/>
      <c r="DKJ7" s="6"/>
      <c r="DKL7" s="6"/>
      <c r="DKN7" s="6"/>
      <c r="DKP7" s="6"/>
      <c r="DKR7" s="6"/>
      <c r="DKT7" s="6"/>
      <c r="DKV7" s="6"/>
      <c r="DKX7" s="6"/>
      <c r="DKZ7" s="6"/>
      <c r="DLB7" s="6"/>
      <c r="DLD7" s="6"/>
      <c r="DLF7" s="6"/>
      <c r="DLH7" s="6"/>
      <c r="DLJ7" s="6"/>
      <c r="DLL7" s="6"/>
      <c r="DLN7" s="6"/>
      <c r="DLP7" s="6"/>
      <c r="DLR7" s="6"/>
      <c r="DLT7" s="6"/>
      <c r="DLV7" s="6"/>
      <c r="DLX7" s="6"/>
      <c r="DLZ7" s="6"/>
      <c r="DMB7" s="6"/>
      <c r="DMD7" s="6"/>
      <c r="DMF7" s="6"/>
      <c r="DMH7" s="6"/>
      <c r="DMJ7" s="6"/>
      <c r="DML7" s="6"/>
      <c r="DMN7" s="6"/>
      <c r="DMP7" s="6"/>
      <c r="DMR7" s="6"/>
      <c r="DMT7" s="6"/>
      <c r="DMV7" s="6"/>
      <c r="DMX7" s="6"/>
      <c r="DMZ7" s="6"/>
      <c r="DNB7" s="6"/>
      <c r="DND7" s="6"/>
      <c r="DNF7" s="6"/>
      <c r="DNH7" s="6"/>
      <c r="DNJ7" s="6"/>
      <c r="DNL7" s="6"/>
      <c r="DNN7" s="6"/>
      <c r="DNP7" s="6"/>
      <c r="DNR7" s="6"/>
      <c r="DNT7" s="6"/>
      <c r="DNV7" s="6"/>
      <c r="DNX7" s="6"/>
      <c r="DNZ7" s="6"/>
      <c r="DOB7" s="6"/>
      <c r="DOD7" s="6"/>
      <c r="DOF7" s="6"/>
      <c r="DOH7" s="6"/>
      <c r="DOJ7" s="6"/>
      <c r="DOL7" s="6"/>
      <c r="DON7" s="6"/>
      <c r="DOP7" s="6"/>
      <c r="DOR7" s="6"/>
      <c r="DOT7" s="6"/>
      <c r="DOV7" s="6"/>
      <c r="DOX7" s="6"/>
      <c r="DOZ7" s="6"/>
      <c r="DPB7" s="6"/>
      <c r="DPD7" s="6"/>
      <c r="DPF7" s="6"/>
      <c r="DPH7" s="6"/>
      <c r="DPJ7" s="6"/>
      <c r="DPL7" s="6"/>
      <c r="DPN7" s="6"/>
      <c r="DPP7" s="6"/>
      <c r="DPR7" s="6"/>
      <c r="DPT7" s="6"/>
      <c r="DPV7" s="6"/>
      <c r="DPX7" s="6"/>
      <c r="DPZ7" s="6"/>
      <c r="DQB7" s="6"/>
      <c r="DQD7" s="6"/>
      <c r="DQF7" s="6"/>
      <c r="DQH7" s="6"/>
      <c r="DQJ7" s="6"/>
      <c r="DQL7" s="6"/>
      <c r="DQN7" s="6"/>
      <c r="DQP7" s="6"/>
      <c r="DQR7" s="6"/>
      <c r="DQT7" s="6"/>
      <c r="DQV7" s="6"/>
      <c r="DQX7" s="6"/>
      <c r="DQZ7" s="6"/>
      <c r="DRB7" s="6"/>
      <c r="DRD7" s="6"/>
      <c r="DRF7" s="6"/>
      <c r="DRH7" s="6"/>
      <c r="DRJ7" s="6"/>
      <c r="DRL7" s="6"/>
      <c r="DRN7" s="6"/>
      <c r="DRP7" s="6"/>
      <c r="DRR7" s="6"/>
      <c r="DRT7" s="6"/>
      <c r="DRV7" s="6"/>
      <c r="DRX7" s="6"/>
      <c r="DRZ7" s="6"/>
      <c r="DSB7" s="6"/>
      <c r="DSD7" s="6"/>
      <c r="DSF7" s="6"/>
      <c r="DSH7" s="6"/>
      <c r="DSJ7" s="6"/>
      <c r="DSL7" s="6"/>
      <c r="DSN7" s="6"/>
      <c r="DSP7" s="6"/>
      <c r="DSR7" s="6"/>
      <c r="DST7" s="6"/>
      <c r="DSV7" s="6"/>
      <c r="DSX7" s="6"/>
      <c r="DSZ7" s="6"/>
      <c r="DTB7" s="6"/>
      <c r="DTD7" s="6"/>
      <c r="DTF7" s="6"/>
      <c r="DTH7" s="6"/>
      <c r="DTJ7" s="6"/>
      <c r="DTL7" s="6"/>
      <c r="DTN7" s="6"/>
      <c r="DTP7" s="6"/>
      <c r="DTR7" s="6"/>
      <c r="DTT7" s="6"/>
      <c r="DTV7" s="6"/>
      <c r="DTX7" s="6"/>
      <c r="DTZ7" s="6"/>
      <c r="DUB7" s="6"/>
      <c r="DUD7" s="6"/>
      <c r="DUF7" s="6"/>
      <c r="DUH7" s="6"/>
      <c r="DUJ7" s="6"/>
      <c r="DUL7" s="6"/>
      <c r="DUN7" s="6"/>
      <c r="DUP7" s="6"/>
      <c r="DUR7" s="6"/>
      <c r="DUT7" s="6"/>
      <c r="DUV7" s="6"/>
      <c r="DUX7" s="6"/>
      <c r="DUZ7" s="6"/>
      <c r="DVB7" s="6"/>
      <c r="DVD7" s="6"/>
      <c r="DVF7" s="6"/>
      <c r="DVH7" s="6"/>
      <c r="DVJ7" s="6"/>
      <c r="DVL7" s="6"/>
      <c r="DVN7" s="6"/>
      <c r="DVP7" s="6"/>
      <c r="DVR7" s="6"/>
      <c r="DVT7" s="6"/>
      <c r="DVV7" s="6"/>
      <c r="DVX7" s="6"/>
      <c r="DVZ7" s="6"/>
      <c r="DWB7" s="6"/>
      <c r="DWD7" s="6"/>
      <c r="DWF7" s="6"/>
      <c r="DWH7" s="6"/>
      <c r="DWJ7" s="6"/>
      <c r="DWL7" s="6"/>
      <c r="DWN7" s="6"/>
      <c r="DWP7" s="6"/>
      <c r="DWR7" s="6"/>
      <c r="DWT7" s="6"/>
      <c r="DWV7" s="6"/>
      <c r="DWX7" s="6"/>
      <c r="DWZ7" s="6"/>
      <c r="DXB7" s="6"/>
      <c r="DXD7" s="6"/>
      <c r="DXF7" s="6"/>
      <c r="DXH7" s="6"/>
      <c r="DXJ7" s="6"/>
      <c r="DXL7" s="6"/>
      <c r="DXN7" s="6"/>
      <c r="DXP7" s="6"/>
      <c r="DXR7" s="6"/>
      <c r="DXT7" s="6"/>
      <c r="DXV7" s="6"/>
      <c r="DXX7" s="6"/>
      <c r="DXZ7" s="6"/>
      <c r="DYB7" s="6"/>
      <c r="DYD7" s="6"/>
      <c r="DYF7" s="6"/>
      <c r="DYH7" s="6"/>
      <c r="DYJ7" s="6"/>
      <c r="DYL7" s="6"/>
      <c r="DYN7" s="6"/>
      <c r="DYP7" s="6"/>
      <c r="DYR7" s="6"/>
      <c r="DYT7" s="6"/>
      <c r="DYV7" s="6"/>
      <c r="DYX7" s="6"/>
      <c r="DYZ7" s="6"/>
      <c r="DZB7" s="6"/>
      <c r="DZD7" s="6"/>
      <c r="DZF7" s="6"/>
      <c r="DZH7" s="6"/>
      <c r="DZJ7" s="6"/>
      <c r="DZL7" s="6"/>
      <c r="DZN7" s="6"/>
      <c r="DZP7" s="6"/>
      <c r="DZR7" s="6"/>
      <c r="DZT7" s="6"/>
      <c r="DZV7" s="6"/>
      <c r="DZX7" s="6"/>
      <c r="DZZ7" s="6"/>
      <c r="EAB7" s="6"/>
      <c r="EAD7" s="6"/>
      <c r="EAF7" s="6"/>
      <c r="EAH7" s="6"/>
      <c r="EAJ7" s="6"/>
      <c r="EAL7" s="6"/>
      <c r="EAN7" s="6"/>
      <c r="EAP7" s="6"/>
      <c r="EAR7" s="6"/>
      <c r="EAT7" s="6"/>
      <c r="EAV7" s="6"/>
      <c r="EAX7" s="6"/>
      <c r="EAZ7" s="6"/>
      <c r="EBB7" s="6"/>
      <c r="EBD7" s="6"/>
      <c r="EBF7" s="6"/>
      <c r="EBH7" s="6"/>
      <c r="EBJ7" s="6"/>
      <c r="EBL7" s="6"/>
      <c r="EBN7" s="6"/>
      <c r="EBP7" s="6"/>
      <c r="EBR7" s="6"/>
      <c r="EBT7" s="6"/>
      <c r="EBV7" s="6"/>
      <c r="EBX7" s="6"/>
      <c r="EBZ7" s="6"/>
      <c r="ECB7" s="6"/>
      <c r="ECD7" s="6"/>
      <c r="ECF7" s="6"/>
      <c r="ECH7" s="6"/>
      <c r="ECJ7" s="6"/>
      <c r="ECL7" s="6"/>
      <c r="ECN7" s="6"/>
      <c r="ECP7" s="6"/>
      <c r="ECR7" s="6"/>
      <c r="ECT7" s="6"/>
      <c r="ECV7" s="6"/>
      <c r="ECX7" s="6"/>
      <c r="ECZ7" s="6"/>
      <c r="EDB7" s="6"/>
      <c r="EDD7" s="6"/>
      <c r="EDF7" s="6"/>
      <c r="EDH7" s="6"/>
      <c r="EDJ7" s="6"/>
      <c r="EDL7" s="6"/>
      <c r="EDN7" s="6"/>
      <c r="EDP7" s="6"/>
      <c r="EDR7" s="6"/>
      <c r="EDT7" s="6"/>
      <c r="EDV7" s="6"/>
      <c r="EDX7" s="6"/>
      <c r="EDZ7" s="6"/>
      <c r="EEB7" s="6"/>
      <c r="EED7" s="6"/>
      <c r="EEF7" s="6"/>
      <c r="EEH7" s="6"/>
      <c r="EEJ7" s="6"/>
      <c r="EEL7" s="6"/>
      <c r="EEN7" s="6"/>
      <c r="EEP7" s="6"/>
      <c r="EER7" s="6"/>
      <c r="EET7" s="6"/>
      <c r="EEV7" s="6"/>
      <c r="EEX7" s="6"/>
      <c r="EEZ7" s="6"/>
      <c r="EFB7" s="6"/>
      <c r="EFD7" s="6"/>
      <c r="EFF7" s="6"/>
      <c r="EFH7" s="6"/>
      <c r="EFJ7" s="6"/>
      <c r="EFL7" s="6"/>
      <c r="EFN7" s="6"/>
      <c r="EFP7" s="6"/>
      <c r="EFR7" s="6"/>
      <c r="EFT7" s="6"/>
      <c r="EFV7" s="6"/>
      <c r="EFX7" s="6"/>
      <c r="EFZ7" s="6"/>
      <c r="EGB7" s="6"/>
      <c r="EGD7" s="6"/>
      <c r="EGF7" s="6"/>
      <c r="EGH7" s="6"/>
      <c r="EGJ7" s="6"/>
      <c r="EGL7" s="6"/>
      <c r="EGN7" s="6"/>
      <c r="EGP7" s="6"/>
      <c r="EGR7" s="6"/>
      <c r="EGT7" s="6"/>
      <c r="EGV7" s="6"/>
      <c r="EGX7" s="6"/>
      <c r="EGZ7" s="6"/>
      <c r="EHB7" s="6"/>
      <c r="EHD7" s="6"/>
      <c r="EHF7" s="6"/>
      <c r="EHH7" s="6"/>
      <c r="EHJ7" s="6"/>
      <c r="EHL7" s="6"/>
      <c r="EHN7" s="6"/>
      <c r="EHP7" s="6"/>
      <c r="EHR7" s="6"/>
      <c r="EHT7" s="6"/>
      <c r="EHV7" s="6"/>
      <c r="EHX7" s="6"/>
      <c r="EHZ7" s="6"/>
      <c r="EIB7" s="6"/>
      <c r="EID7" s="6"/>
      <c r="EIF7" s="6"/>
      <c r="EIH7" s="6"/>
      <c r="EIJ7" s="6"/>
      <c r="EIL7" s="6"/>
      <c r="EIN7" s="6"/>
      <c r="EIP7" s="6"/>
      <c r="EIR7" s="6"/>
      <c r="EIT7" s="6"/>
      <c r="EIV7" s="6"/>
      <c r="EIX7" s="6"/>
      <c r="EIZ7" s="6"/>
      <c r="EJB7" s="6"/>
      <c r="EJD7" s="6"/>
      <c r="EJF7" s="6"/>
      <c r="EJH7" s="6"/>
      <c r="EJJ7" s="6"/>
      <c r="EJL7" s="6"/>
      <c r="EJN7" s="6"/>
      <c r="EJP7" s="6"/>
      <c r="EJR7" s="6"/>
      <c r="EJT7" s="6"/>
      <c r="EJV7" s="6"/>
      <c r="EJX7" s="6"/>
      <c r="EJZ7" s="6"/>
      <c r="EKB7" s="6"/>
      <c r="EKD7" s="6"/>
      <c r="EKF7" s="6"/>
      <c r="EKH7" s="6"/>
      <c r="EKJ7" s="6"/>
      <c r="EKL7" s="6"/>
      <c r="EKN7" s="6"/>
      <c r="EKP7" s="6"/>
      <c r="EKR7" s="6"/>
      <c r="EKT7" s="6"/>
      <c r="EKV7" s="6"/>
      <c r="EKX7" s="6"/>
      <c r="EKZ7" s="6"/>
      <c r="ELB7" s="6"/>
      <c r="ELD7" s="6"/>
      <c r="ELF7" s="6"/>
      <c r="ELH7" s="6"/>
      <c r="ELJ7" s="6"/>
      <c r="ELL7" s="6"/>
      <c r="ELN7" s="6"/>
      <c r="ELP7" s="6"/>
      <c r="ELR7" s="6"/>
      <c r="ELT7" s="6"/>
      <c r="ELV7" s="6"/>
      <c r="ELX7" s="6"/>
      <c r="ELZ7" s="6"/>
      <c r="EMB7" s="6"/>
      <c r="EMD7" s="6"/>
      <c r="EMF7" s="6"/>
      <c r="EMH7" s="6"/>
      <c r="EMJ7" s="6"/>
      <c r="EML7" s="6"/>
      <c r="EMN7" s="6"/>
      <c r="EMP7" s="6"/>
      <c r="EMR7" s="6"/>
      <c r="EMT7" s="6"/>
      <c r="EMV7" s="6"/>
      <c r="EMX7" s="6"/>
      <c r="EMZ7" s="6"/>
      <c r="ENB7" s="6"/>
      <c r="END7" s="6"/>
      <c r="ENF7" s="6"/>
      <c r="ENH7" s="6"/>
      <c r="ENJ7" s="6"/>
      <c r="ENL7" s="6"/>
      <c r="ENN7" s="6"/>
      <c r="ENP7" s="6"/>
      <c r="ENR7" s="6"/>
      <c r="ENT7" s="6"/>
      <c r="ENV7" s="6"/>
      <c r="ENX7" s="6"/>
      <c r="ENZ7" s="6"/>
      <c r="EOB7" s="6"/>
      <c r="EOD7" s="6"/>
      <c r="EOF7" s="6"/>
      <c r="EOH7" s="6"/>
      <c r="EOJ7" s="6"/>
      <c r="EOL7" s="6"/>
      <c r="EON7" s="6"/>
      <c r="EOP7" s="6"/>
      <c r="EOR7" s="6"/>
      <c r="EOT7" s="6"/>
      <c r="EOV7" s="6"/>
      <c r="EOX7" s="6"/>
      <c r="EOZ7" s="6"/>
      <c r="EPB7" s="6"/>
      <c r="EPD7" s="6"/>
      <c r="EPF7" s="6"/>
      <c r="EPH7" s="6"/>
      <c r="EPJ7" s="6"/>
      <c r="EPL7" s="6"/>
      <c r="EPN7" s="6"/>
      <c r="EPP7" s="6"/>
      <c r="EPR7" s="6"/>
      <c r="EPT7" s="6"/>
      <c r="EPV7" s="6"/>
      <c r="EPX7" s="6"/>
      <c r="EPZ7" s="6"/>
      <c r="EQB7" s="6"/>
      <c r="EQD7" s="6"/>
      <c r="EQF7" s="6"/>
      <c r="EQH7" s="6"/>
      <c r="EQJ7" s="6"/>
      <c r="EQL7" s="6"/>
      <c r="EQN7" s="6"/>
      <c r="EQP7" s="6"/>
      <c r="EQR7" s="6"/>
      <c r="EQT7" s="6"/>
      <c r="EQV7" s="6"/>
      <c r="EQX7" s="6"/>
      <c r="EQZ7" s="6"/>
      <c r="ERB7" s="6"/>
      <c r="ERD7" s="6"/>
      <c r="ERF7" s="6"/>
      <c r="ERH7" s="6"/>
      <c r="ERJ7" s="6"/>
      <c r="ERL7" s="6"/>
      <c r="ERN7" s="6"/>
      <c r="ERP7" s="6"/>
      <c r="ERR7" s="6"/>
      <c r="ERT7" s="6"/>
      <c r="ERV7" s="6"/>
      <c r="ERX7" s="6"/>
      <c r="ERZ7" s="6"/>
      <c r="ESB7" s="6"/>
      <c r="ESD7" s="6"/>
      <c r="ESF7" s="6"/>
      <c r="ESH7" s="6"/>
      <c r="ESJ7" s="6"/>
      <c r="ESL7" s="6"/>
      <c r="ESN7" s="6"/>
      <c r="ESP7" s="6"/>
      <c r="ESR7" s="6"/>
      <c r="EST7" s="6"/>
      <c r="ESV7" s="6"/>
      <c r="ESX7" s="6"/>
      <c r="ESZ7" s="6"/>
      <c r="ETB7" s="6"/>
      <c r="ETD7" s="6"/>
      <c r="ETF7" s="6"/>
      <c r="ETH7" s="6"/>
      <c r="ETJ7" s="6"/>
      <c r="ETL7" s="6"/>
      <c r="ETN7" s="6"/>
      <c r="ETP7" s="6"/>
      <c r="ETR7" s="6"/>
      <c r="ETT7" s="6"/>
      <c r="ETV7" s="6"/>
      <c r="ETX7" s="6"/>
      <c r="ETZ7" s="6"/>
      <c r="EUB7" s="6"/>
      <c r="EUD7" s="6"/>
      <c r="EUF7" s="6"/>
      <c r="EUH7" s="6"/>
      <c r="EUJ7" s="6"/>
      <c r="EUL7" s="6"/>
      <c r="EUN7" s="6"/>
      <c r="EUP7" s="6"/>
      <c r="EUR7" s="6"/>
      <c r="EUT7" s="6"/>
      <c r="EUV7" s="6"/>
      <c r="EUX7" s="6"/>
      <c r="EUZ7" s="6"/>
      <c r="EVB7" s="6"/>
      <c r="EVD7" s="6"/>
      <c r="EVF7" s="6"/>
      <c r="EVH7" s="6"/>
      <c r="EVJ7" s="6"/>
      <c r="EVL7" s="6"/>
      <c r="EVN7" s="6"/>
      <c r="EVP7" s="6"/>
      <c r="EVR7" s="6"/>
      <c r="EVT7" s="6"/>
      <c r="EVV7" s="6"/>
      <c r="EVX7" s="6"/>
      <c r="EVZ7" s="6"/>
      <c r="EWB7" s="6"/>
      <c r="EWD7" s="6"/>
      <c r="EWF7" s="6"/>
      <c r="EWH7" s="6"/>
      <c r="EWJ7" s="6"/>
      <c r="EWL7" s="6"/>
      <c r="EWN7" s="6"/>
      <c r="EWP7" s="6"/>
      <c r="EWR7" s="6"/>
      <c r="EWT7" s="6"/>
      <c r="EWV7" s="6"/>
      <c r="EWX7" s="6"/>
      <c r="EWZ7" s="6"/>
      <c r="EXB7" s="6"/>
      <c r="EXD7" s="6"/>
      <c r="EXF7" s="6"/>
      <c r="EXH7" s="6"/>
      <c r="EXJ7" s="6"/>
      <c r="EXL7" s="6"/>
      <c r="EXN7" s="6"/>
      <c r="EXP7" s="6"/>
      <c r="EXR7" s="6"/>
      <c r="EXT7" s="6"/>
      <c r="EXV7" s="6"/>
      <c r="EXX7" s="6"/>
      <c r="EXZ7" s="6"/>
      <c r="EYB7" s="6"/>
      <c r="EYD7" s="6"/>
      <c r="EYF7" s="6"/>
      <c r="EYH7" s="6"/>
      <c r="EYJ7" s="6"/>
      <c r="EYL7" s="6"/>
      <c r="EYN7" s="6"/>
      <c r="EYP7" s="6"/>
      <c r="EYR7" s="6"/>
      <c r="EYT7" s="6"/>
      <c r="EYV7" s="6"/>
      <c r="EYX7" s="6"/>
      <c r="EYZ7" s="6"/>
      <c r="EZB7" s="6"/>
      <c r="EZD7" s="6"/>
      <c r="EZF7" s="6"/>
      <c r="EZH7" s="6"/>
      <c r="EZJ7" s="6"/>
      <c r="EZL7" s="6"/>
      <c r="EZN7" s="6"/>
      <c r="EZP7" s="6"/>
      <c r="EZR7" s="6"/>
      <c r="EZT7" s="6"/>
      <c r="EZV7" s="6"/>
      <c r="EZX7" s="6"/>
      <c r="EZZ7" s="6"/>
      <c r="FAB7" s="6"/>
      <c r="FAD7" s="6"/>
      <c r="FAF7" s="6"/>
      <c r="FAH7" s="6"/>
      <c r="FAJ7" s="6"/>
      <c r="FAL7" s="6"/>
      <c r="FAN7" s="6"/>
      <c r="FAP7" s="6"/>
      <c r="FAR7" s="6"/>
      <c r="FAT7" s="6"/>
      <c r="FAV7" s="6"/>
      <c r="FAX7" s="6"/>
      <c r="FAZ7" s="6"/>
      <c r="FBB7" s="6"/>
      <c r="FBD7" s="6"/>
      <c r="FBF7" s="6"/>
      <c r="FBH7" s="6"/>
      <c r="FBJ7" s="6"/>
      <c r="FBL7" s="6"/>
      <c r="FBN7" s="6"/>
      <c r="FBP7" s="6"/>
      <c r="FBR7" s="6"/>
      <c r="FBT7" s="6"/>
      <c r="FBV7" s="6"/>
      <c r="FBX7" s="6"/>
      <c r="FBZ7" s="6"/>
      <c r="FCB7" s="6"/>
      <c r="FCD7" s="6"/>
      <c r="FCF7" s="6"/>
      <c r="FCH7" s="6"/>
      <c r="FCJ7" s="6"/>
      <c r="FCL7" s="6"/>
      <c r="FCN7" s="6"/>
      <c r="FCP7" s="6"/>
      <c r="FCR7" s="6"/>
      <c r="FCT7" s="6"/>
      <c r="FCV7" s="6"/>
      <c r="FCX7" s="6"/>
      <c r="FCZ7" s="6"/>
      <c r="FDB7" s="6"/>
      <c r="FDD7" s="6"/>
      <c r="FDF7" s="6"/>
      <c r="FDH7" s="6"/>
      <c r="FDJ7" s="6"/>
      <c r="FDL7" s="6"/>
      <c r="FDN7" s="6"/>
      <c r="FDP7" s="6"/>
      <c r="FDR7" s="6"/>
      <c r="FDT7" s="6"/>
      <c r="FDV7" s="6"/>
      <c r="FDX7" s="6"/>
      <c r="FDZ7" s="6"/>
      <c r="FEB7" s="6"/>
      <c r="FED7" s="6"/>
      <c r="FEF7" s="6"/>
      <c r="FEH7" s="6"/>
      <c r="FEJ7" s="6"/>
      <c r="FEL7" s="6"/>
      <c r="FEN7" s="6"/>
      <c r="FEP7" s="6"/>
      <c r="FER7" s="6"/>
      <c r="FET7" s="6"/>
      <c r="FEV7" s="6"/>
      <c r="FEX7" s="6"/>
      <c r="FEZ7" s="6"/>
      <c r="FFB7" s="6"/>
      <c r="FFD7" s="6"/>
      <c r="FFF7" s="6"/>
      <c r="FFH7" s="6"/>
      <c r="FFJ7" s="6"/>
      <c r="FFL7" s="6"/>
      <c r="FFN7" s="6"/>
      <c r="FFP7" s="6"/>
      <c r="FFR7" s="6"/>
      <c r="FFT7" s="6"/>
      <c r="FFV7" s="6"/>
      <c r="FFX7" s="6"/>
      <c r="FFZ7" s="6"/>
      <c r="FGB7" s="6"/>
      <c r="FGD7" s="6"/>
      <c r="FGF7" s="6"/>
      <c r="FGH7" s="6"/>
      <c r="FGJ7" s="6"/>
      <c r="FGL7" s="6"/>
      <c r="FGN7" s="6"/>
      <c r="FGP7" s="6"/>
      <c r="FGR7" s="6"/>
      <c r="FGT7" s="6"/>
      <c r="FGV7" s="6"/>
      <c r="FGX7" s="6"/>
      <c r="FGZ7" s="6"/>
      <c r="FHB7" s="6"/>
      <c r="FHD7" s="6"/>
      <c r="FHF7" s="6"/>
      <c r="FHH7" s="6"/>
      <c r="FHJ7" s="6"/>
      <c r="FHL7" s="6"/>
      <c r="FHN7" s="6"/>
      <c r="FHP7" s="6"/>
      <c r="FHR7" s="6"/>
      <c r="FHT7" s="6"/>
      <c r="FHV7" s="6"/>
      <c r="FHX7" s="6"/>
      <c r="FHZ7" s="6"/>
      <c r="FIB7" s="6"/>
      <c r="FID7" s="6"/>
      <c r="FIF7" s="6"/>
      <c r="FIH7" s="6"/>
      <c r="FIJ7" s="6"/>
      <c r="FIL7" s="6"/>
      <c r="FIN7" s="6"/>
      <c r="FIP7" s="6"/>
      <c r="FIR7" s="6"/>
      <c r="FIT7" s="6"/>
      <c r="FIV7" s="6"/>
      <c r="FIX7" s="6"/>
      <c r="FIZ7" s="6"/>
      <c r="FJB7" s="6"/>
      <c r="FJD7" s="6"/>
      <c r="FJF7" s="6"/>
      <c r="FJH7" s="6"/>
      <c r="FJJ7" s="6"/>
      <c r="FJL7" s="6"/>
      <c r="FJN7" s="6"/>
      <c r="FJP7" s="6"/>
      <c r="FJR7" s="6"/>
      <c r="FJT7" s="6"/>
      <c r="FJV7" s="6"/>
      <c r="FJX7" s="6"/>
      <c r="FJZ7" s="6"/>
      <c r="FKB7" s="6"/>
      <c r="FKD7" s="6"/>
      <c r="FKF7" s="6"/>
      <c r="FKH7" s="6"/>
      <c r="FKJ7" s="6"/>
      <c r="FKL7" s="6"/>
      <c r="FKN7" s="6"/>
      <c r="FKP7" s="6"/>
      <c r="FKR7" s="6"/>
      <c r="FKT7" s="6"/>
      <c r="FKV7" s="6"/>
      <c r="FKX7" s="6"/>
      <c r="FKZ7" s="6"/>
      <c r="FLB7" s="6"/>
      <c r="FLD7" s="6"/>
      <c r="FLF7" s="6"/>
      <c r="FLH7" s="6"/>
      <c r="FLJ7" s="6"/>
      <c r="FLL7" s="6"/>
      <c r="FLN7" s="6"/>
      <c r="FLP7" s="6"/>
      <c r="FLR7" s="6"/>
      <c r="FLT7" s="6"/>
      <c r="FLV7" s="6"/>
      <c r="FLX7" s="6"/>
      <c r="FLZ7" s="6"/>
      <c r="FMB7" s="6"/>
      <c r="FMD7" s="6"/>
      <c r="FMF7" s="6"/>
      <c r="FMH7" s="6"/>
      <c r="FMJ7" s="6"/>
      <c r="FML7" s="6"/>
      <c r="FMN7" s="6"/>
      <c r="FMP7" s="6"/>
      <c r="FMR7" s="6"/>
      <c r="FMT7" s="6"/>
      <c r="FMV7" s="6"/>
      <c r="FMX7" s="6"/>
      <c r="FMZ7" s="6"/>
      <c r="FNB7" s="6"/>
      <c r="FND7" s="6"/>
      <c r="FNF7" s="6"/>
      <c r="FNH7" s="6"/>
      <c r="FNJ7" s="6"/>
      <c r="FNL7" s="6"/>
      <c r="FNN7" s="6"/>
      <c r="FNP7" s="6"/>
      <c r="FNR7" s="6"/>
      <c r="FNT7" s="6"/>
      <c r="FNV7" s="6"/>
      <c r="FNX7" s="6"/>
      <c r="FNZ7" s="6"/>
      <c r="FOB7" s="6"/>
      <c r="FOD7" s="6"/>
      <c r="FOF7" s="6"/>
      <c r="FOH7" s="6"/>
      <c r="FOJ7" s="6"/>
      <c r="FOL7" s="6"/>
      <c r="FON7" s="6"/>
      <c r="FOP7" s="6"/>
      <c r="FOR7" s="6"/>
      <c r="FOT7" s="6"/>
      <c r="FOV7" s="6"/>
      <c r="FOX7" s="6"/>
      <c r="FOZ7" s="6"/>
      <c r="FPB7" s="6"/>
      <c r="FPD7" s="6"/>
      <c r="FPF7" s="6"/>
      <c r="FPH7" s="6"/>
      <c r="FPJ7" s="6"/>
      <c r="FPL7" s="6"/>
      <c r="FPN7" s="6"/>
      <c r="FPP7" s="6"/>
      <c r="FPR7" s="6"/>
      <c r="FPT7" s="6"/>
      <c r="FPV7" s="6"/>
      <c r="FPX7" s="6"/>
      <c r="FPZ7" s="6"/>
      <c r="FQB7" s="6"/>
      <c r="FQD7" s="6"/>
      <c r="FQF7" s="6"/>
      <c r="FQH7" s="6"/>
      <c r="FQJ7" s="6"/>
      <c r="FQL7" s="6"/>
      <c r="FQN7" s="6"/>
      <c r="FQP7" s="6"/>
      <c r="FQR7" s="6"/>
      <c r="FQT7" s="6"/>
      <c r="FQV7" s="6"/>
      <c r="FQX7" s="6"/>
      <c r="FQZ7" s="6"/>
      <c r="FRB7" s="6"/>
      <c r="FRD7" s="6"/>
      <c r="FRF7" s="6"/>
      <c r="FRH7" s="6"/>
      <c r="FRJ7" s="6"/>
      <c r="FRL7" s="6"/>
      <c r="FRN7" s="6"/>
      <c r="FRP7" s="6"/>
      <c r="FRR7" s="6"/>
      <c r="FRT7" s="6"/>
      <c r="FRV7" s="6"/>
      <c r="FRX7" s="6"/>
      <c r="FRZ7" s="6"/>
      <c r="FSB7" s="6"/>
      <c r="FSD7" s="6"/>
      <c r="FSF7" s="6"/>
      <c r="FSH7" s="6"/>
      <c r="FSJ7" s="6"/>
      <c r="FSL7" s="6"/>
      <c r="FSN7" s="6"/>
      <c r="FSP7" s="6"/>
      <c r="FSR7" s="6"/>
      <c r="FST7" s="6"/>
      <c r="FSV7" s="6"/>
      <c r="FSX7" s="6"/>
      <c r="FSZ7" s="6"/>
      <c r="FTB7" s="6"/>
      <c r="FTD7" s="6"/>
      <c r="FTF7" s="6"/>
      <c r="FTH7" s="6"/>
      <c r="FTJ7" s="6"/>
      <c r="FTL7" s="6"/>
      <c r="FTN7" s="6"/>
      <c r="FTP7" s="6"/>
      <c r="FTR7" s="6"/>
      <c r="FTT7" s="6"/>
      <c r="FTV7" s="6"/>
      <c r="FTX7" s="6"/>
      <c r="FTZ7" s="6"/>
      <c r="FUB7" s="6"/>
      <c r="FUD7" s="6"/>
      <c r="FUF7" s="6"/>
      <c r="FUH7" s="6"/>
      <c r="FUJ7" s="6"/>
      <c r="FUL7" s="6"/>
      <c r="FUN7" s="6"/>
      <c r="FUP7" s="6"/>
      <c r="FUR7" s="6"/>
      <c r="FUT7" s="6"/>
      <c r="FUV7" s="6"/>
      <c r="FUX7" s="6"/>
      <c r="FUZ7" s="6"/>
      <c r="FVB7" s="6"/>
      <c r="FVD7" s="6"/>
      <c r="FVF7" s="6"/>
      <c r="FVH7" s="6"/>
      <c r="FVJ7" s="6"/>
      <c r="FVL7" s="6"/>
      <c r="FVN7" s="6"/>
      <c r="FVP7" s="6"/>
      <c r="FVR7" s="6"/>
      <c r="FVT7" s="6"/>
      <c r="FVV7" s="6"/>
      <c r="FVX7" s="6"/>
      <c r="FVZ7" s="6"/>
      <c r="FWB7" s="6"/>
      <c r="FWD7" s="6"/>
      <c r="FWF7" s="6"/>
      <c r="FWH7" s="6"/>
      <c r="FWJ7" s="6"/>
      <c r="FWL7" s="6"/>
      <c r="FWN7" s="6"/>
      <c r="FWP7" s="6"/>
      <c r="FWR7" s="6"/>
      <c r="FWT7" s="6"/>
      <c r="FWV7" s="6"/>
      <c r="FWX7" s="6"/>
      <c r="FWZ7" s="6"/>
      <c r="FXB7" s="6"/>
      <c r="FXD7" s="6"/>
      <c r="FXF7" s="6"/>
      <c r="FXH7" s="6"/>
      <c r="FXJ7" s="6"/>
      <c r="FXL7" s="6"/>
      <c r="FXN7" s="6"/>
      <c r="FXP7" s="6"/>
      <c r="FXR7" s="6"/>
      <c r="FXT7" s="6"/>
      <c r="FXV7" s="6"/>
      <c r="FXX7" s="6"/>
      <c r="FXZ7" s="6"/>
      <c r="FYB7" s="6"/>
      <c r="FYD7" s="6"/>
      <c r="FYF7" s="6"/>
      <c r="FYH7" s="6"/>
      <c r="FYJ7" s="6"/>
      <c r="FYL7" s="6"/>
      <c r="FYN7" s="6"/>
      <c r="FYP7" s="6"/>
      <c r="FYR7" s="6"/>
      <c r="FYT7" s="6"/>
      <c r="FYV7" s="6"/>
      <c r="FYX7" s="6"/>
      <c r="FYZ7" s="6"/>
      <c r="FZB7" s="6"/>
      <c r="FZD7" s="6"/>
      <c r="FZF7" s="6"/>
      <c r="FZH7" s="6"/>
      <c r="FZJ7" s="6"/>
      <c r="FZL7" s="6"/>
      <c r="FZN7" s="6"/>
      <c r="FZP7" s="6"/>
      <c r="FZR7" s="6"/>
      <c r="FZT7" s="6"/>
      <c r="FZV7" s="6"/>
      <c r="FZX7" s="6"/>
      <c r="FZZ7" s="6"/>
      <c r="GAB7" s="6"/>
      <c r="GAD7" s="6"/>
      <c r="GAF7" s="6"/>
      <c r="GAH7" s="6"/>
      <c r="GAJ7" s="6"/>
      <c r="GAL7" s="6"/>
      <c r="GAN7" s="6"/>
      <c r="GAP7" s="6"/>
      <c r="GAR7" s="6"/>
      <c r="GAT7" s="6"/>
      <c r="GAV7" s="6"/>
      <c r="GAX7" s="6"/>
      <c r="GAZ7" s="6"/>
      <c r="GBB7" s="6"/>
      <c r="GBD7" s="6"/>
      <c r="GBF7" s="6"/>
      <c r="GBH7" s="6"/>
      <c r="GBJ7" s="6"/>
      <c r="GBL7" s="6"/>
      <c r="GBN7" s="6"/>
      <c r="GBP7" s="6"/>
      <c r="GBR7" s="6"/>
      <c r="GBT7" s="6"/>
      <c r="GBV7" s="6"/>
      <c r="GBX7" s="6"/>
      <c r="GBZ7" s="6"/>
      <c r="GCB7" s="6"/>
      <c r="GCD7" s="6"/>
      <c r="GCF7" s="6"/>
      <c r="GCH7" s="6"/>
      <c r="GCJ7" s="6"/>
      <c r="GCL7" s="6"/>
      <c r="GCN7" s="6"/>
      <c r="GCP7" s="6"/>
      <c r="GCR7" s="6"/>
      <c r="GCT7" s="6"/>
      <c r="GCV7" s="6"/>
      <c r="GCX7" s="6"/>
      <c r="GCZ7" s="6"/>
      <c r="GDB7" s="6"/>
      <c r="GDD7" s="6"/>
      <c r="GDF7" s="6"/>
      <c r="GDH7" s="6"/>
      <c r="GDJ7" s="6"/>
      <c r="GDL7" s="6"/>
      <c r="GDN7" s="6"/>
      <c r="GDP7" s="6"/>
      <c r="GDR7" s="6"/>
      <c r="GDT7" s="6"/>
      <c r="GDV7" s="6"/>
      <c r="GDX7" s="6"/>
      <c r="GDZ7" s="6"/>
      <c r="GEB7" s="6"/>
      <c r="GED7" s="6"/>
      <c r="GEF7" s="6"/>
      <c r="GEH7" s="6"/>
      <c r="GEJ7" s="6"/>
      <c r="GEL7" s="6"/>
      <c r="GEN7" s="6"/>
      <c r="GEP7" s="6"/>
      <c r="GER7" s="6"/>
      <c r="GET7" s="6"/>
      <c r="GEV7" s="6"/>
      <c r="GEX7" s="6"/>
      <c r="GEZ7" s="6"/>
      <c r="GFB7" s="6"/>
      <c r="GFD7" s="6"/>
      <c r="GFF7" s="6"/>
      <c r="GFH7" s="6"/>
      <c r="GFJ7" s="6"/>
      <c r="GFL7" s="6"/>
      <c r="GFN7" s="6"/>
      <c r="GFP7" s="6"/>
      <c r="GFR7" s="6"/>
      <c r="GFT7" s="6"/>
      <c r="GFV7" s="6"/>
      <c r="GFX7" s="6"/>
      <c r="GFZ7" s="6"/>
      <c r="GGB7" s="6"/>
      <c r="GGD7" s="6"/>
      <c r="GGF7" s="6"/>
      <c r="GGH7" s="6"/>
      <c r="GGJ7" s="6"/>
      <c r="GGL7" s="6"/>
      <c r="GGN7" s="6"/>
      <c r="GGP7" s="6"/>
      <c r="GGR7" s="6"/>
      <c r="GGT7" s="6"/>
      <c r="GGV7" s="6"/>
      <c r="GGX7" s="6"/>
      <c r="GGZ7" s="6"/>
      <c r="GHB7" s="6"/>
      <c r="GHD7" s="6"/>
      <c r="GHF7" s="6"/>
      <c r="GHH7" s="6"/>
      <c r="GHJ7" s="6"/>
      <c r="GHL7" s="6"/>
      <c r="GHN7" s="6"/>
      <c r="GHP7" s="6"/>
      <c r="GHR7" s="6"/>
      <c r="GHT7" s="6"/>
      <c r="GHV7" s="6"/>
      <c r="GHX7" s="6"/>
      <c r="GHZ7" s="6"/>
      <c r="GIB7" s="6"/>
      <c r="GID7" s="6"/>
      <c r="GIF7" s="6"/>
      <c r="GIH7" s="6"/>
      <c r="GIJ7" s="6"/>
      <c r="GIL7" s="6"/>
      <c r="GIN7" s="6"/>
      <c r="GIP7" s="6"/>
      <c r="GIR7" s="6"/>
      <c r="GIT7" s="6"/>
      <c r="GIV7" s="6"/>
      <c r="GIX7" s="6"/>
      <c r="GIZ7" s="6"/>
      <c r="GJB7" s="6"/>
      <c r="GJD7" s="6"/>
      <c r="GJF7" s="6"/>
      <c r="GJH7" s="6"/>
      <c r="GJJ7" s="6"/>
      <c r="GJL7" s="6"/>
      <c r="GJN7" s="6"/>
      <c r="GJP7" s="6"/>
      <c r="GJR7" s="6"/>
      <c r="GJT7" s="6"/>
      <c r="GJV7" s="6"/>
      <c r="GJX7" s="6"/>
      <c r="GJZ7" s="6"/>
      <c r="GKB7" s="6"/>
      <c r="GKD7" s="6"/>
      <c r="GKF7" s="6"/>
      <c r="GKH7" s="6"/>
      <c r="GKJ7" s="6"/>
      <c r="GKL7" s="6"/>
      <c r="GKN7" s="6"/>
      <c r="GKP7" s="6"/>
      <c r="GKR7" s="6"/>
      <c r="GKT7" s="6"/>
      <c r="GKV7" s="6"/>
      <c r="GKX7" s="6"/>
      <c r="GKZ7" s="6"/>
      <c r="GLB7" s="6"/>
      <c r="GLD7" s="6"/>
      <c r="GLF7" s="6"/>
      <c r="GLH7" s="6"/>
      <c r="GLJ7" s="6"/>
      <c r="GLL7" s="6"/>
      <c r="GLN7" s="6"/>
      <c r="GLP7" s="6"/>
      <c r="GLR7" s="6"/>
      <c r="GLT7" s="6"/>
      <c r="GLV7" s="6"/>
      <c r="GLX7" s="6"/>
      <c r="GLZ7" s="6"/>
      <c r="GMB7" s="6"/>
      <c r="GMD7" s="6"/>
      <c r="GMF7" s="6"/>
      <c r="GMH7" s="6"/>
      <c r="GMJ7" s="6"/>
      <c r="GML7" s="6"/>
      <c r="GMN7" s="6"/>
      <c r="GMP7" s="6"/>
      <c r="GMR7" s="6"/>
      <c r="GMT7" s="6"/>
      <c r="GMV7" s="6"/>
      <c r="GMX7" s="6"/>
      <c r="GMZ7" s="6"/>
      <c r="GNB7" s="6"/>
      <c r="GND7" s="6"/>
      <c r="GNF7" s="6"/>
      <c r="GNH7" s="6"/>
      <c r="GNJ7" s="6"/>
      <c r="GNL7" s="6"/>
      <c r="GNN7" s="6"/>
      <c r="GNP7" s="6"/>
      <c r="GNR7" s="6"/>
      <c r="GNT7" s="6"/>
      <c r="GNV7" s="6"/>
      <c r="GNX7" s="6"/>
      <c r="GNZ7" s="6"/>
      <c r="GOB7" s="6"/>
      <c r="GOD7" s="6"/>
      <c r="GOF7" s="6"/>
      <c r="GOH7" s="6"/>
      <c r="GOJ7" s="6"/>
      <c r="GOL7" s="6"/>
      <c r="GON7" s="6"/>
      <c r="GOP7" s="6"/>
      <c r="GOR7" s="6"/>
      <c r="GOT7" s="6"/>
      <c r="GOV7" s="6"/>
      <c r="GOX7" s="6"/>
      <c r="GOZ7" s="6"/>
      <c r="GPB7" s="6"/>
      <c r="GPD7" s="6"/>
      <c r="GPF7" s="6"/>
      <c r="GPH7" s="6"/>
      <c r="GPJ7" s="6"/>
      <c r="GPL7" s="6"/>
      <c r="GPN7" s="6"/>
      <c r="GPP7" s="6"/>
      <c r="GPR7" s="6"/>
      <c r="GPT7" s="6"/>
      <c r="GPV7" s="6"/>
      <c r="GPX7" s="6"/>
      <c r="GPZ7" s="6"/>
      <c r="GQB7" s="6"/>
      <c r="GQD7" s="6"/>
      <c r="GQF7" s="6"/>
      <c r="GQH7" s="6"/>
      <c r="GQJ7" s="6"/>
      <c r="GQL7" s="6"/>
      <c r="GQN7" s="6"/>
      <c r="GQP7" s="6"/>
      <c r="GQR7" s="6"/>
      <c r="GQT7" s="6"/>
      <c r="GQV7" s="6"/>
      <c r="GQX7" s="6"/>
      <c r="GQZ7" s="6"/>
      <c r="GRB7" s="6"/>
      <c r="GRD7" s="6"/>
      <c r="GRF7" s="6"/>
      <c r="GRH7" s="6"/>
      <c r="GRJ7" s="6"/>
      <c r="GRL7" s="6"/>
      <c r="GRN7" s="6"/>
      <c r="GRP7" s="6"/>
      <c r="GRR7" s="6"/>
      <c r="GRT7" s="6"/>
      <c r="GRV7" s="6"/>
      <c r="GRX7" s="6"/>
      <c r="GRZ7" s="6"/>
      <c r="GSB7" s="6"/>
      <c r="GSD7" s="6"/>
      <c r="GSF7" s="6"/>
      <c r="GSH7" s="6"/>
      <c r="GSJ7" s="6"/>
      <c r="GSL7" s="6"/>
      <c r="GSN7" s="6"/>
      <c r="GSP7" s="6"/>
      <c r="GSR7" s="6"/>
      <c r="GST7" s="6"/>
      <c r="GSV7" s="6"/>
      <c r="GSX7" s="6"/>
      <c r="GSZ7" s="6"/>
      <c r="GTB7" s="6"/>
      <c r="GTD7" s="6"/>
      <c r="GTF7" s="6"/>
      <c r="GTH7" s="6"/>
      <c r="GTJ7" s="6"/>
      <c r="GTL7" s="6"/>
      <c r="GTN7" s="6"/>
      <c r="GTP7" s="6"/>
      <c r="GTR7" s="6"/>
      <c r="GTT7" s="6"/>
      <c r="GTV7" s="6"/>
      <c r="GTX7" s="6"/>
      <c r="GTZ7" s="6"/>
      <c r="GUB7" s="6"/>
      <c r="GUD7" s="6"/>
      <c r="GUF7" s="6"/>
      <c r="GUH7" s="6"/>
      <c r="GUJ7" s="6"/>
      <c r="GUL7" s="6"/>
      <c r="GUN7" s="6"/>
      <c r="GUP7" s="6"/>
      <c r="GUR7" s="6"/>
      <c r="GUT7" s="6"/>
      <c r="GUV7" s="6"/>
      <c r="GUX7" s="6"/>
      <c r="GUZ7" s="6"/>
      <c r="GVB7" s="6"/>
      <c r="GVD7" s="6"/>
      <c r="GVF7" s="6"/>
      <c r="GVH7" s="6"/>
      <c r="GVJ7" s="6"/>
      <c r="GVL7" s="6"/>
      <c r="GVN7" s="6"/>
      <c r="GVP7" s="6"/>
      <c r="GVR7" s="6"/>
      <c r="GVT7" s="6"/>
      <c r="GVV7" s="6"/>
      <c r="GVX7" s="6"/>
      <c r="GVZ7" s="6"/>
      <c r="GWB7" s="6"/>
      <c r="GWD7" s="6"/>
      <c r="GWF7" s="6"/>
      <c r="GWH7" s="6"/>
      <c r="GWJ7" s="6"/>
      <c r="GWL7" s="6"/>
      <c r="GWN7" s="6"/>
      <c r="GWP7" s="6"/>
      <c r="GWR7" s="6"/>
      <c r="GWT7" s="6"/>
      <c r="GWV7" s="6"/>
      <c r="GWX7" s="6"/>
      <c r="GWZ7" s="6"/>
      <c r="GXB7" s="6"/>
      <c r="GXD7" s="6"/>
      <c r="GXF7" s="6"/>
      <c r="GXH7" s="6"/>
      <c r="GXJ7" s="6"/>
      <c r="GXL7" s="6"/>
      <c r="GXN7" s="6"/>
      <c r="GXP7" s="6"/>
      <c r="GXR7" s="6"/>
      <c r="GXT7" s="6"/>
      <c r="GXV7" s="6"/>
      <c r="GXX7" s="6"/>
      <c r="GXZ7" s="6"/>
      <c r="GYB7" s="6"/>
      <c r="GYD7" s="6"/>
      <c r="GYF7" s="6"/>
      <c r="GYH7" s="6"/>
      <c r="GYJ7" s="6"/>
      <c r="GYL7" s="6"/>
      <c r="GYN7" s="6"/>
      <c r="GYP7" s="6"/>
      <c r="GYR7" s="6"/>
      <c r="GYT7" s="6"/>
      <c r="GYV7" s="6"/>
      <c r="GYX7" s="6"/>
      <c r="GYZ7" s="6"/>
      <c r="GZB7" s="6"/>
      <c r="GZD7" s="6"/>
      <c r="GZF7" s="6"/>
      <c r="GZH7" s="6"/>
      <c r="GZJ7" s="6"/>
      <c r="GZL7" s="6"/>
      <c r="GZN7" s="6"/>
      <c r="GZP7" s="6"/>
      <c r="GZR7" s="6"/>
      <c r="GZT7" s="6"/>
      <c r="GZV7" s="6"/>
      <c r="GZX7" s="6"/>
      <c r="GZZ7" s="6"/>
      <c r="HAB7" s="6"/>
      <c r="HAD7" s="6"/>
      <c r="HAF7" s="6"/>
      <c r="HAH7" s="6"/>
      <c r="HAJ7" s="6"/>
      <c r="HAL7" s="6"/>
      <c r="HAN7" s="6"/>
      <c r="HAP7" s="6"/>
      <c r="HAR7" s="6"/>
      <c r="HAT7" s="6"/>
      <c r="HAV7" s="6"/>
      <c r="HAX7" s="6"/>
      <c r="HAZ7" s="6"/>
      <c r="HBB7" s="6"/>
      <c r="HBD7" s="6"/>
      <c r="HBF7" s="6"/>
      <c r="HBH7" s="6"/>
      <c r="HBJ7" s="6"/>
      <c r="HBL7" s="6"/>
      <c r="HBN7" s="6"/>
      <c r="HBP7" s="6"/>
      <c r="HBR7" s="6"/>
      <c r="HBT7" s="6"/>
      <c r="HBV7" s="6"/>
      <c r="HBX7" s="6"/>
      <c r="HBZ7" s="6"/>
      <c r="HCB7" s="6"/>
      <c r="HCD7" s="6"/>
      <c r="HCF7" s="6"/>
      <c r="HCH7" s="6"/>
      <c r="HCJ7" s="6"/>
      <c r="HCL7" s="6"/>
      <c r="HCN7" s="6"/>
      <c r="HCP7" s="6"/>
      <c r="HCR7" s="6"/>
      <c r="HCT7" s="6"/>
      <c r="HCV7" s="6"/>
      <c r="HCX7" s="6"/>
      <c r="HCZ7" s="6"/>
      <c r="HDB7" s="6"/>
      <c r="HDD7" s="6"/>
      <c r="HDF7" s="6"/>
      <c r="HDH7" s="6"/>
      <c r="HDJ7" s="6"/>
      <c r="HDL7" s="6"/>
      <c r="HDN7" s="6"/>
      <c r="HDP7" s="6"/>
      <c r="HDR7" s="6"/>
      <c r="HDT7" s="6"/>
      <c r="HDV7" s="6"/>
      <c r="HDX7" s="6"/>
      <c r="HDZ7" s="6"/>
      <c r="HEB7" s="6"/>
      <c r="HED7" s="6"/>
      <c r="HEF7" s="6"/>
      <c r="HEH7" s="6"/>
      <c r="HEJ7" s="6"/>
      <c r="HEL7" s="6"/>
      <c r="HEN7" s="6"/>
      <c r="HEP7" s="6"/>
      <c r="HER7" s="6"/>
      <c r="HET7" s="6"/>
      <c r="HEV7" s="6"/>
      <c r="HEX7" s="6"/>
      <c r="HEZ7" s="6"/>
      <c r="HFB7" s="6"/>
      <c r="HFD7" s="6"/>
      <c r="HFF7" s="6"/>
      <c r="HFH7" s="6"/>
      <c r="HFJ7" s="6"/>
      <c r="HFL7" s="6"/>
      <c r="HFN7" s="6"/>
      <c r="HFP7" s="6"/>
      <c r="HFR7" s="6"/>
      <c r="HFT7" s="6"/>
      <c r="HFV7" s="6"/>
      <c r="HFX7" s="6"/>
      <c r="HFZ7" s="6"/>
      <c r="HGB7" s="6"/>
      <c r="HGD7" s="6"/>
      <c r="HGF7" s="6"/>
      <c r="HGH7" s="6"/>
      <c r="HGJ7" s="6"/>
      <c r="HGL7" s="6"/>
      <c r="HGN7" s="6"/>
      <c r="HGP7" s="6"/>
      <c r="HGR7" s="6"/>
      <c r="HGT7" s="6"/>
      <c r="HGV7" s="6"/>
      <c r="HGX7" s="6"/>
      <c r="HGZ7" s="6"/>
      <c r="HHB7" s="6"/>
      <c r="HHD7" s="6"/>
      <c r="HHF7" s="6"/>
      <c r="HHH7" s="6"/>
      <c r="HHJ7" s="6"/>
      <c r="HHL7" s="6"/>
      <c r="HHN7" s="6"/>
      <c r="HHP7" s="6"/>
      <c r="HHR7" s="6"/>
      <c r="HHT7" s="6"/>
      <c r="HHV7" s="6"/>
      <c r="HHX7" s="6"/>
      <c r="HHZ7" s="6"/>
      <c r="HIB7" s="6"/>
      <c r="HID7" s="6"/>
      <c r="HIF7" s="6"/>
      <c r="HIH7" s="6"/>
      <c r="HIJ7" s="6"/>
      <c r="HIL7" s="6"/>
      <c r="HIN7" s="6"/>
      <c r="HIP7" s="6"/>
      <c r="HIR7" s="6"/>
      <c r="HIT7" s="6"/>
      <c r="HIV7" s="6"/>
      <c r="HIX7" s="6"/>
      <c r="HIZ7" s="6"/>
      <c r="HJB7" s="6"/>
      <c r="HJD7" s="6"/>
      <c r="HJF7" s="6"/>
      <c r="HJH7" s="6"/>
      <c r="HJJ7" s="6"/>
      <c r="HJL7" s="6"/>
      <c r="HJN7" s="6"/>
      <c r="HJP7" s="6"/>
      <c r="HJR7" s="6"/>
      <c r="HJT7" s="6"/>
      <c r="HJV7" s="6"/>
      <c r="HJX7" s="6"/>
      <c r="HJZ7" s="6"/>
      <c r="HKB7" s="6"/>
      <c r="HKD7" s="6"/>
      <c r="HKF7" s="6"/>
      <c r="HKH7" s="6"/>
      <c r="HKJ7" s="6"/>
      <c r="HKL7" s="6"/>
      <c r="HKN7" s="6"/>
      <c r="HKP7" s="6"/>
      <c r="HKR7" s="6"/>
      <c r="HKT7" s="6"/>
      <c r="HKV7" s="6"/>
      <c r="HKX7" s="6"/>
      <c r="HKZ7" s="6"/>
      <c r="HLB7" s="6"/>
      <c r="HLD7" s="6"/>
      <c r="HLF7" s="6"/>
      <c r="HLH7" s="6"/>
      <c r="HLJ7" s="6"/>
      <c r="HLL7" s="6"/>
      <c r="HLN7" s="6"/>
      <c r="HLP7" s="6"/>
      <c r="HLR7" s="6"/>
      <c r="HLT7" s="6"/>
      <c r="HLV7" s="6"/>
      <c r="HLX7" s="6"/>
      <c r="HLZ7" s="6"/>
      <c r="HMB7" s="6"/>
      <c r="HMD7" s="6"/>
      <c r="HMF7" s="6"/>
      <c r="HMH7" s="6"/>
      <c r="HMJ7" s="6"/>
      <c r="HML7" s="6"/>
      <c r="HMN7" s="6"/>
      <c r="HMP7" s="6"/>
      <c r="HMR7" s="6"/>
      <c r="HMT7" s="6"/>
      <c r="HMV7" s="6"/>
      <c r="HMX7" s="6"/>
      <c r="HMZ7" s="6"/>
      <c r="HNB7" s="6"/>
      <c r="HND7" s="6"/>
      <c r="HNF7" s="6"/>
      <c r="HNH7" s="6"/>
      <c r="HNJ7" s="6"/>
      <c r="HNL7" s="6"/>
      <c r="HNN7" s="6"/>
      <c r="HNP7" s="6"/>
      <c r="HNR7" s="6"/>
      <c r="HNT7" s="6"/>
      <c r="HNV7" s="6"/>
      <c r="HNX7" s="6"/>
      <c r="HNZ7" s="6"/>
      <c r="HOB7" s="6"/>
      <c r="HOD7" s="6"/>
      <c r="HOF7" s="6"/>
      <c r="HOH7" s="6"/>
      <c r="HOJ7" s="6"/>
      <c r="HOL7" s="6"/>
      <c r="HON7" s="6"/>
      <c r="HOP7" s="6"/>
      <c r="HOR7" s="6"/>
      <c r="HOT7" s="6"/>
      <c r="HOV7" s="6"/>
      <c r="HOX7" s="6"/>
      <c r="HOZ7" s="6"/>
      <c r="HPB7" s="6"/>
      <c r="HPD7" s="6"/>
      <c r="HPF7" s="6"/>
      <c r="HPH7" s="6"/>
      <c r="HPJ7" s="6"/>
      <c r="HPL7" s="6"/>
      <c r="HPN7" s="6"/>
      <c r="HPP7" s="6"/>
      <c r="HPR7" s="6"/>
      <c r="HPT7" s="6"/>
      <c r="HPV7" s="6"/>
      <c r="HPX7" s="6"/>
      <c r="HPZ7" s="6"/>
      <c r="HQB7" s="6"/>
      <c r="HQD7" s="6"/>
      <c r="HQF7" s="6"/>
      <c r="HQH7" s="6"/>
      <c r="HQJ7" s="6"/>
      <c r="HQL7" s="6"/>
      <c r="HQN7" s="6"/>
      <c r="HQP7" s="6"/>
      <c r="HQR7" s="6"/>
      <c r="HQT7" s="6"/>
      <c r="HQV7" s="6"/>
      <c r="HQX7" s="6"/>
      <c r="HQZ7" s="6"/>
      <c r="HRB7" s="6"/>
      <c r="HRD7" s="6"/>
      <c r="HRF7" s="6"/>
      <c r="HRH7" s="6"/>
      <c r="HRJ7" s="6"/>
      <c r="HRL7" s="6"/>
      <c r="HRN7" s="6"/>
      <c r="HRP7" s="6"/>
      <c r="HRR7" s="6"/>
      <c r="HRT7" s="6"/>
      <c r="HRV7" s="6"/>
      <c r="HRX7" s="6"/>
      <c r="HRZ7" s="6"/>
      <c r="HSB7" s="6"/>
      <c r="HSD7" s="6"/>
      <c r="HSF7" s="6"/>
      <c r="HSH7" s="6"/>
      <c r="HSJ7" s="6"/>
      <c r="HSL7" s="6"/>
      <c r="HSN7" s="6"/>
      <c r="HSP7" s="6"/>
      <c r="HSR7" s="6"/>
      <c r="HST7" s="6"/>
      <c r="HSV7" s="6"/>
      <c r="HSX7" s="6"/>
      <c r="HSZ7" s="6"/>
      <c r="HTB7" s="6"/>
      <c r="HTD7" s="6"/>
      <c r="HTF7" s="6"/>
      <c r="HTH7" s="6"/>
      <c r="HTJ7" s="6"/>
      <c r="HTL7" s="6"/>
      <c r="HTN7" s="6"/>
      <c r="HTP7" s="6"/>
      <c r="HTR7" s="6"/>
      <c r="HTT7" s="6"/>
      <c r="HTV7" s="6"/>
      <c r="HTX7" s="6"/>
      <c r="HTZ7" s="6"/>
      <c r="HUB7" s="6"/>
      <c r="HUD7" s="6"/>
      <c r="HUF7" s="6"/>
      <c r="HUH7" s="6"/>
      <c r="HUJ7" s="6"/>
      <c r="HUL7" s="6"/>
      <c r="HUN7" s="6"/>
      <c r="HUP7" s="6"/>
      <c r="HUR7" s="6"/>
      <c r="HUT7" s="6"/>
      <c r="HUV7" s="6"/>
      <c r="HUX7" s="6"/>
      <c r="HUZ7" s="6"/>
      <c r="HVB7" s="6"/>
      <c r="HVD7" s="6"/>
      <c r="HVF7" s="6"/>
      <c r="HVH7" s="6"/>
      <c r="HVJ7" s="6"/>
      <c r="HVL7" s="6"/>
      <c r="HVN7" s="6"/>
      <c r="HVP7" s="6"/>
      <c r="HVR7" s="6"/>
      <c r="HVT7" s="6"/>
      <c r="HVV7" s="6"/>
      <c r="HVX7" s="6"/>
      <c r="HVZ7" s="6"/>
      <c r="HWB7" s="6"/>
      <c r="HWD7" s="6"/>
      <c r="HWF7" s="6"/>
      <c r="HWH7" s="6"/>
      <c r="HWJ7" s="6"/>
      <c r="HWL7" s="6"/>
      <c r="HWN7" s="6"/>
      <c r="HWP7" s="6"/>
      <c r="HWR7" s="6"/>
      <c r="HWT7" s="6"/>
      <c r="HWV7" s="6"/>
      <c r="HWX7" s="6"/>
      <c r="HWZ7" s="6"/>
      <c r="HXB7" s="6"/>
      <c r="HXD7" s="6"/>
      <c r="HXF7" s="6"/>
      <c r="HXH7" s="6"/>
      <c r="HXJ7" s="6"/>
      <c r="HXL7" s="6"/>
      <c r="HXN7" s="6"/>
      <c r="HXP7" s="6"/>
      <c r="HXR7" s="6"/>
      <c r="HXT7" s="6"/>
      <c r="HXV7" s="6"/>
      <c r="HXX7" s="6"/>
      <c r="HXZ7" s="6"/>
      <c r="HYB7" s="6"/>
      <c r="HYD7" s="6"/>
      <c r="HYF7" s="6"/>
      <c r="HYH7" s="6"/>
      <c r="HYJ7" s="6"/>
      <c r="HYL7" s="6"/>
      <c r="HYN7" s="6"/>
      <c r="HYP7" s="6"/>
      <c r="HYR7" s="6"/>
      <c r="HYT7" s="6"/>
      <c r="HYV7" s="6"/>
      <c r="HYX7" s="6"/>
      <c r="HYZ7" s="6"/>
      <c r="HZB7" s="6"/>
      <c r="HZD7" s="6"/>
      <c r="HZF7" s="6"/>
      <c r="HZH7" s="6"/>
      <c r="HZJ7" s="6"/>
      <c r="HZL7" s="6"/>
      <c r="HZN7" s="6"/>
      <c r="HZP7" s="6"/>
      <c r="HZR7" s="6"/>
      <c r="HZT7" s="6"/>
      <c r="HZV7" s="6"/>
      <c r="HZX7" s="6"/>
      <c r="HZZ7" s="6"/>
      <c r="IAB7" s="6"/>
      <c r="IAD7" s="6"/>
      <c r="IAF7" s="6"/>
      <c r="IAH7" s="6"/>
      <c r="IAJ7" s="6"/>
      <c r="IAL7" s="6"/>
      <c r="IAN7" s="6"/>
      <c r="IAP7" s="6"/>
      <c r="IAR7" s="6"/>
      <c r="IAT7" s="6"/>
      <c r="IAV7" s="6"/>
      <c r="IAX7" s="6"/>
      <c r="IAZ7" s="6"/>
      <c r="IBB7" s="6"/>
      <c r="IBD7" s="6"/>
      <c r="IBF7" s="6"/>
      <c r="IBH7" s="6"/>
      <c r="IBJ7" s="6"/>
      <c r="IBL7" s="6"/>
      <c r="IBN7" s="6"/>
      <c r="IBP7" s="6"/>
      <c r="IBR7" s="6"/>
      <c r="IBT7" s="6"/>
      <c r="IBV7" s="6"/>
      <c r="IBX7" s="6"/>
      <c r="IBZ7" s="6"/>
      <c r="ICB7" s="6"/>
      <c r="ICD7" s="6"/>
      <c r="ICF7" s="6"/>
      <c r="ICH7" s="6"/>
      <c r="ICJ7" s="6"/>
      <c r="ICL7" s="6"/>
      <c r="ICN7" s="6"/>
      <c r="ICP7" s="6"/>
      <c r="ICR7" s="6"/>
      <c r="ICT7" s="6"/>
      <c r="ICV7" s="6"/>
      <c r="ICX7" s="6"/>
      <c r="ICZ7" s="6"/>
      <c r="IDB7" s="6"/>
      <c r="IDD7" s="6"/>
      <c r="IDF7" s="6"/>
      <c r="IDH7" s="6"/>
      <c r="IDJ7" s="6"/>
      <c r="IDL7" s="6"/>
      <c r="IDN7" s="6"/>
      <c r="IDP7" s="6"/>
      <c r="IDR7" s="6"/>
      <c r="IDT7" s="6"/>
      <c r="IDV7" s="6"/>
      <c r="IDX7" s="6"/>
      <c r="IDZ7" s="6"/>
      <c r="IEB7" s="6"/>
      <c r="IED7" s="6"/>
      <c r="IEF7" s="6"/>
      <c r="IEH7" s="6"/>
      <c r="IEJ7" s="6"/>
      <c r="IEL7" s="6"/>
      <c r="IEN7" s="6"/>
      <c r="IEP7" s="6"/>
      <c r="IER7" s="6"/>
      <c r="IET7" s="6"/>
      <c r="IEV7" s="6"/>
      <c r="IEX7" s="6"/>
      <c r="IEZ7" s="6"/>
      <c r="IFB7" s="6"/>
      <c r="IFD7" s="6"/>
      <c r="IFF7" s="6"/>
      <c r="IFH7" s="6"/>
      <c r="IFJ7" s="6"/>
      <c r="IFL7" s="6"/>
      <c r="IFN7" s="6"/>
      <c r="IFP7" s="6"/>
      <c r="IFR7" s="6"/>
      <c r="IFT7" s="6"/>
      <c r="IFV7" s="6"/>
      <c r="IFX7" s="6"/>
      <c r="IFZ7" s="6"/>
      <c r="IGB7" s="6"/>
      <c r="IGD7" s="6"/>
      <c r="IGF7" s="6"/>
      <c r="IGH7" s="6"/>
      <c r="IGJ7" s="6"/>
      <c r="IGL7" s="6"/>
      <c r="IGN7" s="6"/>
      <c r="IGP7" s="6"/>
      <c r="IGR7" s="6"/>
      <c r="IGT7" s="6"/>
      <c r="IGV7" s="6"/>
      <c r="IGX7" s="6"/>
      <c r="IGZ7" s="6"/>
      <c r="IHB7" s="6"/>
      <c r="IHD7" s="6"/>
      <c r="IHF7" s="6"/>
      <c r="IHH7" s="6"/>
      <c r="IHJ7" s="6"/>
      <c r="IHL7" s="6"/>
      <c r="IHN7" s="6"/>
      <c r="IHP7" s="6"/>
      <c r="IHR7" s="6"/>
      <c r="IHT7" s="6"/>
      <c r="IHV7" s="6"/>
      <c r="IHX7" s="6"/>
      <c r="IHZ7" s="6"/>
      <c r="IIB7" s="6"/>
      <c r="IID7" s="6"/>
      <c r="IIF7" s="6"/>
      <c r="IIH7" s="6"/>
      <c r="IIJ7" s="6"/>
      <c r="IIL7" s="6"/>
      <c r="IIN7" s="6"/>
      <c r="IIP7" s="6"/>
      <c r="IIR7" s="6"/>
      <c r="IIT7" s="6"/>
      <c r="IIV7" s="6"/>
      <c r="IIX7" s="6"/>
      <c r="IIZ7" s="6"/>
      <c r="IJB7" s="6"/>
      <c r="IJD7" s="6"/>
      <c r="IJF7" s="6"/>
      <c r="IJH7" s="6"/>
      <c r="IJJ7" s="6"/>
      <c r="IJL7" s="6"/>
      <c r="IJN7" s="6"/>
      <c r="IJP7" s="6"/>
      <c r="IJR7" s="6"/>
      <c r="IJT7" s="6"/>
      <c r="IJV7" s="6"/>
      <c r="IJX7" s="6"/>
      <c r="IJZ7" s="6"/>
      <c r="IKB7" s="6"/>
      <c r="IKD7" s="6"/>
      <c r="IKF7" s="6"/>
      <c r="IKH7" s="6"/>
      <c r="IKJ7" s="6"/>
      <c r="IKL7" s="6"/>
      <c r="IKN7" s="6"/>
      <c r="IKP7" s="6"/>
      <c r="IKR7" s="6"/>
      <c r="IKT7" s="6"/>
      <c r="IKV7" s="6"/>
      <c r="IKX7" s="6"/>
      <c r="IKZ7" s="6"/>
      <c r="ILB7" s="6"/>
      <c r="ILD7" s="6"/>
      <c r="ILF7" s="6"/>
      <c r="ILH7" s="6"/>
      <c r="ILJ7" s="6"/>
      <c r="ILL7" s="6"/>
      <c r="ILN7" s="6"/>
      <c r="ILP7" s="6"/>
      <c r="ILR7" s="6"/>
      <c r="ILT7" s="6"/>
      <c r="ILV7" s="6"/>
      <c r="ILX7" s="6"/>
      <c r="ILZ7" s="6"/>
      <c r="IMB7" s="6"/>
      <c r="IMD7" s="6"/>
      <c r="IMF7" s="6"/>
      <c r="IMH7" s="6"/>
      <c r="IMJ7" s="6"/>
      <c r="IML7" s="6"/>
      <c r="IMN7" s="6"/>
      <c r="IMP7" s="6"/>
      <c r="IMR7" s="6"/>
      <c r="IMT7" s="6"/>
      <c r="IMV7" s="6"/>
      <c r="IMX7" s="6"/>
      <c r="IMZ7" s="6"/>
      <c r="INB7" s="6"/>
      <c r="IND7" s="6"/>
      <c r="INF7" s="6"/>
      <c r="INH7" s="6"/>
      <c r="INJ7" s="6"/>
      <c r="INL7" s="6"/>
      <c r="INN7" s="6"/>
      <c r="INP7" s="6"/>
      <c r="INR7" s="6"/>
      <c r="INT7" s="6"/>
      <c r="INV7" s="6"/>
      <c r="INX7" s="6"/>
      <c r="INZ7" s="6"/>
      <c r="IOB7" s="6"/>
      <c r="IOD7" s="6"/>
      <c r="IOF7" s="6"/>
      <c r="IOH7" s="6"/>
      <c r="IOJ7" s="6"/>
      <c r="IOL7" s="6"/>
      <c r="ION7" s="6"/>
      <c r="IOP7" s="6"/>
      <c r="IOR7" s="6"/>
      <c r="IOT7" s="6"/>
      <c r="IOV7" s="6"/>
      <c r="IOX7" s="6"/>
      <c r="IOZ7" s="6"/>
      <c r="IPB7" s="6"/>
      <c r="IPD7" s="6"/>
      <c r="IPF7" s="6"/>
      <c r="IPH7" s="6"/>
      <c r="IPJ7" s="6"/>
      <c r="IPL7" s="6"/>
      <c r="IPN7" s="6"/>
      <c r="IPP7" s="6"/>
      <c r="IPR7" s="6"/>
      <c r="IPT7" s="6"/>
      <c r="IPV7" s="6"/>
      <c r="IPX7" s="6"/>
      <c r="IPZ7" s="6"/>
      <c r="IQB7" s="6"/>
      <c r="IQD7" s="6"/>
      <c r="IQF7" s="6"/>
      <c r="IQH7" s="6"/>
      <c r="IQJ7" s="6"/>
      <c r="IQL7" s="6"/>
      <c r="IQN7" s="6"/>
      <c r="IQP7" s="6"/>
      <c r="IQR7" s="6"/>
      <c r="IQT7" s="6"/>
      <c r="IQV7" s="6"/>
      <c r="IQX7" s="6"/>
      <c r="IQZ7" s="6"/>
      <c r="IRB7" s="6"/>
      <c r="IRD7" s="6"/>
      <c r="IRF7" s="6"/>
      <c r="IRH7" s="6"/>
      <c r="IRJ7" s="6"/>
      <c r="IRL7" s="6"/>
      <c r="IRN7" s="6"/>
      <c r="IRP7" s="6"/>
      <c r="IRR7" s="6"/>
      <c r="IRT7" s="6"/>
      <c r="IRV7" s="6"/>
      <c r="IRX7" s="6"/>
      <c r="IRZ7" s="6"/>
      <c r="ISB7" s="6"/>
      <c r="ISD7" s="6"/>
      <c r="ISF7" s="6"/>
      <c r="ISH7" s="6"/>
      <c r="ISJ7" s="6"/>
      <c r="ISL7" s="6"/>
      <c r="ISN7" s="6"/>
      <c r="ISP7" s="6"/>
      <c r="ISR7" s="6"/>
      <c r="IST7" s="6"/>
      <c r="ISV7" s="6"/>
      <c r="ISX7" s="6"/>
      <c r="ISZ7" s="6"/>
      <c r="ITB7" s="6"/>
      <c r="ITD7" s="6"/>
      <c r="ITF7" s="6"/>
      <c r="ITH7" s="6"/>
      <c r="ITJ7" s="6"/>
      <c r="ITL7" s="6"/>
      <c r="ITN7" s="6"/>
      <c r="ITP7" s="6"/>
      <c r="ITR7" s="6"/>
      <c r="ITT7" s="6"/>
      <c r="ITV7" s="6"/>
      <c r="ITX7" s="6"/>
      <c r="ITZ7" s="6"/>
      <c r="IUB7" s="6"/>
      <c r="IUD7" s="6"/>
      <c r="IUF7" s="6"/>
      <c r="IUH7" s="6"/>
      <c r="IUJ7" s="6"/>
      <c r="IUL7" s="6"/>
      <c r="IUN7" s="6"/>
      <c r="IUP7" s="6"/>
      <c r="IUR7" s="6"/>
      <c r="IUT7" s="6"/>
      <c r="IUV7" s="6"/>
      <c r="IUX7" s="6"/>
      <c r="IUZ7" s="6"/>
      <c r="IVB7" s="6"/>
      <c r="IVD7" s="6"/>
      <c r="IVF7" s="6"/>
      <c r="IVH7" s="6"/>
      <c r="IVJ7" s="6"/>
      <c r="IVL7" s="6"/>
      <c r="IVN7" s="6"/>
      <c r="IVP7" s="6"/>
      <c r="IVR7" s="6"/>
      <c r="IVT7" s="6"/>
      <c r="IVV7" s="6"/>
      <c r="IVX7" s="6"/>
      <c r="IVZ7" s="6"/>
      <c r="IWB7" s="6"/>
      <c r="IWD7" s="6"/>
      <c r="IWF7" s="6"/>
      <c r="IWH7" s="6"/>
      <c r="IWJ7" s="6"/>
      <c r="IWL7" s="6"/>
      <c r="IWN7" s="6"/>
      <c r="IWP7" s="6"/>
      <c r="IWR7" s="6"/>
      <c r="IWT7" s="6"/>
      <c r="IWV7" s="6"/>
      <c r="IWX7" s="6"/>
      <c r="IWZ7" s="6"/>
      <c r="IXB7" s="6"/>
      <c r="IXD7" s="6"/>
      <c r="IXF7" s="6"/>
      <c r="IXH7" s="6"/>
      <c r="IXJ7" s="6"/>
      <c r="IXL7" s="6"/>
      <c r="IXN7" s="6"/>
      <c r="IXP7" s="6"/>
      <c r="IXR7" s="6"/>
      <c r="IXT7" s="6"/>
      <c r="IXV7" s="6"/>
      <c r="IXX7" s="6"/>
      <c r="IXZ7" s="6"/>
      <c r="IYB7" s="6"/>
      <c r="IYD7" s="6"/>
      <c r="IYF7" s="6"/>
      <c r="IYH7" s="6"/>
      <c r="IYJ7" s="6"/>
      <c r="IYL7" s="6"/>
      <c r="IYN7" s="6"/>
      <c r="IYP7" s="6"/>
      <c r="IYR7" s="6"/>
      <c r="IYT7" s="6"/>
      <c r="IYV7" s="6"/>
      <c r="IYX7" s="6"/>
      <c r="IYZ7" s="6"/>
      <c r="IZB7" s="6"/>
      <c r="IZD7" s="6"/>
      <c r="IZF7" s="6"/>
      <c r="IZH7" s="6"/>
      <c r="IZJ7" s="6"/>
      <c r="IZL7" s="6"/>
      <c r="IZN7" s="6"/>
      <c r="IZP7" s="6"/>
      <c r="IZR7" s="6"/>
      <c r="IZT7" s="6"/>
      <c r="IZV7" s="6"/>
      <c r="IZX7" s="6"/>
      <c r="IZZ7" s="6"/>
      <c r="JAB7" s="6"/>
      <c r="JAD7" s="6"/>
      <c r="JAF7" s="6"/>
      <c r="JAH7" s="6"/>
      <c r="JAJ7" s="6"/>
      <c r="JAL7" s="6"/>
      <c r="JAN7" s="6"/>
      <c r="JAP7" s="6"/>
      <c r="JAR7" s="6"/>
      <c r="JAT7" s="6"/>
      <c r="JAV7" s="6"/>
      <c r="JAX7" s="6"/>
      <c r="JAZ7" s="6"/>
      <c r="JBB7" s="6"/>
      <c r="JBD7" s="6"/>
      <c r="JBF7" s="6"/>
      <c r="JBH7" s="6"/>
      <c r="JBJ7" s="6"/>
      <c r="JBL7" s="6"/>
      <c r="JBN7" s="6"/>
      <c r="JBP7" s="6"/>
      <c r="JBR7" s="6"/>
      <c r="JBT7" s="6"/>
      <c r="JBV7" s="6"/>
      <c r="JBX7" s="6"/>
      <c r="JBZ7" s="6"/>
      <c r="JCB7" s="6"/>
      <c r="JCD7" s="6"/>
      <c r="JCF7" s="6"/>
      <c r="JCH7" s="6"/>
      <c r="JCJ7" s="6"/>
      <c r="JCL7" s="6"/>
      <c r="JCN7" s="6"/>
      <c r="JCP7" s="6"/>
      <c r="JCR7" s="6"/>
      <c r="JCT7" s="6"/>
      <c r="JCV7" s="6"/>
      <c r="JCX7" s="6"/>
      <c r="JCZ7" s="6"/>
      <c r="JDB7" s="6"/>
      <c r="JDD7" s="6"/>
      <c r="JDF7" s="6"/>
      <c r="JDH7" s="6"/>
      <c r="JDJ7" s="6"/>
      <c r="JDL7" s="6"/>
      <c r="JDN7" s="6"/>
      <c r="JDP7" s="6"/>
      <c r="JDR7" s="6"/>
      <c r="JDT7" s="6"/>
      <c r="JDV7" s="6"/>
      <c r="JDX7" s="6"/>
      <c r="JDZ7" s="6"/>
      <c r="JEB7" s="6"/>
      <c r="JED7" s="6"/>
      <c r="JEF7" s="6"/>
      <c r="JEH7" s="6"/>
      <c r="JEJ7" s="6"/>
      <c r="JEL7" s="6"/>
      <c r="JEN7" s="6"/>
      <c r="JEP7" s="6"/>
      <c r="JER7" s="6"/>
      <c r="JET7" s="6"/>
      <c r="JEV7" s="6"/>
      <c r="JEX7" s="6"/>
      <c r="JEZ7" s="6"/>
      <c r="JFB7" s="6"/>
      <c r="JFD7" s="6"/>
      <c r="JFF7" s="6"/>
      <c r="JFH7" s="6"/>
      <c r="JFJ7" s="6"/>
      <c r="JFL7" s="6"/>
      <c r="JFN7" s="6"/>
      <c r="JFP7" s="6"/>
      <c r="JFR7" s="6"/>
      <c r="JFT7" s="6"/>
      <c r="JFV7" s="6"/>
      <c r="JFX7" s="6"/>
      <c r="JFZ7" s="6"/>
      <c r="JGB7" s="6"/>
      <c r="JGD7" s="6"/>
      <c r="JGF7" s="6"/>
      <c r="JGH7" s="6"/>
      <c r="JGJ7" s="6"/>
      <c r="JGL7" s="6"/>
      <c r="JGN7" s="6"/>
      <c r="JGP7" s="6"/>
      <c r="JGR7" s="6"/>
      <c r="JGT7" s="6"/>
      <c r="JGV7" s="6"/>
      <c r="JGX7" s="6"/>
      <c r="JGZ7" s="6"/>
      <c r="JHB7" s="6"/>
      <c r="JHD7" s="6"/>
      <c r="JHF7" s="6"/>
      <c r="JHH7" s="6"/>
      <c r="JHJ7" s="6"/>
      <c r="JHL7" s="6"/>
      <c r="JHN7" s="6"/>
      <c r="JHP7" s="6"/>
      <c r="JHR7" s="6"/>
      <c r="JHT7" s="6"/>
      <c r="JHV7" s="6"/>
      <c r="JHX7" s="6"/>
      <c r="JHZ7" s="6"/>
      <c r="JIB7" s="6"/>
      <c r="JID7" s="6"/>
      <c r="JIF7" s="6"/>
      <c r="JIH7" s="6"/>
      <c r="JIJ7" s="6"/>
      <c r="JIL7" s="6"/>
      <c r="JIN7" s="6"/>
      <c r="JIP7" s="6"/>
      <c r="JIR7" s="6"/>
      <c r="JIT7" s="6"/>
      <c r="JIV7" s="6"/>
      <c r="JIX7" s="6"/>
      <c r="JIZ7" s="6"/>
      <c r="JJB7" s="6"/>
      <c r="JJD7" s="6"/>
      <c r="JJF7" s="6"/>
      <c r="JJH7" s="6"/>
      <c r="JJJ7" s="6"/>
      <c r="JJL7" s="6"/>
      <c r="JJN7" s="6"/>
      <c r="JJP7" s="6"/>
      <c r="JJR7" s="6"/>
      <c r="JJT7" s="6"/>
      <c r="JJV7" s="6"/>
      <c r="JJX7" s="6"/>
      <c r="JJZ7" s="6"/>
      <c r="JKB7" s="6"/>
      <c r="JKD7" s="6"/>
      <c r="JKF7" s="6"/>
      <c r="JKH7" s="6"/>
      <c r="JKJ7" s="6"/>
      <c r="JKL7" s="6"/>
      <c r="JKN7" s="6"/>
      <c r="JKP7" s="6"/>
      <c r="JKR7" s="6"/>
      <c r="JKT7" s="6"/>
      <c r="JKV7" s="6"/>
      <c r="JKX7" s="6"/>
      <c r="JKZ7" s="6"/>
      <c r="JLB7" s="6"/>
      <c r="JLD7" s="6"/>
      <c r="JLF7" s="6"/>
      <c r="JLH7" s="6"/>
      <c r="JLJ7" s="6"/>
      <c r="JLL7" s="6"/>
      <c r="JLN7" s="6"/>
      <c r="JLP7" s="6"/>
      <c r="JLR7" s="6"/>
      <c r="JLT7" s="6"/>
      <c r="JLV7" s="6"/>
      <c r="JLX7" s="6"/>
      <c r="JLZ7" s="6"/>
      <c r="JMB7" s="6"/>
      <c r="JMD7" s="6"/>
      <c r="JMF7" s="6"/>
      <c r="JMH7" s="6"/>
      <c r="JMJ7" s="6"/>
      <c r="JML7" s="6"/>
      <c r="JMN7" s="6"/>
      <c r="JMP7" s="6"/>
      <c r="JMR7" s="6"/>
      <c r="JMT7" s="6"/>
      <c r="JMV7" s="6"/>
      <c r="JMX7" s="6"/>
      <c r="JMZ7" s="6"/>
      <c r="JNB7" s="6"/>
      <c r="JND7" s="6"/>
      <c r="JNF7" s="6"/>
      <c r="JNH7" s="6"/>
      <c r="JNJ7" s="6"/>
      <c r="JNL7" s="6"/>
      <c r="JNN7" s="6"/>
      <c r="JNP7" s="6"/>
      <c r="JNR7" s="6"/>
      <c r="JNT7" s="6"/>
      <c r="JNV7" s="6"/>
      <c r="JNX7" s="6"/>
      <c r="JNZ7" s="6"/>
      <c r="JOB7" s="6"/>
      <c r="JOD7" s="6"/>
      <c r="JOF7" s="6"/>
      <c r="JOH7" s="6"/>
      <c r="JOJ7" s="6"/>
      <c r="JOL7" s="6"/>
      <c r="JON7" s="6"/>
      <c r="JOP7" s="6"/>
      <c r="JOR7" s="6"/>
      <c r="JOT7" s="6"/>
      <c r="JOV7" s="6"/>
      <c r="JOX7" s="6"/>
      <c r="JOZ7" s="6"/>
      <c r="JPB7" s="6"/>
      <c r="JPD7" s="6"/>
      <c r="JPF7" s="6"/>
      <c r="JPH7" s="6"/>
      <c r="JPJ7" s="6"/>
      <c r="JPL7" s="6"/>
      <c r="JPN7" s="6"/>
      <c r="JPP7" s="6"/>
      <c r="JPR7" s="6"/>
      <c r="JPT7" s="6"/>
      <c r="JPV7" s="6"/>
      <c r="JPX7" s="6"/>
      <c r="JPZ7" s="6"/>
      <c r="JQB7" s="6"/>
      <c r="JQD7" s="6"/>
      <c r="JQF7" s="6"/>
      <c r="JQH7" s="6"/>
      <c r="JQJ7" s="6"/>
      <c r="JQL7" s="6"/>
      <c r="JQN7" s="6"/>
      <c r="JQP7" s="6"/>
      <c r="JQR7" s="6"/>
      <c r="JQT7" s="6"/>
      <c r="JQV7" s="6"/>
      <c r="JQX7" s="6"/>
      <c r="JQZ7" s="6"/>
      <c r="JRB7" s="6"/>
      <c r="JRD7" s="6"/>
      <c r="JRF7" s="6"/>
      <c r="JRH7" s="6"/>
      <c r="JRJ7" s="6"/>
      <c r="JRL7" s="6"/>
      <c r="JRN7" s="6"/>
      <c r="JRP7" s="6"/>
      <c r="JRR7" s="6"/>
      <c r="JRT7" s="6"/>
      <c r="JRV7" s="6"/>
      <c r="JRX7" s="6"/>
      <c r="JRZ7" s="6"/>
      <c r="JSB7" s="6"/>
      <c r="JSD7" s="6"/>
      <c r="JSF7" s="6"/>
      <c r="JSH7" s="6"/>
      <c r="JSJ7" s="6"/>
      <c r="JSL7" s="6"/>
      <c r="JSN7" s="6"/>
      <c r="JSP7" s="6"/>
      <c r="JSR7" s="6"/>
      <c r="JST7" s="6"/>
      <c r="JSV7" s="6"/>
      <c r="JSX7" s="6"/>
      <c r="JSZ7" s="6"/>
      <c r="JTB7" s="6"/>
      <c r="JTD7" s="6"/>
      <c r="JTF7" s="6"/>
      <c r="JTH7" s="6"/>
      <c r="JTJ7" s="6"/>
      <c r="JTL7" s="6"/>
      <c r="JTN7" s="6"/>
      <c r="JTP7" s="6"/>
      <c r="JTR7" s="6"/>
      <c r="JTT7" s="6"/>
      <c r="JTV7" s="6"/>
      <c r="JTX7" s="6"/>
      <c r="JTZ7" s="6"/>
      <c r="JUB7" s="6"/>
      <c r="JUD7" s="6"/>
      <c r="JUF7" s="6"/>
      <c r="JUH7" s="6"/>
      <c r="JUJ7" s="6"/>
      <c r="JUL7" s="6"/>
      <c r="JUN7" s="6"/>
      <c r="JUP7" s="6"/>
      <c r="JUR7" s="6"/>
      <c r="JUT7" s="6"/>
      <c r="JUV7" s="6"/>
      <c r="JUX7" s="6"/>
      <c r="JUZ7" s="6"/>
      <c r="JVB7" s="6"/>
      <c r="JVD7" s="6"/>
      <c r="JVF7" s="6"/>
      <c r="JVH7" s="6"/>
      <c r="JVJ7" s="6"/>
      <c r="JVL7" s="6"/>
      <c r="JVN7" s="6"/>
      <c r="JVP7" s="6"/>
      <c r="JVR7" s="6"/>
      <c r="JVT7" s="6"/>
      <c r="JVV7" s="6"/>
      <c r="JVX7" s="6"/>
      <c r="JVZ7" s="6"/>
      <c r="JWB7" s="6"/>
      <c r="JWD7" s="6"/>
      <c r="JWF7" s="6"/>
      <c r="JWH7" s="6"/>
      <c r="JWJ7" s="6"/>
      <c r="JWL7" s="6"/>
      <c r="JWN7" s="6"/>
      <c r="JWP7" s="6"/>
      <c r="JWR7" s="6"/>
      <c r="JWT7" s="6"/>
      <c r="JWV7" s="6"/>
      <c r="JWX7" s="6"/>
      <c r="JWZ7" s="6"/>
      <c r="JXB7" s="6"/>
      <c r="JXD7" s="6"/>
      <c r="JXF7" s="6"/>
      <c r="JXH7" s="6"/>
      <c r="JXJ7" s="6"/>
      <c r="JXL7" s="6"/>
      <c r="JXN7" s="6"/>
      <c r="JXP7" s="6"/>
      <c r="JXR7" s="6"/>
      <c r="JXT7" s="6"/>
      <c r="JXV7" s="6"/>
      <c r="JXX7" s="6"/>
      <c r="JXZ7" s="6"/>
      <c r="JYB7" s="6"/>
      <c r="JYD7" s="6"/>
      <c r="JYF7" s="6"/>
      <c r="JYH7" s="6"/>
      <c r="JYJ7" s="6"/>
      <c r="JYL7" s="6"/>
      <c r="JYN7" s="6"/>
      <c r="JYP7" s="6"/>
      <c r="JYR7" s="6"/>
      <c r="JYT7" s="6"/>
      <c r="JYV7" s="6"/>
      <c r="JYX7" s="6"/>
      <c r="JYZ7" s="6"/>
      <c r="JZB7" s="6"/>
      <c r="JZD7" s="6"/>
      <c r="JZF7" s="6"/>
      <c r="JZH7" s="6"/>
      <c r="JZJ7" s="6"/>
      <c r="JZL7" s="6"/>
      <c r="JZN7" s="6"/>
      <c r="JZP7" s="6"/>
      <c r="JZR7" s="6"/>
      <c r="JZT7" s="6"/>
      <c r="JZV7" s="6"/>
      <c r="JZX7" s="6"/>
      <c r="JZZ7" s="6"/>
      <c r="KAB7" s="6"/>
      <c r="KAD7" s="6"/>
      <c r="KAF7" s="6"/>
      <c r="KAH7" s="6"/>
      <c r="KAJ7" s="6"/>
      <c r="KAL7" s="6"/>
      <c r="KAN7" s="6"/>
      <c r="KAP7" s="6"/>
      <c r="KAR7" s="6"/>
      <c r="KAT7" s="6"/>
      <c r="KAV7" s="6"/>
      <c r="KAX7" s="6"/>
      <c r="KAZ7" s="6"/>
      <c r="KBB7" s="6"/>
      <c r="KBD7" s="6"/>
      <c r="KBF7" s="6"/>
      <c r="KBH7" s="6"/>
      <c r="KBJ7" s="6"/>
      <c r="KBL7" s="6"/>
      <c r="KBN7" s="6"/>
      <c r="KBP7" s="6"/>
      <c r="KBR7" s="6"/>
      <c r="KBT7" s="6"/>
      <c r="KBV7" s="6"/>
      <c r="KBX7" s="6"/>
      <c r="KBZ7" s="6"/>
      <c r="KCB7" s="6"/>
      <c r="KCD7" s="6"/>
      <c r="KCF7" s="6"/>
      <c r="KCH7" s="6"/>
      <c r="KCJ7" s="6"/>
      <c r="KCL7" s="6"/>
      <c r="KCN7" s="6"/>
      <c r="KCP7" s="6"/>
      <c r="KCR7" s="6"/>
      <c r="KCT7" s="6"/>
      <c r="KCV7" s="6"/>
      <c r="KCX7" s="6"/>
      <c r="KCZ7" s="6"/>
      <c r="KDB7" s="6"/>
      <c r="KDD7" s="6"/>
      <c r="KDF7" s="6"/>
      <c r="KDH7" s="6"/>
      <c r="KDJ7" s="6"/>
      <c r="KDL7" s="6"/>
      <c r="KDN7" s="6"/>
      <c r="KDP7" s="6"/>
      <c r="KDR7" s="6"/>
      <c r="KDT7" s="6"/>
      <c r="KDV7" s="6"/>
      <c r="KDX7" s="6"/>
      <c r="KDZ7" s="6"/>
      <c r="KEB7" s="6"/>
      <c r="KED7" s="6"/>
      <c r="KEF7" s="6"/>
      <c r="KEH7" s="6"/>
      <c r="KEJ7" s="6"/>
      <c r="KEL7" s="6"/>
      <c r="KEN7" s="6"/>
      <c r="KEP7" s="6"/>
      <c r="KER7" s="6"/>
      <c r="KET7" s="6"/>
      <c r="KEV7" s="6"/>
      <c r="KEX7" s="6"/>
      <c r="KEZ7" s="6"/>
      <c r="KFB7" s="6"/>
      <c r="KFD7" s="6"/>
      <c r="KFF7" s="6"/>
      <c r="KFH7" s="6"/>
      <c r="KFJ7" s="6"/>
      <c r="KFL7" s="6"/>
      <c r="KFN7" s="6"/>
      <c r="KFP7" s="6"/>
      <c r="KFR7" s="6"/>
      <c r="KFT7" s="6"/>
      <c r="KFV7" s="6"/>
      <c r="KFX7" s="6"/>
      <c r="KFZ7" s="6"/>
      <c r="KGB7" s="6"/>
      <c r="KGD7" s="6"/>
      <c r="KGF7" s="6"/>
      <c r="KGH7" s="6"/>
      <c r="KGJ7" s="6"/>
      <c r="KGL7" s="6"/>
      <c r="KGN7" s="6"/>
      <c r="KGP7" s="6"/>
      <c r="KGR7" s="6"/>
      <c r="KGT7" s="6"/>
      <c r="KGV7" s="6"/>
      <c r="KGX7" s="6"/>
      <c r="KGZ7" s="6"/>
      <c r="KHB7" s="6"/>
      <c r="KHD7" s="6"/>
      <c r="KHF7" s="6"/>
      <c r="KHH7" s="6"/>
      <c r="KHJ7" s="6"/>
      <c r="KHL7" s="6"/>
      <c r="KHN7" s="6"/>
      <c r="KHP7" s="6"/>
      <c r="KHR7" s="6"/>
      <c r="KHT7" s="6"/>
      <c r="KHV7" s="6"/>
      <c r="KHX7" s="6"/>
      <c r="KHZ7" s="6"/>
      <c r="KIB7" s="6"/>
      <c r="KID7" s="6"/>
      <c r="KIF7" s="6"/>
      <c r="KIH7" s="6"/>
      <c r="KIJ7" s="6"/>
      <c r="KIL7" s="6"/>
      <c r="KIN7" s="6"/>
      <c r="KIP7" s="6"/>
      <c r="KIR7" s="6"/>
      <c r="KIT7" s="6"/>
      <c r="KIV7" s="6"/>
      <c r="KIX7" s="6"/>
      <c r="KIZ7" s="6"/>
      <c r="KJB7" s="6"/>
      <c r="KJD7" s="6"/>
      <c r="KJF7" s="6"/>
      <c r="KJH7" s="6"/>
      <c r="KJJ7" s="6"/>
      <c r="KJL7" s="6"/>
      <c r="KJN7" s="6"/>
      <c r="KJP7" s="6"/>
      <c r="KJR7" s="6"/>
      <c r="KJT7" s="6"/>
      <c r="KJV7" s="6"/>
      <c r="KJX7" s="6"/>
      <c r="KJZ7" s="6"/>
      <c r="KKB7" s="6"/>
      <c r="KKD7" s="6"/>
      <c r="KKF7" s="6"/>
      <c r="KKH7" s="6"/>
      <c r="KKJ7" s="6"/>
      <c r="KKL7" s="6"/>
      <c r="KKN7" s="6"/>
      <c r="KKP7" s="6"/>
      <c r="KKR7" s="6"/>
      <c r="KKT7" s="6"/>
      <c r="KKV7" s="6"/>
      <c r="KKX7" s="6"/>
      <c r="KKZ7" s="6"/>
      <c r="KLB7" s="6"/>
      <c r="KLD7" s="6"/>
      <c r="KLF7" s="6"/>
      <c r="KLH7" s="6"/>
      <c r="KLJ7" s="6"/>
      <c r="KLL7" s="6"/>
      <c r="KLN7" s="6"/>
      <c r="KLP7" s="6"/>
      <c r="KLR7" s="6"/>
      <c r="KLT7" s="6"/>
      <c r="KLV7" s="6"/>
      <c r="KLX7" s="6"/>
      <c r="KLZ7" s="6"/>
      <c r="KMB7" s="6"/>
      <c r="KMD7" s="6"/>
      <c r="KMF7" s="6"/>
      <c r="KMH7" s="6"/>
      <c r="KMJ7" s="6"/>
      <c r="KML7" s="6"/>
      <c r="KMN7" s="6"/>
      <c r="KMP7" s="6"/>
      <c r="KMR7" s="6"/>
      <c r="KMT7" s="6"/>
      <c r="KMV7" s="6"/>
      <c r="KMX7" s="6"/>
      <c r="KMZ7" s="6"/>
      <c r="KNB7" s="6"/>
      <c r="KND7" s="6"/>
      <c r="KNF7" s="6"/>
      <c r="KNH7" s="6"/>
      <c r="KNJ7" s="6"/>
      <c r="KNL7" s="6"/>
      <c r="KNN7" s="6"/>
      <c r="KNP7" s="6"/>
      <c r="KNR7" s="6"/>
      <c r="KNT7" s="6"/>
      <c r="KNV7" s="6"/>
      <c r="KNX7" s="6"/>
      <c r="KNZ7" s="6"/>
      <c r="KOB7" s="6"/>
      <c r="KOD7" s="6"/>
      <c r="KOF7" s="6"/>
      <c r="KOH7" s="6"/>
      <c r="KOJ7" s="6"/>
      <c r="KOL7" s="6"/>
      <c r="KON7" s="6"/>
      <c r="KOP7" s="6"/>
      <c r="KOR7" s="6"/>
      <c r="KOT7" s="6"/>
      <c r="KOV7" s="6"/>
      <c r="KOX7" s="6"/>
      <c r="KOZ7" s="6"/>
      <c r="KPB7" s="6"/>
      <c r="KPD7" s="6"/>
      <c r="KPF7" s="6"/>
      <c r="KPH7" s="6"/>
      <c r="KPJ7" s="6"/>
      <c r="KPL7" s="6"/>
      <c r="KPN7" s="6"/>
      <c r="KPP7" s="6"/>
      <c r="KPR7" s="6"/>
      <c r="KPT7" s="6"/>
      <c r="KPV7" s="6"/>
      <c r="KPX7" s="6"/>
      <c r="KPZ7" s="6"/>
      <c r="KQB7" s="6"/>
      <c r="KQD7" s="6"/>
      <c r="KQF7" s="6"/>
      <c r="KQH7" s="6"/>
      <c r="KQJ7" s="6"/>
      <c r="KQL7" s="6"/>
      <c r="KQN7" s="6"/>
      <c r="KQP7" s="6"/>
      <c r="KQR7" s="6"/>
      <c r="KQT7" s="6"/>
      <c r="KQV7" s="6"/>
      <c r="KQX7" s="6"/>
      <c r="KQZ7" s="6"/>
      <c r="KRB7" s="6"/>
      <c r="KRD7" s="6"/>
      <c r="KRF7" s="6"/>
      <c r="KRH7" s="6"/>
      <c r="KRJ7" s="6"/>
      <c r="KRL7" s="6"/>
      <c r="KRN7" s="6"/>
      <c r="KRP7" s="6"/>
      <c r="KRR7" s="6"/>
      <c r="KRT7" s="6"/>
      <c r="KRV7" s="6"/>
      <c r="KRX7" s="6"/>
      <c r="KRZ7" s="6"/>
      <c r="KSB7" s="6"/>
      <c r="KSD7" s="6"/>
      <c r="KSF7" s="6"/>
      <c r="KSH7" s="6"/>
      <c r="KSJ7" s="6"/>
      <c r="KSL7" s="6"/>
      <c r="KSN7" s="6"/>
      <c r="KSP7" s="6"/>
      <c r="KSR7" s="6"/>
      <c r="KST7" s="6"/>
      <c r="KSV7" s="6"/>
      <c r="KSX7" s="6"/>
      <c r="KSZ7" s="6"/>
      <c r="KTB7" s="6"/>
      <c r="KTD7" s="6"/>
      <c r="KTF7" s="6"/>
      <c r="KTH7" s="6"/>
      <c r="KTJ7" s="6"/>
      <c r="KTL7" s="6"/>
      <c r="KTN7" s="6"/>
      <c r="KTP7" s="6"/>
      <c r="KTR7" s="6"/>
      <c r="KTT7" s="6"/>
      <c r="KTV7" s="6"/>
      <c r="KTX7" s="6"/>
      <c r="KTZ7" s="6"/>
      <c r="KUB7" s="6"/>
      <c r="KUD7" s="6"/>
      <c r="KUF7" s="6"/>
      <c r="KUH7" s="6"/>
      <c r="KUJ7" s="6"/>
      <c r="KUL7" s="6"/>
      <c r="KUN7" s="6"/>
      <c r="KUP7" s="6"/>
      <c r="KUR7" s="6"/>
      <c r="KUT7" s="6"/>
      <c r="KUV7" s="6"/>
      <c r="KUX7" s="6"/>
      <c r="KUZ7" s="6"/>
      <c r="KVB7" s="6"/>
      <c r="KVD7" s="6"/>
      <c r="KVF7" s="6"/>
      <c r="KVH7" s="6"/>
      <c r="KVJ7" s="6"/>
      <c r="KVL7" s="6"/>
      <c r="KVN7" s="6"/>
      <c r="KVP7" s="6"/>
      <c r="KVR7" s="6"/>
      <c r="KVT7" s="6"/>
      <c r="KVV7" s="6"/>
      <c r="KVX7" s="6"/>
      <c r="KVZ7" s="6"/>
      <c r="KWB7" s="6"/>
      <c r="KWD7" s="6"/>
      <c r="KWF7" s="6"/>
      <c r="KWH7" s="6"/>
      <c r="KWJ7" s="6"/>
      <c r="KWL7" s="6"/>
      <c r="KWN7" s="6"/>
      <c r="KWP7" s="6"/>
      <c r="KWR7" s="6"/>
      <c r="KWT7" s="6"/>
      <c r="KWV7" s="6"/>
      <c r="KWX7" s="6"/>
      <c r="KWZ7" s="6"/>
      <c r="KXB7" s="6"/>
      <c r="KXD7" s="6"/>
      <c r="KXF7" s="6"/>
      <c r="KXH7" s="6"/>
      <c r="KXJ7" s="6"/>
      <c r="KXL7" s="6"/>
      <c r="KXN7" s="6"/>
      <c r="KXP7" s="6"/>
      <c r="KXR7" s="6"/>
      <c r="KXT7" s="6"/>
      <c r="KXV7" s="6"/>
      <c r="KXX7" s="6"/>
      <c r="KXZ7" s="6"/>
      <c r="KYB7" s="6"/>
      <c r="KYD7" s="6"/>
      <c r="KYF7" s="6"/>
      <c r="KYH7" s="6"/>
      <c r="KYJ7" s="6"/>
      <c r="KYL7" s="6"/>
      <c r="KYN7" s="6"/>
      <c r="KYP7" s="6"/>
      <c r="KYR7" s="6"/>
      <c r="KYT7" s="6"/>
      <c r="KYV7" s="6"/>
      <c r="KYX7" s="6"/>
      <c r="KYZ7" s="6"/>
      <c r="KZB7" s="6"/>
      <c r="KZD7" s="6"/>
      <c r="KZF7" s="6"/>
      <c r="KZH7" s="6"/>
      <c r="KZJ7" s="6"/>
      <c r="KZL7" s="6"/>
      <c r="KZN7" s="6"/>
      <c r="KZP7" s="6"/>
      <c r="KZR7" s="6"/>
      <c r="KZT7" s="6"/>
      <c r="KZV7" s="6"/>
      <c r="KZX7" s="6"/>
      <c r="KZZ7" s="6"/>
      <c r="LAB7" s="6"/>
      <c r="LAD7" s="6"/>
      <c r="LAF7" s="6"/>
      <c r="LAH7" s="6"/>
      <c r="LAJ7" s="6"/>
      <c r="LAL7" s="6"/>
      <c r="LAN7" s="6"/>
      <c r="LAP7" s="6"/>
      <c r="LAR7" s="6"/>
      <c r="LAT7" s="6"/>
      <c r="LAV7" s="6"/>
      <c r="LAX7" s="6"/>
      <c r="LAZ7" s="6"/>
      <c r="LBB7" s="6"/>
      <c r="LBD7" s="6"/>
      <c r="LBF7" s="6"/>
      <c r="LBH7" s="6"/>
      <c r="LBJ7" s="6"/>
      <c r="LBL7" s="6"/>
      <c r="LBN7" s="6"/>
      <c r="LBP7" s="6"/>
      <c r="LBR7" s="6"/>
      <c r="LBT7" s="6"/>
      <c r="LBV7" s="6"/>
      <c r="LBX7" s="6"/>
      <c r="LBZ7" s="6"/>
      <c r="LCB7" s="6"/>
      <c r="LCD7" s="6"/>
      <c r="LCF7" s="6"/>
      <c r="LCH7" s="6"/>
      <c r="LCJ7" s="6"/>
      <c r="LCL7" s="6"/>
      <c r="LCN7" s="6"/>
      <c r="LCP7" s="6"/>
      <c r="LCR7" s="6"/>
      <c r="LCT7" s="6"/>
      <c r="LCV7" s="6"/>
      <c r="LCX7" s="6"/>
      <c r="LCZ7" s="6"/>
      <c r="LDB7" s="6"/>
      <c r="LDD7" s="6"/>
      <c r="LDF7" s="6"/>
      <c r="LDH7" s="6"/>
      <c r="LDJ7" s="6"/>
      <c r="LDL7" s="6"/>
      <c r="LDN7" s="6"/>
      <c r="LDP7" s="6"/>
      <c r="LDR7" s="6"/>
      <c r="LDT7" s="6"/>
      <c r="LDV7" s="6"/>
      <c r="LDX7" s="6"/>
      <c r="LDZ7" s="6"/>
      <c r="LEB7" s="6"/>
      <c r="LED7" s="6"/>
      <c r="LEF7" s="6"/>
      <c r="LEH7" s="6"/>
      <c r="LEJ7" s="6"/>
      <c r="LEL7" s="6"/>
      <c r="LEN7" s="6"/>
      <c r="LEP7" s="6"/>
      <c r="LER7" s="6"/>
      <c r="LET7" s="6"/>
      <c r="LEV7" s="6"/>
      <c r="LEX7" s="6"/>
      <c r="LEZ7" s="6"/>
      <c r="LFB7" s="6"/>
      <c r="LFD7" s="6"/>
      <c r="LFF7" s="6"/>
      <c r="LFH7" s="6"/>
      <c r="LFJ7" s="6"/>
      <c r="LFL7" s="6"/>
      <c r="LFN7" s="6"/>
      <c r="LFP7" s="6"/>
      <c r="LFR7" s="6"/>
      <c r="LFT7" s="6"/>
      <c r="LFV7" s="6"/>
      <c r="LFX7" s="6"/>
      <c r="LFZ7" s="6"/>
      <c r="LGB7" s="6"/>
      <c r="LGD7" s="6"/>
      <c r="LGF7" s="6"/>
      <c r="LGH7" s="6"/>
      <c r="LGJ7" s="6"/>
      <c r="LGL7" s="6"/>
      <c r="LGN7" s="6"/>
      <c r="LGP7" s="6"/>
      <c r="LGR7" s="6"/>
      <c r="LGT7" s="6"/>
      <c r="LGV7" s="6"/>
      <c r="LGX7" s="6"/>
      <c r="LGZ7" s="6"/>
      <c r="LHB7" s="6"/>
      <c r="LHD7" s="6"/>
      <c r="LHF7" s="6"/>
      <c r="LHH7" s="6"/>
      <c r="LHJ7" s="6"/>
      <c r="LHL7" s="6"/>
      <c r="LHN7" s="6"/>
      <c r="LHP7" s="6"/>
      <c r="LHR7" s="6"/>
      <c r="LHT7" s="6"/>
      <c r="LHV7" s="6"/>
      <c r="LHX7" s="6"/>
      <c r="LHZ7" s="6"/>
      <c r="LIB7" s="6"/>
      <c r="LID7" s="6"/>
      <c r="LIF7" s="6"/>
      <c r="LIH7" s="6"/>
      <c r="LIJ7" s="6"/>
      <c r="LIL7" s="6"/>
      <c r="LIN7" s="6"/>
      <c r="LIP7" s="6"/>
      <c r="LIR7" s="6"/>
      <c r="LIT7" s="6"/>
      <c r="LIV7" s="6"/>
      <c r="LIX7" s="6"/>
      <c r="LIZ7" s="6"/>
      <c r="LJB7" s="6"/>
      <c r="LJD7" s="6"/>
      <c r="LJF7" s="6"/>
      <c r="LJH7" s="6"/>
      <c r="LJJ7" s="6"/>
      <c r="LJL7" s="6"/>
      <c r="LJN7" s="6"/>
      <c r="LJP7" s="6"/>
      <c r="LJR7" s="6"/>
      <c r="LJT7" s="6"/>
      <c r="LJV7" s="6"/>
      <c r="LJX7" s="6"/>
      <c r="LJZ7" s="6"/>
      <c r="LKB7" s="6"/>
      <c r="LKD7" s="6"/>
      <c r="LKF7" s="6"/>
      <c r="LKH7" s="6"/>
      <c r="LKJ7" s="6"/>
      <c r="LKL7" s="6"/>
      <c r="LKN7" s="6"/>
      <c r="LKP7" s="6"/>
      <c r="LKR7" s="6"/>
      <c r="LKT7" s="6"/>
      <c r="LKV7" s="6"/>
      <c r="LKX7" s="6"/>
      <c r="LKZ7" s="6"/>
      <c r="LLB7" s="6"/>
      <c r="LLD7" s="6"/>
      <c r="LLF7" s="6"/>
      <c r="LLH7" s="6"/>
      <c r="LLJ7" s="6"/>
      <c r="LLL7" s="6"/>
      <c r="LLN7" s="6"/>
      <c r="LLP7" s="6"/>
      <c r="LLR7" s="6"/>
      <c r="LLT7" s="6"/>
      <c r="LLV7" s="6"/>
      <c r="LLX7" s="6"/>
      <c r="LLZ7" s="6"/>
      <c r="LMB7" s="6"/>
      <c r="LMD7" s="6"/>
      <c r="LMF7" s="6"/>
      <c r="LMH7" s="6"/>
      <c r="LMJ7" s="6"/>
      <c r="LML7" s="6"/>
      <c r="LMN7" s="6"/>
      <c r="LMP7" s="6"/>
      <c r="LMR7" s="6"/>
      <c r="LMT7" s="6"/>
      <c r="LMV7" s="6"/>
      <c r="LMX7" s="6"/>
      <c r="LMZ7" s="6"/>
      <c r="LNB7" s="6"/>
      <c r="LND7" s="6"/>
      <c r="LNF7" s="6"/>
      <c r="LNH7" s="6"/>
      <c r="LNJ7" s="6"/>
      <c r="LNL7" s="6"/>
      <c r="LNN7" s="6"/>
      <c r="LNP7" s="6"/>
      <c r="LNR7" s="6"/>
      <c r="LNT7" s="6"/>
      <c r="LNV7" s="6"/>
      <c r="LNX7" s="6"/>
      <c r="LNZ7" s="6"/>
      <c r="LOB7" s="6"/>
      <c r="LOD7" s="6"/>
      <c r="LOF7" s="6"/>
      <c r="LOH7" s="6"/>
      <c r="LOJ7" s="6"/>
      <c r="LOL7" s="6"/>
      <c r="LON7" s="6"/>
      <c r="LOP7" s="6"/>
      <c r="LOR7" s="6"/>
      <c r="LOT7" s="6"/>
      <c r="LOV7" s="6"/>
      <c r="LOX7" s="6"/>
      <c r="LOZ7" s="6"/>
      <c r="LPB7" s="6"/>
      <c r="LPD7" s="6"/>
      <c r="LPF7" s="6"/>
      <c r="LPH7" s="6"/>
      <c r="LPJ7" s="6"/>
      <c r="LPL7" s="6"/>
      <c r="LPN7" s="6"/>
      <c r="LPP7" s="6"/>
      <c r="LPR7" s="6"/>
      <c r="LPT7" s="6"/>
      <c r="LPV7" s="6"/>
      <c r="LPX7" s="6"/>
      <c r="LPZ7" s="6"/>
      <c r="LQB7" s="6"/>
      <c r="LQD7" s="6"/>
      <c r="LQF7" s="6"/>
      <c r="LQH7" s="6"/>
      <c r="LQJ7" s="6"/>
      <c r="LQL7" s="6"/>
      <c r="LQN7" s="6"/>
      <c r="LQP7" s="6"/>
      <c r="LQR7" s="6"/>
      <c r="LQT7" s="6"/>
      <c r="LQV7" s="6"/>
      <c r="LQX7" s="6"/>
      <c r="LQZ7" s="6"/>
      <c r="LRB7" s="6"/>
      <c r="LRD7" s="6"/>
      <c r="LRF7" s="6"/>
      <c r="LRH7" s="6"/>
      <c r="LRJ7" s="6"/>
      <c r="LRL7" s="6"/>
      <c r="LRN7" s="6"/>
      <c r="LRP7" s="6"/>
      <c r="LRR7" s="6"/>
      <c r="LRT7" s="6"/>
      <c r="LRV7" s="6"/>
      <c r="LRX7" s="6"/>
      <c r="LRZ7" s="6"/>
      <c r="LSB7" s="6"/>
      <c r="LSD7" s="6"/>
      <c r="LSF7" s="6"/>
      <c r="LSH7" s="6"/>
      <c r="LSJ7" s="6"/>
      <c r="LSL7" s="6"/>
      <c r="LSN7" s="6"/>
      <c r="LSP7" s="6"/>
      <c r="LSR7" s="6"/>
      <c r="LST7" s="6"/>
      <c r="LSV7" s="6"/>
      <c r="LSX7" s="6"/>
      <c r="LSZ7" s="6"/>
      <c r="LTB7" s="6"/>
      <c r="LTD7" s="6"/>
      <c r="LTF7" s="6"/>
      <c r="LTH7" s="6"/>
      <c r="LTJ7" s="6"/>
      <c r="LTL7" s="6"/>
      <c r="LTN7" s="6"/>
      <c r="LTP7" s="6"/>
      <c r="LTR7" s="6"/>
      <c r="LTT7" s="6"/>
      <c r="LTV7" s="6"/>
      <c r="LTX7" s="6"/>
      <c r="LTZ7" s="6"/>
      <c r="LUB7" s="6"/>
      <c r="LUD7" s="6"/>
      <c r="LUF7" s="6"/>
      <c r="LUH7" s="6"/>
      <c r="LUJ7" s="6"/>
      <c r="LUL7" s="6"/>
      <c r="LUN7" s="6"/>
      <c r="LUP7" s="6"/>
      <c r="LUR7" s="6"/>
      <c r="LUT7" s="6"/>
      <c r="LUV7" s="6"/>
      <c r="LUX7" s="6"/>
      <c r="LUZ7" s="6"/>
      <c r="LVB7" s="6"/>
      <c r="LVD7" s="6"/>
      <c r="LVF7" s="6"/>
      <c r="LVH7" s="6"/>
      <c r="LVJ7" s="6"/>
      <c r="LVL7" s="6"/>
      <c r="LVN7" s="6"/>
      <c r="LVP7" s="6"/>
      <c r="LVR7" s="6"/>
      <c r="LVT7" s="6"/>
      <c r="LVV7" s="6"/>
      <c r="LVX7" s="6"/>
      <c r="LVZ7" s="6"/>
      <c r="LWB7" s="6"/>
      <c r="LWD7" s="6"/>
      <c r="LWF7" s="6"/>
      <c r="LWH7" s="6"/>
      <c r="LWJ7" s="6"/>
      <c r="LWL7" s="6"/>
      <c r="LWN7" s="6"/>
      <c r="LWP7" s="6"/>
      <c r="LWR7" s="6"/>
      <c r="LWT7" s="6"/>
      <c r="LWV7" s="6"/>
      <c r="LWX7" s="6"/>
      <c r="LWZ7" s="6"/>
      <c r="LXB7" s="6"/>
      <c r="LXD7" s="6"/>
      <c r="LXF7" s="6"/>
      <c r="LXH7" s="6"/>
      <c r="LXJ7" s="6"/>
      <c r="LXL7" s="6"/>
      <c r="LXN7" s="6"/>
      <c r="LXP7" s="6"/>
      <c r="LXR7" s="6"/>
      <c r="LXT7" s="6"/>
      <c r="LXV7" s="6"/>
      <c r="LXX7" s="6"/>
      <c r="LXZ7" s="6"/>
      <c r="LYB7" s="6"/>
      <c r="LYD7" s="6"/>
      <c r="LYF7" s="6"/>
      <c r="LYH7" s="6"/>
      <c r="LYJ7" s="6"/>
      <c r="LYL7" s="6"/>
      <c r="LYN7" s="6"/>
      <c r="LYP7" s="6"/>
      <c r="LYR7" s="6"/>
      <c r="LYT7" s="6"/>
      <c r="LYV7" s="6"/>
      <c r="LYX7" s="6"/>
      <c r="LYZ7" s="6"/>
      <c r="LZB7" s="6"/>
      <c r="LZD7" s="6"/>
      <c r="LZF7" s="6"/>
      <c r="LZH7" s="6"/>
      <c r="LZJ7" s="6"/>
      <c r="LZL7" s="6"/>
      <c r="LZN7" s="6"/>
      <c r="LZP7" s="6"/>
      <c r="LZR7" s="6"/>
      <c r="LZT7" s="6"/>
      <c r="LZV7" s="6"/>
      <c r="LZX7" s="6"/>
      <c r="LZZ7" s="6"/>
      <c r="MAB7" s="6"/>
      <c r="MAD7" s="6"/>
      <c r="MAF7" s="6"/>
      <c r="MAH7" s="6"/>
      <c r="MAJ7" s="6"/>
      <c r="MAL7" s="6"/>
      <c r="MAN7" s="6"/>
      <c r="MAP7" s="6"/>
      <c r="MAR7" s="6"/>
      <c r="MAT7" s="6"/>
      <c r="MAV7" s="6"/>
      <c r="MAX7" s="6"/>
      <c r="MAZ7" s="6"/>
      <c r="MBB7" s="6"/>
      <c r="MBD7" s="6"/>
      <c r="MBF7" s="6"/>
      <c r="MBH7" s="6"/>
      <c r="MBJ7" s="6"/>
      <c r="MBL7" s="6"/>
      <c r="MBN7" s="6"/>
      <c r="MBP7" s="6"/>
      <c r="MBR7" s="6"/>
      <c r="MBT7" s="6"/>
      <c r="MBV7" s="6"/>
      <c r="MBX7" s="6"/>
      <c r="MBZ7" s="6"/>
      <c r="MCB7" s="6"/>
      <c r="MCD7" s="6"/>
      <c r="MCF7" s="6"/>
      <c r="MCH7" s="6"/>
      <c r="MCJ7" s="6"/>
      <c r="MCL7" s="6"/>
      <c r="MCN7" s="6"/>
      <c r="MCP7" s="6"/>
      <c r="MCR7" s="6"/>
      <c r="MCT7" s="6"/>
      <c r="MCV7" s="6"/>
      <c r="MCX7" s="6"/>
      <c r="MCZ7" s="6"/>
      <c r="MDB7" s="6"/>
      <c r="MDD7" s="6"/>
      <c r="MDF7" s="6"/>
      <c r="MDH7" s="6"/>
      <c r="MDJ7" s="6"/>
      <c r="MDL7" s="6"/>
      <c r="MDN7" s="6"/>
      <c r="MDP7" s="6"/>
      <c r="MDR7" s="6"/>
      <c r="MDT7" s="6"/>
      <c r="MDV7" s="6"/>
      <c r="MDX7" s="6"/>
      <c r="MDZ7" s="6"/>
      <c r="MEB7" s="6"/>
      <c r="MED7" s="6"/>
      <c r="MEF7" s="6"/>
      <c r="MEH7" s="6"/>
      <c r="MEJ7" s="6"/>
      <c r="MEL7" s="6"/>
      <c r="MEN7" s="6"/>
      <c r="MEP7" s="6"/>
      <c r="MER7" s="6"/>
      <c r="MET7" s="6"/>
      <c r="MEV7" s="6"/>
      <c r="MEX7" s="6"/>
      <c r="MEZ7" s="6"/>
      <c r="MFB7" s="6"/>
      <c r="MFD7" s="6"/>
      <c r="MFF7" s="6"/>
      <c r="MFH7" s="6"/>
      <c r="MFJ7" s="6"/>
      <c r="MFL7" s="6"/>
      <c r="MFN7" s="6"/>
      <c r="MFP7" s="6"/>
      <c r="MFR7" s="6"/>
      <c r="MFT7" s="6"/>
      <c r="MFV7" s="6"/>
      <c r="MFX7" s="6"/>
      <c r="MFZ7" s="6"/>
      <c r="MGB7" s="6"/>
      <c r="MGD7" s="6"/>
      <c r="MGF7" s="6"/>
      <c r="MGH7" s="6"/>
      <c r="MGJ7" s="6"/>
      <c r="MGL7" s="6"/>
      <c r="MGN7" s="6"/>
      <c r="MGP7" s="6"/>
      <c r="MGR7" s="6"/>
      <c r="MGT7" s="6"/>
      <c r="MGV7" s="6"/>
      <c r="MGX7" s="6"/>
      <c r="MGZ7" s="6"/>
      <c r="MHB7" s="6"/>
      <c r="MHD7" s="6"/>
      <c r="MHF7" s="6"/>
      <c r="MHH7" s="6"/>
      <c r="MHJ7" s="6"/>
      <c r="MHL7" s="6"/>
      <c r="MHN7" s="6"/>
      <c r="MHP7" s="6"/>
      <c r="MHR7" s="6"/>
      <c r="MHT7" s="6"/>
      <c r="MHV7" s="6"/>
      <c r="MHX7" s="6"/>
      <c r="MHZ7" s="6"/>
      <c r="MIB7" s="6"/>
      <c r="MID7" s="6"/>
      <c r="MIF7" s="6"/>
      <c r="MIH7" s="6"/>
      <c r="MIJ7" s="6"/>
      <c r="MIL7" s="6"/>
      <c r="MIN7" s="6"/>
      <c r="MIP7" s="6"/>
      <c r="MIR7" s="6"/>
      <c r="MIT7" s="6"/>
      <c r="MIV7" s="6"/>
      <c r="MIX7" s="6"/>
      <c r="MIZ7" s="6"/>
      <c r="MJB7" s="6"/>
      <c r="MJD7" s="6"/>
      <c r="MJF7" s="6"/>
      <c r="MJH7" s="6"/>
      <c r="MJJ7" s="6"/>
      <c r="MJL7" s="6"/>
      <c r="MJN7" s="6"/>
      <c r="MJP7" s="6"/>
      <c r="MJR7" s="6"/>
      <c r="MJT7" s="6"/>
      <c r="MJV7" s="6"/>
      <c r="MJX7" s="6"/>
      <c r="MJZ7" s="6"/>
      <c r="MKB7" s="6"/>
      <c r="MKD7" s="6"/>
      <c r="MKF7" s="6"/>
      <c r="MKH7" s="6"/>
      <c r="MKJ7" s="6"/>
      <c r="MKL7" s="6"/>
      <c r="MKN7" s="6"/>
      <c r="MKP7" s="6"/>
      <c r="MKR7" s="6"/>
      <c r="MKT7" s="6"/>
      <c r="MKV7" s="6"/>
      <c r="MKX7" s="6"/>
      <c r="MKZ7" s="6"/>
      <c r="MLB7" s="6"/>
      <c r="MLD7" s="6"/>
      <c r="MLF7" s="6"/>
      <c r="MLH7" s="6"/>
      <c r="MLJ7" s="6"/>
      <c r="MLL7" s="6"/>
      <c r="MLN7" s="6"/>
      <c r="MLP7" s="6"/>
      <c r="MLR7" s="6"/>
      <c r="MLT7" s="6"/>
      <c r="MLV7" s="6"/>
      <c r="MLX7" s="6"/>
      <c r="MLZ7" s="6"/>
      <c r="MMB7" s="6"/>
      <c r="MMD7" s="6"/>
      <c r="MMF7" s="6"/>
      <c r="MMH7" s="6"/>
      <c r="MMJ7" s="6"/>
      <c r="MML7" s="6"/>
      <c r="MMN7" s="6"/>
      <c r="MMP7" s="6"/>
      <c r="MMR7" s="6"/>
      <c r="MMT7" s="6"/>
      <c r="MMV7" s="6"/>
      <c r="MMX7" s="6"/>
      <c r="MMZ7" s="6"/>
      <c r="MNB7" s="6"/>
      <c r="MND7" s="6"/>
      <c r="MNF7" s="6"/>
      <c r="MNH7" s="6"/>
      <c r="MNJ7" s="6"/>
      <c r="MNL7" s="6"/>
      <c r="MNN7" s="6"/>
      <c r="MNP7" s="6"/>
      <c r="MNR7" s="6"/>
      <c r="MNT7" s="6"/>
      <c r="MNV7" s="6"/>
      <c r="MNX7" s="6"/>
      <c r="MNZ7" s="6"/>
      <c r="MOB7" s="6"/>
      <c r="MOD7" s="6"/>
      <c r="MOF7" s="6"/>
      <c r="MOH7" s="6"/>
      <c r="MOJ7" s="6"/>
      <c r="MOL7" s="6"/>
      <c r="MON7" s="6"/>
      <c r="MOP7" s="6"/>
      <c r="MOR7" s="6"/>
      <c r="MOT7" s="6"/>
      <c r="MOV7" s="6"/>
      <c r="MOX7" s="6"/>
      <c r="MOZ7" s="6"/>
      <c r="MPB7" s="6"/>
      <c r="MPD7" s="6"/>
      <c r="MPF7" s="6"/>
      <c r="MPH7" s="6"/>
      <c r="MPJ7" s="6"/>
      <c r="MPL7" s="6"/>
      <c r="MPN7" s="6"/>
      <c r="MPP7" s="6"/>
      <c r="MPR7" s="6"/>
      <c r="MPT7" s="6"/>
      <c r="MPV7" s="6"/>
      <c r="MPX7" s="6"/>
      <c r="MPZ7" s="6"/>
      <c r="MQB7" s="6"/>
      <c r="MQD7" s="6"/>
      <c r="MQF7" s="6"/>
      <c r="MQH7" s="6"/>
      <c r="MQJ7" s="6"/>
      <c r="MQL7" s="6"/>
      <c r="MQN7" s="6"/>
      <c r="MQP7" s="6"/>
      <c r="MQR7" s="6"/>
      <c r="MQT7" s="6"/>
      <c r="MQV7" s="6"/>
      <c r="MQX7" s="6"/>
      <c r="MQZ7" s="6"/>
      <c r="MRB7" s="6"/>
      <c r="MRD7" s="6"/>
      <c r="MRF7" s="6"/>
      <c r="MRH7" s="6"/>
      <c r="MRJ7" s="6"/>
      <c r="MRL7" s="6"/>
      <c r="MRN7" s="6"/>
      <c r="MRP7" s="6"/>
      <c r="MRR7" s="6"/>
      <c r="MRT7" s="6"/>
      <c r="MRV7" s="6"/>
      <c r="MRX7" s="6"/>
      <c r="MRZ7" s="6"/>
      <c r="MSB7" s="6"/>
      <c r="MSD7" s="6"/>
      <c r="MSF7" s="6"/>
      <c r="MSH7" s="6"/>
      <c r="MSJ7" s="6"/>
      <c r="MSL7" s="6"/>
      <c r="MSN7" s="6"/>
      <c r="MSP7" s="6"/>
      <c r="MSR7" s="6"/>
      <c r="MST7" s="6"/>
      <c r="MSV7" s="6"/>
      <c r="MSX7" s="6"/>
      <c r="MSZ7" s="6"/>
      <c r="MTB7" s="6"/>
      <c r="MTD7" s="6"/>
      <c r="MTF7" s="6"/>
      <c r="MTH7" s="6"/>
      <c r="MTJ7" s="6"/>
      <c r="MTL7" s="6"/>
      <c r="MTN7" s="6"/>
      <c r="MTP7" s="6"/>
      <c r="MTR7" s="6"/>
      <c r="MTT7" s="6"/>
      <c r="MTV7" s="6"/>
      <c r="MTX7" s="6"/>
      <c r="MTZ7" s="6"/>
      <c r="MUB7" s="6"/>
      <c r="MUD7" s="6"/>
      <c r="MUF7" s="6"/>
      <c r="MUH7" s="6"/>
      <c r="MUJ7" s="6"/>
      <c r="MUL7" s="6"/>
      <c r="MUN7" s="6"/>
      <c r="MUP7" s="6"/>
      <c r="MUR7" s="6"/>
      <c r="MUT7" s="6"/>
      <c r="MUV7" s="6"/>
      <c r="MUX7" s="6"/>
      <c r="MUZ7" s="6"/>
      <c r="MVB7" s="6"/>
      <c r="MVD7" s="6"/>
      <c r="MVF7" s="6"/>
      <c r="MVH7" s="6"/>
      <c r="MVJ7" s="6"/>
      <c r="MVL7" s="6"/>
      <c r="MVN7" s="6"/>
      <c r="MVP7" s="6"/>
      <c r="MVR7" s="6"/>
      <c r="MVT7" s="6"/>
      <c r="MVV7" s="6"/>
      <c r="MVX7" s="6"/>
      <c r="MVZ7" s="6"/>
      <c r="MWB7" s="6"/>
      <c r="MWD7" s="6"/>
      <c r="MWF7" s="6"/>
      <c r="MWH7" s="6"/>
      <c r="MWJ7" s="6"/>
      <c r="MWL7" s="6"/>
      <c r="MWN7" s="6"/>
      <c r="MWP7" s="6"/>
      <c r="MWR7" s="6"/>
      <c r="MWT7" s="6"/>
      <c r="MWV7" s="6"/>
      <c r="MWX7" s="6"/>
      <c r="MWZ7" s="6"/>
      <c r="MXB7" s="6"/>
      <c r="MXD7" s="6"/>
      <c r="MXF7" s="6"/>
      <c r="MXH7" s="6"/>
      <c r="MXJ7" s="6"/>
      <c r="MXL7" s="6"/>
      <c r="MXN7" s="6"/>
      <c r="MXP7" s="6"/>
      <c r="MXR7" s="6"/>
      <c r="MXT7" s="6"/>
      <c r="MXV7" s="6"/>
      <c r="MXX7" s="6"/>
      <c r="MXZ7" s="6"/>
      <c r="MYB7" s="6"/>
      <c r="MYD7" s="6"/>
      <c r="MYF7" s="6"/>
      <c r="MYH7" s="6"/>
      <c r="MYJ7" s="6"/>
      <c r="MYL7" s="6"/>
      <c r="MYN7" s="6"/>
      <c r="MYP7" s="6"/>
      <c r="MYR7" s="6"/>
      <c r="MYT7" s="6"/>
      <c r="MYV7" s="6"/>
      <c r="MYX7" s="6"/>
      <c r="MYZ7" s="6"/>
      <c r="MZB7" s="6"/>
      <c r="MZD7" s="6"/>
      <c r="MZF7" s="6"/>
      <c r="MZH7" s="6"/>
      <c r="MZJ7" s="6"/>
      <c r="MZL7" s="6"/>
      <c r="MZN7" s="6"/>
      <c r="MZP7" s="6"/>
      <c r="MZR7" s="6"/>
      <c r="MZT7" s="6"/>
      <c r="MZV7" s="6"/>
      <c r="MZX7" s="6"/>
      <c r="MZZ7" s="6"/>
      <c r="NAB7" s="6"/>
      <c r="NAD7" s="6"/>
      <c r="NAF7" s="6"/>
      <c r="NAH7" s="6"/>
      <c r="NAJ7" s="6"/>
      <c r="NAL7" s="6"/>
      <c r="NAN7" s="6"/>
      <c r="NAP7" s="6"/>
      <c r="NAR7" s="6"/>
      <c r="NAT7" s="6"/>
      <c r="NAV7" s="6"/>
      <c r="NAX7" s="6"/>
      <c r="NAZ7" s="6"/>
      <c r="NBB7" s="6"/>
      <c r="NBD7" s="6"/>
      <c r="NBF7" s="6"/>
      <c r="NBH7" s="6"/>
      <c r="NBJ7" s="6"/>
      <c r="NBL7" s="6"/>
      <c r="NBN7" s="6"/>
      <c r="NBP7" s="6"/>
      <c r="NBR7" s="6"/>
      <c r="NBT7" s="6"/>
      <c r="NBV7" s="6"/>
      <c r="NBX7" s="6"/>
      <c r="NBZ7" s="6"/>
      <c r="NCB7" s="6"/>
      <c r="NCD7" s="6"/>
      <c r="NCF7" s="6"/>
      <c r="NCH7" s="6"/>
      <c r="NCJ7" s="6"/>
      <c r="NCL7" s="6"/>
      <c r="NCN7" s="6"/>
      <c r="NCP7" s="6"/>
      <c r="NCR7" s="6"/>
      <c r="NCT7" s="6"/>
      <c r="NCV7" s="6"/>
      <c r="NCX7" s="6"/>
      <c r="NCZ7" s="6"/>
      <c r="NDB7" s="6"/>
      <c r="NDD7" s="6"/>
      <c r="NDF7" s="6"/>
      <c r="NDH7" s="6"/>
      <c r="NDJ7" s="6"/>
      <c r="NDL7" s="6"/>
      <c r="NDN7" s="6"/>
      <c r="NDP7" s="6"/>
      <c r="NDR7" s="6"/>
      <c r="NDT7" s="6"/>
      <c r="NDV7" s="6"/>
      <c r="NDX7" s="6"/>
      <c r="NDZ7" s="6"/>
      <c r="NEB7" s="6"/>
      <c r="NED7" s="6"/>
      <c r="NEF7" s="6"/>
      <c r="NEH7" s="6"/>
      <c r="NEJ7" s="6"/>
      <c r="NEL7" s="6"/>
      <c r="NEN7" s="6"/>
      <c r="NEP7" s="6"/>
      <c r="NER7" s="6"/>
      <c r="NET7" s="6"/>
      <c r="NEV7" s="6"/>
      <c r="NEX7" s="6"/>
      <c r="NEZ7" s="6"/>
      <c r="NFB7" s="6"/>
      <c r="NFD7" s="6"/>
      <c r="NFF7" s="6"/>
      <c r="NFH7" s="6"/>
      <c r="NFJ7" s="6"/>
      <c r="NFL7" s="6"/>
      <c r="NFN7" s="6"/>
      <c r="NFP7" s="6"/>
      <c r="NFR7" s="6"/>
      <c r="NFT7" s="6"/>
      <c r="NFV7" s="6"/>
      <c r="NFX7" s="6"/>
      <c r="NFZ7" s="6"/>
      <c r="NGB7" s="6"/>
      <c r="NGD7" s="6"/>
      <c r="NGF7" s="6"/>
      <c r="NGH7" s="6"/>
      <c r="NGJ7" s="6"/>
      <c r="NGL7" s="6"/>
      <c r="NGN7" s="6"/>
      <c r="NGP7" s="6"/>
      <c r="NGR7" s="6"/>
      <c r="NGT7" s="6"/>
      <c r="NGV7" s="6"/>
      <c r="NGX7" s="6"/>
      <c r="NGZ7" s="6"/>
      <c r="NHB7" s="6"/>
      <c r="NHD7" s="6"/>
      <c r="NHF7" s="6"/>
      <c r="NHH7" s="6"/>
      <c r="NHJ7" s="6"/>
      <c r="NHL7" s="6"/>
      <c r="NHN7" s="6"/>
      <c r="NHP7" s="6"/>
      <c r="NHR7" s="6"/>
      <c r="NHT7" s="6"/>
      <c r="NHV7" s="6"/>
      <c r="NHX7" s="6"/>
      <c r="NHZ7" s="6"/>
      <c r="NIB7" s="6"/>
      <c r="NID7" s="6"/>
      <c r="NIF7" s="6"/>
      <c r="NIH7" s="6"/>
      <c r="NIJ7" s="6"/>
      <c r="NIL7" s="6"/>
      <c r="NIN7" s="6"/>
      <c r="NIP7" s="6"/>
      <c r="NIR7" s="6"/>
      <c r="NIT7" s="6"/>
      <c r="NIV7" s="6"/>
      <c r="NIX7" s="6"/>
      <c r="NIZ7" s="6"/>
      <c r="NJB7" s="6"/>
      <c r="NJD7" s="6"/>
      <c r="NJF7" s="6"/>
      <c r="NJH7" s="6"/>
      <c r="NJJ7" s="6"/>
      <c r="NJL7" s="6"/>
      <c r="NJN7" s="6"/>
      <c r="NJP7" s="6"/>
      <c r="NJR7" s="6"/>
      <c r="NJT7" s="6"/>
      <c r="NJV7" s="6"/>
      <c r="NJX7" s="6"/>
      <c r="NJZ7" s="6"/>
      <c r="NKB7" s="6"/>
      <c r="NKD7" s="6"/>
      <c r="NKF7" s="6"/>
      <c r="NKH7" s="6"/>
      <c r="NKJ7" s="6"/>
      <c r="NKL7" s="6"/>
      <c r="NKN7" s="6"/>
      <c r="NKP7" s="6"/>
      <c r="NKR7" s="6"/>
      <c r="NKT7" s="6"/>
      <c r="NKV7" s="6"/>
      <c r="NKX7" s="6"/>
      <c r="NKZ7" s="6"/>
      <c r="NLB7" s="6"/>
      <c r="NLD7" s="6"/>
      <c r="NLF7" s="6"/>
      <c r="NLH7" s="6"/>
      <c r="NLJ7" s="6"/>
      <c r="NLL7" s="6"/>
      <c r="NLN7" s="6"/>
      <c r="NLP7" s="6"/>
      <c r="NLR7" s="6"/>
      <c r="NLT7" s="6"/>
      <c r="NLV7" s="6"/>
      <c r="NLX7" s="6"/>
      <c r="NLZ7" s="6"/>
      <c r="NMB7" s="6"/>
      <c r="NMD7" s="6"/>
      <c r="NMF7" s="6"/>
      <c r="NMH7" s="6"/>
      <c r="NMJ7" s="6"/>
      <c r="NML7" s="6"/>
      <c r="NMN7" s="6"/>
      <c r="NMP7" s="6"/>
      <c r="NMR7" s="6"/>
      <c r="NMT7" s="6"/>
      <c r="NMV7" s="6"/>
      <c r="NMX7" s="6"/>
      <c r="NMZ7" s="6"/>
      <c r="NNB7" s="6"/>
      <c r="NND7" s="6"/>
      <c r="NNF7" s="6"/>
      <c r="NNH7" s="6"/>
      <c r="NNJ7" s="6"/>
      <c r="NNL7" s="6"/>
      <c r="NNN7" s="6"/>
      <c r="NNP7" s="6"/>
      <c r="NNR7" s="6"/>
      <c r="NNT7" s="6"/>
      <c r="NNV7" s="6"/>
      <c r="NNX7" s="6"/>
      <c r="NNZ7" s="6"/>
      <c r="NOB7" s="6"/>
      <c r="NOD7" s="6"/>
      <c r="NOF7" s="6"/>
      <c r="NOH7" s="6"/>
      <c r="NOJ7" s="6"/>
      <c r="NOL7" s="6"/>
      <c r="NON7" s="6"/>
      <c r="NOP7" s="6"/>
      <c r="NOR7" s="6"/>
      <c r="NOT7" s="6"/>
      <c r="NOV7" s="6"/>
      <c r="NOX7" s="6"/>
      <c r="NOZ7" s="6"/>
      <c r="NPB7" s="6"/>
      <c r="NPD7" s="6"/>
      <c r="NPF7" s="6"/>
      <c r="NPH7" s="6"/>
      <c r="NPJ7" s="6"/>
      <c r="NPL7" s="6"/>
      <c r="NPN7" s="6"/>
      <c r="NPP7" s="6"/>
      <c r="NPR7" s="6"/>
      <c r="NPT7" s="6"/>
      <c r="NPV7" s="6"/>
      <c r="NPX7" s="6"/>
      <c r="NPZ7" s="6"/>
      <c r="NQB7" s="6"/>
      <c r="NQD7" s="6"/>
      <c r="NQF7" s="6"/>
      <c r="NQH7" s="6"/>
      <c r="NQJ7" s="6"/>
      <c r="NQL7" s="6"/>
      <c r="NQN7" s="6"/>
      <c r="NQP7" s="6"/>
      <c r="NQR7" s="6"/>
      <c r="NQT7" s="6"/>
      <c r="NQV7" s="6"/>
      <c r="NQX7" s="6"/>
      <c r="NQZ7" s="6"/>
      <c r="NRB7" s="6"/>
      <c r="NRD7" s="6"/>
      <c r="NRF7" s="6"/>
      <c r="NRH7" s="6"/>
      <c r="NRJ7" s="6"/>
      <c r="NRL7" s="6"/>
      <c r="NRN7" s="6"/>
      <c r="NRP7" s="6"/>
      <c r="NRR7" s="6"/>
      <c r="NRT7" s="6"/>
      <c r="NRV7" s="6"/>
      <c r="NRX7" s="6"/>
      <c r="NRZ7" s="6"/>
      <c r="NSB7" s="6"/>
      <c r="NSD7" s="6"/>
      <c r="NSF7" s="6"/>
      <c r="NSH7" s="6"/>
      <c r="NSJ7" s="6"/>
      <c r="NSL7" s="6"/>
      <c r="NSN7" s="6"/>
      <c r="NSP7" s="6"/>
      <c r="NSR7" s="6"/>
      <c r="NST7" s="6"/>
      <c r="NSV7" s="6"/>
      <c r="NSX7" s="6"/>
      <c r="NSZ7" s="6"/>
      <c r="NTB7" s="6"/>
      <c r="NTD7" s="6"/>
      <c r="NTF7" s="6"/>
      <c r="NTH7" s="6"/>
      <c r="NTJ7" s="6"/>
      <c r="NTL7" s="6"/>
      <c r="NTN7" s="6"/>
      <c r="NTP7" s="6"/>
      <c r="NTR7" s="6"/>
      <c r="NTT7" s="6"/>
      <c r="NTV7" s="6"/>
      <c r="NTX7" s="6"/>
      <c r="NTZ7" s="6"/>
      <c r="NUB7" s="6"/>
      <c r="NUD7" s="6"/>
      <c r="NUF7" s="6"/>
      <c r="NUH7" s="6"/>
      <c r="NUJ7" s="6"/>
      <c r="NUL7" s="6"/>
      <c r="NUN7" s="6"/>
      <c r="NUP7" s="6"/>
      <c r="NUR7" s="6"/>
      <c r="NUT7" s="6"/>
      <c r="NUV7" s="6"/>
      <c r="NUX7" s="6"/>
      <c r="NUZ7" s="6"/>
      <c r="NVB7" s="6"/>
      <c r="NVD7" s="6"/>
      <c r="NVF7" s="6"/>
      <c r="NVH7" s="6"/>
      <c r="NVJ7" s="6"/>
      <c r="NVL7" s="6"/>
      <c r="NVN7" s="6"/>
      <c r="NVP7" s="6"/>
      <c r="NVR7" s="6"/>
      <c r="NVT7" s="6"/>
      <c r="NVV7" s="6"/>
      <c r="NVX7" s="6"/>
      <c r="NVZ7" s="6"/>
      <c r="NWB7" s="6"/>
      <c r="NWD7" s="6"/>
      <c r="NWF7" s="6"/>
      <c r="NWH7" s="6"/>
      <c r="NWJ7" s="6"/>
      <c r="NWL7" s="6"/>
      <c r="NWN7" s="6"/>
      <c r="NWP7" s="6"/>
      <c r="NWR7" s="6"/>
      <c r="NWT7" s="6"/>
      <c r="NWV7" s="6"/>
      <c r="NWX7" s="6"/>
      <c r="NWZ7" s="6"/>
      <c r="NXB7" s="6"/>
      <c r="NXD7" s="6"/>
      <c r="NXF7" s="6"/>
      <c r="NXH7" s="6"/>
      <c r="NXJ7" s="6"/>
      <c r="NXL7" s="6"/>
      <c r="NXN7" s="6"/>
      <c r="NXP7" s="6"/>
      <c r="NXR7" s="6"/>
      <c r="NXT7" s="6"/>
      <c r="NXV7" s="6"/>
      <c r="NXX7" s="6"/>
      <c r="NXZ7" s="6"/>
      <c r="NYB7" s="6"/>
      <c r="NYD7" s="6"/>
      <c r="NYF7" s="6"/>
      <c r="NYH7" s="6"/>
      <c r="NYJ7" s="6"/>
      <c r="NYL7" s="6"/>
      <c r="NYN7" s="6"/>
      <c r="NYP7" s="6"/>
      <c r="NYR7" s="6"/>
      <c r="NYT7" s="6"/>
      <c r="NYV7" s="6"/>
      <c r="NYX7" s="6"/>
      <c r="NYZ7" s="6"/>
      <c r="NZB7" s="6"/>
      <c r="NZD7" s="6"/>
      <c r="NZF7" s="6"/>
      <c r="NZH7" s="6"/>
      <c r="NZJ7" s="6"/>
      <c r="NZL7" s="6"/>
      <c r="NZN7" s="6"/>
      <c r="NZP7" s="6"/>
      <c r="NZR7" s="6"/>
      <c r="NZT7" s="6"/>
      <c r="NZV7" s="6"/>
      <c r="NZX7" s="6"/>
      <c r="NZZ7" s="6"/>
      <c r="OAB7" s="6"/>
      <c r="OAD7" s="6"/>
      <c r="OAF7" s="6"/>
      <c r="OAH7" s="6"/>
      <c r="OAJ7" s="6"/>
      <c r="OAL7" s="6"/>
      <c r="OAN7" s="6"/>
      <c r="OAP7" s="6"/>
      <c r="OAR7" s="6"/>
      <c r="OAT7" s="6"/>
      <c r="OAV7" s="6"/>
      <c r="OAX7" s="6"/>
      <c r="OAZ7" s="6"/>
      <c r="OBB7" s="6"/>
      <c r="OBD7" s="6"/>
      <c r="OBF7" s="6"/>
      <c r="OBH7" s="6"/>
      <c r="OBJ7" s="6"/>
      <c r="OBL7" s="6"/>
      <c r="OBN7" s="6"/>
      <c r="OBP7" s="6"/>
      <c r="OBR7" s="6"/>
      <c r="OBT7" s="6"/>
      <c r="OBV7" s="6"/>
      <c r="OBX7" s="6"/>
      <c r="OBZ7" s="6"/>
      <c r="OCB7" s="6"/>
      <c r="OCD7" s="6"/>
      <c r="OCF7" s="6"/>
      <c r="OCH7" s="6"/>
      <c r="OCJ7" s="6"/>
      <c r="OCL7" s="6"/>
      <c r="OCN7" s="6"/>
      <c r="OCP7" s="6"/>
      <c r="OCR7" s="6"/>
      <c r="OCT7" s="6"/>
      <c r="OCV7" s="6"/>
      <c r="OCX7" s="6"/>
      <c r="OCZ7" s="6"/>
      <c r="ODB7" s="6"/>
      <c r="ODD7" s="6"/>
      <c r="ODF7" s="6"/>
      <c r="ODH7" s="6"/>
      <c r="ODJ7" s="6"/>
      <c r="ODL7" s="6"/>
      <c r="ODN7" s="6"/>
      <c r="ODP7" s="6"/>
      <c r="ODR7" s="6"/>
      <c r="ODT7" s="6"/>
      <c r="ODV7" s="6"/>
      <c r="ODX7" s="6"/>
      <c r="ODZ7" s="6"/>
      <c r="OEB7" s="6"/>
      <c r="OED7" s="6"/>
      <c r="OEF7" s="6"/>
      <c r="OEH7" s="6"/>
      <c r="OEJ7" s="6"/>
      <c r="OEL7" s="6"/>
      <c r="OEN7" s="6"/>
      <c r="OEP7" s="6"/>
      <c r="OER7" s="6"/>
      <c r="OET7" s="6"/>
      <c r="OEV7" s="6"/>
      <c r="OEX7" s="6"/>
      <c r="OEZ7" s="6"/>
      <c r="OFB7" s="6"/>
      <c r="OFD7" s="6"/>
      <c r="OFF7" s="6"/>
      <c r="OFH7" s="6"/>
      <c r="OFJ7" s="6"/>
      <c r="OFL7" s="6"/>
      <c r="OFN7" s="6"/>
      <c r="OFP7" s="6"/>
      <c r="OFR7" s="6"/>
      <c r="OFT7" s="6"/>
      <c r="OFV7" s="6"/>
      <c r="OFX7" s="6"/>
      <c r="OFZ7" s="6"/>
      <c r="OGB7" s="6"/>
      <c r="OGD7" s="6"/>
      <c r="OGF7" s="6"/>
      <c r="OGH7" s="6"/>
      <c r="OGJ7" s="6"/>
      <c r="OGL7" s="6"/>
      <c r="OGN7" s="6"/>
      <c r="OGP7" s="6"/>
      <c r="OGR7" s="6"/>
      <c r="OGT7" s="6"/>
      <c r="OGV7" s="6"/>
      <c r="OGX7" s="6"/>
      <c r="OGZ7" s="6"/>
      <c r="OHB7" s="6"/>
      <c r="OHD7" s="6"/>
      <c r="OHF7" s="6"/>
      <c r="OHH7" s="6"/>
      <c r="OHJ7" s="6"/>
      <c r="OHL7" s="6"/>
      <c r="OHN7" s="6"/>
      <c r="OHP7" s="6"/>
      <c r="OHR7" s="6"/>
      <c r="OHT7" s="6"/>
      <c r="OHV7" s="6"/>
      <c r="OHX7" s="6"/>
      <c r="OHZ7" s="6"/>
      <c r="OIB7" s="6"/>
      <c r="OID7" s="6"/>
      <c r="OIF7" s="6"/>
      <c r="OIH7" s="6"/>
      <c r="OIJ7" s="6"/>
      <c r="OIL7" s="6"/>
      <c r="OIN7" s="6"/>
      <c r="OIP7" s="6"/>
      <c r="OIR7" s="6"/>
      <c r="OIT7" s="6"/>
      <c r="OIV7" s="6"/>
      <c r="OIX7" s="6"/>
      <c r="OIZ7" s="6"/>
      <c r="OJB7" s="6"/>
      <c r="OJD7" s="6"/>
      <c r="OJF7" s="6"/>
      <c r="OJH7" s="6"/>
      <c r="OJJ7" s="6"/>
      <c r="OJL7" s="6"/>
      <c r="OJN7" s="6"/>
      <c r="OJP7" s="6"/>
      <c r="OJR7" s="6"/>
      <c r="OJT7" s="6"/>
      <c r="OJV7" s="6"/>
      <c r="OJX7" s="6"/>
      <c r="OJZ7" s="6"/>
      <c r="OKB7" s="6"/>
      <c r="OKD7" s="6"/>
      <c r="OKF7" s="6"/>
      <c r="OKH7" s="6"/>
      <c r="OKJ7" s="6"/>
      <c r="OKL7" s="6"/>
      <c r="OKN7" s="6"/>
      <c r="OKP7" s="6"/>
      <c r="OKR7" s="6"/>
      <c r="OKT7" s="6"/>
      <c r="OKV7" s="6"/>
      <c r="OKX7" s="6"/>
      <c r="OKZ7" s="6"/>
      <c r="OLB7" s="6"/>
      <c r="OLD7" s="6"/>
      <c r="OLF7" s="6"/>
      <c r="OLH7" s="6"/>
      <c r="OLJ7" s="6"/>
      <c r="OLL7" s="6"/>
      <c r="OLN7" s="6"/>
      <c r="OLP7" s="6"/>
      <c r="OLR7" s="6"/>
      <c r="OLT7" s="6"/>
      <c r="OLV7" s="6"/>
      <c r="OLX7" s="6"/>
      <c r="OLZ7" s="6"/>
      <c r="OMB7" s="6"/>
      <c r="OMD7" s="6"/>
      <c r="OMF7" s="6"/>
      <c r="OMH7" s="6"/>
      <c r="OMJ7" s="6"/>
      <c r="OML7" s="6"/>
      <c r="OMN7" s="6"/>
      <c r="OMP7" s="6"/>
      <c r="OMR7" s="6"/>
      <c r="OMT7" s="6"/>
      <c r="OMV7" s="6"/>
      <c r="OMX7" s="6"/>
      <c r="OMZ7" s="6"/>
      <c r="ONB7" s="6"/>
      <c r="OND7" s="6"/>
      <c r="ONF7" s="6"/>
      <c r="ONH7" s="6"/>
      <c r="ONJ7" s="6"/>
      <c r="ONL7" s="6"/>
      <c r="ONN7" s="6"/>
      <c r="ONP7" s="6"/>
      <c r="ONR7" s="6"/>
      <c r="ONT7" s="6"/>
      <c r="ONV7" s="6"/>
      <c r="ONX7" s="6"/>
      <c r="ONZ7" s="6"/>
      <c r="OOB7" s="6"/>
      <c r="OOD7" s="6"/>
      <c r="OOF7" s="6"/>
      <c r="OOH7" s="6"/>
      <c r="OOJ7" s="6"/>
      <c r="OOL7" s="6"/>
      <c r="OON7" s="6"/>
      <c r="OOP7" s="6"/>
      <c r="OOR7" s="6"/>
      <c r="OOT7" s="6"/>
      <c r="OOV7" s="6"/>
      <c r="OOX7" s="6"/>
      <c r="OOZ7" s="6"/>
      <c r="OPB7" s="6"/>
      <c r="OPD7" s="6"/>
      <c r="OPF7" s="6"/>
      <c r="OPH7" s="6"/>
      <c r="OPJ7" s="6"/>
      <c r="OPL7" s="6"/>
      <c r="OPN7" s="6"/>
      <c r="OPP7" s="6"/>
      <c r="OPR7" s="6"/>
      <c r="OPT7" s="6"/>
      <c r="OPV7" s="6"/>
      <c r="OPX7" s="6"/>
      <c r="OPZ7" s="6"/>
      <c r="OQB7" s="6"/>
      <c r="OQD7" s="6"/>
      <c r="OQF7" s="6"/>
      <c r="OQH7" s="6"/>
      <c r="OQJ7" s="6"/>
      <c r="OQL7" s="6"/>
      <c r="OQN7" s="6"/>
      <c r="OQP7" s="6"/>
      <c r="OQR7" s="6"/>
      <c r="OQT7" s="6"/>
      <c r="OQV7" s="6"/>
      <c r="OQX7" s="6"/>
      <c r="OQZ7" s="6"/>
      <c r="ORB7" s="6"/>
      <c r="ORD7" s="6"/>
      <c r="ORF7" s="6"/>
      <c r="ORH7" s="6"/>
      <c r="ORJ7" s="6"/>
      <c r="ORL7" s="6"/>
      <c r="ORN7" s="6"/>
      <c r="ORP7" s="6"/>
      <c r="ORR7" s="6"/>
      <c r="ORT7" s="6"/>
      <c r="ORV7" s="6"/>
      <c r="ORX7" s="6"/>
      <c r="ORZ7" s="6"/>
      <c r="OSB7" s="6"/>
      <c r="OSD7" s="6"/>
      <c r="OSF7" s="6"/>
      <c r="OSH7" s="6"/>
      <c r="OSJ7" s="6"/>
      <c r="OSL7" s="6"/>
      <c r="OSN7" s="6"/>
      <c r="OSP7" s="6"/>
      <c r="OSR7" s="6"/>
      <c r="OST7" s="6"/>
      <c r="OSV7" s="6"/>
      <c r="OSX7" s="6"/>
      <c r="OSZ7" s="6"/>
      <c r="OTB7" s="6"/>
      <c r="OTD7" s="6"/>
      <c r="OTF7" s="6"/>
      <c r="OTH7" s="6"/>
      <c r="OTJ7" s="6"/>
      <c r="OTL7" s="6"/>
      <c r="OTN7" s="6"/>
      <c r="OTP7" s="6"/>
      <c r="OTR7" s="6"/>
      <c r="OTT7" s="6"/>
      <c r="OTV7" s="6"/>
      <c r="OTX7" s="6"/>
      <c r="OTZ7" s="6"/>
      <c r="OUB7" s="6"/>
      <c r="OUD7" s="6"/>
      <c r="OUF7" s="6"/>
      <c r="OUH7" s="6"/>
      <c r="OUJ7" s="6"/>
      <c r="OUL7" s="6"/>
      <c r="OUN7" s="6"/>
      <c r="OUP7" s="6"/>
      <c r="OUR7" s="6"/>
      <c r="OUT7" s="6"/>
      <c r="OUV7" s="6"/>
      <c r="OUX7" s="6"/>
      <c r="OUZ7" s="6"/>
      <c r="OVB7" s="6"/>
      <c r="OVD7" s="6"/>
      <c r="OVF7" s="6"/>
      <c r="OVH7" s="6"/>
      <c r="OVJ7" s="6"/>
      <c r="OVL7" s="6"/>
      <c r="OVN7" s="6"/>
      <c r="OVP7" s="6"/>
      <c r="OVR7" s="6"/>
      <c r="OVT7" s="6"/>
      <c r="OVV7" s="6"/>
      <c r="OVX7" s="6"/>
      <c r="OVZ7" s="6"/>
      <c r="OWB7" s="6"/>
      <c r="OWD7" s="6"/>
      <c r="OWF7" s="6"/>
      <c r="OWH7" s="6"/>
      <c r="OWJ7" s="6"/>
      <c r="OWL7" s="6"/>
      <c r="OWN7" s="6"/>
      <c r="OWP7" s="6"/>
      <c r="OWR7" s="6"/>
      <c r="OWT7" s="6"/>
      <c r="OWV7" s="6"/>
      <c r="OWX7" s="6"/>
      <c r="OWZ7" s="6"/>
      <c r="OXB7" s="6"/>
      <c r="OXD7" s="6"/>
      <c r="OXF7" s="6"/>
      <c r="OXH7" s="6"/>
      <c r="OXJ7" s="6"/>
      <c r="OXL7" s="6"/>
      <c r="OXN7" s="6"/>
      <c r="OXP7" s="6"/>
      <c r="OXR7" s="6"/>
      <c r="OXT7" s="6"/>
      <c r="OXV7" s="6"/>
      <c r="OXX7" s="6"/>
      <c r="OXZ7" s="6"/>
      <c r="OYB7" s="6"/>
      <c r="OYD7" s="6"/>
      <c r="OYF7" s="6"/>
      <c r="OYH7" s="6"/>
      <c r="OYJ7" s="6"/>
      <c r="OYL7" s="6"/>
      <c r="OYN7" s="6"/>
      <c r="OYP7" s="6"/>
      <c r="OYR7" s="6"/>
      <c r="OYT7" s="6"/>
      <c r="OYV7" s="6"/>
      <c r="OYX7" s="6"/>
      <c r="OYZ7" s="6"/>
      <c r="OZB7" s="6"/>
      <c r="OZD7" s="6"/>
      <c r="OZF7" s="6"/>
      <c r="OZH7" s="6"/>
      <c r="OZJ7" s="6"/>
      <c r="OZL7" s="6"/>
      <c r="OZN7" s="6"/>
      <c r="OZP7" s="6"/>
      <c r="OZR7" s="6"/>
      <c r="OZT7" s="6"/>
      <c r="OZV7" s="6"/>
      <c r="OZX7" s="6"/>
      <c r="OZZ7" s="6"/>
      <c r="PAB7" s="6"/>
      <c r="PAD7" s="6"/>
      <c r="PAF7" s="6"/>
      <c r="PAH7" s="6"/>
      <c r="PAJ7" s="6"/>
      <c r="PAL7" s="6"/>
      <c r="PAN7" s="6"/>
      <c r="PAP7" s="6"/>
      <c r="PAR7" s="6"/>
      <c r="PAT7" s="6"/>
      <c r="PAV7" s="6"/>
      <c r="PAX7" s="6"/>
      <c r="PAZ7" s="6"/>
      <c r="PBB7" s="6"/>
      <c r="PBD7" s="6"/>
      <c r="PBF7" s="6"/>
      <c r="PBH7" s="6"/>
      <c r="PBJ7" s="6"/>
      <c r="PBL7" s="6"/>
      <c r="PBN7" s="6"/>
      <c r="PBP7" s="6"/>
      <c r="PBR7" s="6"/>
      <c r="PBT7" s="6"/>
      <c r="PBV7" s="6"/>
      <c r="PBX7" s="6"/>
      <c r="PBZ7" s="6"/>
      <c r="PCB7" s="6"/>
      <c r="PCD7" s="6"/>
      <c r="PCF7" s="6"/>
      <c r="PCH7" s="6"/>
      <c r="PCJ7" s="6"/>
      <c r="PCL7" s="6"/>
      <c r="PCN7" s="6"/>
      <c r="PCP7" s="6"/>
      <c r="PCR7" s="6"/>
      <c r="PCT7" s="6"/>
      <c r="PCV7" s="6"/>
      <c r="PCX7" s="6"/>
      <c r="PCZ7" s="6"/>
      <c r="PDB7" s="6"/>
      <c r="PDD7" s="6"/>
      <c r="PDF7" s="6"/>
      <c r="PDH7" s="6"/>
      <c r="PDJ7" s="6"/>
      <c r="PDL7" s="6"/>
      <c r="PDN7" s="6"/>
      <c r="PDP7" s="6"/>
      <c r="PDR7" s="6"/>
      <c r="PDT7" s="6"/>
      <c r="PDV7" s="6"/>
      <c r="PDX7" s="6"/>
      <c r="PDZ7" s="6"/>
      <c r="PEB7" s="6"/>
      <c r="PED7" s="6"/>
      <c r="PEF7" s="6"/>
      <c r="PEH7" s="6"/>
      <c r="PEJ7" s="6"/>
      <c r="PEL7" s="6"/>
      <c r="PEN7" s="6"/>
      <c r="PEP7" s="6"/>
      <c r="PER7" s="6"/>
      <c r="PET7" s="6"/>
      <c r="PEV7" s="6"/>
      <c r="PEX7" s="6"/>
      <c r="PEZ7" s="6"/>
      <c r="PFB7" s="6"/>
      <c r="PFD7" s="6"/>
      <c r="PFF7" s="6"/>
      <c r="PFH7" s="6"/>
      <c r="PFJ7" s="6"/>
      <c r="PFL7" s="6"/>
      <c r="PFN7" s="6"/>
      <c r="PFP7" s="6"/>
      <c r="PFR7" s="6"/>
      <c r="PFT7" s="6"/>
      <c r="PFV7" s="6"/>
      <c r="PFX7" s="6"/>
      <c r="PFZ7" s="6"/>
      <c r="PGB7" s="6"/>
      <c r="PGD7" s="6"/>
      <c r="PGF7" s="6"/>
      <c r="PGH7" s="6"/>
      <c r="PGJ7" s="6"/>
      <c r="PGL7" s="6"/>
      <c r="PGN7" s="6"/>
      <c r="PGP7" s="6"/>
      <c r="PGR7" s="6"/>
      <c r="PGT7" s="6"/>
      <c r="PGV7" s="6"/>
      <c r="PGX7" s="6"/>
      <c r="PGZ7" s="6"/>
      <c r="PHB7" s="6"/>
      <c r="PHD7" s="6"/>
      <c r="PHF7" s="6"/>
      <c r="PHH7" s="6"/>
      <c r="PHJ7" s="6"/>
      <c r="PHL7" s="6"/>
      <c r="PHN7" s="6"/>
      <c r="PHP7" s="6"/>
      <c r="PHR7" s="6"/>
      <c r="PHT7" s="6"/>
      <c r="PHV7" s="6"/>
      <c r="PHX7" s="6"/>
      <c r="PHZ7" s="6"/>
      <c r="PIB7" s="6"/>
      <c r="PID7" s="6"/>
      <c r="PIF7" s="6"/>
      <c r="PIH7" s="6"/>
      <c r="PIJ7" s="6"/>
      <c r="PIL7" s="6"/>
      <c r="PIN7" s="6"/>
      <c r="PIP7" s="6"/>
      <c r="PIR7" s="6"/>
      <c r="PIT7" s="6"/>
      <c r="PIV7" s="6"/>
      <c r="PIX7" s="6"/>
      <c r="PIZ7" s="6"/>
      <c r="PJB7" s="6"/>
      <c r="PJD7" s="6"/>
      <c r="PJF7" s="6"/>
      <c r="PJH7" s="6"/>
      <c r="PJJ7" s="6"/>
      <c r="PJL7" s="6"/>
      <c r="PJN7" s="6"/>
      <c r="PJP7" s="6"/>
      <c r="PJR7" s="6"/>
      <c r="PJT7" s="6"/>
      <c r="PJV7" s="6"/>
      <c r="PJX7" s="6"/>
      <c r="PJZ7" s="6"/>
      <c r="PKB7" s="6"/>
      <c r="PKD7" s="6"/>
      <c r="PKF7" s="6"/>
      <c r="PKH7" s="6"/>
      <c r="PKJ7" s="6"/>
      <c r="PKL7" s="6"/>
      <c r="PKN7" s="6"/>
      <c r="PKP7" s="6"/>
      <c r="PKR7" s="6"/>
      <c r="PKT7" s="6"/>
      <c r="PKV7" s="6"/>
      <c r="PKX7" s="6"/>
      <c r="PKZ7" s="6"/>
      <c r="PLB7" s="6"/>
      <c r="PLD7" s="6"/>
      <c r="PLF7" s="6"/>
      <c r="PLH7" s="6"/>
      <c r="PLJ7" s="6"/>
      <c r="PLL7" s="6"/>
      <c r="PLN7" s="6"/>
      <c r="PLP7" s="6"/>
      <c r="PLR7" s="6"/>
      <c r="PLT7" s="6"/>
      <c r="PLV7" s="6"/>
      <c r="PLX7" s="6"/>
      <c r="PLZ7" s="6"/>
      <c r="PMB7" s="6"/>
      <c r="PMD7" s="6"/>
      <c r="PMF7" s="6"/>
      <c r="PMH7" s="6"/>
      <c r="PMJ7" s="6"/>
      <c r="PML7" s="6"/>
      <c r="PMN7" s="6"/>
      <c r="PMP7" s="6"/>
      <c r="PMR7" s="6"/>
      <c r="PMT7" s="6"/>
      <c r="PMV7" s="6"/>
      <c r="PMX7" s="6"/>
      <c r="PMZ7" s="6"/>
      <c r="PNB7" s="6"/>
      <c r="PND7" s="6"/>
      <c r="PNF7" s="6"/>
      <c r="PNH7" s="6"/>
      <c r="PNJ7" s="6"/>
      <c r="PNL7" s="6"/>
      <c r="PNN7" s="6"/>
      <c r="PNP7" s="6"/>
      <c r="PNR7" s="6"/>
      <c r="PNT7" s="6"/>
      <c r="PNV7" s="6"/>
      <c r="PNX7" s="6"/>
      <c r="PNZ7" s="6"/>
      <c r="POB7" s="6"/>
      <c r="POD7" s="6"/>
      <c r="POF7" s="6"/>
      <c r="POH7" s="6"/>
      <c r="POJ7" s="6"/>
      <c r="POL7" s="6"/>
      <c r="PON7" s="6"/>
      <c r="POP7" s="6"/>
      <c r="POR7" s="6"/>
      <c r="POT7" s="6"/>
      <c r="POV7" s="6"/>
      <c r="POX7" s="6"/>
      <c r="POZ7" s="6"/>
      <c r="PPB7" s="6"/>
      <c r="PPD7" s="6"/>
      <c r="PPF7" s="6"/>
      <c r="PPH7" s="6"/>
      <c r="PPJ7" s="6"/>
      <c r="PPL7" s="6"/>
      <c r="PPN7" s="6"/>
      <c r="PPP7" s="6"/>
      <c r="PPR7" s="6"/>
      <c r="PPT7" s="6"/>
      <c r="PPV7" s="6"/>
      <c r="PPX7" s="6"/>
      <c r="PPZ7" s="6"/>
      <c r="PQB7" s="6"/>
      <c r="PQD7" s="6"/>
      <c r="PQF7" s="6"/>
      <c r="PQH7" s="6"/>
      <c r="PQJ7" s="6"/>
      <c r="PQL7" s="6"/>
      <c r="PQN7" s="6"/>
      <c r="PQP7" s="6"/>
      <c r="PQR7" s="6"/>
      <c r="PQT7" s="6"/>
      <c r="PQV7" s="6"/>
      <c r="PQX7" s="6"/>
      <c r="PQZ7" s="6"/>
      <c r="PRB7" s="6"/>
      <c r="PRD7" s="6"/>
      <c r="PRF7" s="6"/>
      <c r="PRH7" s="6"/>
      <c r="PRJ7" s="6"/>
      <c r="PRL7" s="6"/>
      <c r="PRN7" s="6"/>
      <c r="PRP7" s="6"/>
      <c r="PRR7" s="6"/>
      <c r="PRT7" s="6"/>
      <c r="PRV7" s="6"/>
      <c r="PRX7" s="6"/>
      <c r="PRZ7" s="6"/>
      <c r="PSB7" s="6"/>
      <c r="PSD7" s="6"/>
      <c r="PSF7" s="6"/>
      <c r="PSH7" s="6"/>
      <c r="PSJ7" s="6"/>
      <c r="PSL7" s="6"/>
      <c r="PSN7" s="6"/>
      <c r="PSP7" s="6"/>
      <c r="PSR7" s="6"/>
      <c r="PST7" s="6"/>
      <c r="PSV7" s="6"/>
      <c r="PSX7" s="6"/>
      <c r="PSZ7" s="6"/>
      <c r="PTB7" s="6"/>
      <c r="PTD7" s="6"/>
      <c r="PTF7" s="6"/>
      <c r="PTH7" s="6"/>
      <c r="PTJ7" s="6"/>
      <c r="PTL7" s="6"/>
      <c r="PTN7" s="6"/>
      <c r="PTP7" s="6"/>
      <c r="PTR7" s="6"/>
      <c r="PTT7" s="6"/>
      <c r="PTV7" s="6"/>
      <c r="PTX7" s="6"/>
      <c r="PTZ7" s="6"/>
      <c r="PUB7" s="6"/>
      <c r="PUD7" s="6"/>
      <c r="PUF7" s="6"/>
      <c r="PUH7" s="6"/>
      <c r="PUJ7" s="6"/>
      <c r="PUL7" s="6"/>
      <c r="PUN7" s="6"/>
      <c r="PUP7" s="6"/>
      <c r="PUR7" s="6"/>
      <c r="PUT7" s="6"/>
      <c r="PUV7" s="6"/>
      <c r="PUX7" s="6"/>
      <c r="PUZ7" s="6"/>
      <c r="PVB7" s="6"/>
      <c r="PVD7" s="6"/>
      <c r="PVF7" s="6"/>
      <c r="PVH7" s="6"/>
      <c r="PVJ7" s="6"/>
      <c r="PVL7" s="6"/>
      <c r="PVN7" s="6"/>
      <c r="PVP7" s="6"/>
      <c r="PVR7" s="6"/>
      <c r="PVT7" s="6"/>
      <c r="PVV7" s="6"/>
      <c r="PVX7" s="6"/>
      <c r="PVZ7" s="6"/>
      <c r="PWB7" s="6"/>
      <c r="PWD7" s="6"/>
      <c r="PWF7" s="6"/>
      <c r="PWH7" s="6"/>
      <c r="PWJ7" s="6"/>
      <c r="PWL7" s="6"/>
      <c r="PWN7" s="6"/>
      <c r="PWP7" s="6"/>
      <c r="PWR7" s="6"/>
      <c r="PWT7" s="6"/>
      <c r="PWV7" s="6"/>
      <c r="PWX7" s="6"/>
      <c r="PWZ7" s="6"/>
      <c r="PXB7" s="6"/>
      <c r="PXD7" s="6"/>
      <c r="PXF7" s="6"/>
      <c r="PXH7" s="6"/>
      <c r="PXJ7" s="6"/>
      <c r="PXL7" s="6"/>
      <c r="PXN7" s="6"/>
      <c r="PXP7" s="6"/>
      <c r="PXR7" s="6"/>
      <c r="PXT7" s="6"/>
      <c r="PXV7" s="6"/>
      <c r="PXX7" s="6"/>
      <c r="PXZ7" s="6"/>
      <c r="PYB7" s="6"/>
      <c r="PYD7" s="6"/>
      <c r="PYF7" s="6"/>
      <c r="PYH7" s="6"/>
      <c r="PYJ7" s="6"/>
      <c r="PYL7" s="6"/>
      <c r="PYN7" s="6"/>
      <c r="PYP7" s="6"/>
      <c r="PYR7" s="6"/>
      <c r="PYT7" s="6"/>
      <c r="PYV7" s="6"/>
      <c r="PYX7" s="6"/>
      <c r="PYZ7" s="6"/>
      <c r="PZB7" s="6"/>
      <c r="PZD7" s="6"/>
      <c r="PZF7" s="6"/>
      <c r="PZH7" s="6"/>
      <c r="PZJ7" s="6"/>
      <c r="PZL7" s="6"/>
      <c r="PZN7" s="6"/>
      <c r="PZP7" s="6"/>
      <c r="PZR7" s="6"/>
      <c r="PZT7" s="6"/>
      <c r="PZV7" s="6"/>
      <c r="PZX7" s="6"/>
      <c r="PZZ7" s="6"/>
      <c r="QAB7" s="6"/>
      <c r="QAD7" s="6"/>
      <c r="QAF7" s="6"/>
      <c r="QAH7" s="6"/>
      <c r="QAJ7" s="6"/>
      <c r="QAL7" s="6"/>
      <c r="QAN7" s="6"/>
      <c r="QAP7" s="6"/>
      <c r="QAR7" s="6"/>
      <c r="QAT7" s="6"/>
      <c r="QAV7" s="6"/>
      <c r="QAX7" s="6"/>
      <c r="QAZ7" s="6"/>
      <c r="QBB7" s="6"/>
      <c r="QBD7" s="6"/>
      <c r="QBF7" s="6"/>
      <c r="QBH7" s="6"/>
      <c r="QBJ7" s="6"/>
      <c r="QBL7" s="6"/>
      <c r="QBN7" s="6"/>
      <c r="QBP7" s="6"/>
      <c r="QBR7" s="6"/>
      <c r="QBT7" s="6"/>
      <c r="QBV7" s="6"/>
      <c r="QBX7" s="6"/>
      <c r="QBZ7" s="6"/>
      <c r="QCB7" s="6"/>
      <c r="QCD7" s="6"/>
      <c r="QCF7" s="6"/>
      <c r="QCH7" s="6"/>
      <c r="QCJ7" s="6"/>
      <c r="QCL7" s="6"/>
      <c r="QCN7" s="6"/>
      <c r="QCP7" s="6"/>
      <c r="QCR7" s="6"/>
      <c r="QCT7" s="6"/>
      <c r="QCV7" s="6"/>
      <c r="QCX7" s="6"/>
      <c r="QCZ7" s="6"/>
      <c r="QDB7" s="6"/>
      <c r="QDD7" s="6"/>
      <c r="QDF7" s="6"/>
      <c r="QDH7" s="6"/>
      <c r="QDJ7" s="6"/>
      <c r="QDL7" s="6"/>
      <c r="QDN7" s="6"/>
      <c r="QDP7" s="6"/>
      <c r="QDR7" s="6"/>
      <c r="QDT7" s="6"/>
      <c r="QDV7" s="6"/>
      <c r="QDX7" s="6"/>
      <c r="QDZ7" s="6"/>
      <c r="QEB7" s="6"/>
      <c r="QED7" s="6"/>
      <c r="QEF7" s="6"/>
      <c r="QEH7" s="6"/>
      <c r="QEJ7" s="6"/>
      <c r="QEL7" s="6"/>
      <c r="QEN7" s="6"/>
      <c r="QEP7" s="6"/>
      <c r="QER7" s="6"/>
      <c r="QET7" s="6"/>
      <c r="QEV7" s="6"/>
      <c r="QEX7" s="6"/>
      <c r="QEZ7" s="6"/>
      <c r="QFB7" s="6"/>
      <c r="QFD7" s="6"/>
      <c r="QFF7" s="6"/>
      <c r="QFH7" s="6"/>
      <c r="QFJ7" s="6"/>
      <c r="QFL7" s="6"/>
      <c r="QFN7" s="6"/>
      <c r="QFP7" s="6"/>
      <c r="QFR7" s="6"/>
      <c r="QFT7" s="6"/>
      <c r="QFV7" s="6"/>
      <c r="QFX7" s="6"/>
      <c r="QFZ7" s="6"/>
      <c r="QGB7" s="6"/>
      <c r="QGD7" s="6"/>
      <c r="QGF7" s="6"/>
      <c r="QGH7" s="6"/>
      <c r="QGJ7" s="6"/>
      <c r="QGL7" s="6"/>
      <c r="QGN7" s="6"/>
      <c r="QGP7" s="6"/>
      <c r="QGR7" s="6"/>
      <c r="QGT7" s="6"/>
      <c r="QGV7" s="6"/>
      <c r="QGX7" s="6"/>
      <c r="QGZ7" s="6"/>
      <c r="QHB7" s="6"/>
      <c r="QHD7" s="6"/>
      <c r="QHF7" s="6"/>
      <c r="QHH7" s="6"/>
      <c r="QHJ7" s="6"/>
      <c r="QHL7" s="6"/>
      <c r="QHN7" s="6"/>
      <c r="QHP7" s="6"/>
      <c r="QHR7" s="6"/>
      <c r="QHT7" s="6"/>
      <c r="QHV7" s="6"/>
      <c r="QHX7" s="6"/>
      <c r="QHZ7" s="6"/>
      <c r="QIB7" s="6"/>
      <c r="QID7" s="6"/>
      <c r="QIF7" s="6"/>
      <c r="QIH7" s="6"/>
      <c r="QIJ7" s="6"/>
      <c r="QIL7" s="6"/>
      <c r="QIN7" s="6"/>
      <c r="QIP7" s="6"/>
      <c r="QIR7" s="6"/>
      <c r="QIT7" s="6"/>
      <c r="QIV7" s="6"/>
      <c r="QIX7" s="6"/>
      <c r="QIZ7" s="6"/>
      <c r="QJB7" s="6"/>
      <c r="QJD7" s="6"/>
      <c r="QJF7" s="6"/>
      <c r="QJH7" s="6"/>
      <c r="QJJ7" s="6"/>
      <c r="QJL7" s="6"/>
      <c r="QJN7" s="6"/>
      <c r="QJP7" s="6"/>
      <c r="QJR7" s="6"/>
      <c r="QJT7" s="6"/>
      <c r="QJV7" s="6"/>
      <c r="QJX7" s="6"/>
      <c r="QJZ7" s="6"/>
      <c r="QKB7" s="6"/>
      <c r="QKD7" s="6"/>
      <c r="QKF7" s="6"/>
      <c r="QKH7" s="6"/>
      <c r="QKJ7" s="6"/>
      <c r="QKL7" s="6"/>
      <c r="QKN7" s="6"/>
      <c r="QKP7" s="6"/>
      <c r="QKR7" s="6"/>
      <c r="QKT7" s="6"/>
      <c r="QKV7" s="6"/>
      <c r="QKX7" s="6"/>
      <c r="QKZ7" s="6"/>
      <c r="QLB7" s="6"/>
      <c r="QLD7" s="6"/>
      <c r="QLF7" s="6"/>
      <c r="QLH7" s="6"/>
      <c r="QLJ7" s="6"/>
      <c r="QLL7" s="6"/>
      <c r="QLN7" s="6"/>
      <c r="QLP7" s="6"/>
      <c r="QLR7" s="6"/>
      <c r="QLT7" s="6"/>
      <c r="QLV7" s="6"/>
      <c r="QLX7" s="6"/>
      <c r="QLZ7" s="6"/>
      <c r="QMB7" s="6"/>
      <c r="QMD7" s="6"/>
      <c r="QMF7" s="6"/>
      <c r="QMH7" s="6"/>
      <c r="QMJ7" s="6"/>
      <c r="QML7" s="6"/>
      <c r="QMN7" s="6"/>
      <c r="QMP7" s="6"/>
      <c r="QMR7" s="6"/>
      <c r="QMT7" s="6"/>
      <c r="QMV7" s="6"/>
      <c r="QMX7" s="6"/>
      <c r="QMZ7" s="6"/>
      <c r="QNB7" s="6"/>
      <c r="QND7" s="6"/>
      <c r="QNF7" s="6"/>
      <c r="QNH7" s="6"/>
      <c r="QNJ7" s="6"/>
      <c r="QNL7" s="6"/>
      <c r="QNN7" s="6"/>
      <c r="QNP7" s="6"/>
      <c r="QNR7" s="6"/>
      <c r="QNT7" s="6"/>
      <c r="QNV7" s="6"/>
      <c r="QNX7" s="6"/>
      <c r="QNZ7" s="6"/>
      <c r="QOB7" s="6"/>
      <c r="QOD7" s="6"/>
      <c r="QOF7" s="6"/>
      <c r="QOH7" s="6"/>
      <c r="QOJ7" s="6"/>
      <c r="QOL7" s="6"/>
      <c r="QON7" s="6"/>
      <c r="QOP7" s="6"/>
      <c r="QOR7" s="6"/>
      <c r="QOT7" s="6"/>
      <c r="QOV7" s="6"/>
      <c r="QOX7" s="6"/>
      <c r="QOZ7" s="6"/>
      <c r="QPB7" s="6"/>
      <c r="QPD7" s="6"/>
      <c r="QPF7" s="6"/>
      <c r="QPH7" s="6"/>
      <c r="QPJ7" s="6"/>
      <c r="QPL7" s="6"/>
      <c r="QPN7" s="6"/>
      <c r="QPP7" s="6"/>
      <c r="QPR7" s="6"/>
      <c r="QPT7" s="6"/>
      <c r="QPV7" s="6"/>
      <c r="QPX7" s="6"/>
      <c r="QPZ7" s="6"/>
      <c r="QQB7" s="6"/>
      <c r="QQD7" s="6"/>
      <c r="QQF7" s="6"/>
      <c r="QQH7" s="6"/>
      <c r="QQJ7" s="6"/>
      <c r="QQL7" s="6"/>
      <c r="QQN7" s="6"/>
      <c r="QQP7" s="6"/>
      <c r="QQR7" s="6"/>
      <c r="QQT7" s="6"/>
      <c r="QQV7" s="6"/>
      <c r="QQX7" s="6"/>
      <c r="QQZ7" s="6"/>
      <c r="QRB7" s="6"/>
      <c r="QRD7" s="6"/>
      <c r="QRF7" s="6"/>
      <c r="QRH7" s="6"/>
      <c r="QRJ7" s="6"/>
      <c r="QRL7" s="6"/>
      <c r="QRN7" s="6"/>
      <c r="QRP7" s="6"/>
      <c r="QRR7" s="6"/>
      <c r="QRT7" s="6"/>
      <c r="QRV7" s="6"/>
      <c r="QRX7" s="6"/>
      <c r="QRZ7" s="6"/>
      <c r="QSB7" s="6"/>
      <c r="QSD7" s="6"/>
      <c r="QSF7" s="6"/>
      <c r="QSH7" s="6"/>
      <c r="QSJ7" s="6"/>
      <c r="QSL7" s="6"/>
      <c r="QSN7" s="6"/>
      <c r="QSP7" s="6"/>
      <c r="QSR7" s="6"/>
      <c r="QST7" s="6"/>
      <c r="QSV7" s="6"/>
      <c r="QSX7" s="6"/>
      <c r="QSZ7" s="6"/>
      <c r="QTB7" s="6"/>
      <c r="QTD7" s="6"/>
      <c r="QTF7" s="6"/>
      <c r="QTH7" s="6"/>
      <c r="QTJ7" s="6"/>
      <c r="QTL7" s="6"/>
      <c r="QTN7" s="6"/>
      <c r="QTP7" s="6"/>
      <c r="QTR7" s="6"/>
      <c r="QTT7" s="6"/>
      <c r="QTV7" s="6"/>
      <c r="QTX7" s="6"/>
      <c r="QTZ7" s="6"/>
      <c r="QUB7" s="6"/>
      <c r="QUD7" s="6"/>
      <c r="QUF7" s="6"/>
      <c r="QUH7" s="6"/>
      <c r="QUJ7" s="6"/>
      <c r="QUL7" s="6"/>
      <c r="QUN7" s="6"/>
      <c r="QUP7" s="6"/>
      <c r="QUR7" s="6"/>
      <c r="QUT7" s="6"/>
      <c r="QUV7" s="6"/>
      <c r="QUX7" s="6"/>
      <c r="QUZ7" s="6"/>
      <c r="QVB7" s="6"/>
      <c r="QVD7" s="6"/>
      <c r="QVF7" s="6"/>
      <c r="QVH7" s="6"/>
      <c r="QVJ7" s="6"/>
      <c r="QVL7" s="6"/>
      <c r="QVN7" s="6"/>
      <c r="QVP7" s="6"/>
      <c r="QVR7" s="6"/>
      <c r="QVT7" s="6"/>
      <c r="QVV7" s="6"/>
      <c r="QVX7" s="6"/>
      <c r="QVZ7" s="6"/>
      <c r="QWB7" s="6"/>
      <c r="QWD7" s="6"/>
      <c r="QWF7" s="6"/>
      <c r="QWH7" s="6"/>
      <c r="QWJ7" s="6"/>
      <c r="QWL7" s="6"/>
      <c r="QWN7" s="6"/>
      <c r="QWP7" s="6"/>
      <c r="QWR7" s="6"/>
      <c r="QWT7" s="6"/>
      <c r="QWV7" s="6"/>
      <c r="QWX7" s="6"/>
      <c r="QWZ7" s="6"/>
      <c r="QXB7" s="6"/>
      <c r="QXD7" s="6"/>
      <c r="QXF7" s="6"/>
      <c r="QXH7" s="6"/>
      <c r="QXJ7" s="6"/>
      <c r="QXL7" s="6"/>
      <c r="QXN7" s="6"/>
      <c r="QXP7" s="6"/>
      <c r="QXR7" s="6"/>
      <c r="QXT7" s="6"/>
      <c r="QXV7" s="6"/>
      <c r="QXX7" s="6"/>
      <c r="QXZ7" s="6"/>
      <c r="QYB7" s="6"/>
      <c r="QYD7" s="6"/>
      <c r="QYF7" s="6"/>
      <c r="QYH7" s="6"/>
      <c r="QYJ7" s="6"/>
      <c r="QYL7" s="6"/>
      <c r="QYN7" s="6"/>
      <c r="QYP7" s="6"/>
      <c r="QYR7" s="6"/>
      <c r="QYT7" s="6"/>
      <c r="QYV7" s="6"/>
      <c r="QYX7" s="6"/>
      <c r="QYZ7" s="6"/>
      <c r="QZB7" s="6"/>
      <c r="QZD7" s="6"/>
      <c r="QZF7" s="6"/>
      <c r="QZH7" s="6"/>
      <c r="QZJ7" s="6"/>
      <c r="QZL7" s="6"/>
      <c r="QZN7" s="6"/>
      <c r="QZP7" s="6"/>
      <c r="QZR7" s="6"/>
      <c r="QZT7" s="6"/>
      <c r="QZV7" s="6"/>
      <c r="QZX7" s="6"/>
      <c r="QZZ7" s="6"/>
      <c r="RAB7" s="6"/>
      <c r="RAD7" s="6"/>
      <c r="RAF7" s="6"/>
      <c r="RAH7" s="6"/>
      <c r="RAJ7" s="6"/>
      <c r="RAL7" s="6"/>
      <c r="RAN7" s="6"/>
      <c r="RAP7" s="6"/>
      <c r="RAR7" s="6"/>
      <c r="RAT7" s="6"/>
      <c r="RAV7" s="6"/>
      <c r="RAX7" s="6"/>
      <c r="RAZ7" s="6"/>
      <c r="RBB7" s="6"/>
      <c r="RBD7" s="6"/>
      <c r="RBF7" s="6"/>
      <c r="RBH7" s="6"/>
      <c r="RBJ7" s="6"/>
      <c r="RBL7" s="6"/>
      <c r="RBN7" s="6"/>
      <c r="RBP7" s="6"/>
      <c r="RBR7" s="6"/>
      <c r="RBT7" s="6"/>
      <c r="RBV7" s="6"/>
      <c r="RBX7" s="6"/>
      <c r="RBZ7" s="6"/>
      <c r="RCB7" s="6"/>
      <c r="RCD7" s="6"/>
      <c r="RCF7" s="6"/>
      <c r="RCH7" s="6"/>
      <c r="RCJ7" s="6"/>
      <c r="RCL7" s="6"/>
      <c r="RCN7" s="6"/>
      <c r="RCP7" s="6"/>
      <c r="RCR7" s="6"/>
      <c r="RCT7" s="6"/>
      <c r="RCV7" s="6"/>
      <c r="RCX7" s="6"/>
      <c r="RCZ7" s="6"/>
      <c r="RDB7" s="6"/>
      <c r="RDD7" s="6"/>
      <c r="RDF7" s="6"/>
      <c r="RDH7" s="6"/>
      <c r="RDJ7" s="6"/>
      <c r="RDL7" s="6"/>
      <c r="RDN7" s="6"/>
      <c r="RDP7" s="6"/>
      <c r="RDR7" s="6"/>
      <c r="RDT7" s="6"/>
      <c r="RDV7" s="6"/>
      <c r="RDX7" s="6"/>
      <c r="RDZ7" s="6"/>
      <c r="REB7" s="6"/>
      <c r="RED7" s="6"/>
      <c r="REF7" s="6"/>
      <c r="REH7" s="6"/>
      <c r="REJ7" s="6"/>
      <c r="REL7" s="6"/>
      <c r="REN7" s="6"/>
      <c r="REP7" s="6"/>
      <c r="RER7" s="6"/>
      <c r="RET7" s="6"/>
      <c r="REV7" s="6"/>
      <c r="REX7" s="6"/>
      <c r="REZ7" s="6"/>
      <c r="RFB7" s="6"/>
      <c r="RFD7" s="6"/>
      <c r="RFF7" s="6"/>
      <c r="RFH7" s="6"/>
      <c r="RFJ7" s="6"/>
      <c r="RFL7" s="6"/>
      <c r="RFN7" s="6"/>
      <c r="RFP7" s="6"/>
      <c r="RFR7" s="6"/>
      <c r="RFT7" s="6"/>
      <c r="RFV7" s="6"/>
      <c r="RFX7" s="6"/>
      <c r="RFZ7" s="6"/>
      <c r="RGB7" s="6"/>
      <c r="RGD7" s="6"/>
      <c r="RGF7" s="6"/>
      <c r="RGH7" s="6"/>
      <c r="RGJ7" s="6"/>
      <c r="RGL7" s="6"/>
      <c r="RGN7" s="6"/>
      <c r="RGP7" s="6"/>
      <c r="RGR7" s="6"/>
      <c r="RGT7" s="6"/>
      <c r="RGV7" s="6"/>
      <c r="RGX7" s="6"/>
      <c r="RGZ7" s="6"/>
      <c r="RHB7" s="6"/>
      <c r="RHD7" s="6"/>
      <c r="RHF7" s="6"/>
      <c r="RHH7" s="6"/>
      <c r="RHJ7" s="6"/>
      <c r="RHL7" s="6"/>
      <c r="RHN7" s="6"/>
      <c r="RHP7" s="6"/>
      <c r="RHR7" s="6"/>
      <c r="RHT7" s="6"/>
      <c r="RHV7" s="6"/>
      <c r="RHX7" s="6"/>
      <c r="RHZ7" s="6"/>
      <c r="RIB7" s="6"/>
      <c r="RID7" s="6"/>
      <c r="RIF7" s="6"/>
      <c r="RIH7" s="6"/>
      <c r="RIJ7" s="6"/>
      <c r="RIL7" s="6"/>
      <c r="RIN7" s="6"/>
      <c r="RIP7" s="6"/>
      <c r="RIR7" s="6"/>
      <c r="RIT7" s="6"/>
      <c r="RIV7" s="6"/>
      <c r="RIX7" s="6"/>
      <c r="RIZ7" s="6"/>
      <c r="RJB7" s="6"/>
      <c r="RJD7" s="6"/>
      <c r="RJF7" s="6"/>
      <c r="RJH7" s="6"/>
      <c r="RJJ7" s="6"/>
      <c r="RJL7" s="6"/>
      <c r="RJN7" s="6"/>
      <c r="RJP7" s="6"/>
      <c r="RJR7" s="6"/>
      <c r="RJT7" s="6"/>
      <c r="RJV7" s="6"/>
      <c r="RJX7" s="6"/>
      <c r="RJZ7" s="6"/>
      <c r="RKB7" s="6"/>
      <c r="RKD7" s="6"/>
      <c r="RKF7" s="6"/>
      <c r="RKH7" s="6"/>
      <c r="RKJ7" s="6"/>
      <c r="RKL7" s="6"/>
      <c r="RKN7" s="6"/>
      <c r="RKP7" s="6"/>
      <c r="RKR7" s="6"/>
      <c r="RKT7" s="6"/>
      <c r="RKV7" s="6"/>
      <c r="RKX7" s="6"/>
      <c r="RKZ7" s="6"/>
      <c r="RLB7" s="6"/>
      <c r="RLD7" s="6"/>
      <c r="RLF7" s="6"/>
      <c r="RLH7" s="6"/>
      <c r="RLJ7" s="6"/>
      <c r="RLL7" s="6"/>
      <c r="RLN7" s="6"/>
      <c r="RLP7" s="6"/>
      <c r="RLR7" s="6"/>
      <c r="RLT7" s="6"/>
      <c r="RLV7" s="6"/>
      <c r="RLX7" s="6"/>
      <c r="RLZ7" s="6"/>
      <c r="RMB7" s="6"/>
      <c r="RMD7" s="6"/>
      <c r="RMF7" s="6"/>
      <c r="RMH7" s="6"/>
      <c r="RMJ7" s="6"/>
      <c r="RML7" s="6"/>
      <c r="RMN7" s="6"/>
      <c r="RMP7" s="6"/>
      <c r="RMR7" s="6"/>
      <c r="RMT7" s="6"/>
      <c r="RMV7" s="6"/>
      <c r="RMX7" s="6"/>
      <c r="RMZ7" s="6"/>
      <c r="RNB7" s="6"/>
      <c r="RND7" s="6"/>
      <c r="RNF7" s="6"/>
      <c r="RNH7" s="6"/>
      <c r="RNJ7" s="6"/>
      <c r="RNL7" s="6"/>
      <c r="RNN7" s="6"/>
      <c r="RNP7" s="6"/>
      <c r="RNR7" s="6"/>
      <c r="RNT7" s="6"/>
      <c r="RNV7" s="6"/>
      <c r="RNX7" s="6"/>
      <c r="RNZ7" s="6"/>
      <c r="ROB7" s="6"/>
      <c r="ROD7" s="6"/>
      <c r="ROF7" s="6"/>
      <c r="ROH7" s="6"/>
      <c r="ROJ7" s="6"/>
      <c r="ROL7" s="6"/>
      <c r="RON7" s="6"/>
      <c r="ROP7" s="6"/>
      <c r="ROR7" s="6"/>
      <c r="ROT7" s="6"/>
      <c r="ROV7" s="6"/>
      <c r="ROX7" s="6"/>
      <c r="ROZ7" s="6"/>
      <c r="RPB7" s="6"/>
      <c r="RPD7" s="6"/>
      <c r="RPF7" s="6"/>
      <c r="RPH7" s="6"/>
      <c r="RPJ7" s="6"/>
      <c r="RPL7" s="6"/>
      <c r="RPN7" s="6"/>
      <c r="RPP7" s="6"/>
      <c r="RPR7" s="6"/>
      <c r="RPT7" s="6"/>
      <c r="RPV7" s="6"/>
      <c r="RPX7" s="6"/>
      <c r="RPZ7" s="6"/>
      <c r="RQB7" s="6"/>
      <c r="RQD7" s="6"/>
      <c r="RQF7" s="6"/>
      <c r="RQH7" s="6"/>
      <c r="RQJ7" s="6"/>
      <c r="RQL7" s="6"/>
      <c r="RQN7" s="6"/>
      <c r="RQP7" s="6"/>
      <c r="RQR7" s="6"/>
      <c r="RQT7" s="6"/>
      <c r="RQV7" s="6"/>
      <c r="RQX7" s="6"/>
      <c r="RQZ7" s="6"/>
      <c r="RRB7" s="6"/>
      <c r="RRD7" s="6"/>
      <c r="RRF7" s="6"/>
      <c r="RRH7" s="6"/>
      <c r="RRJ7" s="6"/>
      <c r="RRL7" s="6"/>
      <c r="RRN7" s="6"/>
      <c r="RRP7" s="6"/>
      <c r="RRR7" s="6"/>
      <c r="RRT7" s="6"/>
      <c r="RRV7" s="6"/>
      <c r="RRX7" s="6"/>
      <c r="RRZ7" s="6"/>
      <c r="RSB7" s="6"/>
      <c r="RSD7" s="6"/>
      <c r="RSF7" s="6"/>
      <c r="RSH7" s="6"/>
      <c r="RSJ7" s="6"/>
      <c r="RSL7" s="6"/>
      <c r="RSN7" s="6"/>
      <c r="RSP7" s="6"/>
      <c r="RSR7" s="6"/>
      <c r="RST7" s="6"/>
      <c r="RSV7" s="6"/>
      <c r="RSX7" s="6"/>
      <c r="RSZ7" s="6"/>
      <c r="RTB7" s="6"/>
      <c r="RTD7" s="6"/>
      <c r="RTF7" s="6"/>
      <c r="RTH7" s="6"/>
      <c r="RTJ7" s="6"/>
      <c r="RTL7" s="6"/>
      <c r="RTN7" s="6"/>
      <c r="RTP7" s="6"/>
      <c r="RTR7" s="6"/>
      <c r="RTT7" s="6"/>
      <c r="RTV7" s="6"/>
      <c r="RTX7" s="6"/>
      <c r="RTZ7" s="6"/>
      <c r="RUB7" s="6"/>
      <c r="RUD7" s="6"/>
      <c r="RUF7" s="6"/>
      <c r="RUH7" s="6"/>
      <c r="RUJ7" s="6"/>
      <c r="RUL7" s="6"/>
      <c r="RUN7" s="6"/>
      <c r="RUP7" s="6"/>
      <c r="RUR7" s="6"/>
      <c r="RUT7" s="6"/>
      <c r="RUV7" s="6"/>
      <c r="RUX7" s="6"/>
      <c r="RUZ7" s="6"/>
      <c r="RVB7" s="6"/>
      <c r="RVD7" s="6"/>
      <c r="RVF7" s="6"/>
      <c r="RVH7" s="6"/>
      <c r="RVJ7" s="6"/>
      <c r="RVL7" s="6"/>
      <c r="RVN7" s="6"/>
      <c r="RVP7" s="6"/>
      <c r="RVR7" s="6"/>
      <c r="RVT7" s="6"/>
      <c r="RVV7" s="6"/>
      <c r="RVX7" s="6"/>
      <c r="RVZ7" s="6"/>
      <c r="RWB7" s="6"/>
      <c r="RWD7" s="6"/>
      <c r="RWF7" s="6"/>
      <c r="RWH7" s="6"/>
      <c r="RWJ7" s="6"/>
      <c r="RWL7" s="6"/>
      <c r="RWN7" s="6"/>
      <c r="RWP7" s="6"/>
      <c r="RWR7" s="6"/>
      <c r="RWT7" s="6"/>
      <c r="RWV7" s="6"/>
      <c r="RWX7" s="6"/>
      <c r="RWZ7" s="6"/>
      <c r="RXB7" s="6"/>
      <c r="RXD7" s="6"/>
      <c r="RXF7" s="6"/>
      <c r="RXH7" s="6"/>
      <c r="RXJ7" s="6"/>
      <c r="RXL7" s="6"/>
      <c r="RXN7" s="6"/>
      <c r="RXP7" s="6"/>
      <c r="RXR7" s="6"/>
      <c r="RXT7" s="6"/>
      <c r="RXV7" s="6"/>
      <c r="RXX7" s="6"/>
      <c r="RXZ7" s="6"/>
      <c r="RYB7" s="6"/>
      <c r="RYD7" s="6"/>
      <c r="RYF7" s="6"/>
      <c r="RYH7" s="6"/>
      <c r="RYJ7" s="6"/>
      <c r="RYL7" s="6"/>
      <c r="RYN7" s="6"/>
      <c r="RYP7" s="6"/>
      <c r="RYR7" s="6"/>
      <c r="RYT7" s="6"/>
      <c r="RYV7" s="6"/>
      <c r="RYX7" s="6"/>
      <c r="RYZ7" s="6"/>
      <c r="RZB7" s="6"/>
      <c r="RZD7" s="6"/>
      <c r="RZF7" s="6"/>
      <c r="RZH7" s="6"/>
      <c r="RZJ7" s="6"/>
      <c r="RZL7" s="6"/>
      <c r="RZN7" s="6"/>
      <c r="RZP7" s="6"/>
      <c r="RZR7" s="6"/>
      <c r="RZT7" s="6"/>
      <c r="RZV7" s="6"/>
      <c r="RZX7" s="6"/>
      <c r="RZZ7" s="6"/>
      <c r="SAB7" s="6"/>
      <c r="SAD7" s="6"/>
      <c r="SAF7" s="6"/>
      <c r="SAH7" s="6"/>
      <c r="SAJ7" s="6"/>
      <c r="SAL7" s="6"/>
      <c r="SAN7" s="6"/>
      <c r="SAP7" s="6"/>
      <c r="SAR7" s="6"/>
      <c r="SAT7" s="6"/>
      <c r="SAV7" s="6"/>
      <c r="SAX7" s="6"/>
      <c r="SAZ7" s="6"/>
      <c r="SBB7" s="6"/>
      <c r="SBD7" s="6"/>
      <c r="SBF7" s="6"/>
      <c r="SBH7" s="6"/>
      <c r="SBJ7" s="6"/>
      <c r="SBL7" s="6"/>
      <c r="SBN7" s="6"/>
      <c r="SBP7" s="6"/>
      <c r="SBR7" s="6"/>
      <c r="SBT7" s="6"/>
      <c r="SBV7" s="6"/>
      <c r="SBX7" s="6"/>
      <c r="SBZ7" s="6"/>
      <c r="SCB7" s="6"/>
      <c r="SCD7" s="6"/>
      <c r="SCF7" s="6"/>
      <c r="SCH7" s="6"/>
      <c r="SCJ7" s="6"/>
      <c r="SCL7" s="6"/>
      <c r="SCN7" s="6"/>
      <c r="SCP7" s="6"/>
      <c r="SCR7" s="6"/>
      <c r="SCT7" s="6"/>
      <c r="SCV7" s="6"/>
      <c r="SCX7" s="6"/>
      <c r="SCZ7" s="6"/>
      <c r="SDB7" s="6"/>
      <c r="SDD7" s="6"/>
      <c r="SDF7" s="6"/>
      <c r="SDH7" s="6"/>
      <c r="SDJ7" s="6"/>
      <c r="SDL7" s="6"/>
      <c r="SDN7" s="6"/>
      <c r="SDP7" s="6"/>
      <c r="SDR7" s="6"/>
      <c r="SDT7" s="6"/>
      <c r="SDV7" s="6"/>
      <c r="SDX7" s="6"/>
      <c r="SDZ7" s="6"/>
      <c r="SEB7" s="6"/>
      <c r="SED7" s="6"/>
      <c r="SEF7" s="6"/>
      <c r="SEH7" s="6"/>
      <c r="SEJ7" s="6"/>
      <c r="SEL7" s="6"/>
      <c r="SEN7" s="6"/>
      <c r="SEP7" s="6"/>
      <c r="SER7" s="6"/>
      <c r="SET7" s="6"/>
      <c r="SEV7" s="6"/>
      <c r="SEX7" s="6"/>
      <c r="SEZ7" s="6"/>
      <c r="SFB7" s="6"/>
      <c r="SFD7" s="6"/>
      <c r="SFF7" s="6"/>
      <c r="SFH7" s="6"/>
      <c r="SFJ7" s="6"/>
      <c r="SFL7" s="6"/>
      <c r="SFN7" s="6"/>
      <c r="SFP7" s="6"/>
      <c r="SFR7" s="6"/>
      <c r="SFT7" s="6"/>
      <c r="SFV7" s="6"/>
      <c r="SFX7" s="6"/>
      <c r="SFZ7" s="6"/>
      <c r="SGB7" s="6"/>
      <c r="SGD7" s="6"/>
      <c r="SGF7" s="6"/>
      <c r="SGH7" s="6"/>
      <c r="SGJ7" s="6"/>
      <c r="SGL7" s="6"/>
      <c r="SGN7" s="6"/>
      <c r="SGP7" s="6"/>
      <c r="SGR7" s="6"/>
      <c r="SGT7" s="6"/>
      <c r="SGV7" s="6"/>
      <c r="SGX7" s="6"/>
      <c r="SGZ7" s="6"/>
      <c r="SHB7" s="6"/>
      <c r="SHD7" s="6"/>
      <c r="SHF7" s="6"/>
      <c r="SHH7" s="6"/>
      <c r="SHJ7" s="6"/>
      <c r="SHL7" s="6"/>
      <c r="SHN7" s="6"/>
      <c r="SHP7" s="6"/>
      <c r="SHR7" s="6"/>
      <c r="SHT7" s="6"/>
      <c r="SHV7" s="6"/>
      <c r="SHX7" s="6"/>
      <c r="SHZ7" s="6"/>
      <c r="SIB7" s="6"/>
      <c r="SID7" s="6"/>
      <c r="SIF7" s="6"/>
      <c r="SIH7" s="6"/>
      <c r="SIJ7" s="6"/>
      <c r="SIL7" s="6"/>
      <c r="SIN7" s="6"/>
      <c r="SIP7" s="6"/>
      <c r="SIR7" s="6"/>
      <c r="SIT7" s="6"/>
      <c r="SIV7" s="6"/>
      <c r="SIX7" s="6"/>
      <c r="SIZ7" s="6"/>
      <c r="SJB7" s="6"/>
      <c r="SJD7" s="6"/>
      <c r="SJF7" s="6"/>
      <c r="SJH7" s="6"/>
      <c r="SJJ7" s="6"/>
      <c r="SJL7" s="6"/>
      <c r="SJN7" s="6"/>
      <c r="SJP7" s="6"/>
      <c r="SJR7" s="6"/>
      <c r="SJT7" s="6"/>
      <c r="SJV7" s="6"/>
      <c r="SJX7" s="6"/>
      <c r="SJZ7" s="6"/>
      <c r="SKB7" s="6"/>
      <c r="SKD7" s="6"/>
      <c r="SKF7" s="6"/>
      <c r="SKH7" s="6"/>
      <c r="SKJ7" s="6"/>
      <c r="SKL7" s="6"/>
      <c r="SKN7" s="6"/>
      <c r="SKP7" s="6"/>
      <c r="SKR7" s="6"/>
      <c r="SKT7" s="6"/>
      <c r="SKV7" s="6"/>
      <c r="SKX7" s="6"/>
      <c r="SKZ7" s="6"/>
      <c r="SLB7" s="6"/>
      <c r="SLD7" s="6"/>
      <c r="SLF7" s="6"/>
      <c r="SLH7" s="6"/>
      <c r="SLJ7" s="6"/>
      <c r="SLL7" s="6"/>
      <c r="SLN7" s="6"/>
      <c r="SLP7" s="6"/>
      <c r="SLR7" s="6"/>
      <c r="SLT7" s="6"/>
      <c r="SLV7" s="6"/>
      <c r="SLX7" s="6"/>
      <c r="SLZ7" s="6"/>
      <c r="SMB7" s="6"/>
      <c r="SMD7" s="6"/>
      <c r="SMF7" s="6"/>
      <c r="SMH7" s="6"/>
      <c r="SMJ7" s="6"/>
      <c r="SML7" s="6"/>
      <c r="SMN7" s="6"/>
      <c r="SMP7" s="6"/>
      <c r="SMR7" s="6"/>
      <c r="SMT7" s="6"/>
      <c r="SMV7" s="6"/>
      <c r="SMX7" s="6"/>
      <c r="SMZ7" s="6"/>
      <c r="SNB7" s="6"/>
      <c r="SND7" s="6"/>
      <c r="SNF7" s="6"/>
      <c r="SNH7" s="6"/>
      <c r="SNJ7" s="6"/>
      <c r="SNL7" s="6"/>
      <c r="SNN7" s="6"/>
      <c r="SNP7" s="6"/>
      <c r="SNR7" s="6"/>
      <c r="SNT7" s="6"/>
      <c r="SNV7" s="6"/>
      <c r="SNX7" s="6"/>
      <c r="SNZ7" s="6"/>
      <c r="SOB7" s="6"/>
      <c r="SOD7" s="6"/>
      <c r="SOF7" s="6"/>
      <c r="SOH7" s="6"/>
      <c r="SOJ7" s="6"/>
      <c r="SOL7" s="6"/>
      <c r="SON7" s="6"/>
      <c r="SOP7" s="6"/>
      <c r="SOR7" s="6"/>
      <c r="SOT7" s="6"/>
      <c r="SOV7" s="6"/>
      <c r="SOX7" s="6"/>
      <c r="SOZ7" s="6"/>
      <c r="SPB7" s="6"/>
      <c r="SPD7" s="6"/>
      <c r="SPF7" s="6"/>
      <c r="SPH7" s="6"/>
      <c r="SPJ7" s="6"/>
      <c r="SPL7" s="6"/>
      <c r="SPN7" s="6"/>
      <c r="SPP7" s="6"/>
      <c r="SPR7" s="6"/>
      <c r="SPT7" s="6"/>
      <c r="SPV7" s="6"/>
      <c r="SPX7" s="6"/>
      <c r="SPZ7" s="6"/>
      <c r="SQB7" s="6"/>
      <c r="SQD7" s="6"/>
      <c r="SQF7" s="6"/>
      <c r="SQH7" s="6"/>
      <c r="SQJ7" s="6"/>
      <c r="SQL7" s="6"/>
      <c r="SQN7" s="6"/>
      <c r="SQP7" s="6"/>
      <c r="SQR7" s="6"/>
      <c r="SQT7" s="6"/>
      <c r="SQV7" s="6"/>
      <c r="SQX7" s="6"/>
      <c r="SQZ7" s="6"/>
      <c r="SRB7" s="6"/>
      <c r="SRD7" s="6"/>
      <c r="SRF7" s="6"/>
      <c r="SRH7" s="6"/>
      <c r="SRJ7" s="6"/>
      <c r="SRL7" s="6"/>
      <c r="SRN7" s="6"/>
      <c r="SRP7" s="6"/>
      <c r="SRR7" s="6"/>
      <c r="SRT7" s="6"/>
      <c r="SRV7" s="6"/>
      <c r="SRX7" s="6"/>
      <c r="SRZ7" s="6"/>
      <c r="SSB7" s="6"/>
      <c r="SSD7" s="6"/>
      <c r="SSF7" s="6"/>
      <c r="SSH7" s="6"/>
      <c r="SSJ7" s="6"/>
      <c r="SSL7" s="6"/>
      <c r="SSN7" s="6"/>
      <c r="SSP7" s="6"/>
      <c r="SSR7" s="6"/>
      <c r="SST7" s="6"/>
      <c r="SSV7" s="6"/>
      <c r="SSX7" s="6"/>
      <c r="SSZ7" s="6"/>
      <c r="STB7" s="6"/>
      <c r="STD7" s="6"/>
      <c r="STF7" s="6"/>
      <c r="STH7" s="6"/>
      <c r="STJ7" s="6"/>
      <c r="STL7" s="6"/>
      <c r="STN7" s="6"/>
      <c r="STP7" s="6"/>
      <c r="STR7" s="6"/>
      <c r="STT7" s="6"/>
      <c r="STV7" s="6"/>
      <c r="STX7" s="6"/>
      <c r="STZ7" s="6"/>
      <c r="SUB7" s="6"/>
      <c r="SUD7" s="6"/>
      <c r="SUF7" s="6"/>
      <c r="SUH7" s="6"/>
      <c r="SUJ7" s="6"/>
      <c r="SUL7" s="6"/>
      <c r="SUN7" s="6"/>
      <c r="SUP7" s="6"/>
      <c r="SUR7" s="6"/>
      <c r="SUT7" s="6"/>
      <c r="SUV7" s="6"/>
      <c r="SUX7" s="6"/>
      <c r="SUZ7" s="6"/>
      <c r="SVB7" s="6"/>
      <c r="SVD7" s="6"/>
      <c r="SVF7" s="6"/>
      <c r="SVH7" s="6"/>
      <c r="SVJ7" s="6"/>
      <c r="SVL7" s="6"/>
      <c r="SVN7" s="6"/>
      <c r="SVP7" s="6"/>
      <c r="SVR7" s="6"/>
      <c r="SVT7" s="6"/>
      <c r="SVV7" s="6"/>
      <c r="SVX7" s="6"/>
      <c r="SVZ7" s="6"/>
      <c r="SWB7" s="6"/>
      <c r="SWD7" s="6"/>
      <c r="SWF7" s="6"/>
      <c r="SWH7" s="6"/>
      <c r="SWJ7" s="6"/>
      <c r="SWL7" s="6"/>
      <c r="SWN7" s="6"/>
      <c r="SWP7" s="6"/>
      <c r="SWR7" s="6"/>
      <c r="SWT7" s="6"/>
      <c r="SWV7" s="6"/>
      <c r="SWX7" s="6"/>
      <c r="SWZ7" s="6"/>
      <c r="SXB7" s="6"/>
      <c r="SXD7" s="6"/>
      <c r="SXF7" s="6"/>
      <c r="SXH7" s="6"/>
      <c r="SXJ7" s="6"/>
      <c r="SXL7" s="6"/>
      <c r="SXN7" s="6"/>
      <c r="SXP7" s="6"/>
      <c r="SXR7" s="6"/>
      <c r="SXT7" s="6"/>
      <c r="SXV7" s="6"/>
      <c r="SXX7" s="6"/>
      <c r="SXZ7" s="6"/>
      <c r="SYB7" s="6"/>
      <c r="SYD7" s="6"/>
      <c r="SYF7" s="6"/>
      <c r="SYH7" s="6"/>
      <c r="SYJ7" s="6"/>
      <c r="SYL7" s="6"/>
      <c r="SYN7" s="6"/>
      <c r="SYP7" s="6"/>
      <c r="SYR7" s="6"/>
      <c r="SYT7" s="6"/>
      <c r="SYV7" s="6"/>
      <c r="SYX7" s="6"/>
      <c r="SYZ7" s="6"/>
      <c r="SZB7" s="6"/>
      <c r="SZD7" s="6"/>
      <c r="SZF7" s="6"/>
      <c r="SZH7" s="6"/>
      <c r="SZJ7" s="6"/>
      <c r="SZL7" s="6"/>
      <c r="SZN7" s="6"/>
      <c r="SZP7" s="6"/>
      <c r="SZR7" s="6"/>
      <c r="SZT7" s="6"/>
      <c r="SZV7" s="6"/>
      <c r="SZX7" s="6"/>
      <c r="SZZ7" s="6"/>
      <c r="TAB7" s="6"/>
      <c r="TAD7" s="6"/>
      <c r="TAF7" s="6"/>
      <c r="TAH7" s="6"/>
      <c r="TAJ7" s="6"/>
      <c r="TAL7" s="6"/>
      <c r="TAN7" s="6"/>
      <c r="TAP7" s="6"/>
      <c r="TAR7" s="6"/>
      <c r="TAT7" s="6"/>
      <c r="TAV7" s="6"/>
      <c r="TAX7" s="6"/>
      <c r="TAZ7" s="6"/>
      <c r="TBB7" s="6"/>
      <c r="TBD7" s="6"/>
      <c r="TBF7" s="6"/>
      <c r="TBH7" s="6"/>
      <c r="TBJ7" s="6"/>
      <c r="TBL7" s="6"/>
      <c r="TBN7" s="6"/>
      <c r="TBP7" s="6"/>
      <c r="TBR7" s="6"/>
      <c r="TBT7" s="6"/>
      <c r="TBV7" s="6"/>
      <c r="TBX7" s="6"/>
      <c r="TBZ7" s="6"/>
      <c r="TCB7" s="6"/>
      <c r="TCD7" s="6"/>
      <c r="TCF7" s="6"/>
      <c r="TCH7" s="6"/>
      <c r="TCJ7" s="6"/>
      <c r="TCL7" s="6"/>
      <c r="TCN7" s="6"/>
      <c r="TCP7" s="6"/>
      <c r="TCR7" s="6"/>
      <c r="TCT7" s="6"/>
      <c r="TCV7" s="6"/>
      <c r="TCX7" s="6"/>
      <c r="TCZ7" s="6"/>
      <c r="TDB7" s="6"/>
      <c r="TDD7" s="6"/>
      <c r="TDF7" s="6"/>
      <c r="TDH7" s="6"/>
      <c r="TDJ7" s="6"/>
      <c r="TDL7" s="6"/>
      <c r="TDN7" s="6"/>
      <c r="TDP7" s="6"/>
      <c r="TDR7" s="6"/>
      <c r="TDT7" s="6"/>
      <c r="TDV7" s="6"/>
      <c r="TDX7" s="6"/>
      <c r="TDZ7" s="6"/>
      <c r="TEB7" s="6"/>
      <c r="TED7" s="6"/>
      <c r="TEF7" s="6"/>
      <c r="TEH7" s="6"/>
      <c r="TEJ7" s="6"/>
      <c r="TEL7" s="6"/>
      <c r="TEN7" s="6"/>
      <c r="TEP7" s="6"/>
      <c r="TER7" s="6"/>
      <c r="TET7" s="6"/>
      <c r="TEV7" s="6"/>
      <c r="TEX7" s="6"/>
      <c r="TEZ7" s="6"/>
      <c r="TFB7" s="6"/>
      <c r="TFD7" s="6"/>
      <c r="TFF7" s="6"/>
      <c r="TFH7" s="6"/>
      <c r="TFJ7" s="6"/>
      <c r="TFL7" s="6"/>
      <c r="TFN7" s="6"/>
      <c r="TFP7" s="6"/>
      <c r="TFR7" s="6"/>
      <c r="TFT7" s="6"/>
      <c r="TFV7" s="6"/>
      <c r="TFX7" s="6"/>
      <c r="TFZ7" s="6"/>
      <c r="TGB7" s="6"/>
      <c r="TGD7" s="6"/>
      <c r="TGF7" s="6"/>
      <c r="TGH7" s="6"/>
      <c r="TGJ7" s="6"/>
      <c r="TGL7" s="6"/>
      <c r="TGN7" s="6"/>
      <c r="TGP7" s="6"/>
      <c r="TGR7" s="6"/>
      <c r="TGT7" s="6"/>
      <c r="TGV7" s="6"/>
      <c r="TGX7" s="6"/>
      <c r="TGZ7" s="6"/>
      <c r="THB7" s="6"/>
      <c r="THD7" s="6"/>
      <c r="THF7" s="6"/>
      <c r="THH7" s="6"/>
      <c r="THJ7" s="6"/>
      <c r="THL7" s="6"/>
      <c r="THN7" s="6"/>
      <c r="THP7" s="6"/>
      <c r="THR7" s="6"/>
      <c r="THT7" s="6"/>
      <c r="THV7" s="6"/>
      <c r="THX7" s="6"/>
      <c r="THZ7" s="6"/>
      <c r="TIB7" s="6"/>
      <c r="TID7" s="6"/>
      <c r="TIF7" s="6"/>
      <c r="TIH7" s="6"/>
      <c r="TIJ7" s="6"/>
      <c r="TIL7" s="6"/>
      <c r="TIN7" s="6"/>
      <c r="TIP7" s="6"/>
      <c r="TIR7" s="6"/>
      <c r="TIT7" s="6"/>
      <c r="TIV7" s="6"/>
      <c r="TIX7" s="6"/>
      <c r="TIZ7" s="6"/>
      <c r="TJB7" s="6"/>
      <c r="TJD7" s="6"/>
      <c r="TJF7" s="6"/>
      <c r="TJH7" s="6"/>
      <c r="TJJ7" s="6"/>
      <c r="TJL7" s="6"/>
      <c r="TJN7" s="6"/>
      <c r="TJP7" s="6"/>
      <c r="TJR7" s="6"/>
      <c r="TJT7" s="6"/>
      <c r="TJV7" s="6"/>
      <c r="TJX7" s="6"/>
      <c r="TJZ7" s="6"/>
      <c r="TKB7" s="6"/>
      <c r="TKD7" s="6"/>
      <c r="TKF7" s="6"/>
      <c r="TKH7" s="6"/>
      <c r="TKJ7" s="6"/>
      <c r="TKL7" s="6"/>
      <c r="TKN7" s="6"/>
      <c r="TKP7" s="6"/>
      <c r="TKR7" s="6"/>
      <c r="TKT7" s="6"/>
      <c r="TKV7" s="6"/>
      <c r="TKX7" s="6"/>
      <c r="TKZ7" s="6"/>
      <c r="TLB7" s="6"/>
      <c r="TLD7" s="6"/>
      <c r="TLF7" s="6"/>
      <c r="TLH7" s="6"/>
      <c r="TLJ7" s="6"/>
      <c r="TLL7" s="6"/>
      <c r="TLN7" s="6"/>
      <c r="TLP7" s="6"/>
      <c r="TLR7" s="6"/>
      <c r="TLT7" s="6"/>
      <c r="TLV7" s="6"/>
      <c r="TLX7" s="6"/>
      <c r="TLZ7" s="6"/>
      <c r="TMB7" s="6"/>
      <c r="TMD7" s="6"/>
      <c r="TMF7" s="6"/>
      <c r="TMH7" s="6"/>
      <c r="TMJ7" s="6"/>
      <c r="TML7" s="6"/>
      <c r="TMN7" s="6"/>
      <c r="TMP7" s="6"/>
      <c r="TMR7" s="6"/>
      <c r="TMT7" s="6"/>
      <c r="TMV7" s="6"/>
      <c r="TMX7" s="6"/>
      <c r="TMZ7" s="6"/>
      <c r="TNB7" s="6"/>
      <c r="TND7" s="6"/>
      <c r="TNF7" s="6"/>
      <c r="TNH7" s="6"/>
      <c r="TNJ7" s="6"/>
      <c r="TNL7" s="6"/>
      <c r="TNN7" s="6"/>
      <c r="TNP7" s="6"/>
      <c r="TNR7" s="6"/>
      <c r="TNT7" s="6"/>
      <c r="TNV7" s="6"/>
      <c r="TNX7" s="6"/>
      <c r="TNZ7" s="6"/>
      <c r="TOB7" s="6"/>
      <c r="TOD7" s="6"/>
      <c r="TOF7" s="6"/>
      <c r="TOH7" s="6"/>
      <c r="TOJ7" s="6"/>
      <c r="TOL7" s="6"/>
      <c r="TON7" s="6"/>
      <c r="TOP7" s="6"/>
      <c r="TOR7" s="6"/>
      <c r="TOT7" s="6"/>
      <c r="TOV7" s="6"/>
      <c r="TOX7" s="6"/>
      <c r="TOZ7" s="6"/>
      <c r="TPB7" s="6"/>
      <c r="TPD7" s="6"/>
      <c r="TPF7" s="6"/>
      <c r="TPH7" s="6"/>
      <c r="TPJ7" s="6"/>
      <c r="TPL7" s="6"/>
      <c r="TPN7" s="6"/>
      <c r="TPP7" s="6"/>
      <c r="TPR7" s="6"/>
      <c r="TPT7" s="6"/>
      <c r="TPV7" s="6"/>
      <c r="TPX7" s="6"/>
      <c r="TPZ7" s="6"/>
      <c r="TQB7" s="6"/>
      <c r="TQD7" s="6"/>
      <c r="TQF7" s="6"/>
      <c r="TQH7" s="6"/>
      <c r="TQJ7" s="6"/>
      <c r="TQL7" s="6"/>
      <c r="TQN7" s="6"/>
      <c r="TQP7" s="6"/>
      <c r="TQR7" s="6"/>
      <c r="TQT7" s="6"/>
      <c r="TQV7" s="6"/>
      <c r="TQX7" s="6"/>
      <c r="TQZ7" s="6"/>
      <c r="TRB7" s="6"/>
      <c r="TRD7" s="6"/>
      <c r="TRF7" s="6"/>
      <c r="TRH7" s="6"/>
      <c r="TRJ7" s="6"/>
      <c r="TRL7" s="6"/>
      <c r="TRN7" s="6"/>
      <c r="TRP7" s="6"/>
      <c r="TRR7" s="6"/>
      <c r="TRT7" s="6"/>
      <c r="TRV7" s="6"/>
      <c r="TRX7" s="6"/>
      <c r="TRZ7" s="6"/>
      <c r="TSB7" s="6"/>
      <c r="TSD7" s="6"/>
      <c r="TSF7" s="6"/>
      <c r="TSH7" s="6"/>
      <c r="TSJ7" s="6"/>
      <c r="TSL7" s="6"/>
      <c r="TSN7" s="6"/>
      <c r="TSP7" s="6"/>
      <c r="TSR7" s="6"/>
      <c r="TST7" s="6"/>
      <c r="TSV7" s="6"/>
      <c r="TSX7" s="6"/>
      <c r="TSZ7" s="6"/>
      <c r="TTB7" s="6"/>
      <c r="TTD7" s="6"/>
      <c r="TTF7" s="6"/>
      <c r="TTH7" s="6"/>
      <c r="TTJ7" s="6"/>
      <c r="TTL7" s="6"/>
      <c r="TTN7" s="6"/>
      <c r="TTP7" s="6"/>
      <c r="TTR7" s="6"/>
      <c r="TTT7" s="6"/>
      <c r="TTV7" s="6"/>
      <c r="TTX7" s="6"/>
      <c r="TTZ7" s="6"/>
      <c r="TUB7" s="6"/>
      <c r="TUD7" s="6"/>
      <c r="TUF7" s="6"/>
      <c r="TUH7" s="6"/>
      <c r="TUJ7" s="6"/>
      <c r="TUL7" s="6"/>
      <c r="TUN7" s="6"/>
      <c r="TUP7" s="6"/>
      <c r="TUR7" s="6"/>
      <c r="TUT7" s="6"/>
      <c r="TUV7" s="6"/>
      <c r="TUX7" s="6"/>
      <c r="TUZ7" s="6"/>
      <c r="TVB7" s="6"/>
      <c r="TVD7" s="6"/>
      <c r="TVF7" s="6"/>
      <c r="TVH7" s="6"/>
      <c r="TVJ7" s="6"/>
      <c r="TVL7" s="6"/>
      <c r="TVN7" s="6"/>
      <c r="TVP7" s="6"/>
      <c r="TVR7" s="6"/>
      <c r="TVT7" s="6"/>
      <c r="TVV7" s="6"/>
      <c r="TVX7" s="6"/>
      <c r="TVZ7" s="6"/>
      <c r="TWB7" s="6"/>
      <c r="TWD7" s="6"/>
      <c r="TWF7" s="6"/>
      <c r="TWH7" s="6"/>
      <c r="TWJ7" s="6"/>
      <c r="TWL7" s="6"/>
      <c r="TWN7" s="6"/>
      <c r="TWP7" s="6"/>
      <c r="TWR7" s="6"/>
      <c r="TWT7" s="6"/>
      <c r="TWV7" s="6"/>
      <c r="TWX7" s="6"/>
      <c r="TWZ7" s="6"/>
      <c r="TXB7" s="6"/>
      <c r="TXD7" s="6"/>
      <c r="TXF7" s="6"/>
      <c r="TXH7" s="6"/>
      <c r="TXJ7" s="6"/>
      <c r="TXL7" s="6"/>
      <c r="TXN7" s="6"/>
      <c r="TXP7" s="6"/>
      <c r="TXR7" s="6"/>
      <c r="TXT7" s="6"/>
      <c r="TXV7" s="6"/>
      <c r="TXX7" s="6"/>
      <c r="TXZ7" s="6"/>
      <c r="TYB7" s="6"/>
      <c r="TYD7" s="6"/>
      <c r="TYF7" s="6"/>
      <c r="TYH7" s="6"/>
      <c r="TYJ7" s="6"/>
      <c r="TYL7" s="6"/>
      <c r="TYN7" s="6"/>
      <c r="TYP7" s="6"/>
      <c r="TYR7" s="6"/>
      <c r="TYT7" s="6"/>
      <c r="TYV7" s="6"/>
      <c r="TYX7" s="6"/>
      <c r="TYZ7" s="6"/>
      <c r="TZB7" s="6"/>
      <c r="TZD7" s="6"/>
      <c r="TZF7" s="6"/>
      <c r="TZH7" s="6"/>
      <c r="TZJ7" s="6"/>
      <c r="TZL7" s="6"/>
      <c r="TZN7" s="6"/>
      <c r="TZP7" s="6"/>
      <c r="TZR7" s="6"/>
      <c r="TZT7" s="6"/>
      <c r="TZV7" s="6"/>
      <c r="TZX7" s="6"/>
      <c r="TZZ7" s="6"/>
      <c r="UAB7" s="6"/>
      <c r="UAD7" s="6"/>
      <c r="UAF7" s="6"/>
      <c r="UAH7" s="6"/>
      <c r="UAJ7" s="6"/>
      <c r="UAL7" s="6"/>
      <c r="UAN7" s="6"/>
      <c r="UAP7" s="6"/>
      <c r="UAR7" s="6"/>
      <c r="UAT7" s="6"/>
      <c r="UAV7" s="6"/>
      <c r="UAX7" s="6"/>
      <c r="UAZ7" s="6"/>
      <c r="UBB7" s="6"/>
      <c r="UBD7" s="6"/>
      <c r="UBF7" s="6"/>
      <c r="UBH7" s="6"/>
      <c r="UBJ7" s="6"/>
      <c r="UBL7" s="6"/>
      <c r="UBN7" s="6"/>
      <c r="UBP7" s="6"/>
      <c r="UBR7" s="6"/>
      <c r="UBT7" s="6"/>
      <c r="UBV7" s="6"/>
      <c r="UBX7" s="6"/>
      <c r="UBZ7" s="6"/>
      <c r="UCB7" s="6"/>
      <c r="UCD7" s="6"/>
      <c r="UCF7" s="6"/>
      <c r="UCH7" s="6"/>
      <c r="UCJ7" s="6"/>
      <c r="UCL7" s="6"/>
      <c r="UCN7" s="6"/>
      <c r="UCP7" s="6"/>
      <c r="UCR7" s="6"/>
      <c r="UCT7" s="6"/>
      <c r="UCV7" s="6"/>
      <c r="UCX7" s="6"/>
      <c r="UCZ7" s="6"/>
      <c r="UDB7" s="6"/>
      <c r="UDD7" s="6"/>
      <c r="UDF7" s="6"/>
      <c r="UDH7" s="6"/>
      <c r="UDJ7" s="6"/>
      <c r="UDL7" s="6"/>
      <c r="UDN7" s="6"/>
      <c r="UDP7" s="6"/>
      <c r="UDR7" s="6"/>
      <c r="UDT7" s="6"/>
      <c r="UDV7" s="6"/>
      <c r="UDX7" s="6"/>
      <c r="UDZ7" s="6"/>
      <c r="UEB7" s="6"/>
      <c r="UED7" s="6"/>
      <c r="UEF7" s="6"/>
      <c r="UEH7" s="6"/>
      <c r="UEJ7" s="6"/>
      <c r="UEL7" s="6"/>
      <c r="UEN7" s="6"/>
      <c r="UEP7" s="6"/>
      <c r="UER7" s="6"/>
      <c r="UET7" s="6"/>
      <c r="UEV7" s="6"/>
      <c r="UEX7" s="6"/>
      <c r="UEZ7" s="6"/>
      <c r="UFB7" s="6"/>
      <c r="UFD7" s="6"/>
      <c r="UFF7" s="6"/>
      <c r="UFH7" s="6"/>
      <c r="UFJ7" s="6"/>
      <c r="UFL7" s="6"/>
      <c r="UFN7" s="6"/>
      <c r="UFP7" s="6"/>
      <c r="UFR7" s="6"/>
      <c r="UFT7" s="6"/>
      <c r="UFV7" s="6"/>
      <c r="UFX7" s="6"/>
      <c r="UFZ7" s="6"/>
      <c r="UGB7" s="6"/>
      <c r="UGD7" s="6"/>
      <c r="UGF7" s="6"/>
      <c r="UGH7" s="6"/>
      <c r="UGJ7" s="6"/>
      <c r="UGL7" s="6"/>
      <c r="UGN7" s="6"/>
      <c r="UGP7" s="6"/>
      <c r="UGR7" s="6"/>
      <c r="UGT7" s="6"/>
      <c r="UGV7" s="6"/>
      <c r="UGX7" s="6"/>
      <c r="UGZ7" s="6"/>
      <c r="UHB7" s="6"/>
      <c r="UHD7" s="6"/>
      <c r="UHF7" s="6"/>
      <c r="UHH7" s="6"/>
      <c r="UHJ7" s="6"/>
      <c r="UHL7" s="6"/>
      <c r="UHN7" s="6"/>
      <c r="UHP7" s="6"/>
      <c r="UHR7" s="6"/>
      <c r="UHT7" s="6"/>
      <c r="UHV7" s="6"/>
      <c r="UHX7" s="6"/>
      <c r="UHZ7" s="6"/>
      <c r="UIB7" s="6"/>
      <c r="UID7" s="6"/>
      <c r="UIF7" s="6"/>
      <c r="UIH7" s="6"/>
      <c r="UIJ7" s="6"/>
      <c r="UIL7" s="6"/>
      <c r="UIN7" s="6"/>
      <c r="UIP7" s="6"/>
      <c r="UIR7" s="6"/>
      <c r="UIT7" s="6"/>
      <c r="UIV7" s="6"/>
      <c r="UIX7" s="6"/>
      <c r="UIZ7" s="6"/>
      <c r="UJB7" s="6"/>
      <c r="UJD7" s="6"/>
      <c r="UJF7" s="6"/>
      <c r="UJH7" s="6"/>
      <c r="UJJ7" s="6"/>
      <c r="UJL7" s="6"/>
      <c r="UJN7" s="6"/>
      <c r="UJP7" s="6"/>
      <c r="UJR7" s="6"/>
      <c r="UJT7" s="6"/>
      <c r="UJV7" s="6"/>
      <c r="UJX7" s="6"/>
      <c r="UJZ7" s="6"/>
      <c r="UKB7" s="6"/>
      <c r="UKD7" s="6"/>
      <c r="UKF7" s="6"/>
      <c r="UKH7" s="6"/>
      <c r="UKJ7" s="6"/>
      <c r="UKL7" s="6"/>
      <c r="UKN7" s="6"/>
      <c r="UKP7" s="6"/>
      <c r="UKR7" s="6"/>
      <c r="UKT7" s="6"/>
      <c r="UKV7" s="6"/>
      <c r="UKX7" s="6"/>
      <c r="UKZ7" s="6"/>
      <c r="ULB7" s="6"/>
      <c r="ULD7" s="6"/>
      <c r="ULF7" s="6"/>
      <c r="ULH7" s="6"/>
      <c r="ULJ7" s="6"/>
      <c r="ULL7" s="6"/>
      <c r="ULN7" s="6"/>
      <c r="ULP7" s="6"/>
      <c r="ULR7" s="6"/>
      <c r="ULT7" s="6"/>
      <c r="ULV7" s="6"/>
      <c r="ULX7" s="6"/>
      <c r="ULZ7" s="6"/>
      <c r="UMB7" s="6"/>
      <c r="UMD7" s="6"/>
      <c r="UMF7" s="6"/>
      <c r="UMH7" s="6"/>
      <c r="UMJ7" s="6"/>
      <c r="UML7" s="6"/>
      <c r="UMN7" s="6"/>
      <c r="UMP7" s="6"/>
      <c r="UMR7" s="6"/>
      <c r="UMT7" s="6"/>
      <c r="UMV7" s="6"/>
      <c r="UMX7" s="6"/>
      <c r="UMZ7" s="6"/>
      <c r="UNB7" s="6"/>
      <c r="UND7" s="6"/>
      <c r="UNF7" s="6"/>
      <c r="UNH7" s="6"/>
      <c r="UNJ7" s="6"/>
      <c r="UNL7" s="6"/>
      <c r="UNN7" s="6"/>
      <c r="UNP7" s="6"/>
      <c r="UNR7" s="6"/>
      <c r="UNT7" s="6"/>
      <c r="UNV7" s="6"/>
      <c r="UNX7" s="6"/>
      <c r="UNZ7" s="6"/>
      <c r="UOB7" s="6"/>
      <c r="UOD7" s="6"/>
      <c r="UOF7" s="6"/>
      <c r="UOH7" s="6"/>
      <c r="UOJ7" s="6"/>
      <c r="UOL7" s="6"/>
      <c r="UON7" s="6"/>
      <c r="UOP7" s="6"/>
      <c r="UOR7" s="6"/>
      <c r="UOT7" s="6"/>
      <c r="UOV7" s="6"/>
      <c r="UOX7" s="6"/>
      <c r="UOZ7" s="6"/>
      <c r="UPB7" s="6"/>
      <c r="UPD7" s="6"/>
      <c r="UPF7" s="6"/>
      <c r="UPH7" s="6"/>
      <c r="UPJ7" s="6"/>
      <c r="UPL7" s="6"/>
      <c r="UPN7" s="6"/>
      <c r="UPP7" s="6"/>
      <c r="UPR7" s="6"/>
      <c r="UPT7" s="6"/>
      <c r="UPV7" s="6"/>
      <c r="UPX7" s="6"/>
      <c r="UPZ7" s="6"/>
      <c r="UQB7" s="6"/>
      <c r="UQD7" s="6"/>
      <c r="UQF7" s="6"/>
      <c r="UQH7" s="6"/>
      <c r="UQJ7" s="6"/>
      <c r="UQL7" s="6"/>
      <c r="UQN7" s="6"/>
      <c r="UQP7" s="6"/>
      <c r="UQR7" s="6"/>
      <c r="UQT7" s="6"/>
      <c r="UQV7" s="6"/>
      <c r="UQX7" s="6"/>
      <c r="UQZ7" s="6"/>
      <c r="URB7" s="6"/>
      <c r="URD7" s="6"/>
      <c r="URF7" s="6"/>
      <c r="URH7" s="6"/>
      <c r="URJ7" s="6"/>
      <c r="URL7" s="6"/>
      <c r="URN7" s="6"/>
      <c r="URP7" s="6"/>
      <c r="URR7" s="6"/>
      <c r="URT7" s="6"/>
      <c r="URV7" s="6"/>
      <c r="URX7" s="6"/>
      <c r="URZ7" s="6"/>
      <c r="USB7" s="6"/>
      <c r="USD7" s="6"/>
      <c r="USF7" s="6"/>
      <c r="USH7" s="6"/>
      <c r="USJ7" s="6"/>
      <c r="USL7" s="6"/>
      <c r="USN7" s="6"/>
      <c r="USP7" s="6"/>
      <c r="USR7" s="6"/>
      <c r="UST7" s="6"/>
      <c r="USV7" s="6"/>
      <c r="USX7" s="6"/>
      <c r="USZ7" s="6"/>
      <c r="UTB7" s="6"/>
      <c r="UTD7" s="6"/>
      <c r="UTF7" s="6"/>
      <c r="UTH7" s="6"/>
      <c r="UTJ7" s="6"/>
      <c r="UTL7" s="6"/>
      <c r="UTN7" s="6"/>
      <c r="UTP7" s="6"/>
      <c r="UTR7" s="6"/>
      <c r="UTT7" s="6"/>
      <c r="UTV7" s="6"/>
      <c r="UTX7" s="6"/>
      <c r="UTZ7" s="6"/>
      <c r="UUB7" s="6"/>
      <c r="UUD7" s="6"/>
      <c r="UUF7" s="6"/>
      <c r="UUH7" s="6"/>
      <c r="UUJ7" s="6"/>
      <c r="UUL7" s="6"/>
      <c r="UUN7" s="6"/>
      <c r="UUP7" s="6"/>
      <c r="UUR7" s="6"/>
      <c r="UUT7" s="6"/>
      <c r="UUV7" s="6"/>
      <c r="UUX7" s="6"/>
      <c r="UUZ7" s="6"/>
      <c r="UVB7" s="6"/>
      <c r="UVD7" s="6"/>
      <c r="UVF7" s="6"/>
      <c r="UVH7" s="6"/>
      <c r="UVJ7" s="6"/>
      <c r="UVL7" s="6"/>
      <c r="UVN7" s="6"/>
      <c r="UVP7" s="6"/>
      <c r="UVR7" s="6"/>
      <c r="UVT7" s="6"/>
      <c r="UVV7" s="6"/>
      <c r="UVX7" s="6"/>
      <c r="UVZ7" s="6"/>
      <c r="UWB7" s="6"/>
      <c r="UWD7" s="6"/>
      <c r="UWF7" s="6"/>
      <c r="UWH7" s="6"/>
      <c r="UWJ7" s="6"/>
      <c r="UWL7" s="6"/>
      <c r="UWN7" s="6"/>
      <c r="UWP7" s="6"/>
      <c r="UWR7" s="6"/>
      <c r="UWT7" s="6"/>
      <c r="UWV7" s="6"/>
      <c r="UWX7" s="6"/>
      <c r="UWZ7" s="6"/>
      <c r="UXB7" s="6"/>
      <c r="UXD7" s="6"/>
      <c r="UXF7" s="6"/>
      <c r="UXH7" s="6"/>
      <c r="UXJ7" s="6"/>
      <c r="UXL7" s="6"/>
      <c r="UXN7" s="6"/>
      <c r="UXP7" s="6"/>
      <c r="UXR7" s="6"/>
      <c r="UXT7" s="6"/>
      <c r="UXV7" s="6"/>
      <c r="UXX7" s="6"/>
      <c r="UXZ7" s="6"/>
      <c r="UYB7" s="6"/>
      <c r="UYD7" s="6"/>
      <c r="UYF7" s="6"/>
      <c r="UYH7" s="6"/>
      <c r="UYJ7" s="6"/>
      <c r="UYL7" s="6"/>
      <c r="UYN7" s="6"/>
      <c r="UYP7" s="6"/>
      <c r="UYR7" s="6"/>
      <c r="UYT7" s="6"/>
      <c r="UYV7" s="6"/>
      <c r="UYX7" s="6"/>
      <c r="UYZ7" s="6"/>
      <c r="UZB7" s="6"/>
      <c r="UZD7" s="6"/>
      <c r="UZF7" s="6"/>
      <c r="UZH7" s="6"/>
      <c r="UZJ7" s="6"/>
      <c r="UZL7" s="6"/>
      <c r="UZN7" s="6"/>
      <c r="UZP7" s="6"/>
      <c r="UZR7" s="6"/>
      <c r="UZT7" s="6"/>
      <c r="UZV7" s="6"/>
      <c r="UZX7" s="6"/>
      <c r="UZZ7" s="6"/>
      <c r="VAB7" s="6"/>
      <c r="VAD7" s="6"/>
      <c r="VAF7" s="6"/>
      <c r="VAH7" s="6"/>
      <c r="VAJ7" s="6"/>
      <c r="VAL7" s="6"/>
      <c r="VAN7" s="6"/>
      <c r="VAP7" s="6"/>
      <c r="VAR7" s="6"/>
      <c r="VAT7" s="6"/>
      <c r="VAV7" s="6"/>
      <c r="VAX7" s="6"/>
      <c r="VAZ7" s="6"/>
      <c r="VBB7" s="6"/>
      <c r="VBD7" s="6"/>
      <c r="VBF7" s="6"/>
      <c r="VBH7" s="6"/>
      <c r="VBJ7" s="6"/>
      <c r="VBL7" s="6"/>
      <c r="VBN7" s="6"/>
      <c r="VBP7" s="6"/>
      <c r="VBR7" s="6"/>
      <c r="VBT7" s="6"/>
      <c r="VBV7" s="6"/>
      <c r="VBX7" s="6"/>
      <c r="VBZ7" s="6"/>
      <c r="VCB7" s="6"/>
      <c r="VCD7" s="6"/>
      <c r="VCF7" s="6"/>
      <c r="VCH7" s="6"/>
      <c r="VCJ7" s="6"/>
      <c r="VCL7" s="6"/>
      <c r="VCN7" s="6"/>
      <c r="VCP7" s="6"/>
      <c r="VCR7" s="6"/>
      <c r="VCT7" s="6"/>
      <c r="VCV7" s="6"/>
      <c r="VCX7" s="6"/>
      <c r="VCZ7" s="6"/>
      <c r="VDB7" s="6"/>
      <c r="VDD7" s="6"/>
      <c r="VDF7" s="6"/>
      <c r="VDH7" s="6"/>
      <c r="VDJ7" s="6"/>
      <c r="VDL7" s="6"/>
      <c r="VDN7" s="6"/>
      <c r="VDP7" s="6"/>
      <c r="VDR7" s="6"/>
      <c r="VDT7" s="6"/>
      <c r="VDV7" s="6"/>
      <c r="VDX7" s="6"/>
      <c r="VDZ7" s="6"/>
      <c r="VEB7" s="6"/>
      <c r="VED7" s="6"/>
      <c r="VEF7" s="6"/>
      <c r="VEH7" s="6"/>
      <c r="VEJ7" s="6"/>
      <c r="VEL7" s="6"/>
      <c r="VEN7" s="6"/>
      <c r="VEP7" s="6"/>
      <c r="VER7" s="6"/>
      <c r="VET7" s="6"/>
      <c r="VEV7" s="6"/>
      <c r="VEX7" s="6"/>
      <c r="VEZ7" s="6"/>
      <c r="VFB7" s="6"/>
      <c r="VFD7" s="6"/>
      <c r="VFF7" s="6"/>
      <c r="VFH7" s="6"/>
      <c r="VFJ7" s="6"/>
      <c r="VFL7" s="6"/>
      <c r="VFN7" s="6"/>
      <c r="VFP7" s="6"/>
      <c r="VFR7" s="6"/>
      <c r="VFT7" s="6"/>
      <c r="VFV7" s="6"/>
      <c r="VFX7" s="6"/>
      <c r="VFZ7" s="6"/>
      <c r="VGB7" s="6"/>
      <c r="VGD7" s="6"/>
      <c r="VGF7" s="6"/>
      <c r="VGH7" s="6"/>
      <c r="VGJ7" s="6"/>
      <c r="VGL7" s="6"/>
      <c r="VGN7" s="6"/>
      <c r="VGP7" s="6"/>
      <c r="VGR7" s="6"/>
      <c r="VGT7" s="6"/>
      <c r="VGV7" s="6"/>
      <c r="VGX7" s="6"/>
      <c r="VGZ7" s="6"/>
      <c r="VHB7" s="6"/>
      <c r="VHD7" s="6"/>
      <c r="VHF7" s="6"/>
      <c r="VHH7" s="6"/>
      <c r="VHJ7" s="6"/>
      <c r="VHL7" s="6"/>
      <c r="VHN7" s="6"/>
      <c r="VHP7" s="6"/>
      <c r="VHR7" s="6"/>
      <c r="VHT7" s="6"/>
      <c r="VHV7" s="6"/>
      <c r="VHX7" s="6"/>
      <c r="VHZ7" s="6"/>
      <c r="VIB7" s="6"/>
      <c r="VID7" s="6"/>
      <c r="VIF7" s="6"/>
      <c r="VIH7" s="6"/>
      <c r="VIJ7" s="6"/>
      <c r="VIL7" s="6"/>
      <c r="VIN7" s="6"/>
      <c r="VIP7" s="6"/>
      <c r="VIR7" s="6"/>
      <c r="VIT7" s="6"/>
      <c r="VIV7" s="6"/>
      <c r="VIX7" s="6"/>
      <c r="VIZ7" s="6"/>
      <c r="VJB7" s="6"/>
      <c r="VJD7" s="6"/>
      <c r="VJF7" s="6"/>
      <c r="VJH7" s="6"/>
      <c r="VJJ7" s="6"/>
      <c r="VJL7" s="6"/>
      <c r="VJN7" s="6"/>
      <c r="VJP7" s="6"/>
      <c r="VJR7" s="6"/>
      <c r="VJT7" s="6"/>
      <c r="VJV7" s="6"/>
      <c r="VJX7" s="6"/>
      <c r="VJZ7" s="6"/>
      <c r="VKB7" s="6"/>
      <c r="VKD7" s="6"/>
      <c r="VKF7" s="6"/>
      <c r="VKH7" s="6"/>
      <c r="VKJ7" s="6"/>
      <c r="VKL7" s="6"/>
      <c r="VKN7" s="6"/>
      <c r="VKP7" s="6"/>
      <c r="VKR7" s="6"/>
      <c r="VKT7" s="6"/>
      <c r="VKV7" s="6"/>
      <c r="VKX7" s="6"/>
      <c r="VKZ7" s="6"/>
      <c r="VLB7" s="6"/>
      <c r="VLD7" s="6"/>
      <c r="VLF7" s="6"/>
      <c r="VLH7" s="6"/>
      <c r="VLJ7" s="6"/>
      <c r="VLL7" s="6"/>
      <c r="VLN7" s="6"/>
      <c r="VLP7" s="6"/>
      <c r="VLR7" s="6"/>
      <c r="VLT7" s="6"/>
      <c r="VLV7" s="6"/>
      <c r="VLX7" s="6"/>
      <c r="VLZ7" s="6"/>
      <c r="VMB7" s="6"/>
      <c r="VMD7" s="6"/>
      <c r="VMF7" s="6"/>
      <c r="VMH7" s="6"/>
      <c r="VMJ7" s="6"/>
      <c r="VML7" s="6"/>
      <c r="VMN7" s="6"/>
      <c r="VMP7" s="6"/>
      <c r="VMR7" s="6"/>
      <c r="VMT7" s="6"/>
      <c r="VMV7" s="6"/>
      <c r="VMX7" s="6"/>
      <c r="VMZ7" s="6"/>
      <c r="VNB7" s="6"/>
      <c r="VND7" s="6"/>
      <c r="VNF7" s="6"/>
      <c r="VNH7" s="6"/>
      <c r="VNJ7" s="6"/>
      <c r="VNL7" s="6"/>
      <c r="VNN7" s="6"/>
      <c r="VNP7" s="6"/>
      <c r="VNR7" s="6"/>
      <c r="VNT7" s="6"/>
      <c r="VNV7" s="6"/>
      <c r="VNX7" s="6"/>
      <c r="VNZ7" s="6"/>
      <c r="VOB7" s="6"/>
      <c r="VOD7" s="6"/>
      <c r="VOF7" s="6"/>
      <c r="VOH7" s="6"/>
      <c r="VOJ7" s="6"/>
      <c r="VOL7" s="6"/>
      <c r="VON7" s="6"/>
      <c r="VOP7" s="6"/>
      <c r="VOR7" s="6"/>
      <c r="VOT7" s="6"/>
      <c r="VOV7" s="6"/>
      <c r="VOX7" s="6"/>
      <c r="VOZ7" s="6"/>
      <c r="VPB7" s="6"/>
      <c r="VPD7" s="6"/>
      <c r="VPF7" s="6"/>
      <c r="VPH7" s="6"/>
      <c r="VPJ7" s="6"/>
      <c r="VPL7" s="6"/>
      <c r="VPN7" s="6"/>
      <c r="VPP7" s="6"/>
      <c r="VPR7" s="6"/>
      <c r="VPT7" s="6"/>
      <c r="VPV7" s="6"/>
      <c r="VPX7" s="6"/>
      <c r="VPZ7" s="6"/>
      <c r="VQB7" s="6"/>
      <c r="VQD7" s="6"/>
      <c r="VQF7" s="6"/>
      <c r="VQH7" s="6"/>
      <c r="VQJ7" s="6"/>
      <c r="VQL7" s="6"/>
      <c r="VQN7" s="6"/>
      <c r="VQP7" s="6"/>
      <c r="VQR7" s="6"/>
      <c r="VQT7" s="6"/>
      <c r="VQV7" s="6"/>
      <c r="VQX7" s="6"/>
      <c r="VQZ7" s="6"/>
      <c r="VRB7" s="6"/>
      <c r="VRD7" s="6"/>
      <c r="VRF7" s="6"/>
      <c r="VRH7" s="6"/>
      <c r="VRJ7" s="6"/>
      <c r="VRL7" s="6"/>
      <c r="VRN7" s="6"/>
      <c r="VRP7" s="6"/>
      <c r="VRR7" s="6"/>
      <c r="VRT7" s="6"/>
      <c r="VRV7" s="6"/>
      <c r="VRX7" s="6"/>
      <c r="VRZ7" s="6"/>
      <c r="VSB7" s="6"/>
      <c r="VSD7" s="6"/>
      <c r="VSF7" s="6"/>
      <c r="VSH7" s="6"/>
      <c r="VSJ7" s="6"/>
      <c r="VSL7" s="6"/>
      <c r="VSN7" s="6"/>
      <c r="VSP7" s="6"/>
      <c r="VSR7" s="6"/>
      <c r="VST7" s="6"/>
      <c r="VSV7" s="6"/>
      <c r="VSX7" s="6"/>
      <c r="VSZ7" s="6"/>
      <c r="VTB7" s="6"/>
      <c r="VTD7" s="6"/>
      <c r="VTF7" s="6"/>
      <c r="VTH7" s="6"/>
      <c r="VTJ7" s="6"/>
      <c r="VTL7" s="6"/>
      <c r="VTN7" s="6"/>
      <c r="VTP7" s="6"/>
      <c r="VTR7" s="6"/>
      <c r="VTT7" s="6"/>
      <c r="VTV7" s="6"/>
      <c r="VTX7" s="6"/>
      <c r="VTZ7" s="6"/>
      <c r="VUB7" s="6"/>
      <c r="VUD7" s="6"/>
      <c r="VUF7" s="6"/>
      <c r="VUH7" s="6"/>
      <c r="VUJ7" s="6"/>
      <c r="VUL7" s="6"/>
      <c r="VUN7" s="6"/>
      <c r="VUP7" s="6"/>
      <c r="VUR7" s="6"/>
      <c r="VUT7" s="6"/>
      <c r="VUV7" s="6"/>
      <c r="VUX7" s="6"/>
      <c r="VUZ7" s="6"/>
      <c r="VVB7" s="6"/>
      <c r="VVD7" s="6"/>
      <c r="VVF7" s="6"/>
      <c r="VVH7" s="6"/>
      <c r="VVJ7" s="6"/>
      <c r="VVL7" s="6"/>
      <c r="VVN7" s="6"/>
      <c r="VVP7" s="6"/>
      <c r="VVR7" s="6"/>
      <c r="VVT7" s="6"/>
      <c r="VVV7" s="6"/>
      <c r="VVX7" s="6"/>
      <c r="VVZ7" s="6"/>
      <c r="VWB7" s="6"/>
      <c r="VWD7" s="6"/>
      <c r="VWF7" s="6"/>
      <c r="VWH7" s="6"/>
      <c r="VWJ7" s="6"/>
      <c r="VWL7" s="6"/>
      <c r="VWN7" s="6"/>
      <c r="VWP7" s="6"/>
      <c r="VWR7" s="6"/>
      <c r="VWT7" s="6"/>
      <c r="VWV7" s="6"/>
      <c r="VWX7" s="6"/>
      <c r="VWZ7" s="6"/>
      <c r="VXB7" s="6"/>
      <c r="VXD7" s="6"/>
      <c r="VXF7" s="6"/>
      <c r="VXH7" s="6"/>
      <c r="VXJ7" s="6"/>
      <c r="VXL7" s="6"/>
      <c r="VXN7" s="6"/>
      <c r="VXP7" s="6"/>
      <c r="VXR7" s="6"/>
      <c r="VXT7" s="6"/>
      <c r="VXV7" s="6"/>
      <c r="VXX7" s="6"/>
      <c r="VXZ7" s="6"/>
      <c r="VYB7" s="6"/>
      <c r="VYD7" s="6"/>
      <c r="VYF7" s="6"/>
      <c r="VYH7" s="6"/>
      <c r="VYJ7" s="6"/>
      <c r="VYL7" s="6"/>
      <c r="VYN7" s="6"/>
      <c r="VYP7" s="6"/>
      <c r="VYR7" s="6"/>
      <c r="VYT7" s="6"/>
      <c r="VYV7" s="6"/>
      <c r="VYX7" s="6"/>
      <c r="VYZ7" s="6"/>
      <c r="VZB7" s="6"/>
      <c r="VZD7" s="6"/>
      <c r="VZF7" s="6"/>
      <c r="VZH7" s="6"/>
      <c r="VZJ7" s="6"/>
      <c r="VZL7" s="6"/>
      <c r="VZN7" s="6"/>
      <c r="VZP7" s="6"/>
      <c r="VZR7" s="6"/>
      <c r="VZT7" s="6"/>
      <c r="VZV7" s="6"/>
      <c r="VZX7" s="6"/>
      <c r="VZZ7" s="6"/>
      <c r="WAB7" s="6"/>
      <c r="WAD7" s="6"/>
      <c r="WAF7" s="6"/>
      <c r="WAH7" s="6"/>
      <c r="WAJ7" s="6"/>
      <c r="WAL7" s="6"/>
      <c r="WAN7" s="6"/>
      <c r="WAP7" s="6"/>
      <c r="WAR7" s="6"/>
      <c r="WAT7" s="6"/>
      <c r="WAV7" s="6"/>
      <c r="WAX7" s="6"/>
      <c r="WAZ7" s="6"/>
      <c r="WBB7" s="6"/>
      <c r="WBD7" s="6"/>
      <c r="WBF7" s="6"/>
      <c r="WBH7" s="6"/>
      <c r="WBJ7" s="6"/>
      <c r="WBL7" s="6"/>
      <c r="WBN7" s="6"/>
      <c r="WBP7" s="6"/>
      <c r="WBR7" s="6"/>
      <c r="WBT7" s="6"/>
      <c r="WBV7" s="6"/>
      <c r="WBX7" s="6"/>
      <c r="WBZ7" s="6"/>
      <c r="WCB7" s="6"/>
      <c r="WCD7" s="6"/>
      <c r="WCF7" s="6"/>
      <c r="WCH7" s="6"/>
      <c r="WCJ7" s="6"/>
      <c r="WCL7" s="6"/>
      <c r="WCN7" s="6"/>
      <c r="WCP7" s="6"/>
      <c r="WCR7" s="6"/>
      <c r="WCT7" s="6"/>
      <c r="WCV7" s="6"/>
      <c r="WCX7" s="6"/>
      <c r="WCZ7" s="6"/>
      <c r="WDB7" s="6"/>
      <c r="WDD7" s="6"/>
      <c r="WDF7" s="6"/>
      <c r="WDH7" s="6"/>
      <c r="WDJ7" s="6"/>
      <c r="WDL7" s="6"/>
      <c r="WDN7" s="6"/>
      <c r="WDP7" s="6"/>
      <c r="WDR7" s="6"/>
      <c r="WDT7" s="6"/>
      <c r="WDV7" s="6"/>
      <c r="WDX7" s="6"/>
      <c r="WDZ7" s="6"/>
      <c r="WEB7" s="6"/>
      <c r="WED7" s="6"/>
      <c r="WEF7" s="6"/>
      <c r="WEH7" s="6"/>
      <c r="WEJ7" s="6"/>
      <c r="WEL7" s="6"/>
      <c r="WEN7" s="6"/>
      <c r="WEP7" s="6"/>
      <c r="WER7" s="6"/>
      <c r="WET7" s="6"/>
      <c r="WEV7" s="6"/>
      <c r="WEX7" s="6"/>
      <c r="WEZ7" s="6"/>
      <c r="WFB7" s="6"/>
      <c r="WFD7" s="6"/>
      <c r="WFF7" s="6"/>
      <c r="WFH7" s="6"/>
      <c r="WFJ7" s="6"/>
      <c r="WFL7" s="6"/>
      <c r="WFN7" s="6"/>
      <c r="WFP7" s="6"/>
      <c r="WFR7" s="6"/>
      <c r="WFT7" s="6"/>
      <c r="WFV7" s="6"/>
      <c r="WFX7" s="6"/>
      <c r="WFZ7" s="6"/>
      <c r="WGB7" s="6"/>
      <c r="WGD7" s="6"/>
      <c r="WGF7" s="6"/>
      <c r="WGH7" s="6"/>
      <c r="WGJ7" s="6"/>
      <c r="WGL7" s="6"/>
      <c r="WGN7" s="6"/>
      <c r="WGP7" s="6"/>
      <c r="WGR7" s="6"/>
      <c r="WGT7" s="6"/>
      <c r="WGV7" s="6"/>
      <c r="WGX7" s="6"/>
      <c r="WGZ7" s="6"/>
      <c r="WHB7" s="6"/>
      <c r="WHD7" s="6"/>
      <c r="WHF7" s="6"/>
      <c r="WHH7" s="6"/>
      <c r="WHJ7" s="6"/>
      <c r="WHL7" s="6"/>
      <c r="WHN7" s="6"/>
      <c r="WHP7" s="6"/>
      <c r="WHR7" s="6"/>
      <c r="WHT7" s="6"/>
      <c r="WHV7" s="6"/>
      <c r="WHX7" s="6"/>
      <c r="WHZ7" s="6"/>
      <c r="WIB7" s="6"/>
      <c r="WID7" s="6"/>
      <c r="WIF7" s="6"/>
      <c r="WIH7" s="6"/>
      <c r="WIJ7" s="6"/>
      <c r="WIL7" s="6"/>
      <c r="WIN7" s="6"/>
      <c r="WIP7" s="6"/>
      <c r="WIR7" s="6"/>
      <c r="WIT7" s="6"/>
      <c r="WIV7" s="6"/>
      <c r="WIX7" s="6"/>
      <c r="WIZ7" s="6"/>
      <c r="WJB7" s="6"/>
      <c r="WJD7" s="6"/>
      <c r="WJF7" s="6"/>
      <c r="WJH7" s="6"/>
      <c r="WJJ7" s="6"/>
      <c r="WJL7" s="6"/>
      <c r="WJN7" s="6"/>
      <c r="WJP7" s="6"/>
      <c r="WJR7" s="6"/>
      <c r="WJT7" s="6"/>
      <c r="WJV7" s="6"/>
      <c r="WJX7" s="6"/>
      <c r="WJZ7" s="6"/>
      <c r="WKB7" s="6"/>
      <c r="WKD7" s="6"/>
      <c r="WKF7" s="6"/>
      <c r="WKH7" s="6"/>
      <c r="WKJ7" s="6"/>
      <c r="WKL7" s="6"/>
      <c r="WKN7" s="6"/>
      <c r="WKP7" s="6"/>
      <c r="WKR7" s="6"/>
      <c r="WKT7" s="6"/>
      <c r="WKV7" s="6"/>
      <c r="WKX7" s="6"/>
      <c r="WKZ7" s="6"/>
      <c r="WLB7" s="6"/>
      <c r="WLD7" s="6"/>
      <c r="WLF7" s="6"/>
      <c r="WLH7" s="6"/>
      <c r="WLJ7" s="6"/>
      <c r="WLL7" s="6"/>
      <c r="WLN7" s="6"/>
      <c r="WLP7" s="6"/>
      <c r="WLR7" s="6"/>
      <c r="WLT7" s="6"/>
      <c r="WLV7" s="6"/>
      <c r="WLX7" s="6"/>
      <c r="WLZ7" s="6"/>
      <c r="WMB7" s="6"/>
      <c r="WMD7" s="6"/>
      <c r="WMF7" s="6"/>
      <c r="WMH7" s="6"/>
      <c r="WMJ7" s="6"/>
      <c r="WML7" s="6"/>
      <c r="WMN7" s="6"/>
      <c r="WMP7" s="6"/>
      <c r="WMR7" s="6"/>
      <c r="WMT7" s="6"/>
      <c r="WMV7" s="6"/>
      <c r="WMX7" s="6"/>
      <c r="WMZ7" s="6"/>
      <c r="WNB7" s="6"/>
      <c r="WND7" s="6"/>
      <c r="WNF7" s="6"/>
      <c r="WNH7" s="6"/>
      <c r="WNJ7" s="6"/>
      <c r="WNL7" s="6"/>
      <c r="WNN7" s="6"/>
      <c r="WNP7" s="6"/>
      <c r="WNR7" s="6"/>
      <c r="WNT7" s="6"/>
      <c r="WNV7" s="6"/>
      <c r="WNX7" s="6"/>
      <c r="WNZ7" s="6"/>
      <c r="WOB7" s="6"/>
      <c r="WOD7" s="6"/>
      <c r="WOF7" s="6"/>
      <c r="WOH7" s="6"/>
      <c r="WOJ7" s="6"/>
      <c r="WOL7" s="6"/>
      <c r="WON7" s="6"/>
      <c r="WOP7" s="6"/>
      <c r="WOR7" s="6"/>
      <c r="WOT7" s="6"/>
      <c r="WOV7" s="6"/>
      <c r="WOX7" s="6"/>
      <c r="WOZ7" s="6"/>
      <c r="WPB7" s="6"/>
      <c r="WPD7" s="6"/>
      <c r="WPF7" s="6"/>
      <c r="WPH7" s="6"/>
      <c r="WPJ7" s="6"/>
      <c r="WPL7" s="6"/>
      <c r="WPN7" s="6"/>
      <c r="WPP7" s="6"/>
      <c r="WPR7" s="6"/>
      <c r="WPT7" s="6"/>
      <c r="WPV7" s="6"/>
      <c r="WPX7" s="6"/>
      <c r="WPZ7" s="6"/>
      <c r="WQB7" s="6"/>
      <c r="WQD7" s="6"/>
      <c r="WQF7" s="6"/>
      <c r="WQH7" s="6"/>
      <c r="WQJ7" s="6"/>
      <c r="WQL7" s="6"/>
      <c r="WQN7" s="6"/>
      <c r="WQP7" s="6"/>
      <c r="WQR7" s="6"/>
      <c r="WQT7" s="6"/>
      <c r="WQV7" s="6"/>
      <c r="WQX7" s="6"/>
      <c r="WQZ7" s="6"/>
      <c r="WRB7" s="6"/>
      <c r="WRD7" s="6"/>
      <c r="WRF7" s="6"/>
      <c r="WRH7" s="6"/>
      <c r="WRJ7" s="6"/>
      <c r="WRL7" s="6"/>
      <c r="WRN7" s="6"/>
      <c r="WRP7" s="6"/>
      <c r="WRR7" s="6"/>
      <c r="WRT7" s="6"/>
      <c r="WRV7" s="6"/>
      <c r="WRX7" s="6"/>
      <c r="WRZ7" s="6"/>
      <c r="WSB7" s="6"/>
      <c r="WSD7" s="6"/>
      <c r="WSF7" s="6"/>
      <c r="WSH7" s="6"/>
      <c r="WSJ7" s="6"/>
      <c r="WSL7" s="6"/>
      <c r="WSN7" s="6"/>
      <c r="WSP7" s="6"/>
      <c r="WSR7" s="6"/>
      <c r="WST7" s="6"/>
      <c r="WSV7" s="6"/>
      <c r="WSX7" s="6"/>
      <c r="WSZ7" s="6"/>
      <c r="WTB7" s="6"/>
      <c r="WTD7" s="6"/>
      <c r="WTF7" s="6"/>
      <c r="WTH7" s="6"/>
      <c r="WTJ7" s="6"/>
      <c r="WTL7" s="6"/>
      <c r="WTN7" s="6"/>
      <c r="WTP7" s="6"/>
      <c r="WTR7" s="6"/>
      <c r="WTT7" s="6"/>
      <c r="WTV7" s="6"/>
      <c r="WTX7" s="6"/>
      <c r="WTZ7" s="6"/>
      <c r="WUB7" s="6"/>
      <c r="WUD7" s="6"/>
      <c r="WUF7" s="6"/>
      <c r="WUH7" s="6"/>
      <c r="WUJ7" s="6"/>
      <c r="WUL7" s="6"/>
      <c r="WUN7" s="6"/>
      <c r="WUP7" s="6"/>
      <c r="WUR7" s="6"/>
      <c r="WUT7" s="6"/>
      <c r="WUV7" s="6"/>
      <c r="WUX7" s="6"/>
      <c r="WUZ7" s="6"/>
      <c r="WVB7" s="6"/>
      <c r="WVD7" s="6"/>
      <c r="WVF7" s="6"/>
      <c r="WVH7" s="6"/>
      <c r="WVJ7" s="6"/>
      <c r="WVL7" s="6"/>
      <c r="WVN7" s="6"/>
      <c r="WVP7" s="6"/>
      <c r="WVR7" s="6"/>
      <c r="WVT7" s="6"/>
      <c r="WVV7" s="6"/>
      <c r="WVX7" s="6"/>
      <c r="WVZ7" s="6"/>
      <c r="WWB7" s="6"/>
      <c r="WWD7" s="6"/>
      <c r="WWF7" s="6"/>
      <c r="WWH7" s="6"/>
      <c r="WWJ7" s="6"/>
      <c r="WWL7" s="6"/>
      <c r="WWN7" s="6"/>
      <c r="WWP7" s="6"/>
      <c r="WWR7" s="6"/>
      <c r="WWT7" s="6"/>
      <c r="WWV7" s="6"/>
      <c r="WWX7" s="6"/>
      <c r="WWZ7" s="6"/>
      <c r="WXB7" s="6"/>
      <c r="WXD7" s="6"/>
      <c r="WXF7" s="6"/>
      <c r="WXH7" s="6"/>
      <c r="WXJ7" s="6"/>
      <c r="WXL7" s="6"/>
      <c r="WXN7" s="6"/>
      <c r="WXP7" s="6"/>
      <c r="WXR7" s="6"/>
      <c r="WXT7" s="6"/>
      <c r="WXV7" s="6"/>
      <c r="WXX7" s="6"/>
      <c r="WXZ7" s="6"/>
      <c r="WYB7" s="6"/>
      <c r="WYD7" s="6"/>
      <c r="WYF7" s="6"/>
      <c r="WYH7" s="6"/>
      <c r="WYJ7" s="6"/>
      <c r="WYL7" s="6"/>
      <c r="WYN7" s="6"/>
      <c r="WYP7" s="6"/>
      <c r="WYR7" s="6"/>
      <c r="WYT7" s="6"/>
      <c r="WYV7" s="6"/>
      <c r="WYX7" s="6"/>
      <c r="WYZ7" s="6"/>
      <c r="WZB7" s="6"/>
      <c r="WZD7" s="6"/>
      <c r="WZF7" s="6"/>
      <c r="WZH7" s="6"/>
      <c r="WZJ7" s="6"/>
      <c r="WZL7" s="6"/>
      <c r="WZN7" s="6"/>
      <c r="WZP7" s="6"/>
      <c r="WZR7" s="6"/>
      <c r="WZT7" s="6"/>
      <c r="WZV7" s="6"/>
      <c r="WZX7" s="6"/>
      <c r="WZZ7" s="6"/>
      <c r="XAB7" s="6"/>
      <c r="XAD7" s="6"/>
      <c r="XAF7" s="6"/>
      <c r="XAH7" s="6"/>
      <c r="XAJ7" s="6"/>
      <c r="XAL7" s="6"/>
      <c r="XAN7" s="6"/>
      <c r="XAP7" s="6"/>
      <c r="XAR7" s="6"/>
      <c r="XAT7" s="6"/>
      <c r="XAV7" s="6"/>
      <c r="XAX7" s="6"/>
      <c r="XAZ7" s="6"/>
      <c r="XBB7" s="6"/>
      <c r="XBD7" s="6"/>
      <c r="XBF7" s="6"/>
      <c r="XBH7" s="6"/>
      <c r="XBJ7" s="6"/>
      <c r="XBL7" s="6"/>
      <c r="XBN7" s="6"/>
      <c r="XBP7" s="6"/>
      <c r="XBR7" s="6"/>
      <c r="XBT7" s="6"/>
      <c r="XBV7" s="6"/>
      <c r="XBX7" s="6"/>
      <c r="XBZ7" s="6"/>
      <c r="XCB7" s="6"/>
      <c r="XCD7" s="6"/>
      <c r="XCF7" s="6"/>
      <c r="XCH7" s="6"/>
      <c r="XCJ7" s="6"/>
      <c r="XCL7" s="6"/>
      <c r="XCN7" s="6"/>
      <c r="XCP7" s="6"/>
      <c r="XCR7" s="6"/>
      <c r="XCT7" s="6"/>
      <c r="XCV7" s="6"/>
      <c r="XCX7" s="6"/>
      <c r="XCZ7" s="6"/>
      <c r="XDB7" s="6"/>
      <c r="XDD7" s="6"/>
      <c r="XDF7" s="6"/>
      <c r="XDH7" s="6"/>
      <c r="XDJ7" s="6"/>
      <c r="XDL7" s="6"/>
      <c r="XDN7" s="6"/>
      <c r="XDP7" s="6"/>
      <c r="XDR7" s="6"/>
      <c r="XDT7" s="6"/>
      <c r="XDV7" s="6"/>
      <c r="XDX7" s="6"/>
      <c r="XDZ7" s="6"/>
      <c r="XEB7" s="6"/>
      <c r="XED7" s="6"/>
      <c r="XEF7" s="6"/>
      <c r="XEH7" s="6"/>
      <c r="XEJ7" s="6"/>
      <c r="XEL7" s="6"/>
      <c r="XEN7" s="6"/>
      <c r="XEP7" s="6"/>
      <c r="XER7" s="6"/>
      <c r="XET7" s="6"/>
      <c r="XEV7" s="6"/>
      <c r="XEX7" s="6"/>
      <c r="XEZ7" s="6"/>
      <c r="XFB7" s="6"/>
      <c r="XFD7" s="6"/>
    </row>
    <row r="8" spans="1:1024 1026:2048 2050:3072 3074:4096 4098:5120 5122:6144 6146:7168 7170:8192 8194:9216 9218:10240 10242:11264 11266:12288 12290:13312 13314:14336 14338:15360 15362:16384" x14ac:dyDescent="0.25">
      <c r="A8" s="2" t="s">
        <v>83</v>
      </c>
      <c r="B8" s="3">
        <f>12494.09/1000</f>
        <v>12.49409</v>
      </c>
      <c r="D8" s="6"/>
      <c r="F8" s="6"/>
      <c r="H8" s="6"/>
      <c r="J8" s="6"/>
      <c r="L8" s="6"/>
      <c r="N8" s="6"/>
      <c r="P8" s="6"/>
      <c r="R8" s="6"/>
      <c r="T8" s="6"/>
      <c r="V8" s="6"/>
      <c r="X8" s="6"/>
      <c r="Z8" s="6"/>
      <c r="AB8" s="6"/>
      <c r="AD8" s="6"/>
      <c r="AF8" s="6"/>
      <c r="AH8" s="6"/>
      <c r="AJ8" s="6"/>
      <c r="AL8" s="6"/>
      <c r="AN8" s="6"/>
      <c r="AP8" s="6"/>
      <c r="AR8" s="6"/>
      <c r="AT8" s="6"/>
      <c r="AV8" s="6"/>
      <c r="AX8" s="6"/>
      <c r="AZ8" s="6"/>
      <c r="BB8" s="6"/>
      <c r="BD8" s="6"/>
      <c r="BF8" s="6"/>
      <c r="BH8" s="6"/>
      <c r="BJ8" s="6"/>
      <c r="BL8" s="6"/>
      <c r="BN8" s="6"/>
      <c r="BP8" s="6"/>
      <c r="BR8" s="6"/>
      <c r="BT8" s="6"/>
      <c r="BV8" s="6"/>
      <c r="BX8" s="6"/>
      <c r="BZ8" s="6"/>
      <c r="CB8" s="6"/>
      <c r="CD8" s="6"/>
      <c r="CF8" s="6"/>
      <c r="CH8" s="6"/>
      <c r="CJ8" s="6"/>
      <c r="CL8" s="6"/>
      <c r="CN8" s="6"/>
      <c r="CP8" s="6"/>
      <c r="CR8" s="6"/>
      <c r="CT8" s="6"/>
      <c r="CV8" s="6"/>
      <c r="CX8" s="6"/>
      <c r="CZ8" s="6"/>
      <c r="DB8" s="6"/>
      <c r="DD8" s="6"/>
      <c r="DF8" s="6"/>
      <c r="DH8" s="6"/>
      <c r="DJ8" s="6"/>
      <c r="DL8" s="6"/>
      <c r="DN8" s="6"/>
      <c r="DP8" s="6"/>
      <c r="DR8" s="6"/>
      <c r="DT8" s="6"/>
      <c r="DV8" s="6"/>
      <c r="DX8" s="6"/>
      <c r="DZ8" s="6"/>
      <c r="EB8" s="6"/>
      <c r="ED8" s="6"/>
      <c r="EF8" s="6"/>
      <c r="EH8" s="6"/>
      <c r="EJ8" s="6"/>
      <c r="EL8" s="6"/>
      <c r="EN8" s="6"/>
      <c r="EP8" s="6"/>
      <c r="ER8" s="6"/>
      <c r="ET8" s="6"/>
      <c r="EV8" s="6"/>
      <c r="EX8" s="6"/>
      <c r="EZ8" s="6"/>
      <c r="FB8" s="6"/>
      <c r="FD8" s="6"/>
      <c r="FF8" s="6"/>
      <c r="FH8" s="6"/>
      <c r="FJ8" s="6"/>
      <c r="FL8" s="6"/>
      <c r="FN8" s="6"/>
      <c r="FP8" s="6"/>
      <c r="FR8" s="6"/>
      <c r="FT8" s="6"/>
      <c r="FV8" s="6"/>
      <c r="FX8" s="6"/>
      <c r="FZ8" s="6"/>
      <c r="GB8" s="6"/>
      <c r="GD8" s="6"/>
      <c r="GF8" s="6"/>
      <c r="GH8" s="6"/>
      <c r="GJ8" s="6"/>
      <c r="GL8" s="6"/>
      <c r="GN8" s="6"/>
      <c r="GP8" s="6"/>
      <c r="GR8" s="6"/>
      <c r="GT8" s="6"/>
      <c r="GV8" s="6"/>
      <c r="GX8" s="6"/>
      <c r="GZ8" s="6"/>
      <c r="HB8" s="6"/>
      <c r="HD8" s="6"/>
      <c r="HF8" s="6"/>
      <c r="HH8" s="6"/>
      <c r="HJ8" s="6"/>
      <c r="HL8" s="6"/>
      <c r="HN8" s="6"/>
      <c r="HP8" s="6"/>
      <c r="HR8" s="6"/>
      <c r="HT8" s="6"/>
      <c r="HV8" s="6"/>
      <c r="HX8" s="6"/>
      <c r="HZ8" s="6"/>
      <c r="IB8" s="6"/>
      <c r="ID8" s="6"/>
      <c r="IF8" s="6"/>
      <c r="IH8" s="6"/>
      <c r="IJ8" s="6"/>
      <c r="IL8" s="6"/>
      <c r="IN8" s="6"/>
      <c r="IP8" s="6"/>
      <c r="IR8" s="6"/>
      <c r="IT8" s="6"/>
      <c r="IV8" s="6"/>
      <c r="IX8" s="6"/>
      <c r="IZ8" s="6"/>
      <c r="JB8" s="6"/>
      <c r="JD8" s="6"/>
      <c r="JF8" s="6"/>
      <c r="JH8" s="6"/>
      <c r="JJ8" s="6"/>
      <c r="JL8" s="6"/>
      <c r="JN8" s="6"/>
      <c r="JP8" s="6"/>
      <c r="JR8" s="6"/>
      <c r="JT8" s="6"/>
      <c r="JV8" s="6"/>
      <c r="JX8" s="6"/>
      <c r="JZ8" s="6"/>
      <c r="KB8" s="6"/>
      <c r="KD8" s="6"/>
      <c r="KF8" s="6"/>
      <c r="KH8" s="6"/>
      <c r="KJ8" s="6"/>
      <c r="KL8" s="6"/>
      <c r="KN8" s="6"/>
      <c r="KP8" s="6"/>
      <c r="KR8" s="6"/>
      <c r="KT8" s="6"/>
      <c r="KV8" s="6"/>
      <c r="KX8" s="6"/>
      <c r="KZ8" s="6"/>
      <c r="LB8" s="6"/>
      <c r="LD8" s="6"/>
      <c r="LF8" s="6"/>
      <c r="LH8" s="6"/>
      <c r="LJ8" s="6"/>
      <c r="LL8" s="6"/>
      <c r="LN8" s="6"/>
      <c r="LP8" s="6"/>
      <c r="LR8" s="6"/>
      <c r="LT8" s="6"/>
      <c r="LV8" s="6"/>
      <c r="LX8" s="6"/>
      <c r="LZ8" s="6"/>
      <c r="MB8" s="6"/>
      <c r="MD8" s="6"/>
      <c r="MF8" s="6"/>
      <c r="MH8" s="6"/>
      <c r="MJ8" s="6"/>
      <c r="ML8" s="6"/>
      <c r="MN8" s="6"/>
      <c r="MP8" s="6"/>
      <c r="MR8" s="6"/>
      <c r="MT8" s="6"/>
      <c r="MV8" s="6"/>
      <c r="MX8" s="6"/>
      <c r="MZ8" s="6"/>
      <c r="NB8" s="6"/>
      <c r="ND8" s="6"/>
      <c r="NF8" s="6"/>
      <c r="NH8" s="6"/>
      <c r="NJ8" s="6"/>
      <c r="NL8" s="6"/>
      <c r="NN8" s="6"/>
      <c r="NP8" s="6"/>
      <c r="NR8" s="6"/>
      <c r="NT8" s="6"/>
      <c r="NV8" s="6"/>
      <c r="NX8" s="6"/>
      <c r="NZ8" s="6"/>
      <c r="OB8" s="6"/>
      <c r="OD8" s="6"/>
      <c r="OF8" s="6"/>
      <c r="OH8" s="6"/>
      <c r="OJ8" s="6"/>
      <c r="OL8" s="6"/>
      <c r="ON8" s="6"/>
      <c r="OP8" s="6"/>
      <c r="OR8" s="6"/>
      <c r="OT8" s="6"/>
      <c r="OV8" s="6"/>
      <c r="OX8" s="6"/>
      <c r="OZ8" s="6"/>
      <c r="PB8" s="6"/>
      <c r="PD8" s="6"/>
      <c r="PF8" s="6"/>
      <c r="PH8" s="6"/>
      <c r="PJ8" s="6"/>
      <c r="PL8" s="6"/>
      <c r="PN8" s="6"/>
      <c r="PP8" s="6"/>
      <c r="PR8" s="6"/>
      <c r="PT8" s="6"/>
      <c r="PV8" s="6"/>
      <c r="PX8" s="6"/>
      <c r="PZ8" s="6"/>
      <c r="QB8" s="6"/>
      <c r="QD8" s="6"/>
      <c r="QF8" s="6"/>
      <c r="QH8" s="6"/>
      <c r="QJ8" s="6"/>
      <c r="QL8" s="6"/>
      <c r="QN8" s="6"/>
      <c r="QP8" s="6"/>
      <c r="QR8" s="6"/>
      <c r="QT8" s="6"/>
      <c r="QV8" s="6"/>
      <c r="QX8" s="6"/>
      <c r="QZ8" s="6"/>
      <c r="RB8" s="6"/>
      <c r="RD8" s="6"/>
      <c r="RF8" s="6"/>
      <c r="RH8" s="6"/>
      <c r="RJ8" s="6"/>
      <c r="RL8" s="6"/>
      <c r="RN8" s="6"/>
      <c r="RP8" s="6"/>
      <c r="RR8" s="6"/>
      <c r="RT8" s="6"/>
      <c r="RV8" s="6"/>
      <c r="RX8" s="6"/>
      <c r="RZ8" s="6"/>
      <c r="SB8" s="6"/>
      <c r="SD8" s="6"/>
      <c r="SF8" s="6"/>
      <c r="SH8" s="6"/>
      <c r="SJ8" s="6"/>
      <c r="SL8" s="6"/>
      <c r="SN8" s="6"/>
      <c r="SP8" s="6"/>
      <c r="SR8" s="6"/>
      <c r="ST8" s="6"/>
      <c r="SV8" s="6"/>
      <c r="SX8" s="6"/>
      <c r="SZ8" s="6"/>
      <c r="TB8" s="6"/>
      <c r="TD8" s="6"/>
      <c r="TF8" s="6"/>
      <c r="TH8" s="6"/>
      <c r="TJ8" s="6"/>
      <c r="TL8" s="6"/>
      <c r="TN8" s="6"/>
      <c r="TP8" s="6"/>
      <c r="TR8" s="6"/>
      <c r="TT8" s="6"/>
      <c r="TV8" s="6"/>
      <c r="TX8" s="6"/>
      <c r="TZ8" s="6"/>
      <c r="UB8" s="6"/>
      <c r="UD8" s="6"/>
      <c r="UF8" s="6"/>
      <c r="UH8" s="6"/>
      <c r="UJ8" s="6"/>
      <c r="UL8" s="6"/>
      <c r="UN8" s="6"/>
      <c r="UP8" s="6"/>
      <c r="UR8" s="6"/>
      <c r="UT8" s="6"/>
      <c r="UV8" s="6"/>
      <c r="UX8" s="6"/>
      <c r="UZ8" s="6"/>
      <c r="VB8" s="6"/>
      <c r="VD8" s="6"/>
      <c r="VF8" s="6"/>
      <c r="VH8" s="6"/>
      <c r="VJ8" s="6"/>
      <c r="VL8" s="6"/>
      <c r="VN8" s="6"/>
      <c r="VP8" s="6"/>
      <c r="VR8" s="6"/>
      <c r="VT8" s="6"/>
      <c r="VV8" s="6"/>
      <c r="VX8" s="6"/>
      <c r="VZ8" s="6"/>
      <c r="WB8" s="6"/>
      <c r="WD8" s="6"/>
      <c r="WF8" s="6"/>
      <c r="WH8" s="6"/>
      <c r="WJ8" s="6"/>
      <c r="WL8" s="6"/>
      <c r="WN8" s="6"/>
      <c r="WP8" s="6"/>
      <c r="WR8" s="6"/>
      <c r="WT8" s="6"/>
      <c r="WV8" s="6"/>
      <c r="WX8" s="6"/>
      <c r="WZ8" s="6"/>
      <c r="XB8" s="6"/>
      <c r="XD8" s="6"/>
      <c r="XF8" s="6"/>
      <c r="XH8" s="6"/>
      <c r="XJ8" s="6"/>
      <c r="XL8" s="6"/>
      <c r="XN8" s="6"/>
      <c r="XP8" s="6"/>
      <c r="XR8" s="6"/>
      <c r="XT8" s="6"/>
      <c r="XV8" s="6"/>
      <c r="XX8" s="6"/>
      <c r="XZ8" s="6"/>
      <c r="YB8" s="6"/>
      <c r="YD8" s="6"/>
      <c r="YF8" s="6"/>
      <c r="YH8" s="6"/>
      <c r="YJ8" s="6"/>
      <c r="YL8" s="6"/>
      <c r="YN8" s="6"/>
      <c r="YP8" s="6"/>
      <c r="YR8" s="6"/>
      <c r="YT8" s="6"/>
      <c r="YV8" s="6"/>
      <c r="YX8" s="6"/>
      <c r="YZ8" s="6"/>
      <c r="ZB8" s="6"/>
      <c r="ZD8" s="6"/>
      <c r="ZF8" s="6"/>
      <c r="ZH8" s="6"/>
      <c r="ZJ8" s="6"/>
      <c r="ZL8" s="6"/>
      <c r="ZN8" s="6"/>
      <c r="ZP8" s="6"/>
      <c r="ZR8" s="6"/>
      <c r="ZT8" s="6"/>
      <c r="ZV8" s="6"/>
      <c r="ZX8" s="6"/>
      <c r="ZZ8" s="6"/>
      <c r="AAB8" s="6"/>
      <c r="AAD8" s="6"/>
      <c r="AAF8" s="6"/>
      <c r="AAH8" s="6"/>
      <c r="AAJ8" s="6"/>
      <c r="AAL8" s="6"/>
      <c r="AAN8" s="6"/>
      <c r="AAP8" s="6"/>
      <c r="AAR8" s="6"/>
      <c r="AAT8" s="6"/>
      <c r="AAV8" s="6"/>
      <c r="AAX8" s="6"/>
      <c r="AAZ8" s="6"/>
      <c r="ABB8" s="6"/>
      <c r="ABD8" s="6"/>
      <c r="ABF8" s="6"/>
      <c r="ABH8" s="6"/>
      <c r="ABJ8" s="6"/>
      <c r="ABL8" s="6"/>
      <c r="ABN8" s="6"/>
      <c r="ABP8" s="6"/>
      <c r="ABR8" s="6"/>
      <c r="ABT8" s="6"/>
      <c r="ABV8" s="6"/>
      <c r="ABX8" s="6"/>
      <c r="ABZ8" s="6"/>
      <c r="ACB8" s="6"/>
      <c r="ACD8" s="6"/>
      <c r="ACF8" s="6"/>
      <c r="ACH8" s="6"/>
      <c r="ACJ8" s="6"/>
      <c r="ACL8" s="6"/>
      <c r="ACN8" s="6"/>
      <c r="ACP8" s="6"/>
      <c r="ACR8" s="6"/>
      <c r="ACT8" s="6"/>
      <c r="ACV8" s="6"/>
      <c r="ACX8" s="6"/>
      <c r="ACZ8" s="6"/>
      <c r="ADB8" s="6"/>
      <c r="ADD8" s="6"/>
      <c r="ADF8" s="6"/>
      <c r="ADH8" s="6"/>
      <c r="ADJ8" s="6"/>
      <c r="ADL8" s="6"/>
      <c r="ADN8" s="6"/>
      <c r="ADP8" s="6"/>
      <c r="ADR8" s="6"/>
      <c r="ADT8" s="6"/>
      <c r="ADV8" s="6"/>
      <c r="ADX8" s="6"/>
      <c r="ADZ8" s="6"/>
      <c r="AEB8" s="6"/>
      <c r="AED8" s="6"/>
      <c r="AEF8" s="6"/>
      <c r="AEH8" s="6"/>
      <c r="AEJ8" s="6"/>
      <c r="AEL8" s="6"/>
      <c r="AEN8" s="6"/>
      <c r="AEP8" s="6"/>
      <c r="AER8" s="6"/>
      <c r="AET8" s="6"/>
      <c r="AEV8" s="6"/>
      <c r="AEX8" s="6"/>
      <c r="AEZ8" s="6"/>
      <c r="AFB8" s="6"/>
      <c r="AFD8" s="6"/>
      <c r="AFF8" s="6"/>
      <c r="AFH8" s="6"/>
      <c r="AFJ8" s="6"/>
      <c r="AFL8" s="6"/>
      <c r="AFN8" s="6"/>
      <c r="AFP8" s="6"/>
      <c r="AFR8" s="6"/>
      <c r="AFT8" s="6"/>
      <c r="AFV8" s="6"/>
      <c r="AFX8" s="6"/>
      <c r="AFZ8" s="6"/>
      <c r="AGB8" s="6"/>
      <c r="AGD8" s="6"/>
      <c r="AGF8" s="6"/>
      <c r="AGH8" s="6"/>
      <c r="AGJ8" s="6"/>
      <c r="AGL8" s="6"/>
      <c r="AGN8" s="6"/>
      <c r="AGP8" s="6"/>
      <c r="AGR8" s="6"/>
      <c r="AGT8" s="6"/>
      <c r="AGV8" s="6"/>
      <c r="AGX8" s="6"/>
      <c r="AGZ8" s="6"/>
      <c r="AHB8" s="6"/>
      <c r="AHD8" s="6"/>
      <c r="AHF8" s="6"/>
      <c r="AHH8" s="6"/>
      <c r="AHJ8" s="6"/>
      <c r="AHL8" s="6"/>
      <c r="AHN8" s="6"/>
      <c r="AHP8" s="6"/>
      <c r="AHR8" s="6"/>
      <c r="AHT8" s="6"/>
      <c r="AHV8" s="6"/>
      <c r="AHX8" s="6"/>
      <c r="AHZ8" s="6"/>
      <c r="AIB8" s="6"/>
      <c r="AID8" s="6"/>
      <c r="AIF8" s="6"/>
      <c r="AIH8" s="6"/>
      <c r="AIJ8" s="6"/>
      <c r="AIL8" s="6"/>
      <c r="AIN8" s="6"/>
      <c r="AIP8" s="6"/>
      <c r="AIR8" s="6"/>
      <c r="AIT8" s="6"/>
      <c r="AIV8" s="6"/>
      <c r="AIX8" s="6"/>
      <c r="AIZ8" s="6"/>
      <c r="AJB8" s="6"/>
      <c r="AJD8" s="6"/>
      <c r="AJF8" s="6"/>
      <c r="AJH8" s="6"/>
      <c r="AJJ8" s="6"/>
      <c r="AJL8" s="6"/>
      <c r="AJN8" s="6"/>
      <c r="AJP8" s="6"/>
      <c r="AJR8" s="6"/>
      <c r="AJT8" s="6"/>
      <c r="AJV8" s="6"/>
      <c r="AJX8" s="6"/>
      <c r="AJZ8" s="6"/>
      <c r="AKB8" s="6"/>
      <c r="AKD8" s="6"/>
      <c r="AKF8" s="6"/>
      <c r="AKH8" s="6"/>
      <c r="AKJ8" s="6"/>
      <c r="AKL8" s="6"/>
      <c r="AKN8" s="6"/>
      <c r="AKP8" s="6"/>
      <c r="AKR8" s="6"/>
      <c r="AKT8" s="6"/>
      <c r="AKV8" s="6"/>
      <c r="AKX8" s="6"/>
      <c r="AKZ8" s="6"/>
      <c r="ALB8" s="6"/>
      <c r="ALD8" s="6"/>
      <c r="ALF8" s="6"/>
      <c r="ALH8" s="6"/>
      <c r="ALJ8" s="6"/>
      <c r="ALL8" s="6"/>
      <c r="ALN8" s="6"/>
      <c r="ALP8" s="6"/>
      <c r="ALR8" s="6"/>
      <c r="ALT8" s="6"/>
      <c r="ALV8" s="6"/>
      <c r="ALX8" s="6"/>
      <c r="ALZ8" s="6"/>
      <c r="AMB8" s="6"/>
      <c r="AMD8" s="6"/>
      <c r="AMF8" s="6"/>
      <c r="AMH8" s="6"/>
      <c r="AMJ8" s="6"/>
      <c r="AML8" s="6"/>
      <c r="AMN8" s="6"/>
      <c r="AMP8" s="6"/>
      <c r="AMR8" s="6"/>
      <c r="AMT8" s="6"/>
      <c r="AMV8" s="6"/>
      <c r="AMX8" s="6"/>
      <c r="AMZ8" s="6"/>
      <c r="ANB8" s="6"/>
      <c r="AND8" s="6"/>
      <c r="ANF8" s="6"/>
      <c r="ANH8" s="6"/>
      <c r="ANJ8" s="6"/>
      <c r="ANL8" s="6"/>
      <c r="ANN8" s="6"/>
      <c r="ANP8" s="6"/>
      <c r="ANR8" s="6"/>
      <c r="ANT8" s="6"/>
      <c r="ANV8" s="6"/>
      <c r="ANX8" s="6"/>
      <c r="ANZ8" s="6"/>
      <c r="AOB8" s="6"/>
      <c r="AOD8" s="6"/>
      <c r="AOF8" s="6"/>
      <c r="AOH8" s="6"/>
      <c r="AOJ8" s="6"/>
      <c r="AOL8" s="6"/>
      <c r="AON8" s="6"/>
      <c r="AOP8" s="6"/>
      <c r="AOR8" s="6"/>
      <c r="AOT8" s="6"/>
      <c r="AOV8" s="6"/>
      <c r="AOX8" s="6"/>
      <c r="AOZ8" s="6"/>
      <c r="APB8" s="6"/>
      <c r="APD8" s="6"/>
      <c r="APF8" s="6"/>
      <c r="APH8" s="6"/>
      <c r="APJ8" s="6"/>
      <c r="APL8" s="6"/>
      <c r="APN8" s="6"/>
      <c r="APP8" s="6"/>
      <c r="APR8" s="6"/>
      <c r="APT8" s="6"/>
      <c r="APV8" s="6"/>
      <c r="APX8" s="6"/>
      <c r="APZ8" s="6"/>
      <c r="AQB8" s="6"/>
      <c r="AQD8" s="6"/>
      <c r="AQF8" s="6"/>
      <c r="AQH8" s="6"/>
      <c r="AQJ8" s="6"/>
      <c r="AQL8" s="6"/>
      <c r="AQN8" s="6"/>
      <c r="AQP8" s="6"/>
      <c r="AQR8" s="6"/>
      <c r="AQT8" s="6"/>
      <c r="AQV8" s="6"/>
      <c r="AQX8" s="6"/>
      <c r="AQZ8" s="6"/>
      <c r="ARB8" s="6"/>
      <c r="ARD8" s="6"/>
      <c r="ARF8" s="6"/>
      <c r="ARH8" s="6"/>
      <c r="ARJ8" s="6"/>
      <c r="ARL8" s="6"/>
      <c r="ARN8" s="6"/>
      <c r="ARP8" s="6"/>
      <c r="ARR8" s="6"/>
      <c r="ART8" s="6"/>
      <c r="ARV8" s="6"/>
      <c r="ARX8" s="6"/>
      <c r="ARZ8" s="6"/>
      <c r="ASB8" s="6"/>
      <c r="ASD8" s="6"/>
      <c r="ASF8" s="6"/>
      <c r="ASH8" s="6"/>
      <c r="ASJ8" s="6"/>
      <c r="ASL8" s="6"/>
      <c r="ASN8" s="6"/>
      <c r="ASP8" s="6"/>
      <c r="ASR8" s="6"/>
      <c r="AST8" s="6"/>
      <c r="ASV8" s="6"/>
      <c r="ASX8" s="6"/>
      <c r="ASZ8" s="6"/>
      <c r="ATB8" s="6"/>
      <c r="ATD8" s="6"/>
      <c r="ATF8" s="6"/>
      <c r="ATH8" s="6"/>
      <c r="ATJ8" s="6"/>
      <c r="ATL8" s="6"/>
      <c r="ATN8" s="6"/>
      <c r="ATP8" s="6"/>
      <c r="ATR8" s="6"/>
      <c r="ATT8" s="6"/>
      <c r="ATV8" s="6"/>
      <c r="ATX8" s="6"/>
      <c r="ATZ8" s="6"/>
      <c r="AUB8" s="6"/>
      <c r="AUD8" s="6"/>
      <c r="AUF8" s="6"/>
      <c r="AUH8" s="6"/>
      <c r="AUJ8" s="6"/>
      <c r="AUL8" s="6"/>
      <c r="AUN8" s="6"/>
      <c r="AUP8" s="6"/>
      <c r="AUR8" s="6"/>
      <c r="AUT8" s="6"/>
      <c r="AUV8" s="6"/>
      <c r="AUX8" s="6"/>
      <c r="AUZ8" s="6"/>
      <c r="AVB8" s="6"/>
      <c r="AVD8" s="6"/>
      <c r="AVF8" s="6"/>
      <c r="AVH8" s="6"/>
      <c r="AVJ8" s="6"/>
      <c r="AVL8" s="6"/>
      <c r="AVN8" s="6"/>
      <c r="AVP8" s="6"/>
      <c r="AVR8" s="6"/>
      <c r="AVT8" s="6"/>
      <c r="AVV8" s="6"/>
      <c r="AVX8" s="6"/>
      <c r="AVZ8" s="6"/>
      <c r="AWB8" s="6"/>
      <c r="AWD8" s="6"/>
      <c r="AWF8" s="6"/>
      <c r="AWH8" s="6"/>
      <c r="AWJ8" s="6"/>
      <c r="AWL8" s="6"/>
      <c r="AWN8" s="6"/>
      <c r="AWP8" s="6"/>
      <c r="AWR8" s="6"/>
      <c r="AWT8" s="6"/>
      <c r="AWV8" s="6"/>
      <c r="AWX8" s="6"/>
      <c r="AWZ8" s="6"/>
      <c r="AXB8" s="6"/>
      <c r="AXD8" s="6"/>
      <c r="AXF8" s="6"/>
      <c r="AXH8" s="6"/>
      <c r="AXJ8" s="6"/>
      <c r="AXL8" s="6"/>
      <c r="AXN8" s="6"/>
      <c r="AXP8" s="6"/>
      <c r="AXR8" s="6"/>
      <c r="AXT8" s="6"/>
      <c r="AXV8" s="6"/>
      <c r="AXX8" s="6"/>
      <c r="AXZ8" s="6"/>
      <c r="AYB8" s="6"/>
      <c r="AYD8" s="6"/>
      <c r="AYF8" s="6"/>
      <c r="AYH8" s="6"/>
      <c r="AYJ8" s="6"/>
      <c r="AYL8" s="6"/>
      <c r="AYN8" s="6"/>
      <c r="AYP8" s="6"/>
      <c r="AYR8" s="6"/>
      <c r="AYT8" s="6"/>
      <c r="AYV8" s="6"/>
      <c r="AYX8" s="6"/>
      <c r="AYZ8" s="6"/>
      <c r="AZB8" s="6"/>
      <c r="AZD8" s="6"/>
      <c r="AZF8" s="6"/>
      <c r="AZH8" s="6"/>
      <c r="AZJ8" s="6"/>
      <c r="AZL8" s="6"/>
      <c r="AZN8" s="6"/>
      <c r="AZP8" s="6"/>
      <c r="AZR8" s="6"/>
      <c r="AZT8" s="6"/>
      <c r="AZV8" s="6"/>
      <c r="AZX8" s="6"/>
      <c r="AZZ8" s="6"/>
      <c r="BAB8" s="6"/>
      <c r="BAD8" s="6"/>
      <c r="BAF8" s="6"/>
      <c r="BAH8" s="6"/>
      <c r="BAJ8" s="6"/>
      <c r="BAL8" s="6"/>
      <c r="BAN8" s="6"/>
      <c r="BAP8" s="6"/>
      <c r="BAR8" s="6"/>
      <c r="BAT8" s="6"/>
      <c r="BAV8" s="6"/>
      <c r="BAX8" s="6"/>
      <c r="BAZ8" s="6"/>
      <c r="BBB8" s="6"/>
      <c r="BBD8" s="6"/>
      <c r="BBF8" s="6"/>
      <c r="BBH8" s="6"/>
      <c r="BBJ8" s="6"/>
      <c r="BBL8" s="6"/>
      <c r="BBN8" s="6"/>
      <c r="BBP8" s="6"/>
      <c r="BBR8" s="6"/>
      <c r="BBT8" s="6"/>
      <c r="BBV8" s="6"/>
      <c r="BBX8" s="6"/>
      <c r="BBZ8" s="6"/>
      <c r="BCB8" s="6"/>
      <c r="BCD8" s="6"/>
      <c r="BCF8" s="6"/>
      <c r="BCH8" s="6"/>
      <c r="BCJ8" s="6"/>
      <c r="BCL8" s="6"/>
      <c r="BCN8" s="6"/>
      <c r="BCP8" s="6"/>
      <c r="BCR8" s="6"/>
      <c r="BCT8" s="6"/>
      <c r="BCV8" s="6"/>
      <c r="BCX8" s="6"/>
      <c r="BCZ8" s="6"/>
      <c r="BDB8" s="6"/>
      <c r="BDD8" s="6"/>
      <c r="BDF8" s="6"/>
      <c r="BDH8" s="6"/>
      <c r="BDJ8" s="6"/>
      <c r="BDL8" s="6"/>
      <c r="BDN8" s="6"/>
      <c r="BDP8" s="6"/>
      <c r="BDR8" s="6"/>
      <c r="BDT8" s="6"/>
      <c r="BDV8" s="6"/>
      <c r="BDX8" s="6"/>
      <c r="BDZ8" s="6"/>
      <c r="BEB8" s="6"/>
      <c r="BED8" s="6"/>
      <c r="BEF8" s="6"/>
      <c r="BEH8" s="6"/>
      <c r="BEJ8" s="6"/>
      <c r="BEL8" s="6"/>
      <c r="BEN8" s="6"/>
      <c r="BEP8" s="6"/>
      <c r="BER8" s="6"/>
      <c r="BET8" s="6"/>
      <c r="BEV8" s="6"/>
      <c r="BEX8" s="6"/>
      <c r="BEZ8" s="6"/>
      <c r="BFB8" s="6"/>
      <c r="BFD8" s="6"/>
      <c r="BFF8" s="6"/>
      <c r="BFH8" s="6"/>
      <c r="BFJ8" s="6"/>
      <c r="BFL8" s="6"/>
      <c r="BFN8" s="6"/>
      <c r="BFP8" s="6"/>
      <c r="BFR8" s="6"/>
      <c r="BFT8" s="6"/>
      <c r="BFV8" s="6"/>
      <c r="BFX8" s="6"/>
      <c r="BFZ8" s="6"/>
      <c r="BGB8" s="6"/>
      <c r="BGD8" s="6"/>
      <c r="BGF8" s="6"/>
      <c r="BGH8" s="6"/>
      <c r="BGJ8" s="6"/>
      <c r="BGL8" s="6"/>
      <c r="BGN8" s="6"/>
      <c r="BGP8" s="6"/>
      <c r="BGR8" s="6"/>
      <c r="BGT8" s="6"/>
      <c r="BGV8" s="6"/>
      <c r="BGX8" s="6"/>
      <c r="BGZ8" s="6"/>
      <c r="BHB8" s="6"/>
      <c r="BHD8" s="6"/>
      <c r="BHF8" s="6"/>
      <c r="BHH8" s="6"/>
      <c r="BHJ8" s="6"/>
      <c r="BHL8" s="6"/>
      <c r="BHN8" s="6"/>
      <c r="BHP8" s="6"/>
      <c r="BHR8" s="6"/>
      <c r="BHT8" s="6"/>
      <c r="BHV8" s="6"/>
      <c r="BHX8" s="6"/>
      <c r="BHZ8" s="6"/>
      <c r="BIB8" s="6"/>
      <c r="BID8" s="6"/>
      <c r="BIF8" s="6"/>
      <c r="BIH8" s="6"/>
      <c r="BIJ8" s="6"/>
      <c r="BIL8" s="6"/>
      <c r="BIN8" s="6"/>
      <c r="BIP8" s="6"/>
      <c r="BIR8" s="6"/>
      <c r="BIT8" s="6"/>
      <c r="BIV8" s="6"/>
      <c r="BIX8" s="6"/>
      <c r="BIZ8" s="6"/>
      <c r="BJB8" s="6"/>
      <c r="BJD8" s="6"/>
      <c r="BJF8" s="6"/>
      <c r="BJH8" s="6"/>
      <c r="BJJ8" s="6"/>
      <c r="BJL8" s="6"/>
      <c r="BJN8" s="6"/>
      <c r="BJP8" s="6"/>
      <c r="BJR8" s="6"/>
      <c r="BJT8" s="6"/>
      <c r="BJV8" s="6"/>
      <c r="BJX8" s="6"/>
      <c r="BJZ8" s="6"/>
      <c r="BKB8" s="6"/>
      <c r="BKD8" s="6"/>
      <c r="BKF8" s="6"/>
      <c r="BKH8" s="6"/>
      <c r="BKJ8" s="6"/>
      <c r="BKL8" s="6"/>
      <c r="BKN8" s="6"/>
      <c r="BKP8" s="6"/>
      <c r="BKR8" s="6"/>
      <c r="BKT8" s="6"/>
      <c r="BKV8" s="6"/>
      <c r="BKX8" s="6"/>
      <c r="BKZ8" s="6"/>
      <c r="BLB8" s="6"/>
      <c r="BLD8" s="6"/>
      <c r="BLF8" s="6"/>
      <c r="BLH8" s="6"/>
      <c r="BLJ8" s="6"/>
      <c r="BLL8" s="6"/>
      <c r="BLN8" s="6"/>
      <c r="BLP8" s="6"/>
      <c r="BLR8" s="6"/>
      <c r="BLT8" s="6"/>
      <c r="BLV8" s="6"/>
      <c r="BLX8" s="6"/>
      <c r="BLZ8" s="6"/>
      <c r="BMB8" s="6"/>
      <c r="BMD8" s="6"/>
      <c r="BMF8" s="6"/>
      <c r="BMH8" s="6"/>
      <c r="BMJ8" s="6"/>
      <c r="BML8" s="6"/>
      <c r="BMN8" s="6"/>
      <c r="BMP8" s="6"/>
      <c r="BMR8" s="6"/>
      <c r="BMT8" s="6"/>
      <c r="BMV8" s="6"/>
      <c r="BMX8" s="6"/>
      <c r="BMZ8" s="6"/>
      <c r="BNB8" s="6"/>
      <c r="BND8" s="6"/>
      <c r="BNF8" s="6"/>
      <c r="BNH8" s="6"/>
      <c r="BNJ8" s="6"/>
      <c r="BNL8" s="6"/>
      <c r="BNN8" s="6"/>
      <c r="BNP8" s="6"/>
      <c r="BNR8" s="6"/>
      <c r="BNT8" s="6"/>
      <c r="BNV8" s="6"/>
      <c r="BNX8" s="6"/>
      <c r="BNZ8" s="6"/>
      <c r="BOB8" s="6"/>
      <c r="BOD8" s="6"/>
      <c r="BOF8" s="6"/>
      <c r="BOH8" s="6"/>
      <c r="BOJ8" s="6"/>
      <c r="BOL8" s="6"/>
      <c r="BON8" s="6"/>
      <c r="BOP8" s="6"/>
      <c r="BOR8" s="6"/>
      <c r="BOT8" s="6"/>
      <c r="BOV8" s="6"/>
      <c r="BOX8" s="6"/>
      <c r="BOZ8" s="6"/>
      <c r="BPB8" s="6"/>
      <c r="BPD8" s="6"/>
      <c r="BPF8" s="6"/>
      <c r="BPH8" s="6"/>
      <c r="BPJ8" s="6"/>
      <c r="BPL8" s="6"/>
      <c r="BPN8" s="6"/>
      <c r="BPP8" s="6"/>
      <c r="BPR8" s="6"/>
      <c r="BPT8" s="6"/>
      <c r="BPV8" s="6"/>
      <c r="BPX8" s="6"/>
      <c r="BPZ8" s="6"/>
      <c r="BQB8" s="6"/>
      <c r="BQD8" s="6"/>
      <c r="BQF8" s="6"/>
      <c r="BQH8" s="6"/>
      <c r="BQJ8" s="6"/>
      <c r="BQL8" s="6"/>
      <c r="BQN8" s="6"/>
      <c r="BQP8" s="6"/>
      <c r="BQR8" s="6"/>
      <c r="BQT8" s="6"/>
      <c r="BQV8" s="6"/>
      <c r="BQX8" s="6"/>
      <c r="BQZ8" s="6"/>
      <c r="BRB8" s="6"/>
      <c r="BRD8" s="6"/>
      <c r="BRF8" s="6"/>
      <c r="BRH8" s="6"/>
      <c r="BRJ8" s="6"/>
      <c r="BRL8" s="6"/>
      <c r="BRN8" s="6"/>
      <c r="BRP8" s="6"/>
      <c r="BRR8" s="6"/>
      <c r="BRT8" s="6"/>
      <c r="BRV8" s="6"/>
      <c r="BRX8" s="6"/>
      <c r="BRZ8" s="6"/>
      <c r="BSB8" s="6"/>
      <c r="BSD8" s="6"/>
      <c r="BSF8" s="6"/>
      <c r="BSH8" s="6"/>
      <c r="BSJ8" s="6"/>
      <c r="BSL8" s="6"/>
      <c r="BSN8" s="6"/>
      <c r="BSP8" s="6"/>
      <c r="BSR8" s="6"/>
      <c r="BST8" s="6"/>
      <c r="BSV8" s="6"/>
      <c r="BSX8" s="6"/>
      <c r="BSZ8" s="6"/>
      <c r="BTB8" s="6"/>
      <c r="BTD8" s="6"/>
      <c r="BTF8" s="6"/>
      <c r="BTH8" s="6"/>
      <c r="BTJ8" s="6"/>
      <c r="BTL8" s="6"/>
      <c r="BTN8" s="6"/>
      <c r="BTP8" s="6"/>
      <c r="BTR8" s="6"/>
      <c r="BTT8" s="6"/>
      <c r="BTV8" s="6"/>
      <c r="BTX8" s="6"/>
      <c r="BTZ8" s="6"/>
      <c r="BUB8" s="6"/>
      <c r="BUD8" s="6"/>
      <c r="BUF8" s="6"/>
      <c r="BUH8" s="6"/>
      <c r="BUJ8" s="6"/>
      <c r="BUL8" s="6"/>
      <c r="BUN8" s="6"/>
      <c r="BUP8" s="6"/>
      <c r="BUR8" s="6"/>
      <c r="BUT8" s="6"/>
      <c r="BUV8" s="6"/>
      <c r="BUX8" s="6"/>
      <c r="BUZ8" s="6"/>
      <c r="BVB8" s="6"/>
      <c r="BVD8" s="6"/>
      <c r="BVF8" s="6"/>
      <c r="BVH8" s="6"/>
      <c r="BVJ8" s="6"/>
      <c r="BVL8" s="6"/>
      <c r="BVN8" s="6"/>
      <c r="BVP8" s="6"/>
      <c r="BVR8" s="6"/>
      <c r="BVT8" s="6"/>
      <c r="BVV8" s="6"/>
      <c r="BVX8" s="6"/>
      <c r="BVZ8" s="6"/>
      <c r="BWB8" s="6"/>
      <c r="BWD8" s="6"/>
      <c r="BWF8" s="6"/>
      <c r="BWH8" s="6"/>
      <c r="BWJ8" s="6"/>
      <c r="BWL8" s="6"/>
      <c r="BWN8" s="6"/>
      <c r="BWP8" s="6"/>
      <c r="BWR8" s="6"/>
      <c r="BWT8" s="6"/>
      <c r="BWV8" s="6"/>
      <c r="BWX8" s="6"/>
      <c r="BWZ8" s="6"/>
      <c r="BXB8" s="6"/>
      <c r="BXD8" s="6"/>
      <c r="BXF8" s="6"/>
      <c r="BXH8" s="6"/>
      <c r="BXJ8" s="6"/>
      <c r="BXL8" s="6"/>
      <c r="BXN8" s="6"/>
      <c r="BXP8" s="6"/>
      <c r="BXR8" s="6"/>
      <c r="BXT8" s="6"/>
      <c r="BXV8" s="6"/>
      <c r="BXX8" s="6"/>
      <c r="BXZ8" s="6"/>
      <c r="BYB8" s="6"/>
      <c r="BYD8" s="6"/>
      <c r="BYF8" s="6"/>
      <c r="BYH8" s="6"/>
      <c r="BYJ8" s="6"/>
      <c r="BYL8" s="6"/>
      <c r="BYN8" s="6"/>
      <c r="BYP8" s="6"/>
      <c r="BYR8" s="6"/>
      <c r="BYT8" s="6"/>
      <c r="BYV8" s="6"/>
      <c r="BYX8" s="6"/>
      <c r="BYZ8" s="6"/>
      <c r="BZB8" s="6"/>
      <c r="BZD8" s="6"/>
      <c r="BZF8" s="6"/>
      <c r="BZH8" s="6"/>
      <c r="BZJ8" s="6"/>
      <c r="BZL8" s="6"/>
      <c r="BZN8" s="6"/>
      <c r="BZP8" s="6"/>
      <c r="BZR8" s="6"/>
      <c r="BZT8" s="6"/>
      <c r="BZV8" s="6"/>
      <c r="BZX8" s="6"/>
      <c r="BZZ8" s="6"/>
      <c r="CAB8" s="6"/>
      <c r="CAD8" s="6"/>
      <c r="CAF8" s="6"/>
      <c r="CAH8" s="6"/>
      <c r="CAJ8" s="6"/>
      <c r="CAL8" s="6"/>
      <c r="CAN8" s="6"/>
      <c r="CAP8" s="6"/>
      <c r="CAR8" s="6"/>
      <c r="CAT8" s="6"/>
      <c r="CAV8" s="6"/>
      <c r="CAX8" s="6"/>
      <c r="CAZ8" s="6"/>
      <c r="CBB8" s="6"/>
      <c r="CBD8" s="6"/>
      <c r="CBF8" s="6"/>
      <c r="CBH8" s="6"/>
      <c r="CBJ8" s="6"/>
      <c r="CBL8" s="6"/>
      <c r="CBN8" s="6"/>
      <c r="CBP8" s="6"/>
      <c r="CBR8" s="6"/>
      <c r="CBT8" s="6"/>
      <c r="CBV8" s="6"/>
      <c r="CBX8" s="6"/>
      <c r="CBZ8" s="6"/>
      <c r="CCB8" s="6"/>
      <c r="CCD8" s="6"/>
      <c r="CCF8" s="6"/>
      <c r="CCH8" s="6"/>
      <c r="CCJ8" s="6"/>
      <c r="CCL8" s="6"/>
      <c r="CCN8" s="6"/>
      <c r="CCP8" s="6"/>
      <c r="CCR8" s="6"/>
      <c r="CCT8" s="6"/>
      <c r="CCV8" s="6"/>
      <c r="CCX8" s="6"/>
      <c r="CCZ8" s="6"/>
      <c r="CDB8" s="6"/>
      <c r="CDD8" s="6"/>
      <c r="CDF8" s="6"/>
      <c r="CDH8" s="6"/>
      <c r="CDJ8" s="6"/>
      <c r="CDL8" s="6"/>
      <c r="CDN8" s="6"/>
      <c r="CDP8" s="6"/>
      <c r="CDR8" s="6"/>
      <c r="CDT8" s="6"/>
      <c r="CDV8" s="6"/>
      <c r="CDX8" s="6"/>
      <c r="CDZ8" s="6"/>
      <c r="CEB8" s="6"/>
      <c r="CED8" s="6"/>
      <c r="CEF8" s="6"/>
      <c r="CEH8" s="6"/>
      <c r="CEJ8" s="6"/>
      <c r="CEL8" s="6"/>
      <c r="CEN8" s="6"/>
      <c r="CEP8" s="6"/>
      <c r="CER8" s="6"/>
      <c r="CET8" s="6"/>
      <c r="CEV8" s="6"/>
      <c r="CEX8" s="6"/>
      <c r="CEZ8" s="6"/>
      <c r="CFB8" s="6"/>
      <c r="CFD8" s="6"/>
      <c r="CFF8" s="6"/>
      <c r="CFH8" s="6"/>
      <c r="CFJ8" s="6"/>
      <c r="CFL8" s="6"/>
      <c r="CFN8" s="6"/>
      <c r="CFP8" s="6"/>
      <c r="CFR8" s="6"/>
      <c r="CFT8" s="6"/>
      <c r="CFV8" s="6"/>
      <c r="CFX8" s="6"/>
      <c r="CFZ8" s="6"/>
      <c r="CGB8" s="6"/>
      <c r="CGD8" s="6"/>
      <c r="CGF8" s="6"/>
      <c r="CGH8" s="6"/>
      <c r="CGJ8" s="6"/>
      <c r="CGL8" s="6"/>
      <c r="CGN8" s="6"/>
      <c r="CGP8" s="6"/>
      <c r="CGR8" s="6"/>
      <c r="CGT8" s="6"/>
      <c r="CGV8" s="6"/>
      <c r="CGX8" s="6"/>
      <c r="CGZ8" s="6"/>
      <c r="CHB8" s="6"/>
      <c r="CHD8" s="6"/>
      <c r="CHF8" s="6"/>
      <c r="CHH8" s="6"/>
      <c r="CHJ8" s="6"/>
      <c r="CHL8" s="6"/>
      <c r="CHN8" s="6"/>
      <c r="CHP8" s="6"/>
      <c r="CHR8" s="6"/>
      <c r="CHT8" s="6"/>
      <c r="CHV8" s="6"/>
      <c r="CHX8" s="6"/>
      <c r="CHZ8" s="6"/>
      <c r="CIB8" s="6"/>
      <c r="CID8" s="6"/>
      <c r="CIF8" s="6"/>
      <c r="CIH8" s="6"/>
      <c r="CIJ8" s="6"/>
      <c r="CIL8" s="6"/>
      <c r="CIN8" s="6"/>
      <c r="CIP8" s="6"/>
      <c r="CIR8" s="6"/>
      <c r="CIT8" s="6"/>
      <c r="CIV8" s="6"/>
      <c r="CIX8" s="6"/>
      <c r="CIZ8" s="6"/>
      <c r="CJB8" s="6"/>
      <c r="CJD8" s="6"/>
      <c r="CJF8" s="6"/>
      <c r="CJH8" s="6"/>
      <c r="CJJ8" s="6"/>
      <c r="CJL8" s="6"/>
      <c r="CJN8" s="6"/>
      <c r="CJP8" s="6"/>
      <c r="CJR8" s="6"/>
      <c r="CJT8" s="6"/>
      <c r="CJV8" s="6"/>
      <c r="CJX8" s="6"/>
      <c r="CJZ8" s="6"/>
      <c r="CKB8" s="6"/>
      <c r="CKD8" s="6"/>
      <c r="CKF8" s="6"/>
      <c r="CKH8" s="6"/>
      <c r="CKJ8" s="6"/>
      <c r="CKL8" s="6"/>
      <c r="CKN8" s="6"/>
      <c r="CKP8" s="6"/>
      <c r="CKR8" s="6"/>
      <c r="CKT8" s="6"/>
      <c r="CKV8" s="6"/>
      <c r="CKX8" s="6"/>
      <c r="CKZ8" s="6"/>
      <c r="CLB8" s="6"/>
      <c r="CLD8" s="6"/>
      <c r="CLF8" s="6"/>
      <c r="CLH8" s="6"/>
      <c r="CLJ8" s="6"/>
      <c r="CLL8" s="6"/>
      <c r="CLN8" s="6"/>
      <c r="CLP8" s="6"/>
      <c r="CLR8" s="6"/>
      <c r="CLT8" s="6"/>
      <c r="CLV8" s="6"/>
      <c r="CLX8" s="6"/>
      <c r="CLZ8" s="6"/>
      <c r="CMB8" s="6"/>
      <c r="CMD8" s="6"/>
      <c r="CMF8" s="6"/>
      <c r="CMH8" s="6"/>
      <c r="CMJ8" s="6"/>
      <c r="CML8" s="6"/>
      <c r="CMN8" s="6"/>
      <c r="CMP8" s="6"/>
      <c r="CMR8" s="6"/>
      <c r="CMT8" s="6"/>
      <c r="CMV8" s="6"/>
      <c r="CMX8" s="6"/>
      <c r="CMZ8" s="6"/>
      <c r="CNB8" s="6"/>
      <c r="CND8" s="6"/>
      <c r="CNF8" s="6"/>
      <c r="CNH8" s="6"/>
      <c r="CNJ8" s="6"/>
      <c r="CNL8" s="6"/>
      <c r="CNN8" s="6"/>
      <c r="CNP8" s="6"/>
      <c r="CNR8" s="6"/>
      <c r="CNT8" s="6"/>
      <c r="CNV8" s="6"/>
      <c r="CNX8" s="6"/>
      <c r="CNZ8" s="6"/>
      <c r="COB8" s="6"/>
      <c r="COD8" s="6"/>
      <c r="COF8" s="6"/>
      <c r="COH8" s="6"/>
      <c r="COJ8" s="6"/>
      <c r="COL8" s="6"/>
      <c r="CON8" s="6"/>
      <c r="COP8" s="6"/>
      <c r="COR8" s="6"/>
      <c r="COT8" s="6"/>
      <c r="COV8" s="6"/>
      <c r="COX8" s="6"/>
      <c r="COZ8" s="6"/>
      <c r="CPB8" s="6"/>
      <c r="CPD8" s="6"/>
      <c r="CPF8" s="6"/>
      <c r="CPH8" s="6"/>
      <c r="CPJ8" s="6"/>
      <c r="CPL8" s="6"/>
      <c r="CPN8" s="6"/>
      <c r="CPP8" s="6"/>
      <c r="CPR8" s="6"/>
      <c r="CPT8" s="6"/>
      <c r="CPV8" s="6"/>
      <c r="CPX8" s="6"/>
      <c r="CPZ8" s="6"/>
      <c r="CQB8" s="6"/>
      <c r="CQD8" s="6"/>
      <c r="CQF8" s="6"/>
      <c r="CQH8" s="6"/>
      <c r="CQJ8" s="6"/>
      <c r="CQL8" s="6"/>
      <c r="CQN8" s="6"/>
      <c r="CQP8" s="6"/>
      <c r="CQR8" s="6"/>
      <c r="CQT8" s="6"/>
      <c r="CQV8" s="6"/>
      <c r="CQX8" s="6"/>
      <c r="CQZ8" s="6"/>
      <c r="CRB8" s="6"/>
      <c r="CRD8" s="6"/>
      <c r="CRF8" s="6"/>
      <c r="CRH8" s="6"/>
      <c r="CRJ8" s="6"/>
      <c r="CRL8" s="6"/>
      <c r="CRN8" s="6"/>
      <c r="CRP8" s="6"/>
      <c r="CRR8" s="6"/>
      <c r="CRT8" s="6"/>
      <c r="CRV8" s="6"/>
      <c r="CRX8" s="6"/>
      <c r="CRZ8" s="6"/>
      <c r="CSB8" s="6"/>
      <c r="CSD8" s="6"/>
      <c r="CSF8" s="6"/>
      <c r="CSH8" s="6"/>
      <c r="CSJ8" s="6"/>
      <c r="CSL8" s="6"/>
      <c r="CSN8" s="6"/>
      <c r="CSP8" s="6"/>
      <c r="CSR8" s="6"/>
      <c r="CST8" s="6"/>
      <c r="CSV8" s="6"/>
      <c r="CSX8" s="6"/>
      <c r="CSZ8" s="6"/>
      <c r="CTB8" s="6"/>
      <c r="CTD8" s="6"/>
      <c r="CTF8" s="6"/>
      <c r="CTH8" s="6"/>
      <c r="CTJ8" s="6"/>
      <c r="CTL8" s="6"/>
      <c r="CTN8" s="6"/>
      <c r="CTP8" s="6"/>
      <c r="CTR8" s="6"/>
      <c r="CTT8" s="6"/>
      <c r="CTV8" s="6"/>
      <c r="CTX8" s="6"/>
      <c r="CTZ8" s="6"/>
      <c r="CUB8" s="6"/>
      <c r="CUD8" s="6"/>
      <c r="CUF8" s="6"/>
      <c r="CUH8" s="6"/>
      <c r="CUJ8" s="6"/>
      <c r="CUL8" s="6"/>
      <c r="CUN8" s="6"/>
      <c r="CUP8" s="6"/>
      <c r="CUR8" s="6"/>
      <c r="CUT8" s="6"/>
      <c r="CUV8" s="6"/>
      <c r="CUX8" s="6"/>
      <c r="CUZ8" s="6"/>
      <c r="CVB8" s="6"/>
      <c r="CVD8" s="6"/>
      <c r="CVF8" s="6"/>
      <c r="CVH8" s="6"/>
      <c r="CVJ8" s="6"/>
      <c r="CVL8" s="6"/>
      <c r="CVN8" s="6"/>
      <c r="CVP8" s="6"/>
      <c r="CVR8" s="6"/>
      <c r="CVT8" s="6"/>
      <c r="CVV8" s="6"/>
      <c r="CVX8" s="6"/>
      <c r="CVZ8" s="6"/>
      <c r="CWB8" s="6"/>
      <c r="CWD8" s="6"/>
      <c r="CWF8" s="6"/>
      <c r="CWH8" s="6"/>
      <c r="CWJ8" s="6"/>
      <c r="CWL8" s="6"/>
      <c r="CWN8" s="6"/>
      <c r="CWP8" s="6"/>
      <c r="CWR8" s="6"/>
      <c r="CWT8" s="6"/>
      <c r="CWV8" s="6"/>
      <c r="CWX8" s="6"/>
      <c r="CWZ8" s="6"/>
      <c r="CXB8" s="6"/>
      <c r="CXD8" s="6"/>
      <c r="CXF8" s="6"/>
      <c r="CXH8" s="6"/>
      <c r="CXJ8" s="6"/>
      <c r="CXL8" s="6"/>
      <c r="CXN8" s="6"/>
      <c r="CXP8" s="6"/>
      <c r="CXR8" s="6"/>
      <c r="CXT8" s="6"/>
      <c r="CXV8" s="6"/>
      <c r="CXX8" s="6"/>
      <c r="CXZ8" s="6"/>
      <c r="CYB8" s="6"/>
      <c r="CYD8" s="6"/>
      <c r="CYF8" s="6"/>
      <c r="CYH8" s="6"/>
      <c r="CYJ8" s="6"/>
      <c r="CYL8" s="6"/>
      <c r="CYN8" s="6"/>
      <c r="CYP8" s="6"/>
      <c r="CYR8" s="6"/>
      <c r="CYT8" s="6"/>
      <c r="CYV8" s="6"/>
      <c r="CYX8" s="6"/>
      <c r="CYZ8" s="6"/>
      <c r="CZB8" s="6"/>
      <c r="CZD8" s="6"/>
      <c r="CZF8" s="6"/>
      <c r="CZH8" s="6"/>
      <c r="CZJ8" s="6"/>
      <c r="CZL8" s="6"/>
      <c r="CZN8" s="6"/>
      <c r="CZP8" s="6"/>
      <c r="CZR8" s="6"/>
      <c r="CZT8" s="6"/>
      <c r="CZV8" s="6"/>
      <c r="CZX8" s="6"/>
      <c r="CZZ8" s="6"/>
      <c r="DAB8" s="6"/>
      <c r="DAD8" s="6"/>
      <c r="DAF8" s="6"/>
      <c r="DAH8" s="6"/>
      <c r="DAJ8" s="6"/>
      <c r="DAL8" s="6"/>
      <c r="DAN8" s="6"/>
      <c r="DAP8" s="6"/>
      <c r="DAR8" s="6"/>
      <c r="DAT8" s="6"/>
      <c r="DAV8" s="6"/>
      <c r="DAX8" s="6"/>
      <c r="DAZ8" s="6"/>
      <c r="DBB8" s="6"/>
      <c r="DBD8" s="6"/>
      <c r="DBF8" s="6"/>
      <c r="DBH8" s="6"/>
      <c r="DBJ8" s="6"/>
      <c r="DBL8" s="6"/>
      <c r="DBN8" s="6"/>
      <c r="DBP8" s="6"/>
      <c r="DBR8" s="6"/>
      <c r="DBT8" s="6"/>
      <c r="DBV8" s="6"/>
      <c r="DBX8" s="6"/>
      <c r="DBZ8" s="6"/>
      <c r="DCB8" s="6"/>
      <c r="DCD8" s="6"/>
      <c r="DCF8" s="6"/>
      <c r="DCH8" s="6"/>
      <c r="DCJ8" s="6"/>
      <c r="DCL8" s="6"/>
      <c r="DCN8" s="6"/>
      <c r="DCP8" s="6"/>
      <c r="DCR8" s="6"/>
      <c r="DCT8" s="6"/>
      <c r="DCV8" s="6"/>
      <c r="DCX8" s="6"/>
      <c r="DCZ8" s="6"/>
      <c r="DDB8" s="6"/>
      <c r="DDD8" s="6"/>
      <c r="DDF8" s="6"/>
      <c r="DDH8" s="6"/>
      <c r="DDJ8" s="6"/>
      <c r="DDL8" s="6"/>
      <c r="DDN8" s="6"/>
      <c r="DDP8" s="6"/>
      <c r="DDR8" s="6"/>
      <c r="DDT8" s="6"/>
      <c r="DDV8" s="6"/>
      <c r="DDX8" s="6"/>
      <c r="DDZ8" s="6"/>
      <c r="DEB8" s="6"/>
      <c r="DED8" s="6"/>
      <c r="DEF8" s="6"/>
      <c r="DEH8" s="6"/>
      <c r="DEJ8" s="6"/>
      <c r="DEL8" s="6"/>
      <c r="DEN8" s="6"/>
      <c r="DEP8" s="6"/>
      <c r="DER8" s="6"/>
      <c r="DET8" s="6"/>
      <c r="DEV8" s="6"/>
      <c r="DEX8" s="6"/>
      <c r="DEZ8" s="6"/>
      <c r="DFB8" s="6"/>
      <c r="DFD8" s="6"/>
      <c r="DFF8" s="6"/>
      <c r="DFH8" s="6"/>
      <c r="DFJ8" s="6"/>
      <c r="DFL8" s="6"/>
      <c r="DFN8" s="6"/>
      <c r="DFP8" s="6"/>
      <c r="DFR8" s="6"/>
      <c r="DFT8" s="6"/>
      <c r="DFV8" s="6"/>
      <c r="DFX8" s="6"/>
      <c r="DFZ8" s="6"/>
      <c r="DGB8" s="6"/>
      <c r="DGD8" s="6"/>
      <c r="DGF8" s="6"/>
      <c r="DGH8" s="6"/>
      <c r="DGJ8" s="6"/>
      <c r="DGL8" s="6"/>
      <c r="DGN8" s="6"/>
      <c r="DGP8" s="6"/>
      <c r="DGR8" s="6"/>
      <c r="DGT8" s="6"/>
      <c r="DGV8" s="6"/>
      <c r="DGX8" s="6"/>
      <c r="DGZ8" s="6"/>
      <c r="DHB8" s="6"/>
      <c r="DHD8" s="6"/>
      <c r="DHF8" s="6"/>
      <c r="DHH8" s="6"/>
      <c r="DHJ8" s="6"/>
      <c r="DHL8" s="6"/>
      <c r="DHN8" s="6"/>
      <c r="DHP8" s="6"/>
      <c r="DHR8" s="6"/>
      <c r="DHT8" s="6"/>
      <c r="DHV8" s="6"/>
      <c r="DHX8" s="6"/>
      <c r="DHZ8" s="6"/>
      <c r="DIB8" s="6"/>
      <c r="DID8" s="6"/>
      <c r="DIF8" s="6"/>
      <c r="DIH8" s="6"/>
      <c r="DIJ8" s="6"/>
      <c r="DIL8" s="6"/>
      <c r="DIN8" s="6"/>
      <c r="DIP8" s="6"/>
      <c r="DIR8" s="6"/>
      <c r="DIT8" s="6"/>
      <c r="DIV8" s="6"/>
      <c r="DIX8" s="6"/>
      <c r="DIZ8" s="6"/>
      <c r="DJB8" s="6"/>
      <c r="DJD8" s="6"/>
      <c r="DJF8" s="6"/>
      <c r="DJH8" s="6"/>
      <c r="DJJ8" s="6"/>
      <c r="DJL8" s="6"/>
      <c r="DJN8" s="6"/>
      <c r="DJP8" s="6"/>
      <c r="DJR8" s="6"/>
      <c r="DJT8" s="6"/>
      <c r="DJV8" s="6"/>
      <c r="DJX8" s="6"/>
      <c r="DJZ8" s="6"/>
      <c r="DKB8" s="6"/>
      <c r="DKD8" s="6"/>
      <c r="DKF8" s="6"/>
      <c r="DKH8" s="6"/>
      <c r="DKJ8" s="6"/>
      <c r="DKL8" s="6"/>
      <c r="DKN8" s="6"/>
      <c r="DKP8" s="6"/>
      <c r="DKR8" s="6"/>
      <c r="DKT8" s="6"/>
      <c r="DKV8" s="6"/>
      <c r="DKX8" s="6"/>
      <c r="DKZ8" s="6"/>
      <c r="DLB8" s="6"/>
      <c r="DLD8" s="6"/>
      <c r="DLF8" s="6"/>
      <c r="DLH8" s="6"/>
      <c r="DLJ8" s="6"/>
      <c r="DLL8" s="6"/>
      <c r="DLN8" s="6"/>
      <c r="DLP8" s="6"/>
      <c r="DLR8" s="6"/>
      <c r="DLT8" s="6"/>
      <c r="DLV8" s="6"/>
      <c r="DLX8" s="6"/>
      <c r="DLZ8" s="6"/>
      <c r="DMB8" s="6"/>
      <c r="DMD8" s="6"/>
      <c r="DMF8" s="6"/>
      <c r="DMH8" s="6"/>
      <c r="DMJ8" s="6"/>
      <c r="DML8" s="6"/>
      <c r="DMN8" s="6"/>
      <c r="DMP8" s="6"/>
      <c r="DMR8" s="6"/>
      <c r="DMT8" s="6"/>
      <c r="DMV8" s="6"/>
      <c r="DMX8" s="6"/>
      <c r="DMZ8" s="6"/>
      <c r="DNB8" s="6"/>
      <c r="DND8" s="6"/>
      <c r="DNF8" s="6"/>
      <c r="DNH8" s="6"/>
      <c r="DNJ8" s="6"/>
      <c r="DNL8" s="6"/>
      <c r="DNN8" s="6"/>
      <c r="DNP8" s="6"/>
      <c r="DNR8" s="6"/>
      <c r="DNT8" s="6"/>
      <c r="DNV8" s="6"/>
      <c r="DNX8" s="6"/>
      <c r="DNZ8" s="6"/>
      <c r="DOB8" s="6"/>
      <c r="DOD8" s="6"/>
      <c r="DOF8" s="6"/>
      <c r="DOH8" s="6"/>
      <c r="DOJ8" s="6"/>
      <c r="DOL8" s="6"/>
      <c r="DON8" s="6"/>
      <c r="DOP8" s="6"/>
      <c r="DOR8" s="6"/>
      <c r="DOT8" s="6"/>
      <c r="DOV8" s="6"/>
      <c r="DOX8" s="6"/>
      <c r="DOZ8" s="6"/>
      <c r="DPB8" s="6"/>
      <c r="DPD8" s="6"/>
      <c r="DPF8" s="6"/>
      <c r="DPH8" s="6"/>
      <c r="DPJ8" s="6"/>
      <c r="DPL8" s="6"/>
      <c r="DPN8" s="6"/>
      <c r="DPP8" s="6"/>
      <c r="DPR8" s="6"/>
      <c r="DPT8" s="6"/>
      <c r="DPV8" s="6"/>
      <c r="DPX8" s="6"/>
      <c r="DPZ8" s="6"/>
      <c r="DQB8" s="6"/>
      <c r="DQD8" s="6"/>
      <c r="DQF8" s="6"/>
      <c r="DQH8" s="6"/>
      <c r="DQJ8" s="6"/>
      <c r="DQL8" s="6"/>
      <c r="DQN8" s="6"/>
      <c r="DQP8" s="6"/>
      <c r="DQR8" s="6"/>
      <c r="DQT8" s="6"/>
      <c r="DQV8" s="6"/>
      <c r="DQX8" s="6"/>
      <c r="DQZ8" s="6"/>
      <c r="DRB8" s="6"/>
      <c r="DRD8" s="6"/>
      <c r="DRF8" s="6"/>
      <c r="DRH8" s="6"/>
      <c r="DRJ8" s="6"/>
      <c r="DRL8" s="6"/>
      <c r="DRN8" s="6"/>
      <c r="DRP8" s="6"/>
      <c r="DRR8" s="6"/>
      <c r="DRT8" s="6"/>
      <c r="DRV8" s="6"/>
      <c r="DRX8" s="6"/>
      <c r="DRZ8" s="6"/>
      <c r="DSB8" s="6"/>
      <c r="DSD8" s="6"/>
      <c r="DSF8" s="6"/>
      <c r="DSH8" s="6"/>
      <c r="DSJ8" s="6"/>
      <c r="DSL8" s="6"/>
      <c r="DSN8" s="6"/>
      <c r="DSP8" s="6"/>
      <c r="DSR8" s="6"/>
      <c r="DST8" s="6"/>
      <c r="DSV8" s="6"/>
      <c r="DSX8" s="6"/>
      <c r="DSZ8" s="6"/>
      <c r="DTB8" s="6"/>
      <c r="DTD8" s="6"/>
      <c r="DTF8" s="6"/>
      <c r="DTH8" s="6"/>
      <c r="DTJ8" s="6"/>
      <c r="DTL8" s="6"/>
      <c r="DTN8" s="6"/>
      <c r="DTP8" s="6"/>
      <c r="DTR8" s="6"/>
      <c r="DTT8" s="6"/>
      <c r="DTV8" s="6"/>
      <c r="DTX8" s="6"/>
      <c r="DTZ8" s="6"/>
      <c r="DUB8" s="6"/>
      <c r="DUD8" s="6"/>
      <c r="DUF8" s="6"/>
      <c r="DUH8" s="6"/>
      <c r="DUJ8" s="6"/>
      <c r="DUL8" s="6"/>
      <c r="DUN8" s="6"/>
      <c r="DUP8" s="6"/>
      <c r="DUR8" s="6"/>
      <c r="DUT8" s="6"/>
      <c r="DUV8" s="6"/>
      <c r="DUX8" s="6"/>
      <c r="DUZ8" s="6"/>
      <c r="DVB8" s="6"/>
      <c r="DVD8" s="6"/>
      <c r="DVF8" s="6"/>
      <c r="DVH8" s="6"/>
      <c r="DVJ8" s="6"/>
      <c r="DVL8" s="6"/>
      <c r="DVN8" s="6"/>
      <c r="DVP8" s="6"/>
      <c r="DVR8" s="6"/>
      <c r="DVT8" s="6"/>
      <c r="DVV8" s="6"/>
      <c r="DVX8" s="6"/>
      <c r="DVZ8" s="6"/>
      <c r="DWB8" s="6"/>
      <c r="DWD8" s="6"/>
      <c r="DWF8" s="6"/>
      <c r="DWH8" s="6"/>
      <c r="DWJ8" s="6"/>
      <c r="DWL8" s="6"/>
      <c r="DWN8" s="6"/>
      <c r="DWP8" s="6"/>
      <c r="DWR8" s="6"/>
      <c r="DWT8" s="6"/>
      <c r="DWV8" s="6"/>
      <c r="DWX8" s="6"/>
      <c r="DWZ8" s="6"/>
      <c r="DXB8" s="6"/>
      <c r="DXD8" s="6"/>
      <c r="DXF8" s="6"/>
      <c r="DXH8" s="6"/>
      <c r="DXJ8" s="6"/>
      <c r="DXL8" s="6"/>
      <c r="DXN8" s="6"/>
      <c r="DXP8" s="6"/>
      <c r="DXR8" s="6"/>
      <c r="DXT8" s="6"/>
      <c r="DXV8" s="6"/>
      <c r="DXX8" s="6"/>
      <c r="DXZ8" s="6"/>
      <c r="DYB8" s="6"/>
      <c r="DYD8" s="6"/>
      <c r="DYF8" s="6"/>
      <c r="DYH8" s="6"/>
      <c r="DYJ8" s="6"/>
      <c r="DYL8" s="6"/>
      <c r="DYN8" s="6"/>
      <c r="DYP8" s="6"/>
      <c r="DYR8" s="6"/>
      <c r="DYT8" s="6"/>
      <c r="DYV8" s="6"/>
      <c r="DYX8" s="6"/>
      <c r="DYZ8" s="6"/>
      <c r="DZB8" s="6"/>
      <c r="DZD8" s="6"/>
      <c r="DZF8" s="6"/>
      <c r="DZH8" s="6"/>
      <c r="DZJ8" s="6"/>
      <c r="DZL8" s="6"/>
      <c r="DZN8" s="6"/>
      <c r="DZP8" s="6"/>
      <c r="DZR8" s="6"/>
      <c r="DZT8" s="6"/>
      <c r="DZV8" s="6"/>
      <c r="DZX8" s="6"/>
      <c r="DZZ8" s="6"/>
      <c r="EAB8" s="6"/>
      <c r="EAD8" s="6"/>
      <c r="EAF8" s="6"/>
      <c r="EAH8" s="6"/>
      <c r="EAJ8" s="6"/>
      <c r="EAL8" s="6"/>
      <c r="EAN8" s="6"/>
      <c r="EAP8" s="6"/>
      <c r="EAR8" s="6"/>
      <c r="EAT8" s="6"/>
      <c r="EAV8" s="6"/>
      <c r="EAX8" s="6"/>
      <c r="EAZ8" s="6"/>
      <c r="EBB8" s="6"/>
      <c r="EBD8" s="6"/>
      <c r="EBF8" s="6"/>
      <c r="EBH8" s="6"/>
      <c r="EBJ8" s="6"/>
      <c r="EBL8" s="6"/>
      <c r="EBN8" s="6"/>
      <c r="EBP8" s="6"/>
      <c r="EBR8" s="6"/>
      <c r="EBT8" s="6"/>
      <c r="EBV8" s="6"/>
      <c r="EBX8" s="6"/>
      <c r="EBZ8" s="6"/>
      <c r="ECB8" s="6"/>
      <c r="ECD8" s="6"/>
      <c r="ECF8" s="6"/>
      <c r="ECH8" s="6"/>
      <c r="ECJ8" s="6"/>
      <c r="ECL8" s="6"/>
      <c r="ECN8" s="6"/>
      <c r="ECP8" s="6"/>
      <c r="ECR8" s="6"/>
      <c r="ECT8" s="6"/>
      <c r="ECV8" s="6"/>
      <c r="ECX8" s="6"/>
      <c r="ECZ8" s="6"/>
      <c r="EDB8" s="6"/>
      <c r="EDD8" s="6"/>
      <c r="EDF8" s="6"/>
      <c r="EDH8" s="6"/>
      <c r="EDJ8" s="6"/>
      <c r="EDL8" s="6"/>
      <c r="EDN8" s="6"/>
      <c r="EDP8" s="6"/>
      <c r="EDR8" s="6"/>
      <c r="EDT8" s="6"/>
      <c r="EDV8" s="6"/>
      <c r="EDX8" s="6"/>
      <c r="EDZ8" s="6"/>
      <c r="EEB8" s="6"/>
      <c r="EED8" s="6"/>
      <c r="EEF8" s="6"/>
      <c r="EEH8" s="6"/>
      <c r="EEJ8" s="6"/>
      <c r="EEL8" s="6"/>
      <c r="EEN8" s="6"/>
      <c r="EEP8" s="6"/>
      <c r="EER8" s="6"/>
      <c r="EET8" s="6"/>
      <c r="EEV8" s="6"/>
      <c r="EEX8" s="6"/>
      <c r="EEZ8" s="6"/>
      <c r="EFB8" s="6"/>
      <c r="EFD8" s="6"/>
      <c r="EFF8" s="6"/>
      <c r="EFH8" s="6"/>
      <c r="EFJ8" s="6"/>
      <c r="EFL8" s="6"/>
      <c r="EFN8" s="6"/>
      <c r="EFP8" s="6"/>
      <c r="EFR8" s="6"/>
      <c r="EFT8" s="6"/>
      <c r="EFV8" s="6"/>
      <c r="EFX8" s="6"/>
      <c r="EFZ8" s="6"/>
      <c r="EGB8" s="6"/>
      <c r="EGD8" s="6"/>
      <c r="EGF8" s="6"/>
      <c r="EGH8" s="6"/>
      <c r="EGJ8" s="6"/>
      <c r="EGL8" s="6"/>
      <c r="EGN8" s="6"/>
      <c r="EGP8" s="6"/>
      <c r="EGR8" s="6"/>
      <c r="EGT8" s="6"/>
      <c r="EGV8" s="6"/>
      <c r="EGX8" s="6"/>
      <c r="EGZ8" s="6"/>
      <c r="EHB8" s="6"/>
      <c r="EHD8" s="6"/>
      <c r="EHF8" s="6"/>
      <c r="EHH8" s="6"/>
      <c r="EHJ8" s="6"/>
      <c r="EHL8" s="6"/>
      <c r="EHN8" s="6"/>
      <c r="EHP8" s="6"/>
      <c r="EHR8" s="6"/>
      <c r="EHT8" s="6"/>
      <c r="EHV8" s="6"/>
      <c r="EHX8" s="6"/>
      <c r="EHZ8" s="6"/>
      <c r="EIB8" s="6"/>
      <c r="EID8" s="6"/>
      <c r="EIF8" s="6"/>
      <c r="EIH8" s="6"/>
      <c r="EIJ8" s="6"/>
      <c r="EIL8" s="6"/>
      <c r="EIN8" s="6"/>
      <c r="EIP8" s="6"/>
      <c r="EIR8" s="6"/>
      <c r="EIT8" s="6"/>
      <c r="EIV8" s="6"/>
      <c r="EIX8" s="6"/>
      <c r="EIZ8" s="6"/>
      <c r="EJB8" s="6"/>
      <c r="EJD8" s="6"/>
      <c r="EJF8" s="6"/>
      <c r="EJH8" s="6"/>
      <c r="EJJ8" s="6"/>
      <c r="EJL8" s="6"/>
      <c r="EJN8" s="6"/>
      <c r="EJP8" s="6"/>
      <c r="EJR8" s="6"/>
      <c r="EJT8" s="6"/>
      <c r="EJV8" s="6"/>
      <c r="EJX8" s="6"/>
      <c r="EJZ8" s="6"/>
      <c r="EKB8" s="6"/>
      <c r="EKD8" s="6"/>
      <c r="EKF8" s="6"/>
      <c r="EKH8" s="6"/>
      <c r="EKJ8" s="6"/>
      <c r="EKL8" s="6"/>
      <c r="EKN8" s="6"/>
      <c r="EKP8" s="6"/>
      <c r="EKR8" s="6"/>
      <c r="EKT8" s="6"/>
      <c r="EKV8" s="6"/>
      <c r="EKX8" s="6"/>
      <c r="EKZ8" s="6"/>
      <c r="ELB8" s="6"/>
      <c r="ELD8" s="6"/>
      <c r="ELF8" s="6"/>
      <c r="ELH8" s="6"/>
      <c r="ELJ8" s="6"/>
      <c r="ELL8" s="6"/>
      <c r="ELN8" s="6"/>
      <c r="ELP8" s="6"/>
      <c r="ELR8" s="6"/>
      <c r="ELT8" s="6"/>
      <c r="ELV8" s="6"/>
      <c r="ELX8" s="6"/>
      <c r="ELZ8" s="6"/>
      <c r="EMB8" s="6"/>
      <c r="EMD8" s="6"/>
      <c r="EMF8" s="6"/>
      <c r="EMH8" s="6"/>
      <c r="EMJ8" s="6"/>
      <c r="EML8" s="6"/>
      <c r="EMN8" s="6"/>
      <c r="EMP8" s="6"/>
      <c r="EMR8" s="6"/>
      <c r="EMT8" s="6"/>
      <c r="EMV8" s="6"/>
      <c r="EMX8" s="6"/>
      <c r="EMZ8" s="6"/>
      <c r="ENB8" s="6"/>
      <c r="END8" s="6"/>
      <c r="ENF8" s="6"/>
      <c r="ENH8" s="6"/>
      <c r="ENJ8" s="6"/>
      <c r="ENL8" s="6"/>
      <c r="ENN8" s="6"/>
      <c r="ENP8" s="6"/>
      <c r="ENR8" s="6"/>
      <c r="ENT8" s="6"/>
      <c r="ENV8" s="6"/>
      <c r="ENX8" s="6"/>
      <c r="ENZ8" s="6"/>
      <c r="EOB8" s="6"/>
      <c r="EOD8" s="6"/>
      <c r="EOF8" s="6"/>
      <c r="EOH8" s="6"/>
      <c r="EOJ8" s="6"/>
      <c r="EOL8" s="6"/>
      <c r="EON8" s="6"/>
      <c r="EOP8" s="6"/>
      <c r="EOR8" s="6"/>
      <c r="EOT8" s="6"/>
      <c r="EOV8" s="6"/>
      <c r="EOX8" s="6"/>
      <c r="EOZ8" s="6"/>
      <c r="EPB8" s="6"/>
      <c r="EPD8" s="6"/>
      <c r="EPF8" s="6"/>
      <c r="EPH8" s="6"/>
      <c r="EPJ8" s="6"/>
      <c r="EPL8" s="6"/>
      <c r="EPN8" s="6"/>
      <c r="EPP8" s="6"/>
      <c r="EPR8" s="6"/>
      <c r="EPT8" s="6"/>
      <c r="EPV8" s="6"/>
      <c r="EPX8" s="6"/>
      <c r="EPZ8" s="6"/>
      <c r="EQB8" s="6"/>
      <c r="EQD8" s="6"/>
      <c r="EQF8" s="6"/>
      <c r="EQH8" s="6"/>
      <c r="EQJ8" s="6"/>
      <c r="EQL8" s="6"/>
      <c r="EQN8" s="6"/>
      <c r="EQP8" s="6"/>
      <c r="EQR8" s="6"/>
      <c r="EQT8" s="6"/>
      <c r="EQV8" s="6"/>
      <c r="EQX8" s="6"/>
      <c r="EQZ8" s="6"/>
      <c r="ERB8" s="6"/>
      <c r="ERD8" s="6"/>
      <c r="ERF8" s="6"/>
      <c r="ERH8" s="6"/>
      <c r="ERJ8" s="6"/>
      <c r="ERL8" s="6"/>
      <c r="ERN8" s="6"/>
      <c r="ERP8" s="6"/>
      <c r="ERR8" s="6"/>
      <c r="ERT8" s="6"/>
      <c r="ERV8" s="6"/>
      <c r="ERX8" s="6"/>
      <c r="ERZ8" s="6"/>
      <c r="ESB8" s="6"/>
      <c r="ESD8" s="6"/>
      <c r="ESF8" s="6"/>
      <c r="ESH8" s="6"/>
      <c r="ESJ8" s="6"/>
      <c r="ESL8" s="6"/>
      <c r="ESN8" s="6"/>
      <c r="ESP8" s="6"/>
      <c r="ESR8" s="6"/>
      <c r="EST8" s="6"/>
      <c r="ESV8" s="6"/>
      <c r="ESX8" s="6"/>
      <c r="ESZ8" s="6"/>
      <c r="ETB8" s="6"/>
      <c r="ETD8" s="6"/>
      <c r="ETF8" s="6"/>
      <c r="ETH8" s="6"/>
      <c r="ETJ8" s="6"/>
      <c r="ETL8" s="6"/>
      <c r="ETN8" s="6"/>
      <c r="ETP8" s="6"/>
      <c r="ETR8" s="6"/>
      <c r="ETT8" s="6"/>
      <c r="ETV8" s="6"/>
      <c r="ETX8" s="6"/>
      <c r="ETZ8" s="6"/>
      <c r="EUB8" s="6"/>
      <c r="EUD8" s="6"/>
      <c r="EUF8" s="6"/>
      <c r="EUH8" s="6"/>
      <c r="EUJ8" s="6"/>
      <c r="EUL8" s="6"/>
      <c r="EUN8" s="6"/>
      <c r="EUP8" s="6"/>
      <c r="EUR8" s="6"/>
      <c r="EUT8" s="6"/>
      <c r="EUV8" s="6"/>
      <c r="EUX8" s="6"/>
      <c r="EUZ8" s="6"/>
      <c r="EVB8" s="6"/>
      <c r="EVD8" s="6"/>
      <c r="EVF8" s="6"/>
      <c r="EVH8" s="6"/>
      <c r="EVJ8" s="6"/>
      <c r="EVL8" s="6"/>
      <c r="EVN8" s="6"/>
      <c r="EVP8" s="6"/>
      <c r="EVR8" s="6"/>
      <c r="EVT8" s="6"/>
      <c r="EVV8" s="6"/>
      <c r="EVX8" s="6"/>
      <c r="EVZ8" s="6"/>
      <c r="EWB8" s="6"/>
      <c r="EWD8" s="6"/>
      <c r="EWF8" s="6"/>
      <c r="EWH8" s="6"/>
      <c r="EWJ8" s="6"/>
      <c r="EWL8" s="6"/>
      <c r="EWN8" s="6"/>
      <c r="EWP8" s="6"/>
      <c r="EWR8" s="6"/>
      <c r="EWT8" s="6"/>
      <c r="EWV8" s="6"/>
      <c r="EWX8" s="6"/>
      <c r="EWZ8" s="6"/>
      <c r="EXB8" s="6"/>
      <c r="EXD8" s="6"/>
      <c r="EXF8" s="6"/>
      <c r="EXH8" s="6"/>
      <c r="EXJ8" s="6"/>
      <c r="EXL8" s="6"/>
      <c r="EXN8" s="6"/>
      <c r="EXP8" s="6"/>
      <c r="EXR8" s="6"/>
      <c r="EXT8" s="6"/>
      <c r="EXV8" s="6"/>
      <c r="EXX8" s="6"/>
      <c r="EXZ8" s="6"/>
      <c r="EYB8" s="6"/>
      <c r="EYD8" s="6"/>
      <c r="EYF8" s="6"/>
      <c r="EYH8" s="6"/>
      <c r="EYJ8" s="6"/>
      <c r="EYL8" s="6"/>
      <c r="EYN8" s="6"/>
      <c r="EYP8" s="6"/>
      <c r="EYR8" s="6"/>
      <c r="EYT8" s="6"/>
      <c r="EYV8" s="6"/>
      <c r="EYX8" s="6"/>
      <c r="EYZ8" s="6"/>
      <c r="EZB8" s="6"/>
      <c r="EZD8" s="6"/>
      <c r="EZF8" s="6"/>
      <c r="EZH8" s="6"/>
      <c r="EZJ8" s="6"/>
      <c r="EZL8" s="6"/>
      <c r="EZN8" s="6"/>
      <c r="EZP8" s="6"/>
      <c r="EZR8" s="6"/>
      <c r="EZT8" s="6"/>
      <c r="EZV8" s="6"/>
      <c r="EZX8" s="6"/>
      <c r="EZZ8" s="6"/>
      <c r="FAB8" s="6"/>
      <c r="FAD8" s="6"/>
      <c r="FAF8" s="6"/>
      <c r="FAH8" s="6"/>
      <c r="FAJ8" s="6"/>
      <c r="FAL8" s="6"/>
      <c r="FAN8" s="6"/>
      <c r="FAP8" s="6"/>
      <c r="FAR8" s="6"/>
      <c r="FAT8" s="6"/>
      <c r="FAV8" s="6"/>
      <c r="FAX8" s="6"/>
      <c r="FAZ8" s="6"/>
      <c r="FBB8" s="6"/>
      <c r="FBD8" s="6"/>
      <c r="FBF8" s="6"/>
      <c r="FBH8" s="6"/>
      <c r="FBJ8" s="6"/>
      <c r="FBL8" s="6"/>
      <c r="FBN8" s="6"/>
      <c r="FBP8" s="6"/>
      <c r="FBR8" s="6"/>
      <c r="FBT8" s="6"/>
      <c r="FBV8" s="6"/>
      <c r="FBX8" s="6"/>
      <c r="FBZ8" s="6"/>
      <c r="FCB8" s="6"/>
      <c r="FCD8" s="6"/>
      <c r="FCF8" s="6"/>
      <c r="FCH8" s="6"/>
      <c r="FCJ8" s="6"/>
      <c r="FCL8" s="6"/>
      <c r="FCN8" s="6"/>
      <c r="FCP8" s="6"/>
      <c r="FCR8" s="6"/>
      <c r="FCT8" s="6"/>
      <c r="FCV8" s="6"/>
      <c r="FCX8" s="6"/>
      <c r="FCZ8" s="6"/>
      <c r="FDB8" s="6"/>
      <c r="FDD8" s="6"/>
      <c r="FDF8" s="6"/>
      <c r="FDH8" s="6"/>
      <c r="FDJ8" s="6"/>
      <c r="FDL8" s="6"/>
      <c r="FDN8" s="6"/>
      <c r="FDP8" s="6"/>
      <c r="FDR8" s="6"/>
      <c r="FDT8" s="6"/>
      <c r="FDV8" s="6"/>
      <c r="FDX8" s="6"/>
      <c r="FDZ8" s="6"/>
      <c r="FEB8" s="6"/>
      <c r="FED8" s="6"/>
      <c r="FEF8" s="6"/>
      <c r="FEH8" s="6"/>
      <c r="FEJ8" s="6"/>
      <c r="FEL8" s="6"/>
      <c r="FEN8" s="6"/>
      <c r="FEP8" s="6"/>
      <c r="FER8" s="6"/>
      <c r="FET8" s="6"/>
      <c r="FEV8" s="6"/>
      <c r="FEX8" s="6"/>
      <c r="FEZ8" s="6"/>
      <c r="FFB8" s="6"/>
      <c r="FFD8" s="6"/>
      <c r="FFF8" s="6"/>
      <c r="FFH8" s="6"/>
      <c r="FFJ8" s="6"/>
      <c r="FFL8" s="6"/>
      <c r="FFN8" s="6"/>
      <c r="FFP8" s="6"/>
      <c r="FFR8" s="6"/>
      <c r="FFT8" s="6"/>
      <c r="FFV8" s="6"/>
      <c r="FFX8" s="6"/>
      <c r="FFZ8" s="6"/>
      <c r="FGB8" s="6"/>
      <c r="FGD8" s="6"/>
      <c r="FGF8" s="6"/>
      <c r="FGH8" s="6"/>
      <c r="FGJ8" s="6"/>
      <c r="FGL8" s="6"/>
      <c r="FGN8" s="6"/>
      <c r="FGP8" s="6"/>
      <c r="FGR8" s="6"/>
      <c r="FGT8" s="6"/>
      <c r="FGV8" s="6"/>
      <c r="FGX8" s="6"/>
      <c r="FGZ8" s="6"/>
      <c r="FHB8" s="6"/>
      <c r="FHD8" s="6"/>
      <c r="FHF8" s="6"/>
      <c r="FHH8" s="6"/>
      <c r="FHJ8" s="6"/>
      <c r="FHL8" s="6"/>
      <c r="FHN8" s="6"/>
      <c r="FHP8" s="6"/>
      <c r="FHR8" s="6"/>
      <c r="FHT8" s="6"/>
      <c r="FHV8" s="6"/>
      <c r="FHX8" s="6"/>
      <c r="FHZ8" s="6"/>
      <c r="FIB8" s="6"/>
      <c r="FID8" s="6"/>
      <c r="FIF8" s="6"/>
      <c r="FIH8" s="6"/>
      <c r="FIJ8" s="6"/>
      <c r="FIL8" s="6"/>
      <c r="FIN8" s="6"/>
      <c r="FIP8" s="6"/>
      <c r="FIR8" s="6"/>
      <c r="FIT8" s="6"/>
      <c r="FIV8" s="6"/>
      <c r="FIX8" s="6"/>
      <c r="FIZ8" s="6"/>
      <c r="FJB8" s="6"/>
      <c r="FJD8" s="6"/>
      <c r="FJF8" s="6"/>
      <c r="FJH8" s="6"/>
      <c r="FJJ8" s="6"/>
      <c r="FJL8" s="6"/>
      <c r="FJN8" s="6"/>
      <c r="FJP8" s="6"/>
      <c r="FJR8" s="6"/>
      <c r="FJT8" s="6"/>
      <c r="FJV8" s="6"/>
      <c r="FJX8" s="6"/>
      <c r="FJZ8" s="6"/>
      <c r="FKB8" s="6"/>
      <c r="FKD8" s="6"/>
      <c r="FKF8" s="6"/>
      <c r="FKH8" s="6"/>
      <c r="FKJ8" s="6"/>
      <c r="FKL8" s="6"/>
      <c r="FKN8" s="6"/>
      <c r="FKP8" s="6"/>
      <c r="FKR8" s="6"/>
      <c r="FKT8" s="6"/>
      <c r="FKV8" s="6"/>
      <c r="FKX8" s="6"/>
      <c r="FKZ8" s="6"/>
      <c r="FLB8" s="6"/>
      <c r="FLD8" s="6"/>
      <c r="FLF8" s="6"/>
      <c r="FLH8" s="6"/>
      <c r="FLJ8" s="6"/>
      <c r="FLL8" s="6"/>
      <c r="FLN8" s="6"/>
      <c r="FLP8" s="6"/>
      <c r="FLR8" s="6"/>
      <c r="FLT8" s="6"/>
      <c r="FLV8" s="6"/>
      <c r="FLX8" s="6"/>
      <c r="FLZ8" s="6"/>
      <c r="FMB8" s="6"/>
      <c r="FMD8" s="6"/>
      <c r="FMF8" s="6"/>
      <c r="FMH8" s="6"/>
      <c r="FMJ8" s="6"/>
      <c r="FML8" s="6"/>
      <c r="FMN8" s="6"/>
      <c r="FMP8" s="6"/>
      <c r="FMR8" s="6"/>
      <c r="FMT8" s="6"/>
      <c r="FMV8" s="6"/>
      <c r="FMX8" s="6"/>
      <c r="FMZ8" s="6"/>
      <c r="FNB8" s="6"/>
      <c r="FND8" s="6"/>
      <c r="FNF8" s="6"/>
      <c r="FNH8" s="6"/>
      <c r="FNJ8" s="6"/>
      <c r="FNL8" s="6"/>
      <c r="FNN8" s="6"/>
      <c r="FNP8" s="6"/>
      <c r="FNR8" s="6"/>
      <c r="FNT8" s="6"/>
      <c r="FNV8" s="6"/>
      <c r="FNX8" s="6"/>
      <c r="FNZ8" s="6"/>
      <c r="FOB8" s="6"/>
      <c r="FOD8" s="6"/>
      <c r="FOF8" s="6"/>
      <c r="FOH8" s="6"/>
      <c r="FOJ8" s="6"/>
      <c r="FOL8" s="6"/>
      <c r="FON8" s="6"/>
      <c r="FOP8" s="6"/>
      <c r="FOR8" s="6"/>
      <c r="FOT8" s="6"/>
      <c r="FOV8" s="6"/>
      <c r="FOX8" s="6"/>
      <c r="FOZ8" s="6"/>
      <c r="FPB8" s="6"/>
      <c r="FPD8" s="6"/>
      <c r="FPF8" s="6"/>
      <c r="FPH8" s="6"/>
      <c r="FPJ8" s="6"/>
      <c r="FPL8" s="6"/>
      <c r="FPN8" s="6"/>
      <c r="FPP8" s="6"/>
      <c r="FPR8" s="6"/>
      <c r="FPT8" s="6"/>
      <c r="FPV8" s="6"/>
      <c r="FPX8" s="6"/>
      <c r="FPZ8" s="6"/>
      <c r="FQB8" s="6"/>
      <c r="FQD8" s="6"/>
      <c r="FQF8" s="6"/>
      <c r="FQH8" s="6"/>
      <c r="FQJ8" s="6"/>
      <c r="FQL8" s="6"/>
      <c r="FQN8" s="6"/>
      <c r="FQP8" s="6"/>
      <c r="FQR8" s="6"/>
      <c r="FQT8" s="6"/>
      <c r="FQV8" s="6"/>
      <c r="FQX8" s="6"/>
      <c r="FQZ8" s="6"/>
      <c r="FRB8" s="6"/>
      <c r="FRD8" s="6"/>
      <c r="FRF8" s="6"/>
      <c r="FRH8" s="6"/>
      <c r="FRJ8" s="6"/>
      <c r="FRL8" s="6"/>
      <c r="FRN8" s="6"/>
      <c r="FRP8" s="6"/>
      <c r="FRR8" s="6"/>
      <c r="FRT8" s="6"/>
      <c r="FRV8" s="6"/>
      <c r="FRX8" s="6"/>
      <c r="FRZ8" s="6"/>
      <c r="FSB8" s="6"/>
      <c r="FSD8" s="6"/>
      <c r="FSF8" s="6"/>
      <c r="FSH8" s="6"/>
      <c r="FSJ8" s="6"/>
      <c r="FSL8" s="6"/>
      <c r="FSN8" s="6"/>
      <c r="FSP8" s="6"/>
      <c r="FSR8" s="6"/>
      <c r="FST8" s="6"/>
      <c r="FSV8" s="6"/>
      <c r="FSX8" s="6"/>
      <c r="FSZ8" s="6"/>
      <c r="FTB8" s="6"/>
      <c r="FTD8" s="6"/>
      <c r="FTF8" s="6"/>
      <c r="FTH8" s="6"/>
      <c r="FTJ8" s="6"/>
      <c r="FTL8" s="6"/>
      <c r="FTN8" s="6"/>
      <c r="FTP8" s="6"/>
      <c r="FTR8" s="6"/>
      <c r="FTT8" s="6"/>
      <c r="FTV8" s="6"/>
      <c r="FTX8" s="6"/>
      <c r="FTZ8" s="6"/>
      <c r="FUB8" s="6"/>
      <c r="FUD8" s="6"/>
      <c r="FUF8" s="6"/>
      <c r="FUH8" s="6"/>
      <c r="FUJ8" s="6"/>
      <c r="FUL8" s="6"/>
      <c r="FUN8" s="6"/>
      <c r="FUP8" s="6"/>
      <c r="FUR8" s="6"/>
      <c r="FUT8" s="6"/>
      <c r="FUV8" s="6"/>
      <c r="FUX8" s="6"/>
      <c r="FUZ8" s="6"/>
      <c r="FVB8" s="6"/>
      <c r="FVD8" s="6"/>
      <c r="FVF8" s="6"/>
      <c r="FVH8" s="6"/>
      <c r="FVJ8" s="6"/>
      <c r="FVL8" s="6"/>
      <c r="FVN8" s="6"/>
      <c r="FVP8" s="6"/>
      <c r="FVR8" s="6"/>
      <c r="FVT8" s="6"/>
      <c r="FVV8" s="6"/>
      <c r="FVX8" s="6"/>
      <c r="FVZ8" s="6"/>
      <c r="FWB8" s="6"/>
      <c r="FWD8" s="6"/>
      <c r="FWF8" s="6"/>
      <c r="FWH8" s="6"/>
      <c r="FWJ8" s="6"/>
      <c r="FWL8" s="6"/>
      <c r="FWN8" s="6"/>
      <c r="FWP8" s="6"/>
      <c r="FWR8" s="6"/>
      <c r="FWT8" s="6"/>
      <c r="FWV8" s="6"/>
      <c r="FWX8" s="6"/>
      <c r="FWZ8" s="6"/>
      <c r="FXB8" s="6"/>
      <c r="FXD8" s="6"/>
      <c r="FXF8" s="6"/>
      <c r="FXH8" s="6"/>
      <c r="FXJ8" s="6"/>
      <c r="FXL8" s="6"/>
      <c r="FXN8" s="6"/>
      <c r="FXP8" s="6"/>
      <c r="FXR8" s="6"/>
      <c r="FXT8" s="6"/>
      <c r="FXV8" s="6"/>
      <c r="FXX8" s="6"/>
      <c r="FXZ8" s="6"/>
      <c r="FYB8" s="6"/>
      <c r="FYD8" s="6"/>
      <c r="FYF8" s="6"/>
      <c r="FYH8" s="6"/>
      <c r="FYJ8" s="6"/>
      <c r="FYL8" s="6"/>
      <c r="FYN8" s="6"/>
      <c r="FYP8" s="6"/>
      <c r="FYR8" s="6"/>
      <c r="FYT8" s="6"/>
      <c r="FYV8" s="6"/>
      <c r="FYX8" s="6"/>
      <c r="FYZ8" s="6"/>
      <c r="FZB8" s="6"/>
      <c r="FZD8" s="6"/>
      <c r="FZF8" s="6"/>
      <c r="FZH8" s="6"/>
      <c r="FZJ8" s="6"/>
      <c r="FZL8" s="6"/>
      <c r="FZN8" s="6"/>
      <c r="FZP8" s="6"/>
      <c r="FZR8" s="6"/>
      <c r="FZT8" s="6"/>
      <c r="FZV8" s="6"/>
      <c r="FZX8" s="6"/>
      <c r="FZZ8" s="6"/>
      <c r="GAB8" s="6"/>
      <c r="GAD8" s="6"/>
      <c r="GAF8" s="6"/>
      <c r="GAH8" s="6"/>
      <c r="GAJ8" s="6"/>
      <c r="GAL8" s="6"/>
      <c r="GAN8" s="6"/>
      <c r="GAP8" s="6"/>
      <c r="GAR8" s="6"/>
      <c r="GAT8" s="6"/>
      <c r="GAV8" s="6"/>
      <c r="GAX8" s="6"/>
      <c r="GAZ8" s="6"/>
      <c r="GBB8" s="6"/>
      <c r="GBD8" s="6"/>
      <c r="GBF8" s="6"/>
      <c r="GBH8" s="6"/>
      <c r="GBJ8" s="6"/>
      <c r="GBL8" s="6"/>
      <c r="GBN8" s="6"/>
      <c r="GBP8" s="6"/>
      <c r="GBR8" s="6"/>
      <c r="GBT8" s="6"/>
      <c r="GBV8" s="6"/>
      <c r="GBX8" s="6"/>
      <c r="GBZ8" s="6"/>
      <c r="GCB8" s="6"/>
      <c r="GCD8" s="6"/>
      <c r="GCF8" s="6"/>
      <c r="GCH8" s="6"/>
      <c r="GCJ8" s="6"/>
      <c r="GCL8" s="6"/>
      <c r="GCN8" s="6"/>
      <c r="GCP8" s="6"/>
      <c r="GCR8" s="6"/>
      <c r="GCT8" s="6"/>
      <c r="GCV8" s="6"/>
      <c r="GCX8" s="6"/>
      <c r="GCZ8" s="6"/>
      <c r="GDB8" s="6"/>
      <c r="GDD8" s="6"/>
      <c r="GDF8" s="6"/>
      <c r="GDH8" s="6"/>
      <c r="GDJ8" s="6"/>
      <c r="GDL8" s="6"/>
      <c r="GDN8" s="6"/>
      <c r="GDP8" s="6"/>
      <c r="GDR8" s="6"/>
      <c r="GDT8" s="6"/>
      <c r="GDV8" s="6"/>
      <c r="GDX8" s="6"/>
      <c r="GDZ8" s="6"/>
      <c r="GEB8" s="6"/>
      <c r="GED8" s="6"/>
      <c r="GEF8" s="6"/>
      <c r="GEH8" s="6"/>
      <c r="GEJ8" s="6"/>
      <c r="GEL8" s="6"/>
      <c r="GEN8" s="6"/>
      <c r="GEP8" s="6"/>
      <c r="GER8" s="6"/>
      <c r="GET8" s="6"/>
      <c r="GEV8" s="6"/>
      <c r="GEX8" s="6"/>
      <c r="GEZ8" s="6"/>
      <c r="GFB8" s="6"/>
      <c r="GFD8" s="6"/>
      <c r="GFF8" s="6"/>
      <c r="GFH8" s="6"/>
      <c r="GFJ8" s="6"/>
      <c r="GFL8" s="6"/>
      <c r="GFN8" s="6"/>
      <c r="GFP8" s="6"/>
      <c r="GFR8" s="6"/>
      <c r="GFT8" s="6"/>
      <c r="GFV8" s="6"/>
      <c r="GFX8" s="6"/>
      <c r="GFZ8" s="6"/>
      <c r="GGB8" s="6"/>
      <c r="GGD8" s="6"/>
      <c r="GGF8" s="6"/>
      <c r="GGH8" s="6"/>
      <c r="GGJ8" s="6"/>
      <c r="GGL8" s="6"/>
      <c r="GGN8" s="6"/>
      <c r="GGP8" s="6"/>
      <c r="GGR8" s="6"/>
      <c r="GGT8" s="6"/>
      <c r="GGV8" s="6"/>
      <c r="GGX8" s="6"/>
      <c r="GGZ8" s="6"/>
      <c r="GHB8" s="6"/>
      <c r="GHD8" s="6"/>
      <c r="GHF8" s="6"/>
      <c r="GHH8" s="6"/>
      <c r="GHJ8" s="6"/>
      <c r="GHL8" s="6"/>
      <c r="GHN8" s="6"/>
      <c r="GHP8" s="6"/>
      <c r="GHR8" s="6"/>
      <c r="GHT8" s="6"/>
      <c r="GHV8" s="6"/>
      <c r="GHX8" s="6"/>
      <c r="GHZ8" s="6"/>
      <c r="GIB8" s="6"/>
      <c r="GID8" s="6"/>
      <c r="GIF8" s="6"/>
      <c r="GIH8" s="6"/>
      <c r="GIJ8" s="6"/>
      <c r="GIL8" s="6"/>
      <c r="GIN8" s="6"/>
      <c r="GIP8" s="6"/>
      <c r="GIR8" s="6"/>
      <c r="GIT8" s="6"/>
      <c r="GIV8" s="6"/>
      <c r="GIX8" s="6"/>
      <c r="GIZ8" s="6"/>
      <c r="GJB8" s="6"/>
      <c r="GJD8" s="6"/>
      <c r="GJF8" s="6"/>
      <c r="GJH8" s="6"/>
      <c r="GJJ8" s="6"/>
      <c r="GJL8" s="6"/>
      <c r="GJN8" s="6"/>
      <c r="GJP8" s="6"/>
      <c r="GJR8" s="6"/>
      <c r="GJT8" s="6"/>
      <c r="GJV8" s="6"/>
      <c r="GJX8" s="6"/>
      <c r="GJZ8" s="6"/>
      <c r="GKB8" s="6"/>
      <c r="GKD8" s="6"/>
      <c r="GKF8" s="6"/>
      <c r="GKH8" s="6"/>
      <c r="GKJ8" s="6"/>
      <c r="GKL8" s="6"/>
      <c r="GKN8" s="6"/>
      <c r="GKP8" s="6"/>
      <c r="GKR8" s="6"/>
      <c r="GKT8" s="6"/>
      <c r="GKV8" s="6"/>
      <c r="GKX8" s="6"/>
      <c r="GKZ8" s="6"/>
      <c r="GLB8" s="6"/>
      <c r="GLD8" s="6"/>
      <c r="GLF8" s="6"/>
      <c r="GLH8" s="6"/>
      <c r="GLJ8" s="6"/>
      <c r="GLL8" s="6"/>
      <c r="GLN8" s="6"/>
      <c r="GLP8" s="6"/>
      <c r="GLR8" s="6"/>
      <c r="GLT8" s="6"/>
      <c r="GLV8" s="6"/>
      <c r="GLX8" s="6"/>
      <c r="GLZ8" s="6"/>
      <c r="GMB8" s="6"/>
      <c r="GMD8" s="6"/>
      <c r="GMF8" s="6"/>
      <c r="GMH8" s="6"/>
      <c r="GMJ8" s="6"/>
      <c r="GML8" s="6"/>
      <c r="GMN8" s="6"/>
      <c r="GMP8" s="6"/>
      <c r="GMR8" s="6"/>
      <c r="GMT8" s="6"/>
      <c r="GMV8" s="6"/>
      <c r="GMX8" s="6"/>
      <c r="GMZ8" s="6"/>
      <c r="GNB8" s="6"/>
      <c r="GND8" s="6"/>
      <c r="GNF8" s="6"/>
      <c r="GNH8" s="6"/>
      <c r="GNJ8" s="6"/>
      <c r="GNL8" s="6"/>
      <c r="GNN8" s="6"/>
      <c r="GNP8" s="6"/>
      <c r="GNR8" s="6"/>
      <c r="GNT8" s="6"/>
      <c r="GNV8" s="6"/>
      <c r="GNX8" s="6"/>
      <c r="GNZ8" s="6"/>
      <c r="GOB8" s="6"/>
      <c r="GOD8" s="6"/>
      <c r="GOF8" s="6"/>
      <c r="GOH8" s="6"/>
      <c r="GOJ8" s="6"/>
      <c r="GOL8" s="6"/>
      <c r="GON8" s="6"/>
      <c r="GOP8" s="6"/>
      <c r="GOR8" s="6"/>
      <c r="GOT8" s="6"/>
      <c r="GOV8" s="6"/>
      <c r="GOX8" s="6"/>
      <c r="GOZ8" s="6"/>
      <c r="GPB8" s="6"/>
      <c r="GPD8" s="6"/>
      <c r="GPF8" s="6"/>
      <c r="GPH8" s="6"/>
      <c r="GPJ8" s="6"/>
      <c r="GPL8" s="6"/>
      <c r="GPN8" s="6"/>
      <c r="GPP8" s="6"/>
      <c r="GPR8" s="6"/>
      <c r="GPT8" s="6"/>
      <c r="GPV8" s="6"/>
      <c r="GPX8" s="6"/>
      <c r="GPZ8" s="6"/>
      <c r="GQB8" s="6"/>
      <c r="GQD8" s="6"/>
      <c r="GQF8" s="6"/>
      <c r="GQH8" s="6"/>
      <c r="GQJ8" s="6"/>
      <c r="GQL8" s="6"/>
      <c r="GQN8" s="6"/>
      <c r="GQP8" s="6"/>
      <c r="GQR8" s="6"/>
      <c r="GQT8" s="6"/>
      <c r="GQV8" s="6"/>
      <c r="GQX8" s="6"/>
      <c r="GQZ8" s="6"/>
      <c r="GRB8" s="6"/>
      <c r="GRD8" s="6"/>
      <c r="GRF8" s="6"/>
      <c r="GRH8" s="6"/>
      <c r="GRJ8" s="6"/>
      <c r="GRL8" s="6"/>
      <c r="GRN8" s="6"/>
      <c r="GRP8" s="6"/>
      <c r="GRR8" s="6"/>
      <c r="GRT8" s="6"/>
      <c r="GRV8" s="6"/>
      <c r="GRX8" s="6"/>
      <c r="GRZ8" s="6"/>
      <c r="GSB8" s="6"/>
      <c r="GSD8" s="6"/>
      <c r="GSF8" s="6"/>
      <c r="GSH8" s="6"/>
      <c r="GSJ8" s="6"/>
      <c r="GSL8" s="6"/>
      <c r="GSN8" s="6"/>
      <c r="GSP8" s="6"/>
      <c r="GSR8" s="6"/>
      <c r="GST8" s="6"/>
      <c r="GSV8" s="6"/>
      <c r="GSX8" s="6"/>
      <c r="GSZ8" s="6"/>
      <c r="GTB8" s="6"/>
      <c r="GTD8" s="6"/>
      <c r="GTF8" s="6"/>
      <c r="GTH8" s="6"/>
      <c r="GTJ8" s="6"/>
      <c r="GTL8" s="6"/>
      <c r="GTN8" s="6"/>
      <c r="GTP8" s="6"/>
      <c r="GTR8" s="6"/>
      <c r="GTT8" s="6"/>
      <c r="GTV8" s="6"/>
      <c r="GTX8" s="6"/>
      <c r="GTZ8" s="6"/>
      <c r="GUB8" s="6"/>
      <c r="GUD8" s="6"/>
      <c r="GUF8" s="6"/>
      <c r="GUH8" s="6"/>
      <c r="GUJ8" s="6"/>
      <c r="GUL8" s="6"/>
      <c r="GUN8" s="6"/>
      <c r="GUP8" s="6"/>
      <c r="GUR8" s="6"/>
      <c r="GUT8" s="6"/>
      <c r="GUV8" s="6"/>
      <c r="GUX8" s="6"/>
      <c r="GUZ8" s="6"/>
      <c r="GVB8" s="6"/>
      <c r="GVD8" s="6"/>
      <c r="GVF8" s="6"/>
      <c r="GVH8" s="6"/>
      <c r="GVJ8" s="6"/>
      <c r="GVL8" s="6"/>
      <c r="GVN8" s="6"/>
      <c r="GVP8" s="6"/>
      <c r="GVR8" s="6"/>
      <c r="GVT8" s="6"/>
      <c r="GVV8" s="6"/>
      <c r="GVX8" s="6"/>
      <c r="GVZ8" s="6"/>
      <c r="GWB8" s="6"/>
      <c r="GWD8" s="6"/>
      <c r="GWF8" s="6"/>
      <c r="GWH8" s="6"/>
      <c r="GWJ8" s="6"/>
      <c r="GWL8" s="6"/>
      <c r="GWN8" s="6"/>
      <c r="GWP8" s="6"/>
      <c r="GWR8" s="6"/>
      <c r="GWT8" s="6"/>
      <c r="GWV8" s="6"/>
      <c r="GWX8" s="6"/>
      <c r="GWZ8" s="6"/>
      <c r="GXB8" s="6"/>
      <c r="GXD8" s="6"/>
      <c r="GXF8" s="6"/>
      <c r="GXH8" s="6"/>
      <c r="GXJ8" s="6"/>
      <c r="GXL8" s="6"/>
      <c r="GXN8" s="6"/>
      <c r="GXP8" s="6"/>
      <c r="GXR8" s="6"/>
      <c r="GXT8" s="6"/>
      <c r="GXV8" s="6"/>
      <c r="GXX8" s="6"/>
      <c r="GXZ8" s="6"/>
      <c r="GYB8" s="6"/>
      <c r="GYD8" s="6"/>
      <c r="GYF8" s="6"/>
      <c r="GYH8" s="6"/>
      <c r="GYJ8" s="6"/>
      <c r="GYL8" s="6"/>
      <c r="GYN8" s="6"/>
      <c r="GYP8" s="6"/>
      <c r="GYR8" s="6"/>
      <c r="GYT8" s="6"/>
      <c r="GYV8" s="6"/>
      <c r="GYX8" s="6"/>
      <c r="GYZ8" s="6"/>
      <c r="GZB8" s="6"/>
      <c r="GZD8" s="6"/>
      <c r="GZF8" s="6"/>
      <c r="GZH8" s="6"/>
      <c r="GZJ8" s="6"/>
      <c r="GZL8" s="6"/>
      <c r="GZN8" s="6"/>
      <c r="GZP8" s="6"/>
      <c r="GZR8" s="6"/>
      <c r="GZT8" s="6"/>
      <c r="GZV8" s="6"/>
      <c r="GZX8" s="6"/>
      <c r="GZZ8" s="6"/>
      <c r="HAB8" s="6"/>
      <c r="HAD8" s="6"/>
      <c r="HAF8" s="6"/>
      <c r="HAH8" s="6"/>
      <c r="HAJ8" s="6"/>
      <c r="HAL8" s="6"/>
      <c r="HAN8" s="6"/>
      <c r="HAP8" s="6"/>
      <c r="HAR8" s="6"/>
      <c r="HAT8" s="6"/>
      <c r="HAV8" s="6"/>
      <c r="HAX8" s="6"/>
      <c r="HAZ8" s="6"/>
      <c r="HBB8" s="6"/>
      <c r="HBD8" s="6"/>
      <c r="HBF8" s="6"/>
      <c r="HBH8" s="6"/>
      <c r="HBJ8" s="6"/>
      <c r="HBL8" s="6"/>
      <c r="HBN8" s="6"/>
      <c r="HBP8" s="6"/>
      <c r="HBR8" s="6"/>
      <c r="HBT8" s="6"/>
      <c r="HBV8" s="6"/>
      <c r="HBX8" s="6"/>
      <c r="HBZ8" s="6"/>
      <c r="HCB8" s="6"/>
      <c r="HCD8" s="6"/>
      <c r="HCF8" s="6"/>
      <c r="HCH8" s="6"/>
      <c r="HCJ8" s="6"/>
      <c r="HCL8" s="6"/>
      <c r="HCN8" s="6"/>
      <c r="HCP8" s="6"/>
      <c r="HCR8" s="6"/>
      <c r="HCT8" s="6"/>
      <c r="HCV8" s="6"/>
      <c r="HCX8" s="6"/>
      <c r="HCZ8" s="6"/>
      <c r="HDB8" s="6"/>
      <c r="HDD8" s="6"/>
      <c r="HDF8" s="6"/>
      <c r="HDH8" s="6"/>
      <c r="HDJ8" s="6"/>
      <c r="HDL8" s="6"/>
      <c r="HDN8" s="6"/>
      <c r="HDP8" s="6"/>
      <c r="HDR8" s="6"/>
      <c r="HDT8" s="6"/>
      <c r="HDV8" s="6"/>
      <c r="HDX8" s="6"/>
      <c r="HDZ8" s="6"/>
      <c r="HEB8" s="6"/>
      <c r="HED8" s="6"/>
      <c r="HEF8" s="6"/>
      <c r="HEH8" s="6"/>
      <c r="HEJ8" s="6"/>
      <c r="HEL8" s="6"/>
      <c r="HEN8" s="6"/>
      <c r="HEP8" s="6"/>
      <c r="HER8" s="6"/>
      <c r="HET8" s="6"/>
      <c r="HEV8" s="6"/>
      <c r="HEX8" s="6"/>
      <c r="HEZ8" s="6"/>
      <c r="HFB8" s="6"/>
      <c r="HFD8" s="6"/>
      <c r="HFF8" s="6"/>
      <c r="HFH8" s="6"/>
      <c r="HFJ8" s="6"/>
      <c r="HFL8" s="6"/>
      <c r="HFN8" s="6"/>
      <c r="HFP8" s="6"/>
      <c r="HFR8" s="6"/>
      <c r="HFT8" s="6"/>
      <c r="HFV8" s="6"/>
      <c r="HFX8" s="6"/>
      <c r="HFZ8" s="6"/>
      <c r="HGB8" s="6"/>
      <c r="HGD8" s="6"/>
      <c r="HGF8" s="6"/>
      <c r="HGH8" s="6"/>
      <c r="HGJ8" s="6"/>
      <c r="HGL8" s="6"/>
      <c r="HGN8" s="6"/>
      <c r="HGP8" s="6"/>
      <c r="HGR8" s="6"/>
      <c r="HGT8" s="6"/>
      <c r="HGV8" s="6"/>
      <c r="HGX8" s="6"/>
      <c r="HGZ8" s="6"/>
      <c r="HHB8" s="6"/>
      <c r="HHD8" s="6"/>
      <c r="HHF8" s="6"/>
      <c r="HHH8" s="6"/>
      <c r="HHJ8" s="6"/>
      <c r="HHL8" s="6"/>
      <c r="HHN8" s="6"/>
      <c r="HHP8" s="6"/>
      <c r="HHR8" s="6"/>
      <c r="HHT8" s="6"/>
      <c r="HHV8" s="6"/>
      <c r="HHX8" s="6"/>
      <c r="HHZ8" s="6"/>
      <c r="HIB8" s="6"/>
      <c r="HID8" s="6"/>
      <c r="HIF8" s="6"/>
      <c r="HIH8" s="6"/>
      <c r="HIJ8" s="6"/>
      <c r="HIL8" s="6"/>
      <c r="HIN8" s="6"/>
      <c r="HIP8" s="6"/>
      <c r="HIR8" s="6"/>
      <c r="HIT8" s="6"/>
      <c r="HIV8" s="6"/>
      <c r="HIX8" s="6"/>
      <c r="HIZ8" s="6"/>
      <c r="HJB8" s="6"/>
      <c r="HJD8" s="6"/>
      <c r="HJF8" s="6"/>
      <c r="HJH8" s="6"/>
      <c r="HJJ8" s="6"/>
      <c r="HJL8" s="6"/>
      <c r="HJN8" s="6"/>
      <c r="HJP8" s="6"/>
      <c r="HJR8" s="6"/>
      <c r="HJT8" s="6"/>
      <c r="HJV8" s="6"/>
      <c r="HJX8" s="6"/>
      <c r="HJZ8" s="6"/>
      <c r="HKB8" s="6"/>
      <c r="HKD8" s="6"/>
      <c r="HKF8" s="6"/>
      <c r="HKH8" s="6"/>
      <c r="HKJ8" s="6"/>
      <c r="HKL8" s="6"/>
      <c r="HKN8" s="6"/>
      <c r="HKP8" s="6"/>
      <c r="HKR8" s="6"/>
      <c r="HKT8" s="6"/>
      <c r="HKV8" s="6"/>
      <c r="HKX8" s="6"/>
      <c r="HKZ8" s="6"/>
      <c r="HLB8" s="6"/>
      <c r="HLD8" s="6"/>
      <c r="HLF8" s="6"/>
      <c r="HLH8" s="6"/>
      <c r="HLJ8" s="6"/>
      <c r="HLL8" s="6"/>
      <c r="HLN8" s="6"/>
      <c r="HLP8" s="6"/>
      <c r="HLR8" s="6"/>
      <c r="HLT8" s="6"/>
      <c r="HLV8" s="6"/>
      <c r="HLX8" s="6"/>
      <c r="HLZ8" s="6"/>
      <c r="HMB8" s="6"/>
      <c r="HMD8" s="6"/>
      <c r="HMF8" s="6"/>
      <c r="HMH8" s="6"/>
      <c r="HMJ8" s="6"/>
      <c r="HML8" s="6"/>
      <c r="HMN8" s="6"/>
      <c r="HMP8" s="6"/>
      <c r="HMR8" s="6"/>
      <c r="HMT8" s="6"/>
      <c r="HMV8" s="6"/>
      <c r="HMX8" s="6"/>
      <c r="HMZ8" s="6"/>
      <c r="HNB8" s="6"/>
      <c r="HND8" s="6"/>
      <c r="HNF8" s="6"/>
      <c r="HNH8" s="6"/>
      <c r="HNJ8" s="6"/>
      <c r="HNL8" s="6"/>
      <c r="HNN8" s="6"/>
      <c r="HNP8" s="6"/>
      <c r="HNR8" s="6"/>
      <c r="HNT8" s="6"/>
      <c r="HNV8" s="6"/>
      <c r="HNX8" s="6"/>
      <c r="HNZ8" s="6"/>
      <c r="HOB8" s="6"/>
      <c r="HOD8" s="6"/>
      <c r="HOF8" s="6"/>
      <c r="HOH8" s="6"/>
      <c r="HOJ8" s="6"/>
      <c r="HOL8" s="6"/>
      <c r="HON8" s="6"/>
      <c r="HOP8" s="6"/>
      <c r="HOR8" s="6"/>
      <c r="HOT8" s="6"/>
      <c r="HOV8" s="6"/>
      <c r="HOX8" s="6"/>
      <c r="HOZ8" s="6"/>
      <c r="HPB8" s="6"/>
      <c r="HPD8" s="6"/>
      <c r="HPF8" s="6"/>
      <c r="HPH8" s="6"/>
      <c r="HPJ8" s="6"/>
      <c r="HPL8" s="6"/>
      <c r="HPN8" s="6"/>
      <c r="HPP8" s="6"/>
      <c r="HPR8" s="6"/>
      <c r="HPT8" s="6"/>
      <c r="HPV8" s="6"/>
      <c r="HPX8" s="6"/>
      <c r="HPZ8" s="6"/>
      <c r="HQB8" s="6"/>
      <c r="HQD8" s="6"/>
      <c r="HQF8" s="6"/>
      <c r="HQH8" s="6"/>
      <c r="HQJ8" s="6"/>
      <c r="HQL8" s="6"/>
      <c r="HQN8" s="6"/>
      <c r="HQP8" s="6"/>
      <c r="HQR8" s="6"/>
      <c r="HQT8" s="6"/>
      <c r="HQV8" s="6"/>
      <c r="HQX8" s="6"/>
      <c r="HQZ8" s="6"/>
      <c r="HRB8" s="6"/>
      <c r="HRD8" s="6"/>
      <c r="HRF8" s="6"/>
      <c r="HRH8" s="6"/>
      <c r="HRJ8" s="6"/>
      <c r="HRL8" s="6"/>
      <c r="HRN8" s="6"/>
      <c r="HRP8" s="6"/>
      <c r="HRR8" s="6"/>
      <c r="HRT8" s="6"/>
      <c r="HRV8" s="6"/>
      <c r="HRX8" s="6"/>
      <c r="HRZ8" s="6"/>
      <c r="HSB8" s="6"/>
      <c r="HSD8" s="6"/>
      <c r="HSF8" s="6"/>
      <c r="HSH8" s="6"/>
      <c r="HSJ8" s="6"/>
      <c r="HSL8" s="6"/>
      <c r="HSN8" s="6"/>
      <c r="HSP8" s="6"/>
      <c r="HSR8" s="6"/>
      <c r="HST8" s="6"/>
      <c r="HSV8" s="6"/>
      <c r="HSX8" s="6"/>
      <c r="HSZ8" s="6"/>
      <c r="HTB8" s="6"/>
      <c r="HTD8" s="6"/>
      <c r="HTF8" s="6"/>
      <c r="HTH8" s="6"/>
      <c r="HTJ8" s="6"/>
      <c r="HTL8" s="6"/>
      <c r="HTN8" s="6"/>
      <c r="HTP8" s="6"/>
      <c r="HTR8" s="6"/>
      <c r="HTT8" s="6"/>
      <c r="HTV8" s="6"/>
      <c r="HTX8" s="6"/>
      <c r="HTZ8" s="6"/>
      <c r="HUB8" s="6"/>
      <c r="HUD8" s="6"/>
      <c r="HUF8" s="6"/>
      <c r="HUH8" s="6"/>
      <c r="HUJ8" s="6"/>
      <c r="HUL8" s="6"/>
      <c r="HUN8" s="6"/>
      <c r="HUP8" s="6"/>
      <c r="HUR8" s="6"/>
      <c r="HUT8" s="6"/>
      <c r="HUV8" s="6"/>
      <c r="HUX8" s="6"/>
      <c r="HUZ8" s="6"/>
      <c r="HVB8" s="6"/>
      <c r="HVD8" s="6"/>
      <c r="HVF8" s="6"/>
      <c r="HVH8" s="6"/>
      <c r="HVJ8" s="6"/>
      <c r="HVL8" s="6"/>
      <c r="HVN8" s="6"/>
      <c r="HVP8" s="6"/>
      <c r="HVR8" s="6"/>
      <c r="HVT8" s="6"/>
      <c r="HVV8" s="6"/>
      <c r="HVX8" s="6"/>
      <c r="HVZ8" s="6"/>
      <c r="HWB8" s="6"/>
      <c r="HWD8" s="6"/>
      <c r="HWF8" s="6"/>
      <c r="HWH8" s="6"/>
      <c r="HWJ8" s="6"/>
      <c r="HWL8" s="6"/>
      <c r="HWN8" s="6"/>
      <c r="HWP8" s="6"/>
      <c r="HWR8" s="6"/>
      <c r="HWT8" s="6"/>
      <c r="HWV8" s="6"/>
      <c r="HWX8" s="6"/>
      <c r="HWZ8" s="6"/>
      <c r="HXB8" s="6"/>
      <c r="HXD8" s="6"/>
      <c r="HXF8" s="6"/>
      <c r="HXH8" s="6"/>
      <c r="HXJ8" s="6"/>
      <c r="HXL8" s="6"/>
      <c r="HXN8" s="6"/>
      <c r="HXP8" s="6"/>
      <c r="HXR8" s="6"/>
      <c r="HXT8" s="6"/>
      <c r="HXV8" s="6"/>
      <c r="HXX8" s="6"/>
      <c r="HXZ8" s="6"/>
      <c r="HYB8" s="6"/>
      <c r="HYD8" s="6"/>
      <c r="HYF8" s="6"/>
      <c r="HYH8" s="6"/>
      <c r="HYJ8" s="6"/>
      <c r="HYL8" s="6"/>
      <c r="HYN8" s="6"/>
      <c r="HYP8" s="6"/>
      <c r="HYR8" s="6"/>
      <c r="HYT8" s="6"/>
      <c r="HYV8" s="6"/>
      <c r="HYX8" s="6"/>
      <c r="HYZ8" s="6"/>
      <c r="HZB8" s="6"/>
      <c r="HZD8" s="6"/>
      <c r="HZF8" s="6"/>
      <c r="HZH8" s="6"/>
      <c r="HZJ8" s="6"/>
      <c r="HZL8" s="6"/>
      <c r="HZN8" s="6"/>
      <c r="HZP8" s="6"/>
      <c r="HZR8" s="6"/>
      <c r="HZT8" s="6"/>
      <c r="HZV8" s="6"/>
      <c r="HZX8" s="6"/>
      <c r="HZZ8" s="6"/>
      <c r="IAB8" s="6"/>
      <c r="IAD8" s="6"/>
      <c r="IAF8" s="6"/>
      <c r="IAH8" s="6"/>
      <c r="IAJ8" s="6"/>
      <c r="IAL8" s="6"/>
      <c r="IAN8" s="6"/>
      <c r="IAP8" s="6"/>
      <c r="IAR8" s="6"/>
      <c r="IAT8" s="6"/>
      <c r="IAV8" s="6"/>
      <c r="IAX8" s="6"/>
      <c r="IAZ8" s="6"/>
      <c r="IBB8" s="6"/>
      <c r="IBD8" s="6"/>
      <c r="IBF8" s="6"/>
      <c r="IBH8" s="6"/>
      <c r="IBJ8" s="6"/>
      <c r="IBL8" s="6"/>
      <c r="IBN8" s="6"/>
      <c r="IBP8" s="6"/>
      <c r="IBR8" s="6"/>
      <c r="IBT8" s="6"/>
      <c r="IBV8" s="6"/>
      <c r="IBX8" s="6"/>
      <c r="IBZ8" s="6"/>
      <c r="ICB8" s="6"/>
      <c r="ICD8" s="6"/>
      <c r="ICF8" s="6"/>
      <c r="ICH8" s="6"/>
      <c r="ICJ8" s="6"/>
      <c r="ICL8" s="6"/>
      <c r="ICN8" s="6"/>
      <c r="ICP8" s="6"/>
      <c r="ICR8" s="6"/>
      <c r="ICT8" s="6"/>
      <c r="ICV8" s="6"/>
      <c r="ICX8" s="6"/>
      <c r="ICZ8" s="6"/>
      <c r="IDB8" s="6"/>
      <c r="IDD8" s="6"/>
      <c r="IDF8" s="6"/>
      <c r="IDH8" s="6"/>
      <c r="IDJ8" s="6"/>
      <c r="IDL8" s="6"/>
      <c r="IDN8" s="6"/>
      <c r="IDP8" s="6"/>
      <c r="IDR8" s="6"/>
      <c r="IDT8" s="6"/>
      <c r="IDV8" s="6"/>
      <c r="IDX8" s="6"/>
      <c r="IDZ8" s="6"/>
      <c r="IEB8" s="6"/>
      <c r="IED8" s="6"/>
      <c r="IEF8" s="6"/>
      <c r="IEH8" s="6"/>
      <c r="IEJ8" s="6"/>
      <c r="IEL8" s="6"/>
      <c r="IEN8" s="6"/>
      <c r="IEP8" s="6"/>
      <c r="IER8" s="6"/>
      <c r="IET8" s="6"/>
      <c r="IEV8" s="6"/>
      <c r="IEX8" s="6"/>
      <c r="IEZ8" s="6"/>
      <c r="IFB8" s="6"/>
      <c r="IFD8" s="6"/>
      <c r="IFF8" s="6"/>
      <c r="IFH8" s="6"/>
      <c r="IFJ8" s="6"/>
      <c r="IFL8" s="6"/>
      <c r="IFN8" s="6"/>
      <c r="IFP8" s="6"/>
      <c r="IFR8" s="6"/>
      <c r="IFT8" s="6"/>
      <c r="IFV8" s="6"/>
      <c r="IFX8" s="6"/>
      <c r="IFZ8" s="6"/>
      <c r="IGB8" s="6"/>
      <c r="IGD8" s="6"/>
      <c r="IGF8" s="6"/>
      <c r="IGH8" s="6"/>
      <c r="IGJ8" s="6"/>
      <c r="IGL8" s="6"/>
      <c r="IGN8" s="6"/>
      <c r="IGP8" s="6"/>
      <c r="IGR8" s="6"/>
      <c r="IGT8" s="6"/>
      <c r="IGV8" s="6"/>
      <c r="IGX8" s="6"/>
      <c r="IGZ8" s="6"/>
      <c r="IHB8" s="6"/>
      <c r="IHD8" s="6"/>
      <c r="IHF8" s="6"/>
      <c r="IHH8" s="6"/>
      <c r="IHJ8" s="6"/>
      <c r="IHL8" s="6"/>
      <c r="IHN8" s="6"/>
      <c r="IHP8" s="6"/>
      <c r="IHR8" s="6"/>
      <c r="IHT8" s="6"/>
      <c r="IHV8" s="6"/>
      <c r="IHX8" s="6"/>
      <c r="IHZ8" s="6"/>
      <c r="IIB8" s="6"/>
      <c r="IID8" s="6"/>
      <c r="IIF8" s="6"/>
      <c r="IIH8" s="6"/>
      <c r="IIJ8" s="6"/>
      <c r="IIL8" s="6"/>
      <c r="IIN8" s="6"/>
      <c r="IIP8" s="6"/>
      <c r="IIR8" s="6"/>
      <c r="IIT8" s="6"/>
      <c r="IIV8" s="6"/>
      <c r="IIX8" s="6"/>
      <c r="IIZ8" s="6"/>
      <c r="IJB8" s="6"/>
      <c r="IJD8" s="6"/>
      <c r="IJF8" s="6"/>
      <c r="IJH8" s="6"/>
      <c r="IJJ8" s="6"/>
      <c r="IJL8" s="6"/>
      <c r="IJN8" s="6"/>
      <c r="IJP8" s="6"/>
      <c r="IJR8" s="6"/>
      <c r="IJT8" s="6"/>
      <c r="IJV8" s="6"/>
      <c r="IJX8" s="6"/>
      <c r="IJZ8" s="6"/>
      <c r="IKB8" s="6"/>
      <c r="IKD8" s="6"/>
      <c r="IKF8" s="6"/>
      <c r="IKH8" s="6"/>
      <c r="IKJ8" s="6"/>
      <c r="IKL8" s="6"/>
      <c r="IKN8" s="6"/>
      <c r="IKP8" s="6"/>
      <c r="IKR8" s="6"/>
      <c r="IKT8" s="6"/>
      <c r="IKV8" s="6"/>
      <c r="IKX8" s="6"/>
      <c r="IKZ8" s="6"/>
      <c r="ILB8" s="6"/>
      <c r="ILD8" s="6"/>
      <c r="ILF8" s="6"/>
      <c r="ILH8" s="6"/>
      <c r="ILJ8" s="6"/>
      <c r="ILL8" s="6"/>
      <c r="ILN8" s="6"/>
      <c r="ILP8" s="6"/>
      <c r="ILR8" s="6"/>
      <c r="ILT8" s="6"/>
      <c r="ILV8" s="6"/>
      <c r="ILX8" s="6"/>
      <c r="ILZ8" s="6"/>
      <c r="IMB8" s="6"/>
      <c r="IMD8" s="6"/>
      <c r="IMF8" s="6"/>
      <c r="IMH8" s="6"/>
      <c r="IMJ8" s="6"/>
      <c r="IML8" s="6"/>
      <c r="IMN8" s="6"/>
      <c r="IMP8" s="6"/>
      <c r="IMR8" s="6"/>
      <c r="IMT8" s="6"/>
      <c r="IMV8" s="6"/>
      <c r="IMX8" s="6"/>
      <c r="IMZ8" s="6"/>
      <c r="INB8" s="6"/>
      <c r="IND8" s="6"/>
      <c r="INF8" s="6"/>
      <c r="INH8" s="6"/>
      <c r="INJ8" s="6"/>
      <c r="INL8" s="6"/>
      <c r="INN8" s="6"/>
      <c r="INP8" s="6"/>
      <c r="INR8" s="6"/>
      <c r="INT8" s="6"/>
      <c r="INV8" s="6"/>
      <c r="INX8" s="6"/>
      <c r="INZ8" s="6"/>
      <c r="IOB8" s="6"/>
      <c r="IOD8" s="6"/>
      <c r="IOF8" s="6"/>
      <c r="IOH8" s="6"/>
      <c r="IOJ8" s="6"/>
      <c r="IOL8" s="6"/>
      <c r="ION8" s="6"/>
      <c r="IOP8" s="6"/>
      <c r="IOR8" s="6"/>
      <c r="IOT8" s="6"/>
      <c r="IOV8" s="6"/>
      <c r="IOX8" s="6"/>
      <c r="IOZ8" s="6"/>
      <c r="IPB8" s="6"/>
      <c r="IPD8" s="6"/>
      <c r="IPF8" s="6"/>
      <c r="IPH8" s="6"/>
      <c r="IPJ8" s="6"/>
      <c r="IPL8" s="6"/>
      <c r="IPN8" s="6"/>
      <c r="IPP8" s="6"/>
      <c r="IPR8" s="6"/>
      <c r="IPT8" s="6"/>
      <c r="IPV8" s="6"/>
      <c r="IPX8" s="6"/>
      <c r="IPZ8" s="6"/>
      <c r="IQB8" s="6"/>
      <c r="IQD8" s="6"/>
      <c r="IQF8" s="6"/>
      <c r="IQH8" s="6"/>
      <c r="IQJ8" s="6"/>
      <c r="IQL8" s="6"/>
      <c r="IQN8" s="6"/>
      <c r="IQP8" s="6"/>
      <c r="IQR8" s="6"/>
      <c r="IQT8" s="6"/>
      <c r="IQV8" s="6"/>
      <c r="IQX8" s="6"/>
      <c r="IQZ8" s="6"/>
      <c r="IRB8" s="6"/>
      <c r="IRD8" s="6"/>
      <c r="IRF8" s="6"/>
      <c r="IRH8" s="6"/>
      <c r="IRJ8" s="6"/>
      <c r="IRL8" s="6"/>
      <c r="IRN8" s="6"/>
      <c r="IRP8" s="6"/>
      <c r="IRR8" s="6"/>
      <c r="IRT8" s="6"/>
      <c r="IRV8" s="6"/>
      <c r="IRX8" s="6"/>
      <c r="IRZ8" s="6"/>
      <c r="ISB8" s="6"/>
      <c r="ISD8" s="6"/>
      <c r="ISF8" s="6"/>
      <c r="ISH8" s="6"/>
      <c r="ISJ8" s="6"/>
      <c r="ISL8" s="6"/>
      <c r="ISN8" s="6"/>
      <c r="ISP8" s="6"/>
      <c r="ISR8" s="6"/>
      <c r="IST8" s="6"/>
      <c r="ISV8" s="6"/>
      <c r="ISX8" s="6"/>
      <c r="ISZ8" s="6"/>
      <c r="ITB8" s="6"/>
      <c r="ITD8" s="6"/>
      <c r="ITF8" s="6"/>
      <c r="ITH8" s="6"/>
      <c r="ITJ8" s="6"/>
      <c r="ITL8" s="6"/>
      <c r="ITN8" s="6"/>
      <c r="ITP8" s="6"/>
      <c r="ITR8" s="6"/>
      <c r="ITT8" s="6"/>
      <c r="ITV8" s="6"/>
      <c r="ITX8" s="6"/>
      <c r="ITZ8" s="6"/>
      <c r="IUB8" s="6"/>
      <c r="IUD8" s="6"/>
      <c r="IUF8" s="6"/>
      <c r="IUH8" s="6"/>
      <c r="IUJ8" s="6"/>
      <c r="IUL8" s="6"/>
      <c r="IUN8" s="6"/>
      <c r="IUP8" s="6"/>
      <c r="IUR8" s="6"/>
      <c r="IUT8" s="6"/>
      <c r="IUV8" s="6"/>
      <c r="IUX8" s="6"/>
      <c r="IUZ8" s="6"/>
      <c r="IVB8" s="6"/>
      <c r="IVD8" s="6"/>
      <c r="IVF8" s="6"/>
      <c r="IVH8" s="6"/>
      <c r="IVJ8" s="6"/>
      <c r="IVL8" s="6"/>
      <c r="IVN8" s="6"/>
      <c r="IVP8" s="6"/>
      <c r="IVR8" s="6"/>
      <c r="IVT8" s="6"/>
      <c r="IVV8" s="6"/>
      <c r="IVX8" s="6"/>
      <c r="IVZ8" s="6"/>
      <c r="IWB8" s="6"/>
      <c r="IWD8" s="6"/>
      <c r="IWF8" s="6"/>
      <c r="IWH8" s="6"/>
      <c r="IWJ8" s="6"/>
      <c r="IWL8" s="6"/>
      <c r="IWN8" s="6"/>
      <c r="IWP8" s="6"/>
      <c r="IWR8" s="6"/>
      <c r="IWT8" s="6"/>
      <c r="IWV8" s="6"/>
      <c r="IWX8" s="6"/>
      <c r="IWZ8" s="6"/>
      <c r="IXB8" s="6"/>
      <c r="IXD8" s="6"/>
      <c r="IXF8" s="6"/>
      <c r="IXH8" s="6"/>
      <c r="IXJ8" s="6"/>
      <c r="IXL8" s="6"/>
      <c r="IXN8" s="6"/>
      <c r="IXP8" s="6"/>
      <c r="IXR8" s="6"/>
      <c r="IXT8" s="6"/>
      <c r="IXV8" s="6"/>
      <c r="IXX8" s="6"/>
      <c r="IXZ8" s="6"/>
      <c r="IYB8" s="6"/>
      <c r="IYD8" s="6"/>
      <c r="IYF8" s="6"/>
      <c r="IYH8" s="6"/>
      <c r="IYJ8" s="6"/>
      <c r="IYL8" s="6"/>
      <c r="IYN8" s="6"/>
      <c r="IYP8" s="6"/>
      <c r="IYR8" s="6"/>
      <c r="IYT8" s="6"/>
      <c r="IYV8" s="6"/>
      <c r="IYX8" s="6"/>
      <c r="IYZ8" s="6"/>
      <c r="IZB8" s="6"/>
      <c r="IZD8" s="6"/>
      <c r="IZF8" s="6"/>
      <c r="IZH8" s="6"/>
      <c r="IZJ8" s="6"/>
      <c r="IZL8" s="6"/>
      <c r="IZN8" s="6"/>
      <c r="IZP8" s="6"/>
      <c r="IZR8" s="6"/>
      <c r="IZT8" s="6"/>
      <c r="IZV8" s="6"/>
      <c r="IZX8" s="6"/>
      <c r="IZZ8" s="6"/>
      <c r="JAB8" s="6"/>
      <c r="JAD8" s="6"/>
      <c r="JAF8" s="6"/>
      <c r="JAH8" s="6"/>
      <c r="JAJ8" s="6"/>
      <c r="JAL8" s="6"/>
      <c r="JAN8" s="6"/>
      <c r="JAP8" s="6"/>
      <c r="JAR8" s="6"/>
      <c r="JAT8" s="6"/>
      <c r="JAV8" s="6"/>
      <c r="JAX8" s="6"/>
      <c r="JAZ8" s="6"/>
      <c r="JBB8" s="6"/>
      <c r="JBD8" s="6"/>
      <c r="JBF8" s="6"/>
      <c r="JBH8" s="6"/>
      <c r="JBJ8" s="6"/>
      <c r="JBL8" s="6"/>
      <c r="JBN8" s="6"/>
      <c r="JBP8" s="6"/>
      <c r="JBR8" s="6"/>
      <c r="JBT8" s="6"/>
      <c r="JBV8" s="6"/>
      <c r="JBX8" s="6"/>
      <c r="JBZ8" s="6"/>
      <c r="JCB8" s="6"/>
      <c r="JCD8" s="6"/>
      <c r="JCF8" s="6"/>
      <c r="JCH8" s="6"/>
      <c r="JCJ8" s="6"/>
      <c r="JCL8" s="6"/>
      <c r="JCN8" s="6"/>
      <c r="JCP8" s="6"/>
      <c r="JCR8" s="6"/>
      <c r="JCT8" s="6"/>
      <c r="JCV8" s="6"/>
      <c r="JCX8" s="6"/>
      <c r="JCZ8" s="6"/>
      <c r="JDB8" s="6"/>
      <c r="JDD8" s="6"/>
      <c r="JDF8" s="6"/>
      <c r="JDH8" s="6"/>
      <c r="JDJ8" s="6"/>
      <c r="JDL8" s="6"/>
      <c r="JDN8" s="6"/>
      <c r="JDP8" s="6"/>
      <c r="JDR8" s="6"/>
      <c r="JDT8" s="6"/>
      <c r="JDV8" s="6"/>
      <c r="JDX8" s="6"/>
      <c r="JDZ8" s="6"/>
      <c r="JEB8" s="6"/>
      <c r="JED8" s="6"/>
      <c r="JEF8" s="6"/>
      <c r="JEH8" s="6"/>
      <c r="JEJ8" s="6"/>
      <c r="JEL8" s="6"/>
      <c r="JEN8" s="6"/>
      <c r="JEP8" s="6"/>
      <c r="JER8" s="6"/>
      <c r="JET8" s="6"/>
      <c r="JEV8" s="6"/>
      <c r="JEX8" s="6"/>
      <c r="JEZ8" s="6"/>
      <c r="JFB8" s="6"/>
      <c r="JFD8" s="6"/>
      <c r="JFF8" s="6"/>
      <c r="JFH8" s="6"/>
      <c r="JFJ8" s="6"/>
      <c r="JFL8" s="6"/>
      <c r="JFN8" s="6"/>
      <c r="JFP8" s="6"/>
      <c r="JFR8" s="6"/>
      <c r="JFT8" s="6"/>
      <c r="JFV8" s="6"/>
      <c r="JFX8" s="6"/>
      <c r="JFZ8" s="6"/>
      <c r="JGB8" s="6"/>
      <c r="JGD8" s="6"/>
      <c r="JGF8" s="6"/>
      <c r="JGH8" s="6"/>
      <c r="JGJ8" s="6"/>
      <c r="JGL8" s="6"/>
      <c r="JGN8" s="6"/>
      <c r="JGP8" s="6"/>
      <c r="JGR8" s="6"/>
      <c r="JGT8" s="6"/>
      <c r="JGV8" s="6"/>
      <c r="JGX8" s="6"/>
      <c r="JGZ8" s="6"/>
      <c r="JHB8" s="6"/>
      <c r="JHD8" s="6"/>
      <c r="JHF8" s="6"/>
      <c r="JHH8" s="6"/>
      <c r="JHJ8" s="6"/>
      <c r="JHL8" s="6"/>
      <c r="JHN8" s="6"/>
      <c r="JHP8" s="6"/>
      <c r="JHR8" s="6"/>
      <c r="JHT8" s="6"/>
      <c r="JHV8" s="6"/>
      <c r="JHX8" s="6"/>
      <c r="JHZ8" s="6"/>
      <c r="JIB8" s="6"/>
      <c r="JID8" s="6"/>
      <c r="JIF8" s="6"/>
      <c r="JIH8" s="6"/>
      <c r="JIJ8" s="6"/>
      <c r="JIL8" s="6"/>
      <c r="JIN8" s="6"/>
      <c r="JIP8" s="6"/>
      <c r="JIR8" s="6"/>
      <c r="JIT8" s="6"/>
      <c r="JIV8" s="6"/>
      <c r="JIX8" s="6"/>
      <c r="JIZ8" s="6"/>
      <c r="JJB8" s="6"/>
      <c r="JJD8" s="6"/>
      <c r="JJF8" s="6"/>
      <c r="JJH8" s="6"/>
      <c r="JJJ8" s="6"/>
      <c r="JJL8" s="6"/>
      <c r="JJN8" s="6"/>
      <c r="JJP8" s="6"/>
      <c r="JJR8" s="6"/>
      <c r="JJT8" s="6"/>
      <c r="JJV8" s="6"/>
      <c r="JJX8" s="6"/>
      <c r="JJZ8" s="6"/>
      <c r="JKB8" s="6"/>
      <c r="JKD8" s="6"/>
      <c r="JKF8" s="6"/>
      <c r="JKH8" s="6"/>
      <c r="JKJ8" s="6"/>
      <c r="JKL8" s="6"/>
      <c r="JKN8" s="6"/>
      <c r="JKP8" s="6"/>
      <c r="JKR8" s="6"/>
      <c r="JKT8" s="6"/>
      <c r="JKV8" s="6"/>
      <c r="JKX8" s="6"/>
      <c r="JKZ8" s="6"/>
      <c r="JLB8" s="6"/>
      <c r="JLD8" s="6"/>
      <c r="JLF8" s="6"/>
      <c r="JLH8" s="6"/>
      <c r="JLJ8" s="6"/>
      <c r="JLL8" s="6"/>
      <c r="JLN8" s="6"/>
      <c r="JLP8" s="6"/>
      <c r="JLR8" s="6"/>
      <c r="JLT8" s="6"/>
      <c r="JLV8" s="6"/>
      <c r="JLX8" s="6"/>
      <c r="JLZ8" s="6"/>
      <c r="JMB8" s="6"/>
      <c r="JMD8" s="6"/>
      <c r="JMF8" s="6"/>
      <c r="JMH8" s="6"/>
      <c r="JMJ8" s="6"/>
      <c r="JML8" s="6"/>
      <c r="JMN8" s="6"/>
      <c r="JMP8" s="6"/>
      <c r="JMR8" s="6"/>
      <c r="JMT8" s="6"/>
      <c r="JMV8" s="6"/>
      <c r="JMX8" s="6"/>
      <c r="JMZ8" s="6"/>
      <c r="JNB8" s="6"/>
      <c r="JND8" s="6"/>
      <c r="JNF8" s="6"/>
      <c r="JNH8" s="6"/>
      <c r="JNJ8" s="6"/>
      <c r="JNL8" s="6"/>
      <c r="JNN8" s="6"/>
      <c r="JNP8" s="6"/>
      <c r="JNR8" s="6"/>
      <c r="JNT8" s="6"/>
      <c r="JNV8" s="6"/>
      <c r="JNX8" s="6"/>
      <c r="JNZ8" s="6"/>
      <c r="JOB8" s="6"/>
      <c r="JOD8" s="6"/>
      <c r="JOF8" s="6"/>
      <c r="JOH8" s="6"/>
      <c r="JOJ8" s="6"/>
      <c r="JOL8" s="6"/>
      <c r="JON8" s="6"/>
      <c r="JOP8" s="6"/>
      <c r="JOR8" s="6"/>
      <c r="JOT8" s="6"/>
      <c r="JOV8" s="6"/>
      <c r="JOX8" s="6"/>
      <c r="JOZ8" s="6"/>
      <c r="JPB8" s="6"/>
      <c r="JPD8" s="6"/>
      <c r="JPF8" s="6"/>
      <c r="JPH8" s="6"/>
      <c r="JPJ8" s="6"/>
      <c r="JPL8" s="6"/>
      <c r="JPN8" s="6"/>
      <c r="JPP8" s="6"/>
      <c r="JPR8" s="6"/>
      <c r="JPT8" s="6"/>
      <c r="JPV8" s="6"/>
      <c r="JPX8" s="6"/>
      <c r="JPZ8" s="6"/>
      <c r="JQB8" s="6"/>
      <c r="JQD8" s="6"/>
      <c r="JQF8" s="6"/>
      <c r="JQH8" s="6"/>
      <c r="JQJ8" s="6"/>
      <c r="JQL8" s="6"/>
      <c r="JQN8" s="6"/>
      <c r="JQP8" s="6"/>
      <c r="JQR8" s="6"/>
      <c r="JQT8" s="6"/>
      <c r="JQV8" s="6"/>
      <c r="JQX8" s="6"/>
      <c r="JQZ8" s="6"/>
      <c r="JRB8" s="6"/>
      <c r="JRD8" s="6"/>
      <c r="JRF8" s="6"/>
      <c r="JRH8" s="6"/>
      <c r="JRJ8" s="6"/>
      <c r="JRL8" s="6"/>
      <c r="JRN8" s="6"/>
      <c r="JRP8" s="6"/>
      <c r="JRR8" s="6"/>
      <c r="JRT8" s="6"/>
      <c r="JRV8" s="6"/>
      <c r="JRX8" s="6"/>
      <c r="JRZ8" s="6"/>
      <c r="JSB8" s="6"/>
      <c r="JSD8" s="6"/>
      <c r="JSF8" s="6"/>
      <c r="JSH8" s="6"/>
      <c r="JSJ8" s="6"/>
      <c r="JSL8" s="6"/>
      <c r="JSN8" s="6"/>
      <c r="JSP8" s="6"/>
      <c r="JSR8" s="6"/>
      <c r="JST8" s="6"/>
      <c r="JSV8" s="6"/>
      <c r="JSX8" s="6"/>
      <c r="JSZ8" s="6"/>
      <c r="JTB8" s="6"/>
      <c r="JTD8" s="6"/>
      <c r="JTF8" s="6"/>
      <c r="JTH8" s="6"/>
      <c r="JTJ8" s="6"/>
      <c r="JTL8" s="6"/>
      <c r="JTN8" s="6"/>
      <c r="JTP8" s="6"/>
      <c r="JTR8" s="6"/>
      <c r="JTT8" s="6"/>
      <c r="JTV8" s="6"/>
      <c r="JTX8" s="6"/>
      <c r="JTZ8" s="6"/>
      <c r="JUB8" s="6"/>
      <c r="JUD8" s="6"/>
      <c r="JUF8" s="6"/>
      <c r="JUH8" s="6"/>
      <c r="JUJ8" s="6"/>
      <c r="JUL8" s="6"/>
      <c r="JUN8" s="6"/>
      <c r="JUP8" s="6"/>
      <c r="JUR8" s="6"/>
      <c r="JUT8" s="6"/>
      <c r="JUV8" s="6"/>
      <c r="JUX8" s="6"/>
      <c r="JUZ8" s="6"/>
      <c r="JVB8" s="6"/>
      <c r="JVD8" s="6"/>
      <c r="JVF8" s="6"/>
      <c r="JVH8" s="6"/>
      <c r="JVJ8" s="6"/>
      <c r="JVL8" s="6"/>
      <c r="JVN8" s="6"/>
      <c r="JVP8" s="6"/>
      <c r="JVR8" s="6"/>
      <c r="JVT8" s="6"/>
      <c r="JVV8" s="6"/>
      <c r="JVX8" s="6"/>
      <c r="JVZ8" s="6"/>
      <c r="JWB8" s="6"/>
      <c r="JWD8" s="6"/>
      <c r="JWF8" s="6"/>
      <c r="JWH8" s="6"/>
      <c r="JWJ8" s="6"/>
      <c r="JWL8" s="6"/>
      <c r="JWN8" s="6"/>
      <c r="JWP8" s="6"/>
      <c r="JWR8" s="6"/>
      <c r="JWT8" s="6"/>
      <c r="JWV8" s="6"/>
      <c r="JWX8" s="6"/>
      <c r="JWZ8" s="6"/>
      <c r="JXB8" s="6"/>
      <c r="JXD8" s="6"/>
      <c r="JXF8" s="6"/>
      <c r="JXH8" s="6"/>
      <c r="JXJ8" s="6"/>
      <c r="JXL8" s="6"/>
      <c r="JXN8" s="6"/>
      <c r="JXP8" s="6"/>
      <c r="JXR8" s="6"/>
      <c r="JXT8" s="6"/>
      <c r="JXV8" s="6"/>
      <c r="JXX8" s="6"/>
      <c r="JXZ8" s="6"/>
      <c r="JYB8" s="6"/>
      <c r="JYD8" s="6"/>
      <c r="JYF8" s="6"/>
      <c r="JYH8" s="6"/>
      <c r="JYJ8" s="6"/>
      <c r="JYL8" s="6"/>
      <c r="JYN8" s="6"/>
      <c r="JYP8" s="6"/>
      <c r="JYR8" s="6"/>
      <c r="JYT8" s="6"/>
      <c r="JYV8" s="6"/>
      <c r="JYX8" s="6"/>
      <c r="JYZ8" s="6"/>
      <c r="JZB8" s="6"/>
      <c r="JZD8" s="6"/>
      <c r="JZF8" s="6"/>
      <c r="JZH8" s="6"/>
      <c r="JZJ8" s="6"/>
      <c r="JZL8" s="6"/>
      <c r="JZN8" s="6"/>
      <c r="JZP8" s="6"/>
      <c r="JZR8" s="6"/>
      <c r="JZT8" s="6"/>
      <c r="JZV8" s="6"/>
      <c r="JZX8" s="6"/>
      <c r="JZZ8" s="6"/>
      <c r="KAB8" s="6"/>
      <c r="KAD8" s="6"/>
      <c r="KAF8" s="6"/>
      <c r="KAH8" s="6"/>
      <c r="KAJ8" s="6"/>
      <c r="KAL8" s="6"/>
      <c r="KAN8" s="6"/>
      <c r="KAP8" s="6"/>
      <c r="KAR8" s="6"/>
      <c r="KAT8" s="6"/>
      <c r="KAV8" s="6"/>
      <c r="KAX8" s="6"/>
      <c r="KAZ8" s="6"/>
      <c r="KBB8" s="6"/>
      <c r="KBD8" s="6"/>
      <c r="KBF8" s="6"/>
      <c r="KBH8" s="6"/>
      <c r="KBJ8" s="6"/>
      <c r="KBL8" s="6"/>
      <c r="KBN8" s="6"/>
      <c r="KBP8" s="6"/>
      <c r="KBR8" s="6"/>
      <c r="KBT8" s="6"/>
      <c r="KBV8" s="6"/>
      <c r="KBX8" s="6"/>
      <c r="KBZ8" s="6"/>
      <c r="KCB8" s="6"/>
      <c r="KCD8" s="6"/>
      <c r="KCF8" s="6"/>
      <c r="KCH8" s="6"/>
      <c r="KCJ8" s="6"/>
      <c r="KCL8" s="6"/>
      <c r="KCN8" s="6"/>
      <c r="KCP8" s="6"/>
      <c r="KCR8" s="6"/>
      <c r="KCT8" s="6"/>
      <c r="KCV8" s="6"/>
      <c r="KCX8" s="6"/>
      <c r="KCZ8" s="6"/>
      <c r="KDB8" s="6"/>
      <c r="KDD8" s="6"/>
      <c r="KDF8" s="6"/>
      <c r="KDH8" s="6"/>
      <c r="KDJ8" s="6"/>
      <c r="KDL8" s="6"/>
      <c r="KDN8" s="6"/>
      <c r="KDP8" s="6"/>
      <c r="KDR8" s="6"/>
      <c r="KDT8" s="6"/>
      <c r="KDV8" s="6"/>
      <c r="KDX8" s="6"/>
      <c r="KDZ8" s="6"/>
      <c r="KEB8" s="6"/>
      <c r="KED8" s="6"/>
      <c r="KEF8" s="6"/>
      <c r="KEH8" s="6"/>
      <c r="KEJ8" s="6"/>
      <c r="KEL8" s="6"/>
      <c r="KEN8" s="6"/>
      <c r="KEP8" s="6"/>
      <c r="KER8" s="6"/>
      <c r="KET8" s="6"/>
      <c r="KEV8" s="6"/>
      <c r="KEX8" s="6"/>
      <c r="KEZ8" s="6"/>
      <c r="KFB8" s="6"/>
      <c r="KFD8" s="6"/>
      <c r="KFF8" s="6"/>
      <c r="KFH8" s="6"/>
      <c r="KFJ8" s="6"/>
      <c r="KFL8" s="6"/>
      <c r="KFN8" s="6"/>
      <c r="KFP8" s="6"/>
      <c r="KFR8" s="6"/>
      <c r="KFT8" s="6"/>
      <c r="KFV8" s="6"/>
      <c r="KFX8" s="6"/>
      <c r="KFZ8" s="6"/>
      <c r="KGB8" s="6"/>
      <c r="KGD8" s="6"/>
      <c r="KGF8" s="6"/>
      <c r="KGH8" s="6"/>
      <c r="KGJ8" s="6"/>
      <c r="KGL8" s="6"/>
      <c r="KGN8" s="6"/>
      <c r="KGP8" s="6"/>
      <c r="KGR8" s="6"/>
      <c r="KGT8" s="6"/>
      <c r="KGV8" s="6"/>
      <c r="KGX8" s="6"/>
      <c r="KGZ8" s="6"/>
      <c r="KHB8" s="6"/>
      <c r="KHD8" s="6"/>
      <c r="KHF8" s="6"/>
      <c r="KHH8" s="6"/>
      <c r="KHJ8" s="6"/>
      <c r="KHL8" s="6"/>
      <c r="KHN8" s="6"/>
      <c r="KHP8" s="6"/>
      <c r="KHR8" s="6"/>
      <c r="KHT8" s="6"/>
      <c r="KHV8" s="6"/>
      <c r="KHX8" s="6"/>
      <c r="KHZ8" s="6"/>
      <c r="KIB8" s="6"/>
      <c r="KID8" s="6"/>
      <c r="KIF8" s="6"/>
      <c r="KIH8" s="6"/>
      <c r="KIJ8" s="6"/>
      <c r="KIL8" s="6"/>
      <c r="KIN8" s="6"/>
      <c r="KIP8" s="6"/>
      <c r="KIR8" s="6"/>
      <c r="KIT8" s="6"/>
      <c r="KIV8" s="6"/>
      <c r="KIX8" s="6"/>
      <c r="KIZ8" s="6"/>
      <c r="KJB8" s="6"/>
      <c r="KJD8" s="6"/>
      <c r="KJF8" s="6"/>
      <c r="KJH8" s="6"/>
      <c r="KJJ8" s="6"/>
      <c r="KJL8" s="6"/>
      <c r="KJN8" s="6"/>
      <c r="KJP8" s="6"/>
      <c r="KJR8" s="6"/>
      <c r="KJT8" s="6"/>
      <c r="KJV8" s="6"/>
      <c r="KJX8" s="6"/>
      <c r="KJZ8" s="6"/>
      <c r="KKB8" s="6"/>
      <c r="KKD8" s="6"/>
      <c r="KKF8" s="6"/>
      <c r="KKH8" s="6"/>
      <c r="KKJ8" s="6"/>
      <c r="KKL8" s="6"/>
      <c r="KKN8" s="6"/>
      <c r="KKP8" s="6"/>
      <c r="KKR8" s="6"/>
      <c r="KKT8" s="6"/>
      <c r="KKV8" s="6"/>
      <c r="KKX8" s="6"/>
      <c r="KKZ8" s="6"/>
      <c r="KLB8" s="6"/>
      <c r="KLD8" s="6"/>
      <c r="KLF8" s="6"/>
      <c r="KLH8" s="6"/>
      <c r="KLJ8" s="6"/>
      <c r="KLL8" s="6"/>
      <c r="KLN8" s="6"/>
      <c r="KLP8" s="6"/>
      <c r="KLR8" s="6"/>
      <c r="KLT8" s="6"/>
      <c r="KLV8" s="6"/>
      <c r="KLX8" s="6"/>
      <c r="KLZ8" s="6"/>
      <c r="KMB8" s="6"/>
      <c r="KMD8" s="6"/>
      <c r="KMF8" s="6"/>
      <c r="KMH8" s="6"/>
      <c r="KMJ8" s="6"/>
      <c r="KML8" s="6"/>
      <c r="KMN8" s="6"/>
      <c r="KMP8" s="6"/>
      <c r="KMR8" s="6"/>
      <c r="KMT8" s="6"/>
      <c r="KMV8" s="6"/>
      <c r="KMX8" s="6"/>
      <c r="KMZ8" s="6"/>
      <c r="KNB8" s="6"/>
      <c r="KND8" s="6"/>
      <c r="KNF8" s="6"/>
      <c r="KNH8" s="6"/>
      <c r="KNJ8" s="6"/>
      <c r="KNL8" s="6"/>
      <c r="KNN8" s="6"/>
      <c r="KNP8" s="6"/>
      <c r="KNR8" s="6"/>
      <c r="KNT8" s="6"/>
      <c r="KNV8" s="6"/>
      <c r="KNX8" s="6"/>
      <c r="KNZ8" s="6"/>
      <c r="KOB8" s="6"/>
      <c r="KOD8" s="6"/>
      <c r="KOF8" s="6"/>
      <c r="KOH8" s="6"/>
      <c r="KOJ8" s="6"/>
      <c r="KOL8" s="6"/>
      <c r="KON8" s="6"/>
      <c r="KOP8" s="6"/>
      <c r="KOR8" s="6"/>
      <c r="KOT8" s="6"/>
      <c r="KOV8" s="6"/>
      <c r="KOX8" s="6"/>
      <c r="KOZ8" s="6"/>
      <c r="KPB8" s="6"/>
      <c r="KPD8" s="6"/>
      <c r="KPF8" s="6"/>
      <c r="KPH8" s="6"/>
      <c r="KPJ8" s="6"/>
      <c r="KPL8" s="6"/>
      <c r="KPN8" s="6"/>
      <c r="KPP8" s="6"/>
      <c r="KPR8" s="6"/>
      <c r="KPT8" s="6"/>
      <c r="KPV8" s="6"/>
      <c r="KPX8" s="6"/>
      <c r="KPZ8" s="6"/>
      <c r="KQB8" s="6"/>
      <c r="KQD8" s="6"/>
      <c r="KQF8" s="6"/>
      <c r="KQH8" s="6"/>
      <c r="KQJ8" s="6"/>
      <c r="KQL8" s="6"/>
      <c r="KQN8" s="6"/>
      <c r="KQP8" s="6"/>
      <c r="KQR8" s="6"/>
      <c r="KQT8" s="6"/>
      <c r="KQV8" s="6"/>
      <c r="KQX8" s="6"/>
      <c r="KQZ8" s="6"/>
      <c r="KRB8" s="6"/>
      <c r="KRD8" s="6"/>
      <c r="KRF8" s="6"/>
      <c r="KRH8" s="6"/>
      <c r="KRJ8" s="6"/>
      <c r="KRL8" s="6"/>
      <c r="KRN8" s="6"/>
      <c r="KRP8" s="6"/>
      <c r="KRR8" s="6"/>
      <c r="KRT8" s="6"/>
      <c r="KRV8" s="6"/>
      <c r="KRX8" s="6"/>
      <c r="KRZ8" s="6"/>
      <c r="KSB8" s="6"/>
      <c r="KSD8" s="6"/>
      <c r="KSF8" s="6"/>
      <c r="KSH8" s="6"/>
      <c r="KSJ8" s="6"/>
      <c r="KSL8" s="6"/>
      <c r="KSN8" s="6"/>
      <c r="KSP8" s="6"/>
      <c r="KSR8" s="6"/>
      <c r="KST8" s="6"/>
      <c r="KSV8" s="6"/>
      <c r="KSX8" s="6"/>
      <c r="KSZ8" s="6"/>
      <c r="KTB8" s="6"/>
      <c r="KTD8" s="6"/>
      <c r="KTF8" s="6"/>
      <c r="KTH8" s="6"/>
      <c r="KTJ8" s="6"/>
      <c r="KTL8" s="6"/>
      <c r="KTN8" s="6"/>
      <c r="KTP8" s="6"/>
      <c r="KTR8" s="6"/>
      <c r="KTT8" s="6"/>
      <c r="KTV8" s="6"/>
      <c r="KTX8" s="6"/>
      <c r="KTZ8" s="6"/>
      <c r="KUB8" s="6"/>
      <c r="KUD8" s="6"/>
      <c r="KUF8" s="6"/>
      <c r="KUH8" s="6"/>
      <c r="KUJ8" s="6"/>
      <c r="KUL8" s="6"/>
      <c r="KUN8" s="6"/>
      <c r="KUP8" s="6"/>
      <c r="KUR8" s="6"/>
      <c r="KUT8" s="6"/>
      <c r="KUV8" s="6"/>
      <c r="KUX8" s="6"/>
      <c r="KUZ8" s="6"/>
      <c r="KVB8" s="6"/>
      <c r="KVD8" s="6"/>
      <c r="KVF8" s="6"/>
      <c r="KVH8" s="6"/>
      <c r="KVJ8" s="6"/>
      <c r="KVL8" s="6"/>
      <c r="KVN8" s="6"/>
      <c r="KVP8" s="6"/>
      <c r="KVR8" s="6"/>
      <c r="KVT8" s="6"/>
      <c r="KVV8" s="6"/>
      <c r="KVX8" s="6"/>
      <c r="KVZ8" s="6"/>
      <c r="KWB8" s="6"/>
      <c r="KWD8" s="6"/>
      <c r="KWF8" s="6"/>
      <c r="KWH8" s="6"/>
      <c r="KWJ8" s="6"/>
      <c r="KWL8" s="6"/>
      <c r="KWN8" s="6"/>
      <c r="KWP8" s="6"/>
      <c r="KWR8" s="6"/>
      <c r="KWT8" s="6"/>
      <c r="KWV8" s="6"/>
      <c r="KWX8" s="6"/>
      <c r="KWZ8" s="6"/>
      <c r="KXB8" s="6"/>
      <c r="KXD8" s="6"/>
      <c r="KXF8" s="6"/>
      <c r="KXH8" s="6"/>
      <c r="KXJ8" s="6"/>
      <c r="KXL8" s="6"/>
      <c r="KXN8" s="6"/>
      <c r="KXP8" s="6"/>
      <c r="KXR8" s="6"/>
      <c r="KXT8" s="6"/>
      <c r="KXV8" s="6"/>
      <c r="KXX8" s="6"/>
      <c r="KXZ8" s="6"/>
      <c r="KYB8" s="6"/>
      <c r="KYD8" s="6"/>
      <c r="KYF8" s="6"/>
      <c r="KYH8" s="6"/>
      <c r="KYJ8" s="6"/>
      <c r="KYL8" s="6"/>
      <c r="KYN8" s="6"/>
      <c r="KYP8" s="6"/>
      <c r="KYR8" s="6"/>
      <c r="KYT8" s="6"/>
      <c r="KYV8" s="6"/>
      <c r="KYX8" s="6"/>
      <c r="KYZ8" s="6"/>
      <c r="KZB8" s="6"/>
      <c r="KZD8" s="6"/>
      <c r="KZF8" s="6"/>
      <c r="KZH8" s="6"/>
      <c r="KZJ8" s="6"/>
      <c r="KZL8" s="6"/>
      <c r="KZN8" s="6"/>
      <c r="KZP8" s="6"/>
      <c r="KZR8" s="6"/>
      <c r="KZT8" s="6"/>
      <c r="KZV8" s="6"/>
      <c r="KZX8" s="6"/>
      <c r="KZZ8" s="6"/>
      <c r="LAB8" s="6"/>
      <c r="LAD8" s="6"/>
      <c r="LAF8" s="6"/>
      <c r="LAH8" s="6"/>
      <c r="LAJ8" s="6"/>
      <c r="LAL8" s="6"/>
      <c r="LAN8" s="6"/>
      <c r="LAP8" s="6"/>
      <c r="LAR8" s="6"/>
      <c r="LAT8" s="6"/>
      <c r="LAV8" s="6"/>
      <c r="LAX8" s="6"/>
      <c r="LAZ8" s="6"/>
      <c r="LBB8" s="6"/>
      <c r="LBD8" s="6"/>
      <c r="LBF8" s="6"/>
      <c r="LBH8" s="6"/>
      <c r="LBJ8" s="6"/>
      <c r="LBL8" s="6"/>
      <c r="LBN8" s="6"/>
      <c r="LBP8" s="6"/>
      <c r="LBR8" s="6"/>
      <c r="LBT8" s="6"/>
      <c r="LBV8" s="6"/>
      <c r="LBX8" s="6"/>
      <c r="LBZ8" s="6"/>
      <c r="LCB8" s="6"/>
      <c r="LCD8" s="6"/>
      <c r="LCF8" s="6"/>
      <c r="LCH8" s="6"/>
      <c r="LCJ8" s="6"/>
      <c r="LCL8" s="6"/>
      <c r="LCN8" s="6"/>
      <c r="LCP8" s="6"/>
      <c r="LCR8" s="6"/>
      <c r="LCT8" s="6"/>
      <c r="LCV8" s="6"/>
      <c r="LCX8" s="6"/>
      <c r="LCZ8" s="6"/>
      <c r="LDB8" s="6"/>
      <c r="LDD8" s="6"/>
      <c r="LDF8" s="6"/>
      <c r="LDH8" s="6"/>
      <c r="LDJ8" s="6"/>
      <c r="LDL8" s="6"/>
      <c r="LDN8" s="6"/>
      <c r="LDP8" s="6"/>
      <c r="LDR8" s="6"/>
      <c r="LDT8" s="6"/>
      <c r="LDV8" s="6"/>
      <c r="LDX8" s="6"/>
      <c r="LDZ8" s="6"/>
      <c r="LEB8" s="6"/>
      <c r="LED8" s="6"/>
      <c r="LEF8" s="6"/>
      <c r="LEH8" s="6"/>
      <c r="LEJ8" s="6"/>
      <c r="LEL8" s="6"/>
      <c r="LEN8" s="6"/>
      <c r="LEP8" s="6"/>
      <c r="LER8" s="6"/>
      <c r="LET8" s="6"/>
      <c r="LEV8" s="6"/>
      <c r="LEX8" s="6"/>
      <c r="LEZ8" s="6"/>
      <c r="LFB8" s="6"/>
      <c r="LFD8" s="6"/>
      <c r="LFF8" s="6"/>
      <c r="LFH8" s="6"/>
      <c r="LFJ8" s="6"/>
      <c r="LFL8" s="6"/>
      <c r="LFN8" s="6"/>
      <c r="LFP8" s="6"/>
      <c r="LFR8" s="6"/>
      <c r="LFT8" s="6"/>
      <c r="LFV8" s="6"/>
      <c r="LFX8" s="6"/>
      <c r="LFZ8" s="6"/>
      <c r="LGB8" s="6"/>
      <c r="LGD8" s="6"/>
      <c r="LGF8" s="6"/>
      <c r="LGH8" s="6"/>
      <c r="LGJ8" s="6"/>
      <c r="LGL8" s="6"/>
      <c r="LGN8" s="6"/>
      <c r="LGP8" s="6"/>
      <c r="LGR8" s="6"/>
      <c r="LGT8" s="6"/>
      <c r="LGV8" s="6"/>
      <c r="LGX8" s="6"/>
      <c r="LGZ8" s="6"/>
      <c r="LHB8" s="6"/>
      <c r="LHD8" s="6"/>
      <c r="LHF8" s="6"/>
      <c r="LHH8" s="6"/>
      <c r="LHJ8" s="6"/>
      <c r="LHL8" s="6"/>
      <c r="LHN8" s="6"/>
      <c r="LHP8" s="6"/>
      <c r="LHR8" s="6"/>
      <c r="LHT8" s="6"/>
      <c r="LHV8" s="6"/>
      <c r="LHX8" s="6"/>
      <c r="LHZ8" s="6"/>
      <c r="LIB8" s="6"/>
      <c r="LID8" s="6"/>
      <c r="LIF8" s="6"/>
      <c r="LIH8" s="6"/>
      <c r="LIJ8" s="6"/>
      <c r="LIL8" s="6"/>
      <c r="LIN8" s="6"/>
      <c r="LIP8" s="6"/>
      <c r="LIR8" s="6"/>
      <c r="LIT8" s="6"/>
      <c r="LIV8" s="6"/>
      <c r="LIX8" s="6"/>
      <c r="LIZ8" s="6"/>
      <c r="LJB8" s="6"/>
      <c r="LJD8" s="6"/>
      <c r="LJF8" s="6"/>
      <c r="LJH8" s="6"/>
      <c r="LJJ8" s="6"/>
      <c r="LJL8" s="6"/>
      <c r="LJN8" s="6"/>
      <c r="LJP8" s="6"/>
      <c r="LJR8" s="6"/>
      <c r="LJT8" s="6"/>
      <c r="LJV8" s="6"/>
      <c r="LJX8" s="6"/>
      <c r="LJZ8" s="6"/>
      <c r="LKB8" s="6"/>
      <c r="LKD8" s="6"/>
      <c r="LKF8" s="6"/>
      <c r="LKH8" s="6"/>
      <c r="LKJ8" s="6"/>
      <c r="LKL8" s="6"/>
      <c r="LKN8" s="6"/>
      <c r="LKP8" s="6"/>
      <c r="LKR8" s="6"/>
      <c r="LKT8" s="6"/>
      <c r="LKV8" s="6"/>
      <c r="LKX8" s="6"/>
      <c r="LKZ8" s="6"/>
      <c r="LLB8" s="6"/>
      <c r="LLD8" s="6"/>
      <c r="LLF8" s="6"/>
      <c r="LLH8" s="6"/>
      <c r="LLJ8" s="6"/>
      <c r="LLL8" s="6"/>
      <c r="LLN8" s="6"/>
      <c r="LLP8" s="6"/>
      <c r="LLR8" s="6"/>
      <c r="LLT8" s="6"/>
      <c r="LLV8" s="6"/>
      <c r="LLX8" s="6"/>
      <c r="LLZ8" s="6"/>
      <c r="LMB8" s="6"/>
      <c r="LMD8" s="6"/>
      <c r="LMF8" s="6"/>
      <c r="LMH8" s="6"/>
      <c r="LMJ8" s="6"/>
      <c r="LML8" s="6"/>
      <c r="LMN8" s="6"/>
      <c r="LMP8" s="6"/>
      <c r="LMR8" s="6"/>
      <c r="LMT8" s="6"/>
      <c r="LMV8" s="6"/>
      <c r="LMX8" s="6"/>
      <c r="LMZ8" s="6"/>
      <c r="LNB8" s="6"/>
      <c r="LND8" s="6"/>
      <c r="LNF8" s="6"/>
      <c r="LNH8" s="6"/>
      <c r="LNJ8" s="6"/>
      <c r="LNL8" s="6"/>
      <c r="LNN8" s="6"/>
      <c r="LNP8" s="6"/>
      <c r="LNR8" s="6"/>
      <c r="LNT8" s="6"/>
      <c r="LNV8" s="6"/>
      <c r="LNX8" s="6"/>
      <c r="LNZ8" s="6"/>
      <c r="LOB8" s="6"/>
      <c r="LOD8" s="6"/>
      <c r="LOF8" s="6"/>
      <c r="LOH8" s="6"/>
      <c r="LOJ8" s="6"/>
      <c r="LOL8" s="6"/>
      <c r="LON8" s="6"/>
      <c r="LOP8" s="6"/>
      <c r="LOR8" s="6"/>
      <c r="LOT8" s="6"/>
      <c r="LOV8" s="6"/>
      <c r="LOX8" s="6"/>
      <c r="LOZ8" s="6"/>
      <c r="LPB8" s="6"/>
      <c r="LPD8" s="6"/>
      <c r="LPF8" s="6"/>
      <c r="LPH8" s="6"/>
      <c r="LPJ8" s="6"/>
      <c r="LPL8" s="6"/>
      <c r="LPN8" s="6"/>
      <c r="LPP8" s="6"/>
      <c r="LPR8" s="6"/>
      <c r="LPT8" s="6"/>
      <c r="LPV8" s="6"/>
      <c r="LPX8" s="6"/>
      <c r="LPZ8" s="6"/>
      <c r="LQB8" s="6"/>
      <c r="LQD8" s="6"/>
      <c r="LQF8" s="6"/>
      <c r="LQH8" s="6"/>
      <c r="LQJ8" s="6"/>
      <c r="LQL8" s="6"/>
      <c r="LQN8" s="6"/>
      <c r="LQP8" s="6"/>
      <c r="LQR8" s="6"/>
      <c r="LQT8" s="6"/>
      <c r="LQV8" s="6"/>
      <c r="LQX8" s="6"/>
      <c r="LQZ8" s="6"/>
      <c r="LRB8" s="6"/>
      <c r="LRD8" s="6"/>
      <c r="LRF8" s="6"/>
      <c r="LRH8" s="6"/>
      <c r="LRJ8" s="6"/>
      <c r="LRL8" s="6"/>
      <c r="LRN8" s="6"/>
      <c r="LRP8" s="6"/>
      <c r="LRR8" s="6"/>
      <c r="LRT8" s="6"/>
      <c r="LRV8" s="6"/>
      <c r="LRX8" s="6"/>
      <c r="LRZ8" s="6"/>
      <c r="LSB8" s="6"/>
      <c r="LSD8" s="6"/>
      <c r="LSF8" s="6"/>
      <c r="LSH8" s="6"/>
      <c r="LSJ8" s="6"/>
      <c r="LSL8" s="6"/>
      <c r="LSN8" s="6"/>
      <c r="LSP8" s="6"/>
      <c r="LSR8" s="6"/>
      <c r="LST8" s="6"/>
      <c r="LSV8" s="6"/>
      <c r="LSX8" s="6"/>
      <c r="LSZ8" s="6"/>
      <c r="LTB8" s="6"/>
      <c r="LTD8" s="6"/>
      <c r="LTF8" s="6"/>
      <c r="LTH8" s="6"/>
      <c r="LTJ8" s="6"/>
      <c r="LTL8" s="6"/>
      <c r="LTN8" s="6"/>
      <c r="LTP8" s="6"/>
      <c r="LTR8" s="6"/>
      <c r="LTT8" s="6"/>
      <c r="LTV8" s="6"/>
      <c r="LTX8" s="6"/>
      <c r="LTZ8" s="6"/>
      <c r="LUB8" s="6"/>
      <c r="LUD8" s="6"/>
      <c r="LUF8" s="6"/>
      <c r="LUH8" s="6"/>
      <c r="LUJ8" s="6"/>
      <c r="LUL8" s="6"/>
      <c r="LUN8" s="6"/>
      <c r="LUP8" s="6"/>
      <c r="LUR8" s="6"/>
      <c r="LUT8" s="6"/>
      <c r="LUV8" s="6"/>
      <c r="LUX8" s="6"/>
      <c r="LUZ8" s="6"/>
      <c r="LVB8" s="6"/>
      <c r="LVD8" s="6"/>
      <c r="LVF8" s="6"/>
      <c r="LVH8" s="6"/>
      <c r="LVJ8" s="6"/>
      <c r="LVL8" s="6"/>
      <c r="LVN8" s="6"/>
      <c r="LVP8" s="6"/>
      <c r="LVR8" s="6"/>
      <c r="LVT8" s="6"/>
      <c r="LVV8" s="6"/>
      <c r="LVX8" s="6"/>
      <c r="LVZ8" s="6"/>
      <c r="LWB8" s="6"/>
      <c r="LWD8" s="6"/>
      <c r="LWF8" s="6"/>
      <c r="LWH8" s="6"/>
      <c r="LWJ8" s="6"/>
      <c r="LWL8" s="6"/>
      <c r="LWN8" s="6"/>
      <c r="LWP8" s="6"/>
      <c r="LWR8" s="6"/>
      <c r="LWT8" s="6"/>
      <c r="LWV8" s="6"/>
      <c r="LWX8" s="6"/>
      <c r="LWZ8" s="6"/>
      <c r="LXB8" s="6"/>
      <c r="LXD8" s="6"/>
      <c r="LXF8" s="6"/>
      <c r="LXH8" s="6"/>
      <c r="LXJ8" s="6"/>
      <c r="LXL8" s="6"/>
      <c r="LXN8" s="6"/>
      <c r="LXP8" s="6"/>
      <c r="LXR8" s="6"/>
      <c r="LXT8" s="6"/>
      <c r="LXV8" s="6"/>
      <c r="LXX8" s="6"/>
      <c r="LXZ8" s="6"/>
      <c r="LYB8" s="6"/>
      <c r="LYD8" s="6"/>
      <c r="LYF8" s="6"/>
      <c r="LYH8" s="6"/>
      <c r="LYJ8" s="6"/>
      <c r="LYL8" s="6"/>
      <c r="LYN8" s="6"/>
      <c r="LYP8" s="6"/>
      <c r="LYR8" s="6"/>
      <c r="LYT8" s="6"/>
      <c r="LYV8" s="6"/>
      <c r="LYX8" s="6"/>
      <c r="LYZ8" s="6"/>
      <c r="LZB8" s="6"/>
      <c r="LZD8" s="6"/>
      <c r="LZF8" s="6"/>
      <c r="LZH8" s="6"/>
      <c r="LZJ8" s="6"/>
      <c r="LZL8" s="6"/>
      <c r="LZN8" s="6"/>
      <c r="LZP8" s="6"/>
      <c r="LZR8" s="6"/>
      <c r="LZT8" s="6"/>
      <c r="LZV8" s="6"/>
      <c r="LZX8" s="6"/>
      <c r="LZZ8" s="6"/>
      <c r="MAB8" s="6"/>
      <c r="MAD8" s="6"/>
      <c r="MAF8" s="6"/>
      <c r="MAH8" s="6"/>
      <c r="MAJ8" s="6"/>
      <c r="MAL8" s="6"/>
      <c r="MAN8" s="6"/>
      <c r="MAP8" s="6"/>
      <c r="MAR8" s="6"/>
      <c r="MAT8" s="6"/>
      <c r="MAV8" s="6"/>
      <c r="MAX8" s="6"/>
      <c r="MAZ8" s="6"/>
      <c r="MBB8" s="6"/>
      <c r="MBD8" s="6"/>
      <c r="MBF8" s="6"/>
      <c r="MBH8" s="6"/>
      <c r="MBJ8" s="6"/>
      <c r="MBL8" s="6"/>
      <c r="MBN8" s="6"/>
      <c r="MBP8" s="6"/>
      <c r="MBR8" s="6"/>
      <c r="MBT8" s="6"/>
      <c r="MBV8" s="6"/>
      <c r="MBX8" s="6"/>
      <c r="MBZ8" s="6"/>
      <c r="MCB8" s="6"/>
      <c r="MCD8" s="6"/>
      <c r="MCF8" s="6"/>
      <c r="MCH8" s="6"/>
      <c r="MCJ8" s="6"/>
      <c r="MCL8" s="6"/>
      <c r="MCN8" s="6"/>
      <c r="MCP8" s="6"/>
      <c r="MCR8" s="6"/>
      <c r="MCT8" s="6"/>
      <c r="MCV8" s="6"/>
      <c r="MCX8" s="6"/>
      <c r="MCZ8" s="6"/>
      <c r="MDB8" s="6"/>
      <c r="MDD8" s="6"/>
      <c r="MDF8" s="6"/>
      <c r="MDH8" s="6"/>
      <c r="MDJ8" s="6"/>
      <c r="MDL8" s="6"/>
      <c r="MDN8" s="6"/>
      <c r="MDP8" s="6"/>
      <c r="MDR8" s="6"/>
      <c r="MDT8" s="6"/>
      <c r="MDV8" s="6"/>
      <c r="MDX8" s="6"/>
      <c r="MDZ8" s="6"/>
      <c r="MEB8" s="6"/>
      <c r="MED8" s="6"/>
      <c r="MEF8" s="6"/>
      <c r="MEH8" s="6"/>
      <c r="MEJ8" s="6"/>
      <c r="MEL8" s="6"/>
      <c r="MEN8" s="6"/>
      <c r="MEP8" s="6"/>
      <c r="MER8" s="6"/>
      <c r="MET8" s="6"/>
      <c r="MEV8" s="6"/>
      <c r="MEX8" s="6"/>
      <c r="MEZ8" s="6"/>
      <c r="MFB8" s="6"/>
      <c r="MFD8" s="6"/>
      <c r="MFF8" s="6"/>
      <c r="MFH8" s="6"/>
      <c r="MFJ8" s="6"/>
      <c r="MFL8" s="6"/>
      <c r="MFN8" s="6"/>
      <c r="MFP8" s="6"/>
      <c r="MFR8" s="6"/>
      <c r="MFT8" s="6"/>
      <c r="MFV8" s="6"/>
      <c r="MFX8" s="6"/>
      <c r="MFZ8" s="6"/>
      <c r="MGB8" s="6"/>
      <c r="MGD8" s="6"/>
      <c r="MGF8" s="6"/>
      <c r="MGH8" s="6"/>
      <c r="MGJ8" s="6"/>
      <c r="MGL8" s="6"/>
      <c r="MGN8" s="6"/>
      <c r="MGP8" s="6"/>
      <c r="MGR8" s="6"/>
      <c r="MGT8" s="6"/>
      <c r="MGV8" s="6"/>
      <c r="MGX8" s="6"/>
      <c r="MGZ8" s="6"/>
      <c r="MHB8" s="6"/>
      <c r="MHD8" s="6"/>
      <c r="MHF8" s="6"/>
      <c r="MHH8" s="6"/>
      <c r="MHJ8" s="6"/>
      <c r="MHL8" s="6"/>
      <c r="MHN8" s="6"/>
      <c r="MHP8" s="6"/>
      <c r="MHR8" s="6"/>
      <c r="MHT8" s="6"/>
      <c r="MHV8" s="6"/>
      <c r="MHX8" s="6"/>
      <c r="MHZ8" s="6"/>
      <c r="MIB8" s="6"/>
      <c r="MID8" s="6"/>
      <c r="MIF8" s="6"/>
      <c r="MIH8" s="6"/>
      <c r="MIJ8" s="6"/>
      <c r="MIL8" s="6"/>
      <c r="MIN8" s="6"/>
      <c r="MIP8" s="6"/>
      <c r="MIR8" s="6"/>
      <c r="MIT8" s="6"/>
      <c r="MIV8" s="6"/>
      <c r="MIX8" s="6"/>
      <c r="MIZ8" s="6"/>
      <c r="MJB8" s="6"/>
      <c r="MJD8" s="6"/>
      <c r="MJF8" s="6"/>
      <c r="MJH8" s="6"/>
      <c r="MJJ8" s="6"/>
      <c r="MJL8" s="6"/>
      <c r="MJN8" s="6"/>
      <c r="MJP8" s="6"/>
      <c r="MJR8" s="6"/>
      <c r="MJT8" s="6"/>
      <c r="MJV8" s="6"/>
      <c r="MJX8" s="6"/>
      <c r="MJZ8" s="6"/>
      <c r="MKB8" s="6"/>
      <c r="MKD8" s="6"/>
      <c r="MKF8" s="6"/>
      <c r="MKH8" s="6"/>
      <c r="MKJ8" s="6"/>
      <c r="MKL8" s="6"/>
      <c r="MKN8" s="6"/>
      <c r="MKP8" s="6"/>
      <c r="MKR8" s="6"/>
      <c r="MKT8" s="6"/>
      <c r="MKV8" s="6"/>
      <c r="MKX8" s="6"/>
      <c r="MKZ8" s="6"/>
      <c r="MLB8" s="6"/>
      <c r="MLD8" s="6"/>
      <c r="MLF8" s="6"/>
      <c r="MLH8" s="6"/>
      <c r="MLJ8" s="6"/>
      <c r="MLL8" s="6"/>
      <c r="MLN8" s="6"/>
      <c r="MLP8" s="6"/>
      <c r="MLR8" s="6"/>
      <c r="MLT8" s="6"/>
      <c r="MLV8" s="6"/>
      <c r="MLX8" s="6"/>
      <c r="MLZ8" s="6"/>
      <c r="MMB8" s="6"/>
      <c r="MMD8" s="6"/>
      <c r="MMF8" s="6"/>
      <c r="MMH8" s="6"/>
      <c r="MMJ8" s="6"/>
      <c r="MML8" s="6"/>
      <c r="MMN8" s="6"/>
      <c r="MMP8" s="6"/>
      <c r="MMR8" s="6"/>
      <c r="MMT8" s="6"/>
      <c r="MMV8" s="6"/>
      <c r="MMX8" s="6"/>
      <c r="MMZ8" s="6"/>
      <c r="MNB8" s="6"/>
      <c r="MND8" s="6"/>
      <c r="MNF8" s="6"/>
      <c r="MNH8" s="6"/>
      <c r="MNJ8" s="6"/>
      <c r="MNL8" s="6"/>
      <c r="MNN8" s="6"/>
      <c r="MNP8" s="6"/>
      <c r="MNR8" s="6"/>
      <c r="MNT8" s="6"/>
      <c r="MNV8" s="6"/>
      <c r="MNX8" s="6"/>
      <c r="MNZ8" s="6"/>
      <c r="MOB8" s="6"/>
      <c r="MOD8" s="6"/>
      <c r="MOF8" s="6"/>
      <c r="MOH8" s="6"/>
      <c r="MOJ8" s="6"/>
      <c r="MOL8" s="6"/>
      <c r="MON8" s="6"/>
      <c r="MOP8" s="6"/>
      <c r="MOR8" s="6"/>
      <c r="MOT8" s="6"/>
      <c r="MOV8" s="6"/>
      <c r="MOX8" s="6"/>
      <c r="MOZ8" s="6"/>
      <c r="MPB8" s="6"/>
      <c r="MPD8" s="6"/>
      <c r="MPF8" s="6"/>
      <c r="MPH8" s="6"/>
      <c r="MPJ8" s="6"/>
      <c r="MPL8" s="6"/>
      <c r="MPN8" s="6"/>
      <c r="MPP8" s="6"/>
      <c r="MPR8" s="6"/>
      <c r="MPT8" s="6"/>
      <c r="MPV8" s="6"/>
      <c r="MPX8" s="6"/>
      <c r="MPZ8" s="6"/>
      <c r="MQB8" s="6"/>
      <c r="MQD8" s="6"/>
      <c r="MQF8" s="6"/>
      <c r="MQH8" s="6"/>
      <c r="MQJ8" s="6"/>
      <c r="MQL8" s="6"/>
      <c r="MQN8" s="6"/>
      <c r="MQP8" s="6"/>
      <c r="MQR8" s="6"/>
      <c r="MQT8" s="6"/>
      <c r="MQV8" s="6"/>
      <c r="MQX8" s="6"/>
      <c r="MQZ8" s="6"/>
      <c r="MRB8" s="6"/>
      <c r="MRD8" s="6"/>
      <c r="MRF8" s="6"/>
      <c r="MRH8" s="6"/>
      <c r="MRJ8" s="6"/>
      <c r="MRL8" s="6"/>
      <c r="MRN8" s="6"/>
      <c r="MRP8" s="6"/>
      <c r="MRR8" s="6"/>
      <c r="MRT8" s="6"/>
      <c r="MRV8" s="6"/>
      <c r="MRX8" s="6"/>
      <c r="MRZ8" s="6"/>
      <c r="MSB8" s="6"/>
      <c r="MSD8" s="6"/>
      <c r="MSF8" s="6"/>
      <c r="MSH8" s="6"/>
      <c r="MSJ8" s="6"/>
      <c r="MSL8" s="6"/>
      <c r="MSN8" s="6"/>
      <c r="MSP8" s="6"/>
      <c r="MSR8" s="6"/>
      <c r="MST8" s="6"/>
      <c r="MSV8" s="6"/>
      <c r="MSX8" s="6"/>
      <c r="MSZ8" s="6"/>
      <c r="MTB8" s="6"/>
      <c r="MTD8" s="6"/>
      <c r="MTF8" s="6"/>
      <c r="MTH8" s="6"/>
      <c r="MTJ8" s="6"/>
      <c r="MTL8" s="6"/>
      <c r="MTN8" s="6"/>
      <c r="MTP8" s="6"/>
      <c r="MTR8" s="6"/>
      <c r="MTT8" s="6"/>
      <c r="MTV8" s="6"/>
      <c r="MTX8" s="6"/>
      <c r="MTZ8" s="6"/>
      <c r="MUB8" s="6"/>
      <c r="MUD8" s="6"/>
      <c r="MUF8" s="6"/>
      <c r="MUH8" s="6"/>
      <c r="MUJ8" s="6"/>
      <c r="MUL8" s="6"/>
      <c r="MUN8" s="6"/>
      <c r="MUP8" s="6"/>
      <c r="MUR8" s="6"/>
      <c r="MUT8" s="6"/>
      <c r="MUV8" s="6"/>
      <c r="MUX8" s="6"/>
      <c r="MUZ8" s="6"/>
      <c r="MVB8" s="6"/>
      <c r="MVD8" s="6"/>
      <c r="MVF8" s="6"/>
      <c r="MVH8" s="6"/>
      <c r="MVJ8" s="6"/>
      <c r="MVL8" s="6"/>
      <c r="MVN8" s="6"/>
      <c r="MVP8" s="6"/>
      <c r="MVR8" s="6"/>
      <c r="MVT8" s="6"/>
      <c r="MVV8" s="6"/>
      <c r="MVX8" s="6"/>
      <c r="MVZ8" s="6"/>
      <c r="MWB8" s="6"/>
      <c r="MWD8" s="6"/>
      <c r="MWF8" s="6"/>
      <c r="MWH8" s="6"/>
      <c r="MWJ8" s="6"/>
      <c r="MWL8" s="6"/>
      <c r="MWN8" s="6"/>
      <c r="MWP8" s="6"/>
      <c r="MWR8" s="6"/>
      <c r="MWT8" s="6"/>
      <c r="MWV8" s="6"/>
      <c r="MWX8" s="6"/>
      <c r="MWZ8" s="6"/>
      <c r="MXB8" s="6"/>
      <c r="MXD8" s="6"/>
      <c r="MXF8" s="6"/>
      <c r="MXH8" s="6"/>
      <c r="MXJ8" s="6"/>
      <c r="MXL8" s="6"/>
      <c r="MXN8" s="6"/>
      <c r="MXP8" s="6"/>
      <c r="MXR8" s="6"/>
      <c r="MXT8" s="6"/>
      <c r="MXV8" s="6"/>
      <c r="MXX8" s="6"/>
      <c r="MXZ8" s="6"/>
      <c r="MYB8" s="6"/>
      <c r="MYD8" s="6"/>
      <c r="MYF8" s="6"/>
      <c r="MYH8" s="6"/>
      <c r="MYJ8" s="6"/>
      <c r="MYL8" s="6"/>
      <c r="MYN8" s="6"/>
      <c r="MYP8" s="6"/>
      <c r="MYR8" s="6"/>
      <c r="MYT8" s="6"/>
      <c r="MYV8" s="6"/>
      <c r="MYX8" s="6"/>
      <c r="MYZ8" s="6"/>
      <c r="MZB8" s="6"/>
      <c r="MZD8" s="6"/>
      <c r="MZF8" s="6"/>
      <c r="MZH8" s="6"/>
      <c r="MZJ8" s="6"/>
      <c r="MZL8" s="6"/>
      <c r="MZN8" s="6"/>
      <c r="MZP8" s="6"/>
      <c r="MZR8" s="6"/>
      <c r="MZT8" s="6"/>
      <c r="MZV8" s="6"/>
      <c r="MZX8" s="6"/>
      <c r="MZZ8" s="6"/>
      <c r="NAB8" s="6"/>
      <c r="NAD8" s="6"/>
      <c r="NAF8" s="6"/>
      <c r="NAH8" s="6"/>
      <c r="NAJ8" s="6"/>
      <c r="NAL8" s="6"/>
      <c r="NAN8" s="6"/>
      <c r="NAP8" s="6"/>
      <c r="NAR8" s="6"/>
      <c r="NAT8" s="6"/>
      <c r="NAV8" s="6"/>
      <c r="NAX8" s="6"/>
      <c r="NAZ8" s="6"/>
      <c r="NBB8" s="6"/>
      <c r="NBD8" s="6"/>
      <c r="NBF8" s="6"/>
      <c r="NBH8" s="6"/>
      <c r="NBJ8" s="6"/>
      <c r="NBL8" s="6"/>
      <c r="NBN8" s="6"/>
      <c r="NBP8" s="6"/>
      <c r="NBR8" s="6"/>
      <c r="NBT8" s="6"/>
      <c r="NBV8" s="6"/>
      <c r="NBX8" s="6"/>
      <c r="NBZ8" s="6"/>
      <c r="NCB8" s="6"/>
      <c r="NCD8" s="6"/>
      <c r="NCF8" s="6"/>
      <c r="NCH8" s="6"/>
      <c r="NCJ8" s="6"/>
      <c r="NCL8" s="6"/>
      <c r="NCN8" s="6"/>
      <c r="NCP8" s="6"/>
      <c r="NCR8" s="6"/>
      <c r="NCT8" s="6"/>
      <c r="NCV8" s="6"/>
      <c r="NCX8" s="6"/>
      <c r="NCZ8" s="6"/>
      <c r="NDB8" s="6"/>
      <c r="NDD8" s="6"/>
      <c r="NDF8" s="6"/>
      <c r="NDH8" s="6"/>
      <c r="NDJ8" s="6"/>
      <c r="NDL8" s="6"/>
      <c r="NDN8" s="6"/>
      <c r="NDP8" s="6"/>
      <c r="NDR8" s="6"/>
      <c r="NDT8" s="6"/>
      <c r="NDV8" s="6"/>
      <c r="NDX8" s="6"/>
      <c r="NDZ8" s="6"/>
      <c r="NEB8" s="6"/>
      <c r="NED8" s="6"/>
      <c r="NEF8" s="6"/>
      <c r="NEH8" s="6"/>
      <c r="NEJ8" s="6"/>
      <c r="NEL8" s="6"/>
      <c r="NEN8" s="6"/>
      <c r="NEP8" s="6"/>
      <c r="NER8" s="6"/>
      <c r="NET8" s="6"/>
      <c r="NEV8" s="6"/>
      <c r="NEX8" s="6"/>
      <c r="NEZ8" s="6"/>
      <c r="NFB8" s="6"/>
      <c r="NFD8" s="6"/>
      <c r="NFF8" s="6"/>
      <c r="NFH8" s="6"/>
      <c r="NFJ8" s="6"/>
      <c r="NFL8" s="6"/>
      <c r="NFN8" s="6"/>
      <c r="NFP8" s="6"/>
      <c r="NFR8" s="6"/>
      <c r="NFT8" s="6"/>
      <c r="NFV8" s="6"/>
      <c r="NFX8" s="6"/>
      <c r="NFZ8" s="6"/>
      <c r="NGB8" s="6"/>
      <c r="NGD8" s="6"/>
      <c r="NGF8" s="6"/>
      <c r="NGH8" s="6"/>
      <c r="NGJ8" s="6"/>
      <c r="NGL8" s="6"/>
      <c r="NGN8" s="6"/>
      <c r="NGP8" s="6"/>
      <c r="NGR8" s="6"/>
      <c r="NGT8" s="6"/>
      <c r="NGV8" s="6"/>
      <c r="NGX8" s="6"/>
      <c r="NGZ8" s="6"/>
      <c r="NHB8" s="6"/>
      <c r="NHD8" s="6"/>
      <c r="NHF8" s="6"/>
      <c r="NHH8" s="6"/>
      <c r="NHJ8" s="6"/>
      <c r="NHL8" s="6"/>
      <c r="NHN8" s="6"/>
      <c r="NHP8" s="6"/>
      <c r="NHR8" s="6"/>
      <c r="NHT8" s="6"/>
      <c r="NHV8" s="6"/>
      <c r="NHX8" s="6"/>
      <c r="NHZ8" s="6"/>
      <c r="NIB8" s="6"/>
      <c r="NID8" s="6"/>
      <c r="NIF8" s="6"/>
      <c r="NIH8" s="6"/>
      <c r="NIJ8" s="6"/>
      <c r="NIL8" s="6"/>
      <c r="NIN8" s="6"/>
      <c r="NIP8" s="6"/>
      <c r="NIR8" s="6"/>
      <c r="NIT8" s="6"/>
      <c r="NIV8" s="6"/>
      <c r="NIX8" s="6"/>
      <c r="NIZ8" s="6"/>
      <c r="NJB8" s="6"/>
      <c r="NJD8" s="6"/>
      <c r="NJF8" s="6"/>
      <c r="NJH8" s="6"/>
      <c r="NJJ8" s="6"/>
      <c r="NJL8" s="6"/>
      <c r="NJN8" s="6"/>
      <c r="NJP8" s="6"/>
      <c r="NJR8" s="6"/>
      <c r="NJT8" s="6"/>
      <c r="NJV8" s="6"/>
      <c r="NJX8" s="6"/>
      <c r="NJZ8" s="6"/>
      <c r="NKB8" s="6"/>
      <c r="NKD8" s="6"/>
      <c r="NKF8" s="6"/>
      <c r="NKH8" s="6"/>
      <c r="NKJ8" s="6"/>
      <c r="NKL8" s="6"/>
      <c r="NKN8" s="6"/>
      <c r="NKP8" s="6"/>
      <c r="NKR8" s="6"/>
      <c r="NKT8" s="6"/>
      <c r="NKV8" s="6"/>
      <c r="NKX8" s="6"/>
      <c r="NKZ8" s="6"/>
      <c r="NLB8" s="6"/>
      <c r="NLD8" s="6"/>
      <c r="NLF8" s="6"/>
      <c r="NLH8" s="6"/>
      <c r="NLJ8" s="6"/>
      <c r="NLL8" s="6"/>
      <c r="NLN8" s="6"/>
      <c r="NLP8" s="6"/>
      <c r="NLR8" s="6"/>
      <c r="NLT8" s="6"/>
      <c r="NLV8" s="6"/>
      <c r="NLX8" s="6"/>
      <c r="NLZ8" s="6"/>
      <c r="NMB8" s="6"/>
      <c r="NMD8" s="6"/>
      <c r="NMF8" s="6"/>
      <c r="NMH8" s="6"/>
      <c r="NMJ8" s="6"/>
      <c r="NML8" s="6"/>
      <c r="NMN8" s="6"/>
      <c r="NMP8" s="6"/>
      <c r="NMR8" s="6"/>
      <c r="NMT8" s="6"/>
      <c r="NMV8" s="6"/>
      <c r="NMX8" s="6"/>
      <c r="NMZ8" s="6"/>
      <c r="NNB8" s="6"/>
      <c r="NND8" s="6"/>
      <c r="NNF8" s="6"/>
      <c r="NNH8" s="6"/>
      <c r="NNJ8" s="6"/>
      <c r="NNL8" s="6"/>
      <c r="NNN8" s="6"/>
      <c r="NNP8" s="6"/>
      <c r="NNR8" s="6"/>
      <c r="NNT8" s="6"/>
      <c r="NNV8" s="6"/>
      <c r="NNX8" s="6"/>
      <c r="NNZ8" s="6"/>
      <c r="NOB8" s="6"/>
      <c r="NOD8" s="6"/>
      <c r="NOF8" s="6"/>
      <c r="NOH8" s="6"/>
      <c r="NOJ8" s="6"/>
      <c r="NOL8" s="6"/>
      <c r="NON8" s="6"/>
      <c r="NOP8" s="6"/>
      <c r="NOR8" s="6"/>
      <c r="NOT8" s="6"/>
      <c r="NOV8" s="6"/>
      <c r="NOX8" s="6"/>
      <c r="NOZ8" s="6"/>
      <c r="NPB8" s="6"/>
      <c r="NPD8" s="6"/>
      <c r="NPF8" s="6"/>
      <c r="NPH8" s="6"/>
      <c r="NPJ8" s="6"/>
      <c r="NPL8" s="6"/>
      <c r="NPN8" s="6"/>
      <c r="NPP8" s="6"/>
      <c r="NPR8" s="6"/>
      <c r="NPT8" s="6"/>
      <c r="NPV8" s="6"/>
      <c r="NPX8" s="6"/>
      <c r="NPZ8" s="6"/>
      <c r="NQB8" s="6"/>
      <c r="NQD8" s="6"/>
      <c r="NQF8" s="6"/>
      <c r="NQH8" s="6"/>
      <c r="NQJ8" s="6"/>
      <c r="NQL8" s="6"/>
      <c r="NQN8" s="6"/>
      <c r="NQP8" s="6"/>
      <c r="NQR8" s="6"/>
      <c r="NQT8" s="6"/>
      <c r="NQV8" s="6"/>
      <c r="NQX8" s="6"/>
      <c r="NQZ8" s="6"/>
      <c r="NRB8" s="6"/>
      <c r="NRD8" s="6"/>
      <c r="NRF8" s="6"/>
      <c r="NRH8" s="6"/>
      <c r="NRJ8" s="6"/>
      <c r="NRL8" s="6"/>
      <c r="NRN8" s="6"/>
      <c r="NRP8" s="6"/>
      <c r="NRR8" s="6"/>
      <c r="NRT8" s="6"/>
      <c r="NRV8" s="6"/>
      <c r="NRX8" s="6"/>
      <c r="NRZ8" s="6"/>
      <c r="NSB8" s="6"/>
      <c r="NSD8" s="6"/>
      <c r="NSF8" s="6"/>
      <c r="NSH8" s="6"/>
      <c r="NSJ8" s="6"/>
      <c r="NSL8" s="6"/>
      <c r="NSN8" s="6"/>
      <c r="NSP8" s="6"/>
      <c r="NSR8" s="6"/>
      <c r="NST8" s="6"/>
      <c r="NSV8" s="6"/>
      <c r="NSX8" s="6"/>
      <c r="NSZ8" s="6"/>
      <c r="NTB8" s="6"/>
      <c r="NTD8" s="6"/>
      <c r="NTF8" s="6"/>
      <c r="NTH8" s="6"/>
      <c r="NTJ8" s="6"/>
      <c r="NTL8" s="6"/>
      <c r="NTN8" s="6"/>
      <c r="NTP8" s="6"/>
      <c r="NTR8" s="6"/>
      <c r="NTT8" s="6"/>
      <c r="NTV8" s="6"/>
      <c r="NTX8" s="6"/>
      <c r="NTZ8" s="6"/>
      <c r="NUB8" s="6"/>
      <c r="NUD8" s="6"/>
      <c r="NUF8" s="6"/>
      <c r="NUH8" s="6"/>
      <c r="NUJ8" s="6"/>
      <c r="NUL8" s="6"/>
      <c r="NUN8" s="6"/>
      <c r="NUP8" s="6"/>
      <c r="NUR8" s="6"/>
      <c r="NUT8" s="6"/>
      <c r="NUV8" s="6"/>
      <c r="NUX8" s="6"/>
      <c r="NUZ8" s="6"/>
      <c r="NVB8" s="6"/>
      <c r="NVD8" s="6"/>
      <c r="NVF8" s="6"/>
      <c r="NVH8" s="6"/>
      <c r="NVJ8" s="6"/>
      <c r="NVL8" s="6"/>
      <c r="NVN8" s="6"/>
      <c r="NVP8" s="6"/>
      <c r="NVR8" s="6"/>
      <c r="NVT8" s="6"/>
      <c r="NVV8" s="6"/>
      <c r="NVX8" s="6"/>
      <c r="NVZ8" s="6"/>
      <c r="NWB8" s="6"/>
      <c r="NWD8" s="6"/>
      <c r="NWF8" s="6"/>
      <c r="NWH8" s="6"/>
      <c r="NWJ8" s="6"/>
      <c r="NWL8" s="6"/>
      <c r="NWN8" s="6"/>
      <c r="NWP8" s="6"/>
      <c r="NWR8" s="6"/>
      <c r="NWT8" s="6"/>
      <c r="NWV8" s="6"/>
      <c r="NWX8" s="6"/>
      <c r="NWZ8" s="6"/>
      <c r="NXB8" s="6"/>
      <c r="NXD8" s="6"/>
      <c r="NXF8" s="6"/>
      <c r="NXH8" s="6"/>
      <c r="NXJ8" s="6"/>
      <c r="NXL8" s="6"/>
      <c r="NXN8" s="6"/>
      <c r="NXP8" s="6"/>
      <c r="NXR8" s="6"/>
      <c r="NXT8" s="6"/>
      <c r="NXV8" s="6"/>
      <c r="NXX8" s="6"/>
      <c r="NXZ8" s="6"/>
      <c r="NYB8" s="6"/>
      <c r="NYD8" s="6"/>
      <c r="NYF8" s="6"/>
      <c r="NYH8" s="6"/>
      <c r="NYJ8" s="6"/>
      <c r="NYL8" s="6"/>
      <c r="NYN8" s="6"/>
      <c r="NYP8" s="6"/>
      <c r="NYR8" s="6"/>
      <c r="NYT8" s="6"/>
      <c r="NYV8" s="6"/>
      <c r="NYX8" s="6"/>
      <c r="NYZ8" s="6"/>
      <c r="NZB8" s="6"/>
      <c r="NZD8" s="6"/>
      <c r="NZF8" s="6"/>
      <c r="NZH8" s="6"/>
      <c r="NZJ8" s="6"/>
      <c r="NZL8" s="6"/>
      <c r="NZN8" s="6"/>
      <c r="NZP8" s="6"/>
      <c r="NZR8" s="6"/>
      <c r="NZT8" s="6"/>
      <c r="NZV8" s="6"/>
      <c r="NZX8" s="6"/>
      <c r="NZZ8" s="6"/>
      <c r="OAB8" s="6"/>
      <c r="OAD8" s="6"/>
      <c r="OAF8" s="6"/>
      <c r="OAH8" s="6"/>
      <c r="OAJ8" s="6"/>
      <c r="OAL8" s="6"/>
      <c r="OAN8" s="6"/>
      <c r="OAP8" s="6"/>
      <c r="OAR8" s="6"/>
      <c r="OAT8" s="6"/>
      <c r="OAV8" s="6"/>
      <c r="OAX8" s="6"/>
      <c r="OAZ8" s="6"/>
      <c r="OBB8" s="6"/>
      <c r="OBD8" s="6"/>
      <c r="OBF8" s="6"/>
      <c r="OBH8" s="6"/>
      <c r="OBJ8" s="6"/>
      <c r="OBL8" s="6"/>
      <c r="OBN8" s="6"/>
      <c r="OBP8" s="6"/>
      <c r="OBR8" s="6"/>
      <c r="OBT8" s="6"/>
      <c r="OBV8" s="6"/>
      <c r="OBX8" s="6"/>
      <c r="OBZ8" s="6"/>
      <c r="OCB8" s="6"/>
      <c r="OCD8" s="6"/>
      <c r="OCF8" s="6"/>
      <c r="OCH8" s="6"/>
      <c r="OCJ8" s="6"/>
      <c r="OCL8" s="6"/>
      <c r="OCN8" s="6"/>
      <c r="OCP8" s="6"/>
      <c r="OCR8" s="6"/>
      <c r="OCT8" s="6"/>
      <c r="OCV8" s="6"/>
      <c r="OCX8" s="6"/>
      <c r="OCZ8" s="6"/>
      <c r="ODB8" s="6"/>
      <c r="ODD8" s="6"/>
      <c r="ODF8" s="6"/>
      <c r="ODH8" s="6"/>
      <c r="ODJ8" s="6"/>
      <c r="ODL8" s="6"/>
      <c r="ODN8" s="6"/>
      <c r="ODP8" s="6"/>
      <c r="ODR8" s="6"/>
      <c r="ODT8" s="6"/>
      <c r="ODV8" s="6"/>
      <c r="ODX8" s="6"/>
      <c r="ODZ8" s="6"/>
      <c r="OEB8" s="6"/>
      <c r="OED8" s="6"/>
      <c r="OEF8" s="6"/>
      <c r="OEH8" s="6"/>
      <c r="OEJ8" s="6"/>
      <c r="OEL8" s="6"/>
      <c r="OEN8" s="6"/>
      <c r="OEP8" s="6"/>
      <c r="OER8" s="6"/>
      <c r="OET8" s="6"/>
      <c r="OEV8" s="6"/>
      <c r="OEX8" s="6"/>
      <c r="OEZ8" s="6"/>
      <c r="OFB8" s="6"/>
      <c r="OFD8" s="6"/>
      <c r="OFF8" s="6"/>
      <c r="OFH8" s="6"/>
      <c r="OFJ8" s="6"/>
      <c r="OFL8" s="6"/>
      <c r="OFN8" s="6"/>
      <c r="OFP8" s="6"/>
      <c r="OFR8" s="6"/>
      <c r="OFT8" s="6"/>
      <c r="OFV8" s="6"/>
      <c r="OFX8" s="6"/>
      <c r="OFZ8" s="6"/>
      <c r="OGB8" s="6"/>
      <c r="OGD8" s="6"/>
      <c r="OGF8" s="6"/>
      <c r="OGH8" s="6"/>
      <c r="OGJ8" s="6"/>
      <c r="OGL8" s="6"/>
      <c r="OGN8" s="6"/>
      <c r="OGP8" s="6"/>
      <c r="OGR8" s="6"/>
      <c r="OGT8" s="6"/>
      <c r="OGV8" s="6"/>
      <c r="OGX8" s="6"/>
      <c r="OGZ8" s="6"/>
      <c r="OHB8" s="6"/>
      <c r="OHD8" s="6"/>
      <c r="OHF8" s="6"/>
      <c r="OHH8" s="6"/>
      <c r="OHJ8" s="6"/>
      <c r="OHL8" s="6"/>
      <c r="OHN8" s="6"/>
      <c r="OHP8" s="6"/>
      <c r="OHR8" s="6"/>
      <c r="OHT8" s="6"/>
      <c r="OHV8" s="6"/>
      <c r="OHX8" s="6"/>
      <c r="OHZ8" s="6"/>
      <c r="OIB8" s="6"/>
      <c r="OID8" s="6"/>
      <c r="OIF8" s="6"/>
      <c r="OIH8" s="6"/>
      <c r="OIJ8" s="6"/>
      <c r="OIL8" s="6"/>
      <c r="OIN8" s="6"/>
      <c r="OIP8" s="6"/>
      <c r="OIR8" s="6"/>
      <c r="OIT8" s="6"/>
      <c r="OIV8" s="6"/>
      <c r="OIX8" s="6"/>
      <c r="OIZ8" s="6"/>
      <c r="OJB8" s="6"/>
      <c r="OJD8" s="6"/>
      <c r="OJF8" s="6"/>
      <c r="OJH8" s="6"/>
      <c r="OJJ8" s="6"/>
      <c r="OJL8" s="6"/>
      <c r="OJN8" s="6"/>
      <c r="OJP8" s="6"/>
      <c r="OJR8" s="6"/>
      <c r="OJT8" s="6"/>
      <c r="OJV8" s="6"/>
      <c r="OJX8" s="6"/>
      <c r="OJZ8" s="6"/>
      <c r="OKB8" s="6"/>
      <c r="OKD8" s="6"/>
      <c r="OKF8" s="6"/>
      <c r="OKH8" s="6"/>
      <c r="OKJ8" s="6"/>
      <c r="OKL8" s="6"/>
      <c r="OKN8" s="6"/>
      <c r="OKP8" s="6"/>
      <c r="OKR8" s="6"/>
      <c r="OKT8" s="6"/>
      <c r="OKV8" s="6"/>
      <c r="OKX8" s="6"/>
      <c r="OKZ8" s="6"/>
      <c r="OLB8" s="6"/>
      <c r="OLD8" s="6"/>
      <c r="OLF8" s="6"/>
      <c r="OLH8" s="6"/>
      <c r="OLJ8" s="6"/>
      <c r="OLL8" s="6"/>
      <c r="OLN8" s="6"/>
      <c r="OLP8" s="6"/>
      <c r="OLR8" s="6"/>
      <c r="OLT8" s="6"/>
      <c r="OLV8" s="6"/>
      <c r="OLX8" s="6"/>
      <c r="OLZ8" s="6"/>
      <c r="OMB8" s="6"/>
      <c r="OMD8" s="6"/>
      <c r="OMF8" s="6"/>
      <c r="OMH8" s="6"/>
      <c r="OMJ8" s="6"/>
      <c r="OML8" s="6"/>
      <c r="OMN8" s="6"/>
      <c r="OMP8" s="6"/>
      <c r="OMR8" s="6"/>
      <c r="OMT8" s="6"/>
      <c r="OMV8" s="6"/>
      <c r="OMX8" s="6"/>
      <c r="OMZ8" s="6"/>
      <c r="ONB8" s="6"/>
      <c r="OND8" s="6"/>
      <c r="ONF8" s="6"/>
      <c r="ONH8" s="6"/>
      <c r="ONJ8" s="6"/>
      <c r="ONL8" s="6"/>
      <c r="ONN8" s="6"/>
      <c r="ONP8" s="6"/>
      <c r="ONR8" s="6"/>
      <c r="ONT8" s="6"/>
      <c r="ONV8" s="6"/>
      <c r="ONX8" s="6"/>
      <c r="ONZ8" s="6"/>
      <c r="OOB8" s="6"/>
      <c r="OOD8" s="6"/>
      <c r="OOF8" s="6"/>
      <c r="OOH8" s="6"/>
      <c r="OOJ8" s="6"/>
      <c r="OOL8" s="6"/>
      <c r="OON8" s="6"/>
      <c r="OOP8" s="6"/>
      <c r="OOR8" s="6"/>
      <c r="OOT8" s="6"/>
      <c r="OOV8" s="6"/>
      <c r="OOX8" s="6"/>
      <c r="OOZ8" s="6"/>
      <c r="OPB8" s="6"/>
      <c r="OPD8" s="6"/>
      <c r="OPF8" s="6"/>
      <c r="OPH8" s="6"/>
      <c r="OPJ8" s="6"/>
      <c r="OPL8" s="6"/>
      <c r="OPN8" s="6"/>
      <c r="OPP8" s="6"/>
      <c r="OPR8" s="6"/>
      <c r="OPT8" s="6"/>
      <c r="OPV8" s="6"/>
      <c r="OPX8" s="6"/>
      <c r="OPZ8" s="6"/>
      <c r="OQB8" s="6"/>
      <c r="OQD8" s="6"/>
      <c r="OQF8" s="6"/>
      <c r="OQH8" s="6"/>
      <c r="OQJ8" s="6"/>
      <c r="OQL8" s="6"/>
      <c r="OQN8" s="6"/>
      <c r="OQP8" s="6"/>
      <c r="OQR8" s="6"/>
      <c r="OQT8" s="6"/>
      <c r="OQV8" s="6"/>
      <c r="OQX8" s="6"/>
      <c r="OQZ8" s="6"/>
      <c r="ORB8" s="6"/>
      <c r="ORD8" s="6"/>
      <c r="ORF8" s="6"/>
      <c r="ORH8" s="6"/>
      <c r="ORJ8" s="6"/>
      <c r="ORL8" s="6"/>
      <c r="ORN8" s="6"/>
      <c r="ORP8" s="6"/>
      <c r="ORR8" s="6"/>
      <c r="ORT8" s="6"/>
      <c r="ORV8" s="6"/>
      <c r="ORX8" s="6"/>
      <c r="ORZ8" s="6"/>
      <c r="OSB8" s="6"/>
      <c r="OSD8" s="6"/>
      <c r="OSF8" s="6"/>
      <c r="OSH8" s="6"/>
      <c r="OSJ8" s="6"/>
      <c r="OSL8" s="6"/>
      <c r="OSN8" s="6"/>
      <c r="OSP8" s="6"/>
      <c r="OSR8" s="6"/>
      <c r="OST8" s="6"/>
      <c r="OSV8" s="6"/>
      <c r="OSX8" s="6"/>
      <c r="OSZ8" s="6"/>
      <c r="OTB8" s="6"/>
      <c r="OTD8" s="6"/>
      <c r="OTF8" s="6"/>
      <c r="OTH8" s="6"/>
      <c r="OTJ8" s="6"/>
      <c r="OTL8" s="6"/>
      <c r="OTN8" s="6"/>
      <c r="OTP8" s="6"/>
      <c r="OTR8" s="6"/>
      <c r="OTT8" s="6"/>
      <c r="OTV8" s="6"/>
      <c r="OTX8" s="6"/>
      <c r="OTZ8" s="6"/>
      <c r="OUB8" s="6"/>
      <c r="OUD8" s="6"/>
      <c r="OUF8" s="6"/>
      <c r="OUH8" s="6"/>
      <c r="OUJ8" s="6"/>
      <c r="OUL8" s="6"/>
      <c r="OUN8" s="6"/>
      <c r="OUP8" s="6"/>
      <c r="OUR8" s="6"/>
      <c r="OUT8" s="6"/>
      <c r="OUV8" s="6"/>
      <c r="OUX8" s="6"/>
      <c r="OUZ8" s="6"/>
      <c r="OVB8" s="6"/>
      <c r="OVD8" s="6"/>
      <c r="OVF8" s="6"/>
      <c r="OVH8" s="6"/>
      <c r="OVJ8" s="6"/>
      <c r="OVL8" s="6"/>
      <c r="OVN8" s="6"/>
      <c r="OVP8" s="6"/>
      <c r="OVR8" s="6"/>
      <c r="OVT8" s="6"/>
      <c r="OVV8" s="6"/>
      <c r="OVX8" s="6"/>
      <c r="OVZ8" s="6"/>
      <c r="OWB8" s="6"/>
      <c r="OWD8" s="6"/>
      <c r="OWF8" s="6"/>
      <c r="OWH8" s="6"/>
      <c r="OWJ8" s="6"/>
      <c r="OWL8" s="6"/>
      <c r="OWN8" s="6"/>
      <c r="OWP8" s="6"/>
      <c r="OWR8" s="6"/>
      <c r="OWT8" s="6"/>
      <c r="OWV8" s="6"/>
      <c r="OWX8" s="6"/>
      <c r="OWZ8" s="6"/>
      <c r="OXB8" s="6"/>
      <c r="OXD8" s="6"/>
      <c r="OXF8" s="6"/>
      <c r="OXH8" s="6"/>
      <c r="OXJ8" s="6"/>
      <c r="OXL8" s="6"/>
      <c r="OXN8" s="6"/>
      <c r="OXP8" s="6"/>
      <c r="OXR8" s="6"/>
      <c r="OXT8" s="6"/>
      <c r="OXV8" s="6"/>
      <c r="OXX8" s="6"/>
      <c r="OXZ8" s="6"/>
      <c r="OYB8" s="6"/>
      <c r="OYD8" s="6"/>
      <c r="OYF8" s="6"/>
      <c r="OYH8" s="6"/>
      <c r="OYJ8" s="6"/>
      <c r="OYL8" s="6"/>
      <c r="OYN8" s="6"/>
      <c r="OYP8" s="6"/>
      <c r="OYR8" s="6"/>
      <c r="OYT8" s="6"/>
      <c r="OYV8" s="6"/>
      <c r="OYX8" s="6"/>
      <c r="OYZ8" s="6"/>
      <c r="OZB8" s="6"/>
      <c r="OZD8" s="6"/>
      <c r="OZF8" s="6"/>
      <c r="OZH8" s="6"/>
      <c r="OZJ8" s="6"/>
      <c r="OZL8" s="6"/>
      <c r="OZN8" s="6"/>
      <c r="OZP8" s="6"/>
      <c r="OZR8" s="6"/>
      <c r="OZT8" s="6"/>
      <c r="OZV8" s="6"/>
      <c r="OZX8" s="6"/>
      <c r="OZZ8" s="6"/>
      <c r="PAB8" s="6"/>
      <c r="PAD8" s="6"/>
      <c r="PAF8" s="6"/>
      <c r="PAH8" s="6"/>
      <c r="PAJ8" s="6"/>
      <c r="PAL8" s="6"/>
      <c r="PAN8" s="6"/>
      <c r="PAP8" s="6"/>
      <c r="PAR8" s="6"/>
      <c r="PAT8" s="6"/>
      <c r="PAV8" s="6"/>
      <c r="PAX8" s="6"/>
      <c r="PAZ8" s="6"/>
      <c r="PBB8" s="6"/>
      <c r="PBD8" s="6"/>
      <c r="PBF8" s="6"/>
      <c r="PBH8" s="6"/>
      <c r="PBJ8" s="6"/>
      <c r="PBL8" s="6"/>
      <c r="PBN8" s="6"/>
      <c r="PBP8" s="6"/>
      <c r="PBR8" s="6"/>
      <c r="PBT8" s="6"/>
      <c r="PBV8" s="6"/>
      <c r="PBX8" s="6"/>
      <c r="PBZ8" s="6"/>
      <c r="PCB8" s="6"/>
      <c r="PCD8" s="6"/>
      <c r="PCF8" s="6"/>
      <c r="PCH8" s="6"/>
      <c r="PCJ8" s="6"/>
      <c r="PCL8" s="6"/>
      <c r="PCN8" s="6"/>
      <c r="PCP8" s="6"/>
      <c r="PCR8" s="6"/>
      <c r="PCT8" s="6"/>
      <c r="PCV8" s="6"/>
      <c r="PCX8" s="6"/>
      <c r="PCZ8" s="6"/>
      <c r="PDB8" s="6"/>
      <c r="PDD8" s="6"/>
      <c r="PDF8" s="6"/>
      <c r="PDH8" s="6"/>
      <c r="PDJ8" s="6"/>
      <c r="PDL8" s="6"/>
      <c r="PDN8" s="6"/>
      <c r="PDP8" s="6"/>
      <c r="PDR8" s="6"/>
      <c r="PDT8" s="6"/>
      <c r="PDV8" s="6"/>
      <c r="PDX8" s="6"/>
      <c r="PDZ8" s="6"/>
      <c r="PEB8" s="6"/>
      <c r="PED8" s="6"/>
      <c r="PEF8" s="6"/>
      <c r="PEH8" s="6"/>
      <c r="PEJ8" s="6"/>
      <c r="PEL8" s="6"/>
      <c r="PEN8" s="6"/>
      <c r="PEP8" s="6"/>
      <c r="PER8" s="6"/>
      <c r="PET8" s="6"/>
      <c r="PEV8" s="6"/>
      <c r="PEX8" s="6"/>
      <c r="PEZ8" s="6"/>
      <c r="PFB8" s="6"/>
      <c r="PFD8" s="6"/>
      <c r="PFF8" s="6"/>
      <c r="PFH8" s="6"/>
      <c r="PFJ8" s="6"/>
      <c r="PFL8" s="6"/>
      <c r="PFN8" s="6"/>
      <c r="PFP8" s="6"/>
      <c r="PFR8" s="6"/>
      <c r="PFT8" s="6"/>
      <c r="PFV8" s="6"/>
      <c r="PFX8" s="6"/>
      <c r="PFZ8" s="6"/>
      <c r="PGB8" s="6"/>
      <c r="PGD8" s="6"/>
      <c r="PGF8" s="6"/>
      <c r="PGH8" s="6"/>
      <c r="PGJ8" s="6"/>
      <c r="PGL8" s="6"/>
      <c r="PGN8" s="6"/>
      <c r="PGP8" s="6"/>
      <c r="PGR8" s="6"/>
      <c r="PGT8" s="6"/>
      <c r="PGV8" s="6"/>
      <c r="PGX8" s="6"/>
      <c r="PGZ8" s="6"/>
      <c r="PHB8" s="6"/>
      <c r="PHD8" s="6"/>
      <c r="PHF8" s="6"/>
      <c r="PHH8" s="6"/>
      <c r="PHJ8" s="6"/>
      <c r="PHL8" s="6"/>
      <c r="PHN8" s="6"/>
      <c r="PHP8" s="6"/>
      <c r="PHR8" s="6"/>
      <c r="PHT8" s="6"/>
      <c r="PHV8" s="6"/>
      <c r="PHX8" s="6"/>
      <c r="PHZ8" s="6"/>
      <c r="PIB8" s="6"/>
      <c r="PID8" s="6"/>
      <c r="PIF8" s="6"/>
      <c r="PIH8" s="6"/>
      <c r="PIJ8" s="6"/>
      <c r="PIL8" s="6"/>
      <c r="PIN8" s="6"/>
      <c r="PIP8" s="6"/>
      <c r="PIR8" s="6"/>
      <c r="PIT8" s="6"/>
      <c r="PIV8" s="6"/>
      <c r="PIX8" s="6"/>
      <c r="PIZ8" s="6"/>
      <c r="PJB8" s="6"/>
      <c r="PJD8" s="6"/>
      <c r="PJF8" s="6"/>
      <c r="PJH8" s="6"/>
      <c r="PJJ8" s="6"/>
      <c r="PJL8" s="6"/>
      <c r="PJN8" s="6"/>
      <c r="PJP8" s="6"/>
      <c r="PJR8" s="6"/>
      <c r="PJT8" s="6"/>
      <c r="PJV8" s="6"/>
      <c r="PJX8" s="6"/>
      <c r="PJZ8" s="6"/>
      <c r="PKB8" s="6"/>
      <c r="PKD8" s="6"/>
      <c r="PKF8" s="6"/>
      <c r="PKH8" s="6"/>
      <c r="PKJ8" s="6"/>
      <c r="PKL8" s="6"/>
      <c r="PKN8" s="6"/>
      <c r="PKP8" s="6"/>
      <c r="PKR8" s="6"/>
      <c r="PKT8" s="6"/>
      <c r="PKV8" s="6"/>
      <c r="PKX8" s="6"/>
      <c r="PKZ8" s="6"/>
      <c r="PLB8" s="6"/>
      <c r="PLD8" s="6"/>
      <c r="PLF8" s="6"/>
      <c r="PLH8" s="6"/>
      <c r="PLJ8" s="6"/>
      <c r="PLL8" s="6"/>
      <c r="PLN8" s="6"/>
      <c r="PLP8" s="6"/>
      <c r="PLR8" s="6"/>
      <c r="PLT8" s="6"/>
      <c r="PLV8" s="6"/>
      <c r="PLX8" s="6"/>
      <c r="PLZ8" s="6"/>
      <c r="PMB8" s="6"/>
      <c r="PMD8" s="6"/>
      <c r="PMF8" s="6"/>
      <c r="PMH8" s="6"/>
      <c r="PMJ8" s="6"/>
      <c r="PML8" s="6"/>
      <c r="PMN8" s="6"/>
      <c r="PMP8" s="6"/>
      <c r="PMR8" s="6"/>
      <c r="PMT8" s="6"/>
      <c r="PMV8" s="6"/>
      <c r="PMX8" s="6"/>
      <c r="PMZ8" s="6"/>
      <c r="PNB8" s="6"/>
      <c r="PND8" s="6"/>
      <c r="PNF8" s="6"/>
      <c r="PNH8" s="6"/>
      <c r="PNJ8" s="6"/>
      <c r="PNL8" s="6"/>
      <c r="PNN8" s="6"/>
      <c r="PNP8" s="6"/>
      <c r="PNR8" s="6"/>
      <c r="PNT8" s="6"/>
      <c r="PNV8" s="6"/>
      <c r="PNX8" s="6"/>
      <c r="PNZ8" s="6"/>
      <c r="POB8" s="6"/>
      <c r="POD8" s="6"/>
      <c r="POF8" s="6"/>
      <c r="POH8" s="6"/>
      <c r="POJ8" s="6"/>
      <c r="POL8" s="6"/>
      <c r="PON8" s="6"/>
      <c r="POP8" s="6"/>
      <c r="POR8" s="6"/>
      <c r="POT8" s="6"/>
      <c r="POV8" s="6"/>
      <c r="POX8" s="6"/>
      <c r="POZ8" s="6"/>
      <c r="PPB8" s="6"/>
      <c r="PPD8" s="6"/>
      <c r="PPF8" s="6"/>
      <c r="PPH8" s="6"/>
      <c r="PPJ8" s="6"/>
      <c r="PPL8" s="6"/>
      <c r="PPN8" s="6"/>
      <c r="PPP8" s="6"/>
      <c r="PPR8" s="6"/>
      <c r="PPT8" s="6"/>
      <c r="PPV8" s="6"/>
      <c r="PPX8" s="6"/>
      <c r="PPZ8" s="6"/>
      <c r="PQB8" s="6"/>
      <c r="PQD8" s="6"/>
      <c r="PQF8" s="6"/>
      <c r="PQH8" s="6"/>
      <c r="PQJ8" s="6"/>
      <c r="PQL8" s="6"/>
      <c r="PQN8" s="6"/>
      <c r="PQP8" s="6"/>
      <c r="PQR8" s="6"/>
      <c r="PQT8" s="6"/>
      <c r="PQV8" s="6"/>
      <c r="PQX8" s="6"/>
      <c r="PQZ8" s="6"/>
      <c r="PRB8" s="6"/>
      <c r="PRD8" s="6"/>
      <c r="PRF8" s="6"/>
      <c r="PRH8" s="6"/>
      <c r="PRJ8" s="6"/>
      <c r="PRL8" s="6"/>
      <c r="PRN8" s="6"/>
      <c r="PRP8" s="6"/>
      <c r="PRR8" s="6"/>
      <c r="PRT8" s="6"/>
      <c r="PRV8" s="6"/>
      <c r="PRX8" s="6"/>
      <c r="PRZ8" s="6"/>
      <c r="PSB8" s="6"/>
      <c r="PSD8" s="6"/>
      <c r="PSF8" s="6"/>
      <c r="PSH8" s="6"/>
      <c r="PSJ8" s="6"/>
      <c r="PSL8" s="6"/>
      <c r="PSN8" s="6"/>
      <c r="PSP8" s="6"/>
      <c r="PSR8" s="6"/>
      <c r="PST8" s="6"/>
      <c r="PSV8" s="6"/>
      <c r="PSX8" s="6"/>
      <c r="PSZ8" s="6"/>
      <c r="PTB8" s="6"/>
      <c r="PTD8" s="6"/>
      <c r="PTF8" s="6"/>
      <c r="PTH8" s="6"/>
      <c r="PTJ8" s="6"/>
      <c r="PTL8" s="6"/>
      <c r="PTN8" s="6"/>
      <c r="PTP8" s="6"/>
      <c r="PTR8" s="6"/>
      <c r="PTT8" s="6"/>
      <c r="PTV8" s="6"/>
      <c r="PTX8" s="6"/>
      <c r="PTZ8" s="6"/>
      <c r="PUB8" s="6"/>
      <c r="PUD8" s="6"/>
      <c r="PUF8" s="6"/>
      <c r="PUH8" s="6"/>
      <c r="PUJ8" s="6"/>
      <c r="PUL8" s="6"/>
      <c r="PUN8" s="6"/>
      <c r="PUP8" s="6"/>
      <c r="PUR8" s="6"/>
      <c r="PUT8" s="6"/>
      <c r="PUV8" s="6"/>
      <c r="PUX8" s="6"/>
      <c r="PUZ8" s="6"/>
      <c r="PVB8" s="6"/>
      <c r="PVD8" s="6"/>
      <c r="PVF8" s="6"/>
      <c r="PVH8" s="6"/>
      <c r="PVJ8" s="6"/>
      <c r="PVL8" s="6"/>
      <c r="PVN8" s="6"/>
      <c r="PVP8" s="6"/>
      <c r="PVR8" s="6"/>
      <c r="PVT8" s="6"/>
      <c r="PVV8" s="6"/>
      <c r="PVX8" s="6"/>
      <c r="PVZ8" s="6"/>
      <c r="PWB8" s="6"/>
      <c r="PWD8" s="6"/>
      <c r="PWF8" s="6"/>
      <c r="PWH8" s="6"/>
      <c r="PWJ8" s="6"/>
      <c r="PWL8" s="6"/>
      <c r="PWN8" s="6"/>
      <c r="PWP8" s="6"/>
      <c r="PWR8" s="6"/>
      <c r="PWT8" s="6"/>
      <c r="PWV8" s="6"/>
      <c r="PWX8" s="6"/>
      <c r="PWZ8" s="6"/>
      <c r="PXB8" s="6"/>
      <c r="PXD8" s="6"/>
      <c r="PXF8" s="6"/>
      <c r="PXH8" s="6"/>
      <c r="PXJ8" s="6"/>
      <c r="PXL8" s="6"/>
      <c r="PXN8" s="6"/>
      <c r="PXP8" s="6"/>
      <c r="PXR8" s="6"/>
      <c r="PXT8" s="6"/>
      <c r="PXV8" s="6"/>
      <c r="PXX8" s="6"/>
      <c r="PXZ8" s="6"/>
      <c r="PYB8" s="6"/>
      <c r="PYD8" s="6"/>
      <c r="PYF8" s="6"/>
      <c r="PYH8" s="6"/>
      <c r="PYJ8" s="6"/>
      <c r="PYL8" s="6"/>
      <c r="PYN8" s="6"/>
      <c r="PYP8" s="6"/>
      <c r="PYR8" s="6"/>
      <c r="PYT8" s="6"/>
      <c r="PYV8" s="6"/>
      <c r="PYX8" s="6"/>
      <c r="PYZ8" s="6"/>
      <c r="PZB8" s="6"/>
      <c r="PZD8" s="6"/>
      <c r="PZF8" s="6"/>
      <c r="PZH8" s="6"/>
      <c r="PZJ8" s="6"/>
      <c r="PZL8" s="6"/>
      <c r="PZN8" s="6"/>
      <c r="PZP8" s="6"/>
      <c r="PZR8" s="6"/>
      <c r="PZT8" s="6"/>
      <c r="PZV8" s="6"/>
      <c r="PZX8" s="6"/>
      <c r="PZZ8" s="6"/>
      <c r="QAB8" s="6"/>
      <c r="QAD8" s="6"/>
      <c r="QAF8" s="6"/>
      <c r="QAH8" s="6"/>
      <c r="QAJ8" s="6"/>
      <c r="QAL8" s="6"/>
      <c r="QAN8" s="6"/>
      <c r="QAP8" s="6"/>
      <c r="QAR8" s="6"/>
      <c r="QAT8" s="6"/>
      <c r="QAV8" s="6"/>
      <c r="QAX8" s="6"/>
      <c r="QAZ8" s="6"/>
      <c r="QBB8" s="6"/>
      <c r="QBD8" s="6"/>
      <c r="QBF8" s="6"/>
      <c r="QBH8" s="6"/>
      <c r="QBJ8" s="6"/>
      <c r="QBL8" s="6"/>
      <c r="QBN8" s="6"/>
      <c r="QBP8" s="6"/>
      <c r="QBR8" s="6"/>
      <c r="QBT8" s="6"/>
      <c r="QBV8" s="6"/>
      <c r="QBX8" s="6"/>
      <c r="QBZ8" s="6"/>
      <c r="QCB8" s="6"/>
      <c r="QCD8" s="6"/>
      <c r="QCF8" s="6"/>
      <c r="QCH8" s="6"/>
      <c r="QCJ8" s="6"/>
      <c r="QCL8" s="6"/>
      <c r="QCN8" s="6"/>
      <c r="QCP8" s="6"/>
      <c r="QCR8" s="6"/>
      <c r="QCT8" s="6"/>
      <c r="QCV8" s="6"/>
      <c r="QCX8" s="6"/>
      <c r="QCZ8" s="6"/>
      <c r="QDB8" s="6"/>
      <c r="QDD8" s="6"/>
      <c r="QDF8" s="6"/>
      <c r="QDH8" s="6"/>
      <c r="QDJ8" s="6"/>
      <c r="QDL8" s="6"/>
      <c r="QDN8" s="6"/>
      <c r="QDP8" s="6"/>
      <c r="QDR8" s="6"/>
      <c r="QDT8" s="6"/>
      <c r="QDV8" s="6"/>
      <c r="QDX8" s="6"/>
      <c r="QDZ8" s="6"/>
      <c r="QEB8" s="6"/>
      <c r="QED8" s="6"/>
      <c r="QEF8" s="6"/>
      <c r="QEH8" s="6"/>
      <c r="QEJ8" s="6"/>
      <c r="QEL8" s="6"/>
      <c r="QEN8" s="6"/>
      <c r="QEP8" s="6"/>
      <c r="QER8" s="6"/>
      <c r="QET8" s="6"/>
      <c r="QEV8" s="6"/>
      <c r="QEX8" s="6"/>
      <c r="QEZ8" s="6"/>
      <c r="QFB8" s="6"/>
      <c r="QFD8" s="6"/>
      <c r="QFF8" s="6"/>
      <c r="QFH8" s="6"/>
      <c r="QFJ8" s="6"/>
      <c r="QFL8" s="6"/>
      <c r="QFN8" s="6"/>
      <c r="QFP8" s="6"/>
      <c r="QFR8" s="6"/>
      <c r="QFT8" s="6"/>
      <c r="QFV8" s="6"/>
      <c r="QFX8" s="6"/>
      <c r="QFZ8" s="6"/>
      <c r="QGB8" s="6"/>
      <c r="QGD8" s="6"/>
      <c r="QGF8" s="6"/>
      <c r="QGH8" s="6"/>
      <c r="QGJ8" s="6"/>
      <c r="QGL8" s="6"/>
      <c r="QGN8" s="6"/>
      <c r="QGP8" s="6"/>
      <c r="QGR8" s="6"/>
      <c r="QGT8" s="6"/>
      <c r="QGV8" s="6"/>
      <c r="QGX8" s="6"/>
      <c r="QGZ8" s="6"/>
      <c r="QHB8" s="6"/>
      <c r="QHD8" s="6"/>
      <c r="QHF8" s="6"/>
      <c r="QHH8" s="6"/>
      <c r="QHJ8" s="6"/>
      <c r="QHL8" s="6"/>
      <c r="QHN8" s="6"/>
      <c r="QHP8" s="6"/>
      <c r="QHR8" s="6"/>
      <c r="QHT8" s="6"/>
      <c r="QHV8" s="6"/>
      <c r="QHX8" s="6"/>
      <c r="QHZ8" s="6"/>
      <c r="QIB8" s="6"/>
      <c r="QID8" s="6"/>
      <c r="QIF8" s="6"/>
      <c r="QIH8" s="6"/>
      <c r="QIJ8" s="6"/>
      <c r="QIL8" s="6"/>
      <c r="QIN8" s="6"/>
      <c r="QIP8" s="6"/>
      <c r="QIR8" s="6"/>
      <c r="QIT8" s="6"/>
      <c r="QIV8" s="6"/>
      <c r="QIX8" s="6"/>
      <c r="QIZ8" s="6"/>
      <c r="QJB8" s="6"/>
      <c r="QJD8" s="6"/>
      <c r="QJF8" s="6"/>
      <c r="QJH8" s="6"/>
      <c r="QJJ8" s="6"/>
      <c r="QJL8" s="6"/>
      <c r="QJN8" s="6"/>
      <c r="QJP8" s="6"/>
      <c r="QJR8" s="6"/>
      <c r="QJT8" s="6"/>
      <c r="QJV8" s="6"/>
      <c r="QJX8" s="6"/>
      <c r="QJZ8" s="6"/>
      <c r="QKB8" s="6"/>
      <c r="QKD8" s="6"/>
      <c r="QKF8" s="6"/>
      <c r="QKH8" s="6"/>
      <c r="QKJ8" s="6"/>
      <c r="QKL8" s="6"/>
      <c r="QKN8" s="6"/>
      <c r="QKP8" s="6"/>
      <c r="QKR8" s="6"/>
      <c r="QKT8" s="6"/>
      <c r="QKV8" s="6"/>
      <c r="QKX8" s="6"/>
      <c r="QKZ8" s="6"/>
      <c r="QLB8" s="6"/>
      <c r="QLD8" s="6"/>
      <c r="QLF8" s="6"/>
      <c r="QLH8" s="6"/>
      <c r="QLJ8" s="6"/>
      <c r="QLL8" s="6"/>
      <c r="QLN8" s="6"/>
      <c r="QLP8" s="6"/>
      <c r="QLR8" s="6"/>
      <c r="QLT8" s="6"/>
      <c r="QLV8" s="6"/>
      <c r="QLX8" s="6"/>
      <c r="QLZ8" s="6"/>
      <c r="QMB8" s="6"/>
      <c r="QMD8" s="6"/>
      <c r="QMF8" s="6"/>
      <c r="QMH8" s="6"/>
      <c r="QMJ8" s="6"/>
      <c r="QML8" s="6"/>
      <c r="QMN8" s="6"/>
      <c r="QMP8" s="6"/>
      <c r="QMR8" s="6"/>
      <c r="QMT8" s="6"/>
      <c r="QMV8" s="6"/>
      <c r="QMX8" s="6"/>
      <c r="QMZ8" s="6"/>
      <c r="QNB8" s="6"/>
      <c r="QND8" s="6"/>
      <c r="QNF8" s="6"/>
      <c r="QNH8" s="6"/>
      <c r="QNJ8" s="6"/>
      <c r="QNL8" s="6"/>
      <c r="QNN8" s="6"/>
      <c r="QNP8" s="6"/>
      <c r="QNR8" s="6"/>
      <c r="QNT8" s="6"/>
      <c r="QNV8" s="6"/>
      <c r="QNX8" s="6"/>
      <c r="QNZ8" s="6"/>
      <c r="QOB8" s="6"/>
      <c r="QOD8" s="6"/>
      <c r="QOF8" s="6"/>
      <c r="QOH8" s="6"/>
      <c r="QOJ8" s="6"/>
      <c r="QOL8" s="6"/>
      <c r="QON8" s="6"/>
      <c r="QOP8" s="6"/>
      <c r="QOR8" s="6"/>
      <c r="QOT8" s="6"/>
      <c r="QOV8" s="6"/>
      <c r="QOX8" s="6"/>
      <c r="QOZ8" s="6"/>
      <c r="QPB8" s="6"/>
      <c r="QPD8" s="6"/>
      <c r="QPF8" s="6"/>
      <c r="QPH8" s="6"/>
      <c r="QPJ8" s="6"/>
      <c r="QPL8" s="6"/>
      <c r="QPN8" s="6"/>
      <c r="QPP8" s="6"/>
      <c r="QPR8" s="6"/>
      <c r="QPT8" s="6"/>
      <c r="QPV8" s="6"/>
      <c r="QPX8" s="6"/>
      <c r="QPZ8" s="6"/>
      <c r="QQB8" s="6"/>
      <c r="QQD8" s="6"/>
      <c r="QQF8" s="6"/>
      <c r="QQH8" s="6"/>
      <c r="QQJ8" s="6"/>
      <c r="QQL8" s="6"/>
      <c r="QQN8" s="6"/>
      <c r="QQP8" s="6"/>
      <c r="QQR8" s="6"/>
      <c r="QQT8" s="6"/>
      <c r="QQV8" s="6"/>
      <c r="QQX8" s="6"/>
      <c r="QQZ8" s="6"/>
      <c r="QRB8" s="6"/>
      <c r="QRD8" s="6"/>
      <c r="QRF8" s="6"/>
      <c r="QRH8" s="6"/>
      <c r="QRJ8" s="6"/>
      <c r="QRL8" s="6"/>
      <c r="QRN8" s="6"/>
      <c r="QRP8" s="6"/>
      <c r="QRR8" s="6"/>
      <c r="QRT8" s="6"/>
      <c r="QRV8" s="6"/>
      <c r="QRX8" s="6"/>
      <c r="QRZ8" s="6"/>
      <c r="QSB8" s="6"/>
      <c r="QSD8" s="6"/>
      <c r="QSF8" s="6"/>
      <c r="QSH8" s="6"/>
      <c r="QSJ8" s="6"/>
      <c r="QSL8" s="6"/>
      <c r="QSN8" s="6"/>
      <c r="QSP8" s="6"/>
      <c r="QSR8" s="6"/>
      <c r="QST8" s="6"/>
      <c r="QSV8" s="6"/>
      <c r="QSX8" s="6"/>
      <c r="QSZ8" s="6"/>
      <c r="QTB8" s="6"/>
      <c r="QTD8" s="6"/>
      <c r="QTF8" s="6"/>
      <c r="QTH8" s="6"/>
      <c r="QTJ8" s="6"/>
      <c r="QTL8" s="6"/>
      <c r="QTN8" s="6"/>
      <c r="QTP8" s="6"/>
      <c r="QTR8" s="6"/>
      <c r="QTT8" s="6"/>
      <c r="QTV8" s="6"/>
      <c r="QTX8" s="6"/>
      <c r="QTZ8" s="6"/>
      <c r="QUB8" s="6"/>
      <c r="QUD8" s="6"/>
      <c r="QUF8" s="6"/>
      <c r="QUH8" s="6"/>
      <c r="QUJ8" s="6"/>
      <c r="QUL8" s="6"/>
      <c r="QUN8" s="6"/>
      <c r="QUP8" s="6"/>
      <c r="QUR8" s="6"/>
      <c r="QUT8" s="6"/>
      <c r="QUV8" s="6"/>
      <c r="QUX8" s="6"/>
      <c r="QUZ8" s="6"/>
      <c r="QVB8" s="6"/>
      <c r="QVD8" s="6"/>
      <c r="QVF8" s="6"/>
      <c r="QVH8" s="6"/>
      <c r="QVJ8" s="6"/>
      <c r="QVL8" s="6"/>
      <c r="QVN8" s="6"/>
      <c r="QVP8" s="6"/>
      <c r="QVR8" s="6"/>
      <c r="QVT8" s="6"/>
      <c r="QVV8" s="6"/>
      <c r="QVX8" s="6"/>
      <c r="QVZ8" s="6"/>
      <c r="QWB8" s="6"/>
      <c r="QWD8" s="6"/>
      <c r="QWF8" s="6"/>
      <c r="QWH8" s="6"/>
      <c r="QWJ8" s="6"/>
      <c r="QWL8" s="6"/>
      <c r="QWN8" s="6"/>
      <c r="QWP8" s="6"/>
      <c r="QWR8" s="6"/>
      <c r="QWT8" s="6"/>
      <c r="QWV8" s="6"/>
      <c r="QWX8" s="6"/>
      <c r="QWZ8" s="6"/>
      <c r="QXB8" s="6"/>
      <c r="QXD8" s="6"/>
      <c r="QXF8" s="6"/>
      <c r="QXH8" s="6"/>
      <c r="QXJ8" s="6"/>
      <c r="QXL8" s="6"/>
      <c r="QXN8" s="6"/>
      <c r="QXP8" s="6"/>
      <c r="QXR8" s="6"/>
      <c r="QXT8" s="6"/>
      <c r="QXV8" s="6"/>
      <c r="QXX8" s="6"/>
      <c r="QXZ8" s="6"/>
      <c r="QYB8" s="6"/>
      <c r="QYD8" s="6"/>
      <c r="QYF8" s="6"/>
      <c r="QYH8" s="6"/>
      <c r="QYJ8" s="6"/>
      <c r="QYL8" s="6"/>
      <c r="QYN8" s="6"/>
      <c r="QYP8" s="6"/>
      <c r="QYR8" s="6"/>
      <c r="QYT8" s="6"/>
      <c r="QYV8" s="6"/>
      <c r="QYX8" s="6"/>
      <c r="QYZ8" s="6"/>
      <c r="QZB8" s="6"/>
      <c r="QZD8" s="6"/>
      <c r="QZF8" s="6"/>
      <c r="QZH8" s="6"/>
      <c r="QZJ8" s="6"/>
      <c r="QZL8" s="6"/>
      <c r="QZN8" s="6"/>
      <c r="QZP8" s="6"/>
      <c r="QZR8" s="6"/>
      <c r="QZT8" s="6"/>
      <c r="QZV8" s="6"/>
      <c r="QZX8" s="6"/>
      <c r="QZZ8" s="6"/>
      <c r="RAB8" s="6"/>
      <c r="RAD8" s="6"/>
      <c r="RAF8" s="6"/>
      <c r="RAH8" s="6"/>
      <c r="RAJ8" s="6"/>
      <c r="RAL8" s="6"/>
      <c r="RAN8" s="6"/>
      <c r="RAP8" s="6"/>
      <c r="RAR8" s="6"/>
      <c r="RAT8" s="6"/>
      <c r="RAV8" s="6"/>
      <c r="RAX8" s="6"/>
      <c r="RAZ8" s="6"/>
      <c r="RBB8" s="6"/>
      <c r="RBD8" s="6"/>
      <c r="RBF8" s="6"/>
      <c r="RBH8" s="6"/>
      <c r="RBJ8" s="6"/>
      <c r="RBL8" s="6"/>
      <c r="RBN8" s="6"/>
      <c r="RBP8" s="6"/>
      <c r="RBR8" s="6"/>
      <c r="RBT8" s="6"/>
      <c r="RBV8" s="6"/>
      <c r="RBX8" s="6"/>
      <c r="RBZ8" s="6"/>
      <c r="RCB8" s="6"/>
      <c r="RCD8" s="6"/>
      <c r="RCF8" s="6"/>
      <c r="RCH8" s="6"/>
      <c r="RCJ8" s="6"/>
      <c r="RCL8" s="6"/>
      <c r="RCN8" s="6"/>
      <c r="RCP8" s="6"/>
      <c r="RCR8" s="6"/>
      <c r="RCT8" s="6"/>
      <c r="RCV8" s="6"/>
      <c r="RCX8" s="6"/>
      <c r="RCZ8" s="6"/>
      <c r="RDB8" s="6"/>
      <c r="RDD8" s="6"/>
      <c r="RDF8" s="6"/>
      <c r="RDH8" s="6"/>
      <c r="RDJ8" s="6"/>
      <c r="RDL8" s="6"/>
      <c r="RDN8" s="6"/>
      <c r="RDP8" s="6"/>
      <c r="RDR8" s="6"/>
      <c r="RDT8" s="6"/>
      <c r="RDV8" s="6"/>
      <c r="RDX8" s="6"/>
      <c r="RDZ8" s="6"/>
      <c r="REB8" s="6"/>
      <c r="RED8" s="6"/>
      <c r="REF8" s="6"/>
      <c r="REH8" s="6"/>
      <c r="REJ8" s="6"/>
      <c r="REL8" s="6"/>
      <c r="REN8" s="6"/>
      <c r="REP8" s="6"/>
      <c r="RER8" s="6"/>
      <c r="RET8" s="6"/>
      <c r="REV8" s="6"/>
      <c r="REX8" s="6"/>
      <c r="REZ8" s="6"/>
      <c r="RFB8" s="6"/>
      <c r="RFD8" s="6"/>
      <c r="RFF8" s="6"/>
      <c r="RFH8" s="6"/>
      <c r="RFJ8" s="6"/>
      <c r="RFL8" s="6"/>
      <c r="RFN8" s="6"/>
      <c r="RFP8" s="6"/>
      <c r="RFR8" s="6"/>
      <c r="RFT8" s="6"/>
      <c r="RFV8" s="6"/>
      <c r="RFX8" s="6"/>
      <c r="RFZ8" s="6"/>
      <c r="RGB8" s="6"/>
      <c r="RGD8" s="6"/>
      <c r="RGF8" s="6"/>
      <c r="RGH8" s="6"/>
      <c r="RGJ8" s="6"/>
      <c r="RGL8" s="6"/>
      <c r="RGN8" s="6"/>
      <c r="RGP8" s="6"/>
      <c r="RGR8" s="6"/>
      <c r="RGT8" s="6"/>
      <c r="RGV8" s="6"/>
      <c r="RGX8" s="6"/>
      <c r="RGZ8" s="6"/>
      <c r="RHB8" s="6"/>
      <c r="RHD8" s="6"/>
      <c r="RHF8" s="6"/>
      <c r="RHH8" s="6"/>
      <c r="RHJ8" s="6"/>
      <c r="RHL8" s="6"/>
      <c r="RHN8" s="6"/>
      <c r="RHP8" s="6"/>
      <c r="RHR8" s="6"/>
      <c r="RHT8" s="6"/>
      <c r="RHV8" s="6"/>
      <c r="RHX8" s="6"/>
      <c r="RHZ8" s="6"/>
      <c r="RIB8" s="6"/>
      <c r="RID8" s="6"/>
      <c r="RIF8" s="6"/>
      <c r="RIH8" s="6"/>
      <c r="RIJ8" s="6"/>
      <c r="RIL8" s="6"/>
      <c r="RIN8" s="6"/>
      <c r="RIP8" s="6"/>
      <c r="RIR8" s="6"/>
      <c r="RIT8" s="6"/>
      <c r="RIV8" s="6"/>
      <c r="RIX8" s="6"/>
      <c r="RIZ8" s="6"/>
      <c r="RJB8" s="6"/>
      <c r="RJD8" s="6"/>
      <c r="RJF8" s="6"/>
      <c r="RJH8" s="6"/>
      <c r="RJJ8" s="6"/>
      <c r="RJL8" s="6"/>
      <c r="RJN8" s="6"/>
      <c r="RJP8" s="6"/>
      <c r="RJR8" s="6"/>
      <c r="RJT8" s="6"/>
      <c r="RJV8" s="6"/>
      <c r="RJX8" s="6"/>
      <c r="RJZ8" s="6"/>
      <c r="RKB8" s="6"/>
      <c r="RKD8" s="6"/>
      <c r="RKF8" s="6"/>
      <c r="RKH8" s="6"/>
      <c r="RKJ8" s="6"/>
      <c r="RKL8" s="6"/>
      <c r="RKN8" s="6"/>
      <c r="RKP8" s="6"/>
      <c r="RKR8" s="6"/>
      <c r="RKT8" s="6"/>
      <c r="RKV8" s="6"/>
      <c r="RKX8" s="6"/>
      <c r="RKZ8" s="6"/>
      <c r="RLB8" s="6"/>
      <c r="RLD8" s="6"/>
      <c r="RLF8" s="6"/>
      <c r="RLH8" s="6"/>
      <c r="RLJ8" s="6"/>
      <c r="RLL8" s="6"/>
      <c r="RLN8" s="6"/>
      <c r="RLP8" s="6"/>
      <c r="RLR8" s="6"/>
      <c r="RLT8" s="6"/>
      <c r="RLV8" s="6"/>
      <c r="RLX8" s="6"/>
      <c r="RLZ8" s="6"/>
      <c r="RMB8" s="6"/>
      <c r="RMD8" s="6"/>
      <c r="RMF8" s="6"/>
      <c r="RMH8" s="6"/>
      <c r="RMJ8" s="6"/>
      <c r="RML8" s="6"/>
      <c r="RMN8" s="6"/>
      <c r="RMP8" s="6"/>
      <c r="RMR8" s="6"/>
      <c r="RMT8" s="6"/>
      <c r="RMV8" s="6"/>
      <c r="RMX8" s="6"/>
      <c r="RMZ8" s="6"/>
      <c r="RNB8" s="6"/>
      <c r="RND8" s="6"/>
      <c r="RNF8" s="6"/>
      <c r="RNH8" s="6"/>
      <c r="RNJ8" s="6"/>
      <c r="RNL8" s="6"/>
      <c r="RNN8" s="6"/>
      <c r="RNP8" s="6"/>
      <c r="RNR8" s="6"/>
      <c r="RNT8" s="6"/>
      <c r="RNV8" s="6"/>
      <c r="RNX8" s="6"/>
      <c r="RNZ8" s="6"/>
      <c r="ROB8" s="6"/>
      <c r="ROD8" s="6"/>
      <c r="ROF8" s="6"/>
      <c r="ROH8" s="6"/>
      <c r="ROJ8" s="6"/>
      <c r="ROL8" s="6"/>
      <c r="RON8" s="6"/>
      <c r="ROP8" s="6"/>
      <c r="ROR8" s="6"/>
      <c r="ROT8" s="6"/>
      <c r="ROV8" s="6"/>
      <c r="ROX8" s="6"/>
      <c r="ROZ8" s="6"/>
      <c r="RPB8" s="6"/>
      <c r="RPD8" s="6"/>
      <c r="RPF8" s="6"/>
      <c r="RPH8" s="6"/>
      <c r="RPJ8" s="6"/>
      <c r="RPL8" s="6"/>
      <c r="RPN8" s="6"/>
      <c r="RPP8" s="6"/>
      <c r="RPR8" s="6"/>
      <c r="RPT8" s="6"/>
      <c r="RPV8" s="6"/>
      <c r="RPX8" s="6"/>
      <c r="RPZ8" s="6"/>
      <c r="RQB8" s="6"/>
      <c r="RQD8" s="6"/>
      <c r="RQF8" s="6"/>
      <c r="RQH8" s="6"/>
      <c r="RQJ8" s="6"/>
      <c r="RQL8" s="6"/>
      <c r="RQN8" s="6"/>
      <c r="RQP8" s="6"/>
      <c r="RQR8" s="6"/>
      <c r="RQT8" s="6"/>
      <c r="RQV8" s="6"/>
      <c r="RQX8" s="6"/>
      <c r="RQZ8" s="6"/>
      <c r="RRB8" s="6"/>
      <c r="RRD8" s="6"/>
      <c r="RRF8" s="6"/>
      <c r="RRH8" s="6"/>
      <c r="RRJ8" s="6"/>
      <c r="RRL8" s="6"/>
      <c r="RRN8" s="6"/>
      <c r="RRP8" s="6"/>
      <c r="RRR8" s="6"/>
      <c r="RRT8" s="6"/>
      <c r="RRV8" s="6"/>
      <c r="RRX8" s="6"/>
      <c r="RRZ8" s="6"/>
      <c r="RSB8" s="6"/>
      <c r="RSD8" s="6"/>
      <c r="RSF8" s="6"/>
      <c r="RSH8" s="6"/>
      <c r="RSJ8" s="6"/>
      <c r="RSL8" s="6"/>
      <c r="RSN8" s="6"/>
      <c r="RSP8" s="6"/>
      <c r="RSR8" s="6"/>
      <c r="RST8" s="6"/>
      <c r="RSV8" s="6"/>
      <c r="RSX8" s="6"/>
      <c r="RSZ8" s="6"/>
      <c r="RTB8" s="6"/>
      <c r="RTD8" s="6"/>
      <c r="RTF8" s="6"/>
      <c r="RTH8" s="6"/>
      <c r="RTJ8" s="6"/>
      <c r="RTL8" s="6"/>
      <c r="RTN8" s="6"/>
      <c r="RTP8" s="6"/>
      <c r="RTR8" s="6"/>
      <c r="RTT8" s="6"/>
      <c r="RTV8" s="6"/>
      <c r="RTX8" s="6"/>
      <c r="RTZ8" s="6"/>
      <c r="RUB8" s="6"/>
      <c r="RUD8" s="6"/>
      <c r="RUF8" s="6"/>
      <c r="RUH8" s="6"/>
      <c r="RUJ8" s="6"/>
      <c r="RUL8" s="6"/>
      <c r="RUN8" s="6"/>
      <c r="RUP8" s="6"/>
      <c r="RUR8" s="6"/>
      <c r="RUT8" s="6"/>
      <c r="RUV8" s="6"/>
      <c r="RUX8" s="6"/>
      <c r="RUZ8" s="6"/>
      <c r="RVB8" s="6"/>
      <c r="RVD8" s="6"/>
      <c r="RVF8" s="6"/>
      <c r="RVH8" s="6"/>
      <c r="RVJ8" s="6"/>
      <c r="RVL8" s="6"/>
      <c r="RVN8" s="6"/>
      <c r="RVP8" s="6"/>
      <c r="RVR8" s="6"/>
      <c r="RVT8" s="6"/>
      <c r="RVV8" s="6"/>
      <c r="RVX8" s="6"/>
      <c r="RVZ8" s="6"/>
      <c r="RWB8" s="6"/>
      <c r="RWD8" s="6"/>
      <c r="RWF8" s="6"/>
      <c r="RWH8" s="6"/>
      <c r="RWJ8" s="6"/>
      <c r="RWL8" s="6"/>
      <c r="RWN8" s="6"/>
      <c r="RWP8" s="6"/>
      <c r="RWR8" s="6"/>
      <c r="RWT8" s="6"/>
      <c r="RWV8" s="6"/>
      <c r="RWX8" s="6"/>
      <c r="RWZ8" s="6"/>
      <c r="RXB8" s="6"/>
      <c r="RXD8" s="6"/>
      <c r="RXF8" s="6"/>
      <c r="RXH8" s="6"/>
      <c r="RXJ8" s="6"/>
      <c r="RXL8" s="6"/>
      <c r="RXN8" s="6"/>
      <c r="RXP8" s="6"/>
      <c r="RXR8" s="6"/>
      <c r="RXT8" s="6"/>
      <c r="RXV8" s="6"/>
      <c r="RXX8" s="6"/>
      <c r="RXZ8" s="6"/>
      <c r="RYB8" s="6"/>
      <c r="RYD8" s="6"/>
      <c r="RYF8" s="6"/>
      <c r="RYH8" s="6"/>
      <c r="RYJ8" s="6"/>
      <c r="RYL8" s="6"/>
      <c r="RYN8" s="6"/>
      <c r="RYP8" s="6"/>
      <c r="RYR8" s="6"/>
      <c r="RYT8" s="6"/>
      <c r="RYV8" s="6"/>
      <c r="RYX8" s="6"/>
      <c r="RYZ8" s="6"/>
      <c r="RZB8" s="6"/>
      <c r="RZD8" s="6"/>
      <c r="RZF8" s="6"/>
      <c r="RZH8" s="6"/>
      <c r="RZJ8" s="6"/>
      <c r="RZL8" s="6"/>
      <c r="RZN8" s="6"/>
      <c r="RZP8" s="6"/>
      <c r="RZR8" s="6"/>
      <c r="RZT8" s="6"/>
      <c r="RZV8" s="6"/>
      <c r="RZX8" s="6"/>
      <c r="RZZ8" s="6"/>
      <c r="SAB8" s="6"/>
      <c r="SAD8" s="6"/>
      <c r="SAF8" s="6"/>
      <c r="SAH8" s="6"/>
      <c r="SAJ8" s="6"/>
      <c r="SAL8" s="6"/>
      <c r="SAN8" s="6"/>
      <c r="SAP8" s="6"/>
      <c r="SAR8" s="6"/>
      <c r="SAT8" s="6"/>
      <c r="SAV8" s="6"/>
      <c r="SAX8" s="6"/>
      <c r="SAZ8" s="6"/>
      <c r="SBB8" s="6"/>
      <c r="SBD8" s="6"/>
      <c r="SBF8" s="6"/>
      <c r="SBH8" s="6"/>
      <c r="SBJ8" s="6"/>
      <c r="SBL8" s="6"/>
      <c r="SBN8" s="6"/>
      <c r="SBP8" s="6"/>
      <c r="SBR8" s="6"/>
      <c r="SBT8" s="6"/>
      <c r="SBV8" s="6"/>
      <c r="SBX8" s="6"/>
      <c r="SBZ8" s="6"/>
      <c r="SCB8" s="6"/>
      <c r="SCD8" s="6"/>
      <c r="SCF8" s="6"/>
      <c r="SCH8" s="6"/>
      <c r="SCJ8" s="6"/>
      <c r="SCL8" s="6"/>
      <c r="SCN8" s="6"/>
      <c r="SCP8" s="6"/>
      <c r="SCR8" s="6"/>
      <c r="SCT8" s="6"/>
      <c r="SCV8" s="6"/>
      <c r="SCX8" s="6"/>
      <c r="SCZ8" s="6"/>
      <c r="SDB8" s="6"/>
      <c r="SDD8" s="6"/>
      <c r="SDF8" s="6"/>
      <c r="SDH8" s="6"/>
      <c r="SDJ8" s="6"/>
      <c r="SDL8" s="6"/>
      <c r="SDN8" s="6"/>
      <c r="SDP8" s="6"/>
      <c r="SDR8" s="6"/>
      <c r="SDT8" s="6"/>
      <c r="SDV8" s="6"/>
      <c r="SDX8" s="6"/>
      <c r="SDZ8" s="6"/>
      <c r="SEB8" s="6"/>
      <c r="SED8" s="6"/>
      <c r="SEF8" s="6"/>
      <c r="SEH8" s="6"/>
      <c r="SEJ8" s="6"/>
      <c r="SEL8" s="6"/>
      <c r="SEN8" s="6"/>
      <c r="SEP8" s="6"/>
      <c r="SER8" s="6"/>
      <c r="SET8" s="6"/>
      <c r="SEV8" s="6"/>
      <c r="SEX8" s="6"/>
      <c r="SEZ8" s="6"/>
      <c r="SFB8" s="6"/>
      <c r="SFD8" s="6"/>
      <c r="SFF8" s="6"/>
      <c r="SFH8" s="6"/>
      <c r="SFJ8" s="6"/>
      <c r="SFL8" s="6"/>
      <c r="SFN8" s="6"/>
      <c r="SFP8" s="6"/>
      <c r="SFR8" s="6"/>
      <c r="SFT8" s="6"/>
      <c r="SFV8" s="6"/>
      <c r="SFX8" s="6"/>
      <c r="SFZ8" s="6"/>
      <c r="SGB8" s="6"/>
      <c r="SGD8" s="6"/>
      <c r="SGF8" s="6"/>
      <c r="SGH8" s="6"/>
      <c r="SGJ8" s="6"/>
      <c r="SGL8" s="6"/>
      <c r="SGN8" s="6"/>
      <c r="SGP8" s="6"/>
      <c r="SGR8" s="6"/>
      <c r="SGT8" s="6"/>
      <c r="SGV8" s="6"/>
      <c r="SGX8" s="6"/>
      <c r="SGZ8" s="6"/>
      <c r="SHB8" s="6"/>
      <c r="SHD8" s="6"/>
      <c r="SHF8" s="6"/>
      <c r="SHH8" s="6"/>
      <c r="SHJ8" s="6"/>
      <c r="SHL8" s="6"/>
      <c r="SHN8" s="6"/>
      <c r="SHP8" s="6"/>
      <c r="SHR8" s="6"/>
      <c r="SHT8" s="6"/>
      <c r="SHV8" s="6"/>
      <c r="SHX8" s="6"/>
      <c r="SHZ8" s="6"/>
      <c r="SIB8" s="6"/>
      <c r="SID8" s="6"/>
      <c r="SIF8" s="6"/>
      <c r="SIH8" s="6"/>
      <c r="SIJ8" s="6"/>
      <c r="SIL8" s="6"/>
      <c r="SIN8" s="6"/>
      <c r="SIP8" s="6"/>
      <c r="SIR8" s="6"/>
      <c r="SIT8" s="6"/>
      <c r="SIV8" s="6"/>
      <c r="SIX8" s="6"/>
      <c r="SIZ8" s="6"/>
      <c r="SJB8" s="6"/>
      <c r="SJD8" s="6"/>
      <c r="SJF8" s="6"/>
      <c r="SJH8" s="6"/>
      <c r="SJJ8" s="6"/>
      <c r="SJL8" s="6"/>
      <c r="SJN8" s="6"/>
      <c r="SJP8" s="6"/>
      <c r="SJR8" s="6"/>
      <c r="SJT8" s="6"/>
      <c r="SJV8" s="6"/>
      <c r="SJX8" s="6"/>
      <c r="SJZ8" s="6"/>
      <c r="SKB8" s="6"/>
      <c r="SKD8" s="6"/>
      <c r="SKF8" s="6"/>
      <c r="SKH8" s="6"/>
      <c r="SKJ8" s="6"/>
      <c r="SKL8" s="6"/>
      <c r="SKN8" s="6"/>
      <c r="SKP8" s="6"/>
      <c r="SKR8" s="6"/>
      <c r="SKT8" s="6"/>
      <c r="SKV8" s="6"/>
      <c r="SKX8" s="6"/>
      <c r="SKZ8" s="6"/>
      <c r="SLB8" s="6"/>
      <c r="SLD8" s="6"/>
      <c r="SLF8" s="6"/>
      <c r="SLH8" s="6"/>
      <c r="SLJ8" s="6"/>
      <c r="SLL8" s="6"/>
      <c r="SLN8" s="6"/>
      <c r="SLP8" s="6"/>
      <c r="SLR8" s="6"/>
      <c r="SLT8" s="6"/>
      <c r="SLV8" s="6"/>
      <c r="SLX8" s="6"/>
      <c r="SLZ8" s="6"/>
      <c r="SMB8" s="6"/>
      <c r="SMD8" s="6"/>
      <c r="SMF8" s="6"/>
      <c r="SMH8" s="6"/>
      <c r="SMJ8" s="6"/>
      <c r="SML8" s="6"/>
      <c r="SMN8" s="6"/>
      <c r="SMP8" s="6"/>
      <c r="SMR8" s="6"/>
      <c r="SMT8" s="6"/>
      <c r="SMV8" s="6"/>
      <c r="SMX8" s="6"/>
      <c r="SMZ8" s="6"/>
      <c r="SNB8" s="6"/>
      <c r="SND8" s="6"/>
      <c r="SNF8" s="6"/>
      <c r="SNH8" s="6"/>
      <c r="SNJ8" s="6"/>
      <c r="SNL8" s="6"/>
      <c r="SNN8" s="6"/>
      <c r="SNP8" s="6"/>
      <c r="SNR8" s="6"/>
      <c r="SNT8" s="6"/>
      <c r="SNV8" s="6"/>
      <c r="SNX8" s="6"/>
      <c r="SNZ8" s="6"/>
      <c r="SOB8" s="6"/>
      <c r="SOD8" s="6"/>
      <c r="SOF8" s="6"/>
      <c r="SOH8" s="6"/>
      <c r="SOJ8" s="6"/>
      <c r="SOL8" s="6"/>
      <c r="SON8" s="6"/>
      <c r="SOP8" s="6"/>
      <c r="SOR8" s="6"/>
      <c r="SOT8" s="6"/>
      <c r="SOV8" s="6"/>
      <c r="SOX8" s="6"/>
      <c r="SOZ8" s="6"/>
      <c r="SPB8" s="6"/>
      <c r="SPD8" s="6"/>
      <c r="SPF8" s="6"/>
      <c r="SPH8" s="6"/>
      <c r="SPJ8" s="6"/>
      <c r="SPL8" s="6"/>
      <c r="SPN8" s="6"/>
      <c r="SPP8" s="6"/>
      <c r="SPR8" s="6"/>
      <c r="SPT8" s="6"/>
      <c r="SPV8" s="6"/>
      <c r="SPX8" s="6"/>
      <c r="SPZ8" s="6"/>
      <c r="SQB8" s="6"/>
      <c r="SQD8" s="6"/>
      <c r="SQF8" s="6"/>
      <c r="SQH8" s="6"/>
      <c r="SQJ8" s="6"/>
      <c r="SQL8" s="6"/>
      <c r="SQN8" s="6"/>
      <c r="SQP8" s="6"/>
      <c r="SQR8" s="6"/>
      <c r="SQT8" s="6"/>
      <c r="SQV8" s="6"/>
      <c r="SQX8" s="6"/>
      <c r="SQZ8" s="6"/>
      <c r="SRB8" s="6"/>
      <c r="SRD8" s="6"/>
      <c r="SRF8" s="6"/>
      <c r="SRH8" s="6"/>
      <c r="SRJ8" s="6"/>
      <c r="SRL8" s="6"/>
      <c r="SRN8" s="6"/>
      <c r="SRP8" s="6"/>
      <c r="SRR8" s="6"/>
      <c r="SRT8" s="6"/>
      <c r="SRV8" s="6"/>
      <c r="SRX8" s="6"/>
      <c r="SRZ8" s="6"/>
      <c r="SSB8" s="6"/>
      <c r="SSD8" s="6"/>
      <c r="SSF8" s="6"/>
      <c r="SSH8" s="6"/>
      <c r="SSJ8" s="6"/>
      <c r="SSL8" s="6"/>
      <c r="SSN8" s="6"/>
      <c r="SSP8" s="6"/>
      <c r="SSR8" s="6"/>
      <c r="SST8" s="6"/>
      <c r="SSV8" s="6"/>
      <c r="SSX8" s="6"/>
      <c r="SSZ8" s="6"/>
      <c r="STB8" s="6"/>
      <c r="STD8" s="6"/>
      <c r="STF8" s="6"/>
      <c r="STH8" s="6"/>
      <c r="STJ8" s="6"/>
      <c r="STL8" s="6"/>
      <c r="STN8" s="6"/>
      <c r="STP8" s="6"/>
      <c r="STR8" s="6"/>
      <c r="STT8" s="6"/>
      <c r="STV8" s="6"/>
      <c r="STX8" s="6"/>
      <c r="STZ8" s="6"/>
      <c r="SUB8" s="6"/>
      <c r="SUD8" s="6"/>
      <c r="SUF8" s="6"/>
      <c r="SUH8" s="6"/>
      <c r="SUJ8" s="6"/>
      <c r="SUL8" s="6"/>
      <c r="SUN8" s="6"/>
      <c r="SUP8" s="6"/>
      <c r="SUR8" s="6"/>
      <c r="SUT8" s="6"/>
      <c r="SUV8" s="6"/>
      <c r="SUX8" s="6"/>
      <c r="SUZ8" s="6"/>
      <c r="SVB8" s="6"/>
      <c r="SVD8" s="6"/>
      <c r="SVF8" s="6"/>
      <c r="SVH8" s="6"/>
      <c r="SVJ8" s="6"/>
      <c r="SVL8" s="6"/>
      <c r="SVN8" s="6"/>
      <c r="SVP8" s="6"/>
      <c r="SVR8" s="6"/>
      <c r="SVT8" s="6"/>
      <c r="SVV8" s="6"/>
      <c r="SVX8" s="6"/>
      <c r="SVZ8" s="6"/>
      <c r="SWB8" s="6"/>
      <c r="SWD8" s="6"/>
      <c r="SWF8" s="6"/>
      <c r="SWH8" s="6"/>
      <c r="SWJ8" s="6"/>
      <c r="SWL8" s="6"/>
      <c r="SWN8" s="6"/>
      <c r="SWP8" s="6"/>
      <c r="SWR8" s="6"/>
      <c r="SWT8" s="6"/>
      <c r="SWV8" s="6"/>
      <c r="SWX8" s="6"/>
      <c r="SWZ8" s="6"/>
      <c r="SXB8" s="6"/>
      <c r="SXD8" s="6"/>
      <c r="SXF8" s="6"/>
      <c r="SXH8" s="6"/>
      <c r="SXJ8" s="6"/>
      <c r="SXL8" s="6"/>
      <c r="SXN8" s="6"/>
      <c r="SXP8" s="6"/>
      <c r="SXR8" s="6"/>
      <c r="SXT8" s="6"/>
      <c r="SXV8" s="6"/>
      <c r="SXX8" s="6"/>
      <c r="SXZ8" s="6"/>
      <c r="SYB8" s="6"/>
      <c r="SYD8" s="6"/>
      <c r="SYF8" s="6"/>
      <c r="SYH8" s="6"/>
      <c r="SYJ8" s="6"/>
      <c r="SYL8" s="6"/>
      <c r="SYN8" s="6"/>
      <c r="SYP8" s="6"/>
      <c r="SYR8" s="6"/>
      <c r="SYT8" s="6"/>
      <c r="SYV8" s="6"/>
      <c r="SYX8" s="6"/>
      <c r="SYZ8" s="6"/>
      <c r="SZB8" s="6"/>
      <c r="SZD8" s="6"/>
      <c r="SZF8" s="6"/>
      <c r="SZH8" s="6"/>
      <c r="SZJ8" s="6"/>
      <c r="SZL8" s="6"/>
      <c r="SZN8" s="6"/>
      <c r="SZP8" s="6"/>
      <c r="SZR8" s="6"/>
      <c r="SZT8" s="6"/>
      <c r="SZV8" s="6"/>
      <c r="SZX8" s="6"/>
      <c r="SZZ8" s="6"/>
      <c r="TAB8" s="6"/>
      <c r="TAD8" s="6"/>
      <c r="TAF8" s="6"/>
      <c r="TAH8" s="6"/>
      <c r="TAJ8" s="6"/>
      <c r="TAL8" s="6"/>
      <c r="TAN8" s="6"/>
      <c r="TAP8" s="6"/>
      <c r="TAR8" s="6"/>
      <c r="TAT8" s="6"/>
      <c r="TAV8" s="6"/>
      <c r="TAX8" s="6"/>
      <c r="TAZ8" s="6"/>
      <c r="TBB8" s="6"/>
      <c r="TBD8" s="6"/>
      <c r="TBF8" s="6"/>
      <c r="TBH8" s="6"/>
      <c r="TBJ8" s="6"/>
      <c r="TBL8" s="6"/>
      <c r="TBN8" s="6"/>
      <c r="TBP8" s="6"/>
      <c r="TBR8" s="6"/>
      <c r="TBT8" s="6"/>
      <c r="TBV8" s="6"/>
      <c r="TBX8" s="6"/>
      <c r="TBZ8" s="6"/>
      <c r="TCB8" s="6"/>
      <c r="TCD8" s="6"/>
      <c r="TCF8" s="6"/>
      <c r="TCH8" s="6"/>
      <c r="TCJ8" s="6"/>
      <c r="TCL8" s="6"/>
      <c r="TCN8" s="6"/>
      <c r="TCP8" s="6"/>
      <c r="TCR8" s="6"/>
      <c r="TCT8" s="6"/>
      <c r="TCV8" s="6"/>
      <c r="TCX8" s="6"/>
      <c r="TCZ8" s="6"/>
      <c r="TDB8" s="6"/>
      <c r="TDD8" s="6"/>
      <c r="TDF8" s="6"/>
      <c r="TDH8" s="6"/>
      <c r="TDJ8" s="6"/>
      <c r="TDL8" s="6"/>
      <c r="TDN8" s="6"/>
      <c r="TDP8" s="6"/>
      <c r="TDR8" s="6"/>
      <c r="TDT8" s="6"/>
      <c r="TDV8" s="6"/>
      <c r="TDX8" s="6"/>
      <c r="TDZ8" s="6"/>
      <c r="TEB8" s="6"/>
      <c r="TED8" s="6"/>
      <c r="TEF8" s="6"/>
      <c r="TEH8" s="6"/>
      <c r="TEJ8" s="6"/>
      <c r="TEL8" s="6"/>
      <c r="TEN8" s="6"/>
      <c r="TEP8" s="6"/>
      <c r="TER8" s="6"/>
      <c r="TET8" s="6"/>
      <c r="TEV8" s="6"/>
      <c r="TEX8" s="6"/>
      <c r="TEZ8" s="6"/>
      <c r="TFB8" s="6"/>
      <c r="TFD8" s="6"/>
      <c r="TFF8" s="6"/>
      <c r="TFH8" s="6"/>
      <c r="TFJ8" s="6"/>
      <c r="TFL8" s="6"/>
      <c r="TFN8" s="6"/>
      <c r="TFP8" s="6"/>
      <c r="TFR8" s="6"/>
      <c r="TFT8" s="6"/>
      <c r="TFV8" s="6"/>
      <c r="TFX8" s="6"/>
      <c r="TFZ8" s="6"/>
      <c r="TGB8" s="6"/>
      <c r="TGD8" s="6"/>
      <c r="TGF8" s="6"/>
      <c r="TGH8" s="6"/>
      <c r="TGJ8" s="6"/>
      <c r="TGL8" s="6"/>
      <c r="TGN8" s="6"/>
      <c r="TGP8" s="6"/>
      <c r="TGR8" s="6"/>
      <c r="TGT8" s="6"/>
      <c r="TGV8" s="6"/>
      <c r="TGX8" s="6"/>
      <c r="TGZ8" s="6"/>
      <c r="THB8" s="6"/>
      <c r="THD8" s="6"/>
      <c r="THF8" s="6"/>
      <c r="THH8" s="6"/>
      <c r="THJ8" s="6"/>
      <c r="THL8" s="6"/>
      <c r="THN8" s="6"/>
      <c r="THP8" s="6"/>
      <c r="THR8" s="6"/>
      <c r="THT8" s="6"/>
      <c r="THV8" s="6"/>
      <c r="THX8" s="6"/>
      <c r="THZ8" s="6"/>
      <c r="TIB8" s="6"/>
      <c r="TID8" s="6"/>
      <c r="TIF8" s="6"/>
      <c r="TIH8" s="6"/>
      <c r="TIJ8" s="6"/>
      <c r="TIL8" s="6"/>
      <c r="TIN8" s="6"/>
      <c r="TIP8" s="6"/>
      <c r="TIR8" s="6"/>
      <c r="TIT8" s="6"/>
      <c r="TIV8" s="6"/>
      <c r="TIX8" s="6"/>
      <c r="TIZ8" s="6"/>
      <c r="TJB8" s="6"/>
      <c r="TJD8" s="6"/>
      <c r="TJF8" s="6"/>
      <c r="TJH8" s="6"/>
      <c r="TJJ8" s="6"/>
      <c r="TJL8" s="6"/>
      <c r="TJN8" s="6"/>
      <c r="TJP8" s="6"/>
      <c r="TJR8" s="6"/>
      <c r="TJT8" s="6"/>
      <c r="TJV8" s="6"/>
      <c r="TJX8" s="6"/>
      <c r="TJZ8" s="6"/>
      <c r="TKB8" s="6"/>
      <c r="TKD8" s="6"/>
      <c r="TKF8" s="6"/>
      <c r="TKH8" s="6"/>
      <c r="TKJ8" s="6"/>
      <c r="TKL8" s="6"/>
      <c r="TKN8" s="6"/>
      <c r="TKP8" s="6"/>
      <c r="TKR8" s="6"/>
      <c r="TKT8" s="6"/>
      <c r="TKV8" s="6"/>
      <c r="TKX8" s="6"/>
      <c r="TKZ8" s="6"/>
      <c r="TLB8" s="6"/>
      <c r="TLD8" s="6"/>
      <c r="TLF8" s="6"/>
      <c r="TLH8" s="6"/>
      <c r="TLJ8" s="6"/>
      <c r="TLL8" s="6"/>
      <c r="TLN8" s="6"/>
      <c r="TLP8" s="6"/>
      <c r="TLR8" s="6"/>
      <c r="TLT8" s="6"/>
      <c r="TLV8" s="6"/>
      <c r="TLX8" s="6"/>
      <c r="TLZ8" s="6"/>
      <c r="TMB8" s="6"/>
      <c r="TMD8" s="6"/>
      <c r="TMF8" s="6"/>
      <c r="TMH8" s="6"/>
      <c r="TMJ8" s="6"/>
      <c r="TML8" s="6"/>
      <c r="TMN8" s="6"/>
      <c r="TMP8" s="6"/>
      <c r="TMR8" s="6"/>
      <c r="TMT8" s="6"/>
      <c r="TMV8" s="6"/>
      <c r="TMX8" s="6"/>
      <c r="TMZ8" s="6"/>
      <c r="TNB8" s="6"/>
      <c r="TND8" s="6"/>
      <c r="TNF8" s="6"/>
      <c r="TNH8" s="6"/>
      <c r="TNJ8" s="6"/>
      <c r="TNL8" s="6"/>
      <c r="TNN8" s="6"/>
      <c r="TNP8" s="6"/>
      <c r="TNR8" s="6"/>
      <c r="TNT8" s="6"/>
      <c r="TNV8" s="6"/>
      <c r="TNX8" s="6"/>
      <c r="TNZ8" s="6"/>
      <c r="TOB8" s="6"/>
      <c r="TOD8" s="6"/>
      <c r="TOF8" s="6"/>
      <c r="TOH8" s="6"/>
      <c r="TOJ8" s="6"/>
      <c r="TOL8" s="6"/>
      <c r="TON8" s="6"/>
      <c r="TOP8" s="6"/>
      <c r="TOR8" s="6"/>
      <c r="TOT8" s="6"/>
      <c r="TOV8" s="6"/>
      <c r="TOX8" s="6"/>
      <c r="TOZ8" s="6"/>
      <c r="TPB8" s="6"/>
      <c r="TPD8" s="6"/>
      <c r="TPF8" s="6"/>
      <c r="TPH8" s="6"/>
      <c r="TPJ8" s="6"/>
      <c r="TPL8" s="6"/>
      <c r="TPN8" s="6"/>
      <c r="TPP8" s="6"/>
      <c r="TPR8" s="6"/>
      <c r="TPT8" s="6"/>
      <c r="TPV8" s="6"/>
      <c r="TPX8" s="6"/>
      <c r="TPZ8" s="6"/>
      <c r="TQB8" s="6"/>
      <c r="TQD8" s="6"/>
      <c r="TQF8" s="6"/>
      <c r="TQH8" s="6"/>
      <c r="TQJ8" s="6"/>
      <c r="TQL8" s="6"/>
      <c r="TQN8" s="6"/>
      <c r="TQP8" s="6"/>
      <c r="TQR8" s="6"/>
      <c r="TQT8" s="6"/>
      <c r="TQV8" s="6"/>
      <c r="TQX8" s="6"/>
      <c r="TQZ8" s="6"/>
      <c r="TRB8" s="6"/>
      <c r="TRD8" s="6"/>
      <c r="TRF8" s="6"/>
      <c r="TRH8" s="6"/>
      <c r="TRJ8" s="6"/>
      <c r="TRL8" s="6"/>
      <c r="TRN8" s="6"/>
      <c r="TRP8" s="6"/>
      <c r="TRR8" s="6"/>
      <c r="TRT8" s="6"/>
      <c r="TRV8" s="6"/>
      <c r="TRX8" s="6"/>
      <c r="TRZ8" s="6"/>
      <c r="TSB8" s="6"/>
      <c r="TSD8" s="6"/>
      <c r="TSF8" s="6"/>
      <c r="TSH8" s="6"/>
      <c r="TSJ8" s="6"/>
      <c r="TSL8" s="6"/>
      <c r="TSN8" s="6"/>
      <c r="TSP8" s="6"/>
      <c r="TSR8" s="6"/>
      <c r="TST8" s="6"/>
      <c r="TSV8" s="6"/>
      <c r="TSX8" s="6"/>
      <c r="TSZ8" s="6"/>
      <c r="TTB8" s="6"/>
      <c r="TTD8" s="6"/>
      <c r="TTF8" s="6"/>
      <c r="TTH8" s="6"/>
      <c r="TTJ8" s="6"/>
      <c r="TTL8" s="6"/>
      <c r="TTN8" s="6"/>
      <c r="TTP8" s="6"/>
      <c r="TTR8" s="6"/>
      <c r="TTT8" s="6"/>
      <c r="TTV8" s="6"/>
      <c r="TTX8" s="6"/>
      <c r="TTZ8" s="6"/>
      <c r="TUB8" s="6"/>
      <c r="TUD8" s="6"/>
      <c r="TUF8" s="6"/>
      <c r="TUH8" s="6"/>
      <c r="TUJ8" s="6"/>
      <c r="TUL8" s="6"/>
      <c r="TUN8" s="6"/>
      <c r="TUP8" s="6"/>
      <c r="TUR8" s="6"/>
      <c r="TUT8" s="6"/>
      <c r="TUV8" s="6"/>
      <c r="TUX8" s="6"/>
      <c r="TUZ8" s="6"/>
      <c r="TVB8" s="6"/>
      <c r="TVD8" s="6"/>
      <c r="TVF8" s="6"/>
      <c r="TVH8" s="6"/>
      <c r="TVJ8" s="6"/>
      <c r="TVL8" s="6"/>
      <c r="TVN8" s="6"/>
      <c r="TVP8" s="6"/>
      <c r="TVR8" s="6"/>
      <c r="TVT8" s="6"/>
      <c r="TVV8" s="6"/>
      <c r="TVX8" s="6"/>
      <c r="TVZ8" s="6"/>
      <c r="TWB8" s="6"/>
      <c r="TWD8" s="6"/>
      <c r="TWF8" s="6"/>
      <c r="TWH8" s="6"/>
      <c r="TWJ8" s="6"/>
      <c r="TWL8" s="6"/>
      <c r="TWN8" s="6"/>
      <c r="TWP8" s="6"/>
      <c r="TWR8" s="6"/>
      <c r="TWT8" s="6"/>
      <c r="TWV8" s="6"/>
      <c r="TWX8" s="6"/>
      <c r="TWZ8" s="6"/>
      <c r="TXB8" s="6"/>
      <c r="TXD8" s="6"/>
      <c r="TXF8" s="6"/>
      <c r="TXH8" s="6"/>
      <c r="TXJ8" s="6"/>
      <c r="TXL8" s="6"/>
      <c r="TXN8" s="6"/>
      <c r="TXP8" s="6"/>
      <c r="TXR8" s="6"/>
      <c r="TXT8" s="6"/>
      <c r="TXV8" s="6"/>
      <c r="TXX8" s="6"/>
      <c r="TXZ8" s="6"/>
      <c r="TYB8" s="6"/>
      <c r="TYD8" s="6"/>
      <c r="TYF8" s="6"/>
      <c r="TYH8" s="6"/>
      <c r="TYJ8" s="6"/>
      <c r="TYL8" s="6"/>
      <c r="TYN8" s="6"/>
      <c r="TYP8" s="6"/>
      <c r="TYR8" s="6"/>
      <c r="TYT8" s="6"/>
      <c r="TYV8" s="6"/>
      <c r="TYX8" s="6"/>
      <c r="TYZ8" s="6"/>
      <c r="TZB8" s="6"/>
      <c r="TZD8" s="6"/>
      <c r="TZF8" s="6"/>
      <c r="TZH8" s="6"/>
      <c r="TZJ8" s="6"/>
      <c r="TZL8" s="6"/>
      <c r="TZN8" s="6"/>
      <c r="TZP8" s="6"/>
      <c r="TZR8" s="6"/>
      <c r="TZT8" s="6"/>
      <c r="TZV8" s="6"/>
      <c r="TZX8" s="6"/>
      <c r="TZZ8" s="6"/>
      <c r="UAB8" s="6"/>
      <c r="UAD8" s="6"/>
      <c r="UAF8" s="6"/>
      <c r="UAH8" s="6"/>
      <c r="UAJ8" s="6"/>
      <c r="UAL8" s="6"/>
      <c r="UAN8" s="6"/>
      <c r="UAP8" s="6"/>
      <c r="UAR8" s="6"/>
      <c r="UAT8" s="6"/>
      <c r="UAV8" s="6"/>
      <c r="UAX8" s="6"/>
      <c r="UAZ8" s="6"/>
      <c r="UBB8" s="6"/>
      <c r="UBD8" s="6"/>
      <c r="UBF8" s="6"/>
      <c r="UBH8" s="6"/>
      <c r="UBJ8" s="6"/>
      <c r="UBL8" s="6"/>
      <c r="UBN8" s="6"/>
      <c r="UBP8" s="6"/>
      <c r="UBR8" s="6"/>
      <c r="UBT8" s="6"/>
      <c r="UBV8" s="6"/>
      <c r="UBX8" s="6"/>
      <c r="UBZ8" s="6"/>
      <c r="UCB8" s="6"/>
      <c r="UCD8" s="6"/>
      <c r="UCF8" s="6"/>
      <c r="UCH8" s="6"/>
      <c r="UCJ8" s="6"/>
      <c r="UCL8" s="6"/>
      <c r="UCN8" s="6"/>
      <c r="UCP8" s="6"/>
      <c r="UCR8" s="6"/>
      <c r="UCT8" s="6"/>
      <c r="UCV8" s="6"/>
      <c r="UCX8" s="6"/>
      <c r="UCZ8" s="6"/>
      <c r="UDB8" s="6"/>
      <c r="UDD8" s="6"/>
      <c r="UDF8" s="6"/>
      <c r="UDH8" s="6"/>
      <c r="UDJ8" s="6"/>
      <c r="UDL8" s="6"/>
      <c r="UDN8" s="6"/>
      <c r="UDP8" s="6"/>
      <c r="UDR8" s="6"/>
      <c r="UDT8" s="6"/>
      <c r="UDV8" s="6"/>
      <c r="UDX8" s="6"/>
      <c r="UDZ8" s="6"/>
      <c r="UEB8" s="6"/>
      <c r="UED8" s="6"/>
      <c r="UEF8" s="6"/>
      <c r="UEH8" s="6"/>
      <c r="UEJ8" s="6"/>
      <c r="UEL8" s="6"/>
      <c r="UEN8" s="6"/>
      <c r="UEP8" s="6"/>
      <c r="UER8" s="6"/>
      <c r="UET8" s="6"/>
      <c r="UEV8" s="6"/>
      <c r="UEX8" s="6"/>
      <c r="UEZ8" s="6"/>
      <c r="UFB8" s="6"/>
      <c r="UFD8" s="6"/>
      <c r="UFF8" s="6"/>
      <c r="UFH8" s="6"/>
      <c r="UFJ8" s="6"/>
      <c r="UFL8" s="6"/>
      <c r="UFN8" s="6"/>
      <c r="UFP8" s="6"/>
      <c r="UFR8" s="6"/>
      <c r="UFT8" s="6"/>
      <c r="UFV8" s="6"/>
      <c r="UFX8" s="6"/>
      <c r="UFZ8" s="6"/>
      <c r="UGB8" s="6"/>
      <c r="UGD8" s="6"/>
      <c r="UGF8" s="6"/>
      <c r="UGH8" s="6"/>
      <c r="UGJ8" s="6"/>
      <c r="UGL8" s="6"/>
      <c r="UGN8" s="6"/>
      <c r="UGP8" s="6"/>
      <c r="UGR8" s="6"/>
      <c r="UGT8" s="6"/>
      <c r="UGV8" s="6"/>
      <c r="UGX8" s="6"/>
      <c r="UGZ8" s="6"/>
      <c r="UHB8" s="6"/>
      <c r="UHD8" s="6"/>
      <c r="UHF8" s="6"/>
      <c r="UHH8" s="6"/>
      <c r="UHJ8" s="6"/>
      <c r="UHL8" s="6"/>
      <c r="UHN8" s="6"/>
      <c r="UHP8" s="6"/>
      <c r="UHR8" s="6"/>
      <c r="UHT8" s="6"/>
      <c r="UHV8" s="6"/>
      <c r="UHX8" s="6"/>
      <c r="UHZ8" s="6"/>
      <c r="UIB8" s="6"/>
      <c r="UID8" s="6"/>
      <c r="UIF8" s="6"/>
      <c r="UIH8" s="6"/>
      <c r="UIJ8" s="6"/>
      <c r="UIL8" s="6"/>
      <c r="UIN8" s="6"/>
      <c r="UIP8" s="6"/>
      <c r="UIR8" s="6"/>
      <c r="UIT8" s="6"/>
      <c r="UIV8" s="6"/>
      <c r="UIX8" s="6"/>
      <c r="UIZ8" s="6"/>
      <c r="UJB8" s="6"/>
      <c r="UJD8" s="6"/>
      <c r="UJF8" s="6"/>
      <c r="UJH8" s="6"/>
      <c r="UJJ8" s="6"/>
      <c r="UJL8" s="6"/>
      <c r="UJN8" s="6"/>
      <c r="UJP8" s="6"/>
      <c r="UJR8" s="6"/>
      <c r="UJT8" s="6"/>
      <c r="UJV8" s="6"/>
      <c r="UJX8" s="6"/>
      <c r="UJZ8" s="6"/>
      <c r="UKB8" s="6"/>
      <c r="UKD8" s="6"/>
      <c r="UKF8" s="6"/>
      <c r="UKH8" s="6"/>
      <c r="UKJ8" s="6"/>
      <c r="UKL8" s="6"/>
      <c r="UKN8" s="6"/>
      <c r="UKP8" s="6"/>
      <c r="UKR8" s="6"/>
      <c r="UKT8" s="6"/>
      <c r="UKV8" s="6"/>
      <c r="UKX8" s="6"/>
      <c r="UKZ8" s="6"/>
      <c r="ULB8" s="6"/>
      <c r="ULD8" s="6"/>
      <c r="ULF8" s="6"/>
      <c r="ULH8" s="6"/>
      <c r="ULJ8" s="6"/>
      <c r="ULL8" s="6"/>
      <c r="ULN8" s="6"/>
      <c r="ULP8" s="6"/>
      <c r="ULR8" s="6"/>
      <c r="ULT8" s="6"/>
      <c r="ULV8" s="6"/>
      <c r="ULX8" s="6"/>
      <c r="ULZ8" s="6"/>
      <c r="UMB8" s="6"/>
      <c r="UMD8" s="6"/>
      <c r="UMF8" s="6"/>
      <c r="UMH8" s="6"/>
      <c r="UMJ8" s="6"/>
      <c r="UML8" s="6"/>
      <c r="UMN8" s="6"/>
      <c r="UMP8" s="6"/>
      <c r="UMR8" s="6"/>
      <c r="UMT8" s="6"/>
      <c r="UMV8" s="6"/>
      <c r="UMX8" s="6"/>
      <c r="UMZ8" s="6"/>
      <c r="UNB8" s="6"/>
      <c r="UND8" s="6"/>
      <c r="UNF8" s="6"/>
      <c r="UNH8" s="6"/>
      <c r="UNJ8" s="6"/>
      <c r="UNL8" s="6"/>
      <c r="UNN8" s="6"/>
      <c r="UNP8" s="6"/>
      <c r="UNR8" s="6"/>
      <c r="UNT8" s="6"/>
      <c r="UNV8" s="6"/>
      <c r="UNX8" s="6"/>
      <c r="UNZ8" s="6"/>
      <c r="UOB8" s="6"/>
      <c r="UOD8" s="6"/>
      <c r="UOF8" s="6"/>
      <c r="UOH8" s="6"/>
      <c r="UOJ8" s="6"/>
      <c r="UOL8" s="6"/>
      <c r="UON8" s="6"/>
      <c r="UOP8" s="6"/>
      <c r="UOR8" s="6"/>
      <c r="UOT8" s="6"/>
      <c r="UOV8" s="6"/>
      <c r="UOX8" s="6"/>
      <c r="UOZ8" s="6"/>
      <c r="UPB8" s="6"/>
      <c r="UPD8" s="6"/>
      <c r="UPF8" s="6"/>
      <c r="UPH8" s="6"/>
      <c r="UPJ8" s="6"/>
      <c r="UPL8" s="6"/>
      <c r="UPN8" s="6"/>
      <c r="UPP8" s="6"/>
      <c r="UPR8" s="6"/>
      <c r="UPT8" s="6"/>
      <c r="UPV8" s="6"/>
      <c r="UPX8" s="6"/>
      <c r="UPZ8" s="6"/>
      <c r="UQB8" s="6"/>
      <c r="UQD8" s="6"/>
      <c r="UQF8" s="6"/>
      <c r="UQH8" s="6"/>
      <c r="UQJ8" s="6"/>
      <c r="UQL8" s="6"/>
      <c r="UQN8" s="6"/>
      <c r="UQP8" s="6"/>
      <c r="UQR8" s="6"/>
      <c r="UQT8" s="6"/>
      <c r="UQV8" s="6"/>
      <c r="UQX8" s="6"/>
      <c r="UQZ8" s="6"/>
      <c r="URB8" s="6"/>
      <c r="URD8" s="6"/>
      <c r="URF8" s="6"/>
      <c r="URH8" s="6"/>
      <c r="URJ8" s="6"/>
      <c r="URL8" s="6"/>
      <c r="URN8" s="6"/>
      <c r="URP8" s="6"/>
      <c r="URR8" s="6"/>
      <c r="URT8" s="6"/>
      <c r="URV8" s="6"/>
      <c r="URX8" s="6"/>
      <c r="URZ8" s="6"/>
      <c r="USB8" s="6"/>
      <c r="USD8" s="6"/>
      <c r="USF8" s="6"/>
      <c r="USH8" s="6"/>
      <c r="USJ8" s="6"/>
      <c r="USL8" s="6"/>
      <c r="USN8" s="6"/>
      <c r="USP8" s="6"/>
      <c r="USR8" s="6"/>
      <c r="UST8" s="6"/>
      <c r="USV8" s="6"/>
      <c r="USX8" s="6"/>
      <c r="USZ8" s="6"/>
      <c r="UTB8" s="6"/>
      <c r="UTD8" s="6"/>
      <c r="UTF8" s="6"/>
      <c r="UTH8" s="6"/>
      <c r="UTJ8" s="6"/>
      <c r="UTL8" s="6"/>
      <c r="UTN8" s="6"/>
      <c r="UTP8" s="6"/>
      <c r="UTR8" s="6"/>
      <c r="UTT8" s="6"/>
      <c r="UTV8" s="6"/>
      <c r="UTX8" s="6"/>
      <c r="UTZ8" s="6"/>
      <c r="UUB8" s="6"/>
      <c r="UUD8" s="6"/>
      <c r="UUF8" s="6"/>
      <c r="UUH8" s="6"/>
      <c r="UUJ8" s="6"/>
      <c r="UUL8" s="6"/>
      <c r="UUN8" s="6"/>
      <c r="UUP8" s="6"/>
      <c r="UUR8" s="6"/>
      <c r="UUT8" s="6"/>
      <c r="UUV8" s="6"/>
      <c r="UUX8" s="6"/>
      <c r="UUZ8" s="6"/>
      <c r="UVB8" s="6"/>
      <c r="UVD8" s="6"/>
      <c r="UVF8" s="6"/>
      <c r="UVH8" s="6"/>
      <c r="UVJ8" s="6"/>
      <c r="UVL8" s="6"/>
      <c r="UVN8" s="6"/>
      <c r="UVP8" s="6"/>
      <c r="UVR8" s="6"/>
      <c r="UVT8" s="6"/>
      <c r="UVV8" s="6"/>
      <c r="UVX8" s="6"/>
      <c r="UVZ8" s="6"/>
      <c r="UWB8" s="6"/>
      <c r="UWD8" s="6"/>
      <c r="UWF8" s="6"/>
      <c r="UWH8" s="6"/>
      <c r="UWJ8" s="6"/>
      <c r="UWL8" s="6"/>
      <c r="UWN8" s="6"/>
      <c r="UWP8" s="6"/>
      <c r="UWR8" s="6"/>
      <c r="UWT8" s="6"/>
      <c r="UWV8" s="6"/>
      <c r="UWX8" s="6"/>
      <c r="UWZ8" s="6"/>
      <c r="UXB8" s="6"/>
      <c r="UXD8" s="6"/>
      <c r="UXF8" s="6"/>
      <c r="UXH8" s="6"/>
      <c r="UXJ8" s="6"/>
      <c r="UXL8" s="6"/>
      <c r="UXN8" s="6"/>
      <c r="UXP8" s="6"/>
      <c r="UXR8" s="6"/>
      <c r="UXT8" s="6"/>
      <c r="UXV8" s="6"/>
      <c r="UXX8" s="6"/>
      <c r="UXZ8" s="6"/>
      <c r="UYB8" s="6"/>
      <c r="UYD8" s="6"/>
      <c r="UYF8" s="6"/>
      <c r="UYH8" s="6"/>
      <c r="UYJ8" s="6"/>
      <c r="UYL8" s="6"/>
      <c r="UYN8" s="6"/>
      <c r="UYP8" s="6"/>
      <c r="UYR8" s="6"/>
      <c r="UYT8" s="6"/>
      <c r="UYV8" s="6"/>
      <c r="UYX8" s="6"/>
      <c r="UYZ8" s="6"/>
      <c r="UZB8" s="6"/>
      <c r="UZD8" s="6"/>
      <c r="UZF8" s="6"/>
      <c r="UZH8" s="6"/>
      <c r="UZJ8" s="6"/>
      <c r="UZL8" s="6"/>
      <c r="UZN8" s="6"/>
      <c r="UZP8" s="6"/>
      <c r="UZR8" s="6"/>
      <c r="UZT8" s="6"/>
      <c r="UZV8" s="6"/>
      <c r="UZX8" s="6"/>
      <c r="UZZ8" s="6"/>
      <c r="VAB8" s="6"/>
      <c r="VAD8" s="6"/>
      <c r="VAF8" s="6"/>
      <c r="VAH8" s="6"/>
      <c r="VAJ8" s="6"/>
      <c r="VAL8" s="6"/>
      <c r="VAN8" s="6"/>
      <c r="VAP8" s="6"/>
      <c r="VAR8" s="6"/>
      <c r="VAT8" s="6"/>
      <c r="VAV8" s="6"/>
      <c r="VAX8" s="6"/>
      <c r="VAZ8" s="6"/>
      <c r="VBB8" s="6"/>
      <c r="VBD8" s="6"/>
      <c r="VBF8" s="6"/>
      <c r="VBH8" s="6"/>
      <c r="VBJ8" s="6"/>
      <c r="VBL8" s="6"/>
      <c r="VBN8" s="6"/>
      <c r="VBP8" s="6"/>
      <c r="VBR8" s="6"/>
      <c r="VBT8" s="6"/>
      <c r="VBV8" s="6"/>
      <c r="VBX8" s="6"/>
      <c r="VBZ8" s="6"/>
      <c r="VCB8" s="6"/>
      <c r="VCD8" s="6"/>
      <c r="VCF8" s="6"/>
      <c r="VCH8" s="6"/>
      <c r="VCJ8" s="6"/>
      <c r="VCL8" s="6"/>
      <c r="VCN8" s="6"/>
      <c r="VCP8" s="6"/>
      <c r="VCR8" s="6"/>
      <c r="VCT8" s="6"/>
      <c r="VCV8" s="6"/>
      <c r="VCX8" s="6"/>
      <c r="VCZ8" s="6"/>
      <c r="VDB8" s="6"/>
      <c r="VDD8" s="6"/>
      <c r="VDF8" s="6"/>
      <c r="VDH8" s="6"/>
      <c r="VDJ8" s="6"/>
      <c r="VDL8" s="6"/>
      <c r="VDN8" s="6"/>
      <c r="VDP8" s="6"/>
      <c r="VDR8" s="6"/>
      <c r="VDT8" s="6"/>
      <c r="VDV8" s="6"/>
      <c r="VDX8" s="6"/>
      <c r="VDZ8" s="6"/>
      <c r="VEB8" s="6"/>
      <c r="VED8" s="6"/>
      <c r="VEF8" s="6"/>
      <c r="VEH8" s="6"/>
      <c r="VEJ8" s="6"/>
      <c r="VEL8" s="6"/>
      <c r="VEN8" s="6"/>
      <c r="VEP8" s="6"/>
      <c r="VER8" s="6"/>
      <c r="VET8" s="6"/>
      <c r="VEV8" s="6"/>
      <c r="VEX8" s="6"/>
      <c r="VEZ8" s="6"/>
      <c r="VFB8" s="6"/>
      <c r="VFD8" s="6"/>
      <c r="VFF8" s="6"/>
      <c r="VFH8" s="6"/>
      <c r="VFJ8" s="6"/>
      <c r="VFL8" s="6"/>
      <c r="VFN8" s="6"/>
      <c r="VFP8" s="6"/>
      <c r="VFR8" s="6"/>
      <c r="VFT8" s="6"/>
      <c r="VFV8" s="6"/>
      <c r="VFX8" s="6"/>
      <c r="VFZ8" s="6"/>
      <c r="VGB8" s="6"/>
      <c r="VGD8" s="6"/>
      <c r="VGF8" s="6"/>
      <c r="VGH8" s="6"/>
      <c r="VGJ8" s="6"/>
      <c r="VGL8" s="6"/>
      <c r="VGN8" s="6"/>
      <c r="VGP8" s="6"/>
      <c r="VGR8" s="6"/>
      <c r="VGT8" s="6"/>
      <c r="VGV8" s="6"/>
      <c r="VGX8" s="6"/>
      <c r="VGZ8" s="6"/>
      <c r="VHB8" s="6"/>
      <c r="VHD8" s="6"/>
      <c r="VHF8" s="6"/>
      <c r="VHH8" s="6"/>
      <c r="VHJ8" s="6"/>
      <c r="VHL8" s="6"/>
      <c r="VHN8" s="6"/>
      <c r="VHP8" s="6"/>
      <c r="VHR8" s="6"/>
      <c r="VHT8" s="6"/>
      <c r="VHV8" s="6"/>
      <c r="VHX8" s="6"/>
      <c r="VHZ8" s="6"/>
      <c r="VIB8" s="6"/>
      <c r="VID8" s="6"/>
      <c r="VIF8" s="6"/>
      <c r="VIH8" s="6"/>
      <c r="VIJ8" s="6"/>
      <c r="VIL8" s="6"/>
      <c r="VIN8" s="6"/>
      <c r="VIP8" s="6"/>
      <c r="VIR8" s="6"/>
      <c r="VIT8" s="6"/>
      <c r="VIV8" s="6"/>
      <c r="VIX8" s="6"/>
      <c r="VIZ8" s="6"/>
      <c r="VJB8" s="6"/>
      <c r="VJD8" s="6"/>
      <c r="VJF8" s="6"/>
      <c r="VJH8" s="6"/>
      <c r="VJJ8" s="6"/>
      <c r="VJL8" s="6"/>
      <c r="VJN8" s="6"/>
      <c r="VJP8" s="6"/>
      <c r="VJR8" s="6"/>
      <c r="VJT8" s="6"/>
      <c r="VJV8" s="6"/>
      <c r="VJX8" s="6"/>
      <c r="VJZ8" s="6"/>
      <c r="VKB8" s="6"/>
      <c r="VKD8" s="6"/>
      <c r="VKF8" s="6"/>
      <c r="VKH8" s="6"/>
      <c r="VKJ8" s="6"/>
      <c r="VKL8" s="6"/>
      <c r="VKN8" s="6"/>
      <c r="VKP8" s="6"/>
      <c r="VKR8" s="6"/>
      <c r="VKT8" s="6"/>
      <c r="VKV8" s="6"/>
      <c r="VKX8" s="6"/>
      <c r="VKZ8" s="6"/>
      <c r="VLB8" s="6"/>
      <c r="VLD8" s="6"/>
      <c r="VLF8" s="6"/>
      <c r="VLH8" s="6"/>
      <c r="VLJ8" s="6"/>
      <c r="VLL8" s="6"/>
      <c r="VLN8" s="6"/>
      <c r="VLP8" s="6"/>
      <c r="VLR8" s="6"/>
      <c r="VLT8" s="6"/>
      <c r="VLV8" s="6"/>
      <c r="VLX8" s="6"/>
      <c r="VLZ8" s="6"/>
      <c r="VMB8" s="6"/>
      <c r="VMD8" s="6"/>
      <c r="VMF8" s="6"/>
      <c r="VMH8" s="6"/>
      <c r="VMJ8" s="6"/>
      <c r="VML8" s="6"/>
      <c r="VMN8" s="6"/>
      <c r="VMP8" s="6"/>
      <c r="VMR8" s="6"/>
      <c r="VMT8" s="6"/>
      <c r="VMV8" s="6"/>
      <c r="VMX8" s="6"/>
      <c r="VMZ8" s="6"/>
      <c r="VNB8" s="6"/>
      <c r="VND8" s="6"/>
      <c r="VNF8" s="6"/>
      <c r="VNH8" s="6"/>
      <c r="VNJ8" s="6"/>
      <c r="VNL8" s="6"/>
      <c r="VNN8" s="6"/>
      <c r="VNP8" s="6"/>
      <c r="VNR8" s="6"/>
      <c r="VNT8" s="6"/>
      <c r="VNV8" s="6"/>
      <c r="VNX8" s="6"/>
      <c r="VNZ8" s="6"/>
      <c r="VOB8" s="6"/>
      <c r="VOD8" s="6"/>
      <c r="VOF8" s="6"/>
      <c r="VOH8" s="6"/>
      <c r="VOJ8" s="6"/>
      <c r="VOL8" s="6"/>
      <c r="VON8" s="6"/>
      <c r="VOP8" s="6"/>
      <c r="VOR8" s="6"/>
      <c r="VOT8" s="6"/>
      <c r="VOV8" s="6"/>
      <c r="VOX8" s="6"/>
      <c r="VOZ8" s="6"/>
      <c r="VPB8" s="6"/>
      <c r="VPD8" s="6"/>
      <c r="VPF8" s="6"/>
      <c r="VPH8" s="6"/>
      <c r="VPJ8" s="6"/>
      <c r="VPL8" s="6"/>
      <c r="VPN8" s="6"/>
      <c r="VPP8" s="6"/>
      <c r="VPR8" s="6"/>
      <c r="VPT8" s="6"/>
      <c r="VPV8" s="6"/>
      <c r="VPX8" s="6"/>
      <c r="VPZ8" s="6"/>
      <c r="VQB8" s="6"/>
      <c r="VQD8" s="6"/>
      <c r="VQF8" s="6"/>
      <c r="VQH8" s="6"/>
      <c r="VQJ8" s="6"/>
      <c r="VQL8" s="6"/>
      <c r="VQN8" s="6"/>
      <c r="VQP8" s="6"/>
      <c r="VQR8" s="6"/>
      <c r="VQT8" s="6"/>
      <c r="VQV8" s="6"/>
      <c r="VQX8" s="6"/>
      <c r="VQZ8" s="6"/>
      <c r="VRB8" s="6"/>
      <c r="VRD8" s="6"/>
      <c r="VRF8" s="6"/>
      <c r="VRH8" s="6"/>
      <c r="VRJ8" s="6"/>
      <c r="VRL8" s="6"/>
      <c r="VRN8" s="6"/>
      <c r="VRP8" s="6"/>
      <c r="VRR8" s="6"/>
      <c r="VRT8" s="6"/>
      <c r="VRV8" s="6"/>
      <c r="VRX8" s="6"/>
      <c r="VRZ8" s="6"/>
      <c r="VSB8" s="6"/>
      <c r="VSD8" s="6"/>
      <c r="VSF8" s="6"/>
      <c r="VSH8" s="6"/>
      <c r="VSJ8" s="6"/>
      <c r="VSL8" s="6"/>
      <c r="VSN8" s="6"/>
      <c r="VSP8" s="6"/>
      <c r="VSR8" s="6"/>
      <c r="VST8" s="6"/>
      <c r="VSV8" s="6"/>
      <c r="VSX8" s="6"/>
      <c r="VSZ8" s="6"/>
      <c r="VTB8" s="6"/>
      <c r="VTD8" s="6"/>
      <c r="VTF8" s="6"/>
      <c r="VTH8" s="6"/>
      <c r="VTJ8" s="6"/>
      <c r="VTL8" s="6"/>
      <c r="VTN8" s="6"/>
      <c r="VTP8" s="6"/>
      <c r="VTR8" s="6"/>
      <c r="VTT8" s="6"/>
      <c r="VTV8" s="6"/>
      <c r="VTX8" s="6"/>
      <c r="VTZ8" s="6"/>
      <c r="VUB8" s="6"/>
      <c r="VUD8" s="6"/>
      <c r="VUF8" s="6"/>
      <c r="VUH8" s="6"/>
      <c r="VUJ8" s="6"/>
      <c r="VUL8" s="6"/>
      <c r="VUN8" s="6"/>
      <c r="VUP8" s="6"/>
      <c r="VUR8" s="6"/>
      <c r="VUT8" s="6"/>
      <c r="VUV8" s="6"/>
      <c r="VUX8" s="6"/>
      <c r="VUZ8" s="6"/>
      <c r="VVB8" s="6"/>
      <c r="VVD8" s="6"/>
      <c r="VVF8" s="6"/>
      <c r="VVH8" s="6"/>
      <c r="VVJ8" s="6"/>
      <c r="VVL8" s="6"/>
      <c r="VVN8" s="6"/>
      <c r="VVP8" s="6"/>
      <c r="VVR8" s="6"/>
      <c r="VVT8" s="6"/>
      <c r="VVV8" s="6"/>
      <c r="VVX8" s="6"/>
      <c r="VVZ8" s="6"/>
      <c r="VWB8" s="6"/>
      <c r="VWD8" s="6"/>
      <c r="VWF8" s="6"/>
      <c r="VWH8" s="6"/>
      <c r="VWJ8" s="6"/>
      <c r="VWL8" s="6"/>
      <c r="VWN8" s="6"/>
      <c r="VWP8" s="6"/>
      <c r="VWR8" s="6"/>
      <c r="VWT8" s="6"/>
      <c r="VWV8" s="6"/>
      <c r="VWX8" s="6"/>
      <c r="VWZ8" s="6"/>
      <c r="VXB8" s="6"/>
      <c r="VXD8" s="6"/>
      <c r="VXF8" s="6"/>
      <c r="VXH8" s="6"/>
      <c r="VXJ8" s="6"/>
      <c r="VXL8" s="6"/>
      <c r="VXN8" s="6"/>
      <c r="VXP8" s="6"/>
      <c r="VXR8" s="6"/>
      <c r="VXT8" s="6"/>
      <c r="VXV8" s="6"/>
      <c r="VXX8" s="6"/>
      <c r="VXZ8" s="6"/>
      <c r="VYB8" s="6"/>
      <c r="VYD8" s="6"/>
      <c r="VYF8" s="6"/>
      <c r="VYH8" s="6"/>
      <c r="VYJ8" s="6"/>
      <c r="VYL8" s="6"/>
      <c r="VYN8" s="6"/>
      <c r="VYP8" s="6"/>
      <c r="VYR8" s="6"/>
      <c r="VYT8" s="6"/>
      <c r="VYV8" s="6"/>
      <c r="VYX8" s="6"/>
      <c r="VYZ8" s="6"/>
      <c r="VZB8" s="6"/>
      <c r="VZD8" s="6"/>
      <c r="VZF8" s="6"/>
      <c r="VZH8" s="6"/>
      <c r="VZJ8" s="6"/>
      <c r="VZL8" s="6"/>
      <c r="VZN8" s="6"/>
      <c r="VZP8" s="6"/>
      <c r="VZR8" s="6"/>
      <c r="VZT8" s="6"/>
      <c r="VZV8" s="6"/>
      <c r="VZX8" s="6"/>
      <c r="VZZ8" s="6"/>
      <c r="WAB8" s="6"/>
      <c r="WAD8" s="6"/>
      <c r="WAF8" s="6"/>
      <c r="WAH8" s="6"/>
      <c r="WAJ8" s="6"/>
      <c r="WAL8" s="6"/>
      <c r="WAN8" s="6"/>
      <c r="WAP8" s="6"/>
      <c r="WAR8" s="6"/>
      <c r="WAT8" s="6"/>
      <c r="WAV8" s="6"/>
      <c r="WAX8" s="6"/>
      <c r="WAZ8" s="6"/>
      <c r="WBB8" s="6"/>
      <c r="WBD8" s="6"/>
      <c r="WBF8" s="6"/>
      <c r="WBH8" s="6"/>
      <c r="WBJ8" s="6"/>
      <c r="WBL8" s="6"/>
      <c r="WBN8" s="6"/>
      <c r="WBP8" s="6"/>
      <c r="WBR8" s="6"/>
      <c r="WBT8" s="6"/>
      <c r="WBV8" s="6"/>
      <c r="WBX8" s="6"/>
      <c r="WBZ8" s="6"/>
      <c r="WCB8" s="6"/>
      <c r="WCD8" s="6"/>
      <c r="WCF8" s="6"/>
      <c r="WCH8" s="6"/>
      <c r="WCJ8" s="6"/>
      <c r="WCL8" s="6"/>
      <c r="WCN8" s="6"/>
      <c r="WCP8" s="6"/>
      <c r="WCR8" s="6"/>
      <c r="WCT8" s="6"/>
      <c r="WCV8" s="6"/>
      <c r="WCX8" s="6"/>
      <c r="WCZ8" s="6"/>
      <c r="WDB8" s="6"/>
      <c r="WDD8" s="6"/>
      <c r="WDF8" s="6"/>
      <c r="WDH8" s="6"/>
      <c r="WDJ8" s="6"/>
      <c r="WDL8" s="6"/>
      <c r="WDN8" s="6"/>
      <c r="WDP8" s="6"/>
      <c r="WDR8" s="6"/>
      <c r="WDT8" s="6"/>
      <c r="WDV8" s="6"/>
      <c r="WDX8" s="6"/>
      <c r="WDZ8" s="6"/>
      <c r="WEB8" s="6"/>
      <c r="WED8" s="6"/>
      <c r="WEF8" s="6"/>
      <c r="WEH8" s="6"/>
      <c r="WEJ8" s="6"/>
      <c r="WEL8" s="6"/>
      <c r="WEN8" s="6"/>
      <c r="WEP8" s="6"/>
      <c r="WER8" s="6"/>
      <c r="WET8" s="6"/>
      <c r="WEV8" s="6"/>
      <c r="WEX8" s="6"/>
      <c r="WEZ8" s="6"/>
      <c r="WFB8" s="6"/>
      <c r="WFD8" s="6"/>
      <c r="WFF8" s="6"/>
      <c r="WFH8" s="6"/>
      <c r="WFJ8" s="6"/>
      <c r="WFL8" s="6"/>
      <c r="WFN8" s="6"/>
      <c r="WFP8" s="6"/>
      <c r="WFR8" s="6"/>
      <c r="WFT8" s="6"/>
      <c r="WFV8" s="6"/>
      <c r="WFX8" s="6"/>
      <c r="WFZ8" s="6"/>
      <c r="WGB8" s="6"/>
      <c r="WGD8" s="6"/>
      <c r="WGF8" s="6"/>
      <c r="WGH8" s="6"/>
      <c r="WGJ8" s="6"/>
      <c r="WGL8" s="6"/>
      <c r="WGN8" s="6"/>
      <c r="WGP8" s="6"/>
      <c r="WGR8" s="6"/>
      <c r="WGT8" s="6"/>
      <c r="WGV8" s="6"/>
      <c r="WGX8" s="6"/>
      <c r="WGZ8" s="6"/>
      <c r="WHB8" s="6"/>
      <c r="WHD8" s="6"/>
      <c r="WHF8" s="6"/>
      <c r="WHH8" s="6"/>
      <c r="WHJ8" s="6"/>
      <c r="WHL8" s="6"/>
      <c r="WHN8" s="6"/>
      <c r="WHP8" s="6"/>
      <c r="WHR8" s="6"/>
      <c r="WHT8" s="6"/>
      <c r="WHV8" s="6"/>
      <c r="WHX8" s="6"/>
      <c r="WHZ8" s="6"/>
      <c r="WIB8" s="6"/>
      <c r="WID8" s="6"/>
      <c r="WIF8" s="6"/>
      <c r="WIH8" s="6"/>
      <c r="WIJ8" s="6"/>
      <c r="WIL8" s="6"/>
      <c r="WIN8" s="6"/>
      <c r="WIP8" s="6"/>
      <c r="WIR8" s="6"/>
      <c r="WIT8" s="6"/>
      <c r="WIV8" s="6"/>
      <c r="WIX8" s="6"/>
      <c r="WIZ8" s="6"/>
      <c r="WJB8" s="6"/>
      <c r="WJD8" s="6"/>
      <c r="WJF8" s="6"/>
      <c r="WJH8" s="6"/>
      <c r="WJJ8" s="6"/>
      <c r="WJL8" s="6"/>
      <c r="WJN8" s="6"/>
      <c r="WJP8" s="6"/>
      <c r="WJR8" s="6"/>
      <c r="WJT8" s="6"/>
      <c r="WJV8" s="6"/>
      <c r="WJX8" s="6"/>
      <c r="WJZ8" s="6"/>
      <c r="WKB8" s="6"/>
      <c r="WKD8" s="6"/>
      <c r="WKF8" s="6"/>
      <c r="WKH8" s="6"/>
      <c r="WKJ8" s="6"/>
      <c r="WKL8" s="6"/>
      <c r="WKN8" s="6"/>
      <c r="WKP8" s="6"/>
      <c r="WKR8" s="6"/>
      <c r="WKT8" s="6"/>
      <c r="WKV8" s="6"/>
      <c r="WKX8" s="6"/>
      <c r="WKZ8" s="6"/>
      <c r="WLB8" s="6"/>
      <c r="WLD8" s="6"/>
      <c r="WLF8" s="6"/>
      <c r="WLH8" s="6"/>
      <c r="WLJ8" s="6"/>
      <c r="WLL8" s="6"/>
      <c r="WLN8" s="6"/>
      <c r="WLP8" s="6"/>
      <c r="WLR8" s="6"/>
      <c r="WLT8" s="6"/>
      <c r="WLV8" s="6"/>
      <c r="WLX8" s="6"/>
      <c r="WLZ8" s="6"/>
      <c r="WMB8" s="6"/>
      <c r="WMD8" s="6"/>
      <c r="WMF8" s="6"/>
      <c r="WMH8" s="6"/>
      <c r="WMJ8" s="6"/>
      <c r="WML8" s="6"/>
      <c r="WMN8" s="6"/>
      <c r="WMP8" s="6"/>
      <c r="WMR8" s="6"/>
      <c r="WMT8" s="6"/>
      <c r="WMV8" s="6"/>
      <c r="WMX8" s="6"/>
      <c r="WMZ8" s="6"/>
      <c r="WNB8" s="6"/>
      <c r="WND8" s="6"/>
      <c r="WNF8" s="6"/>
      <c r="WNH8" s="6"/>
      <c r="WNJ8" s="6"/>
      <c r="WNL8" s="6"/>
      <c r="WNN8" s="6"/>
      <c r="WNP8" s="6"/>
      <c r="WNR8" s="6"/>
      <c r="WNT8" s="6"/>
      <c r="WNV8" s="6"/>
      <c r="WNX8" s="6"/>
      <c r="WNZ8" s="6"/>
      <c r="WOB8" s="6"/>
      <c r="WOD8" s="6"/>
      <c r="WOF8" s="6"/>
      <c r="WOH8" s="6"/>
      <c r="WOJ8" s="6"/>
      <c r="WOL8" s="6"/>
      <c r="WON8" s="6"/>
      <c r="WOP8" s="6"/>
      <c r="WOR8" s="6"/>
      <c r="WOT8" s="6"/>
      <c r="WOV8" s="6"/>
      <c r="WOX8" s="6"/>
      <c r="WOZ8" s="6"/>
      <c r="WPB8" s="6"/>
      <c r="WPD8" s="6"/>
      <c r="WPF8" s="6"/>
      <c r="WPH8" s="6"/>
      <c r="WPJ8" s="6"/>
      <c r="WPL8" s="6"/>
      <c r="WPN8" s="6"/>
      <c r="WPP8" s="6"/>
      <c r="WPR8" s="6"/>
      <c r="WPT8" s="6"/>
      <c r="WPV8" s="6"/>
      <c r="WPX8" s="6"/>
      <c r="WPZ8" s="6"/>
      <c r="WQB8" s="6"/>
      <c r="WQD8" s="6"/>
      <c r="WQF8" s="6"/>
      <c r="WQH8" s="6"/>
      <c r="WQJ8" s="6"/>
      <c r="WQL8" s="6"/>
      <c r="WQN8" s="6"/>
      <c r="WQP8" s="6"/>
      <c r="WQR8" s="6"/>
      <c r="WQT8" s="6"/>
      <c r="WQV8" s="6"/>
      <c r="WQX8" s="6"/>
      <c r="WQZ8" s="6"/>
      <c r="WRB8" s="6"/>
      <c r="WRD8" s="6"/>
      <c r="WRF8" s="6"/>
      <c r="WRH8" s="6"/>
      <c r="WRJ8" s="6"/>
      <c r="WRL8" s="6"/>
      <c r="WRN8" s="6"/>
      <c r="WRP8" s="6"/>
      <c r="WRR8" s="6"/>
      <c r="WRT8" s="6"/>
      <c r="WRV8" s="6"/>
      <c r="WRX8" s="6"/>
      <c r="WRZ8" s="6"/>
      <c r="WSB8" s="6"/>
      <c r="WSD8" s="6"/>
      <c r="WSF8" s="6"/>
      <c r="WSH8" s="6"/>
      <c r="WSJ8" s="6"/>
      <c r="WSL8" s="6"/>
      <c r="WSN8" s="6"/>
      <c r="WSP8" s="6"/>
      <c r="WSR8" s="6"/>
      <c r="WST8" s="6"/>
      <c r="WSV8" s="6"/>
      <c r="WSX8" s="6"/>
      <c r="WSZ8" s="6"/>
      <c r="WTB8" s="6"/>
      <c r="WTD8" s="6"/>
      <c r="WTF8" s="6"/>
      <c r="WTH8" s="6"/>
      <c r="WTJ8" s="6"/>
      <c r="WTL8" s="6"/>
      <c r="WTN8" s="6"/>
      <c r="WTP8" s="6"/>
      <c r="WTR8" s="6"/>
      <c r="WTT8" s="6"/>
      <c r="WTV8" s="6"/>
      <c r="WTX8" s="6"/>
      <c r="WTZ8" s="6"/>
      <c r="WUB8" s="6"/>
      <c r="WUD8" s="6"/>
      <c r="WUF8" s="6"/>
      <c r="WUH8" s="6"/>
      <c r="WUJ8" s="6"/>
      <c r="WUL8" s="6"/>
      <c r="WUN8" s="6"/>
      <c r="WUP8" s="6"/>
      <c r="WUR8" s="6"/>
      <c r="WUT8" s="6"/>
      <c r="WUV8" s="6"/>
      <c r="WUX8" s="6"/>
      <c r="WUZ8" s="6"/>
      <c r="WVB8" s="6"/>
      <c r="WVD8" s="6"/>
      <c r="WVF8" s="6"/>
      <c r="WVH8" s="6"/>
      <c r="WVJ8" s="6"/>
      <c r="WVL8" s="6"/>
      <c r="WVN8" s="6"/>
      <c r="WVP8" s="6"/>
      <c r="WVR8" s="6"/>
      <c r="WVT8" s="6"/>
      <c r="WVV8" s="6"/>
      <c r="WVX8" s="6"/>
      <c r="WVZ8" s="6"/>
      <c r="WWB8" s="6"/>
      <c r="WWD8" s="6"/>
      <c r="WWF8" s="6"/>
      <c r="WWH8" s="6"/>
      <c r="WWJ8" s="6"/>
      <c r="WWL8" s="6"/>
      <c r="WWN8" s="6"/>
      <c r="WWP8" s="6"/>
      <c r="WWR8" s="6"/>
      <c r="WWT8" s="6"/>
      <c r="WWV8" s="6"/>
      <c r="WWX8" s="6"/>
      <c r="WWZ8" s="6"/>
      <c r="WXB8" s="6"/>
      <c r="WXD8" s="6"/>
      <c r="WXF8" s="6"/>
      <c r="WXH8" s="6"/>
      <c r="WXJ8" s="6"/>
      <c r="WXL8" s="6"/>
      <c r="WXN8" s="6"/>
      <c r="WXP8" s="6"/>
      <c r="WXR8" s="6"/>
      <c r="WXT8" s="6"/>
      <c r="WXV8" s="6"/>
      <c r="WXX8" s="6"/>
      <c r="WXZ8" s="6"/>
      <c r="WYB8" s="6"/>
      <c r="WYD8" s="6"/>
      <c r="WYF8" s="6"/>
      <c r="WYH8" s="6"/>
      <c r="WYJ8" s="6"/>
      <c r="WYL8" s="6"/>
      <c r="WYN8" s="6"/>
      <c r="WYP8" s="6"/>
      <c r="WYR8" s="6"/>
      <c r="WYT8" s="6"/>
      <c r="WYV8" s="6"/>
      <c r="WYX8" s="6"/>
      <c r="WYZ8" s="6"/>
      <c r="WZB8" s="6"/>
      <c r="WZD8" s="6"/>
      <c r="WZF8" s="6"/>
      <c r="WZH8" s="6"/>
      <c r="WZJ8" s="6"/>
      <c r="WZL8" s="6"/>
      <c r="WZN8" s="6"/>
      <c r="WZP8" s="6"/>
      <c r="WZR8" s="6"/>
      <c r="WZT8" s="6"/>
      <c r="WZV8" s="6"/>
      <c r="WZX8" s="6"/>
      <c r="WZZ8" s="6"/>
      <c r="XAB8" s="6"/>
      <c r="XAD8" s="6"/>
      <c r="XAF8" s="6"/>
      <c r="XAH8" s="6"/>
      <c r="XAJ8" s="6"/>
      <c r="XAL8" s="6"/>
      <c r="XAN8" s="6"/>
      <c r="XAP8" s="6"/>
      <c r="XAR8" s="6"/>
      <c r="XAT8" s="6"/>
      <c r="XAV8" s="6"/>
      <c r="XAX8" s="6"/>
      <c r="XAZ8" s="6"/>
      <c r="XBB8" s="6"/>
      <c r="XBD8" s="6"/>
      <c r="XBF8" s="6"/>
      <c r="XBH8" s="6"/>
      <c r="XBJ8" s="6"/>
      <c r="XBL8" s="6"/>
      <c r="XBN8" s="6"/>
      <c r="XBP8" s="6"/>
      <c r="XBR8" s="6"/>
      <c r="XBT8" s="6"/>
      <c r="XBV8" s="6"/>
      <c r="XBX8" s="6"/>
      <c r="XBZ8" s="6"/>
      <c r="XCB8" s="6"/>
      <c r="XCD8" s="6"/>
      <c r="XCF8" s="6"/>
      <c r="XCH8" s="6"/>
      <c r="XCJ8" s="6"/>
      <c r="XCL8" s="6"/>
      <c r="XCN8" s="6"/>
      <c r="XCP8" s="6"/>
      <c r="XCR8" s="6"/>
      <c r="XCT8" s="6"/>
      <c r="XCV8" s="6"/>
      <c r="XCX8" s="6"/>
      <c r="XCZ8" s="6"/>
      <c r="XDB8" s="6"/>
      <c r="XDD8" s="6"/>
      <c r="XDF8" s="6"/>
      <c r="XDH8" s="6"/>
      <c r="XDJ8" s="6"/>
      <c r="XDL8" s="6"/>
      <c r="XDN8" s="6"/>
      <c r="XDP8" s="6"/>
      <c r="XDR8" s="6"/>
      <c r="XDT8" s="6"/>
      <c r="XDV8" s="6"/>
      <c r="XDX8" s="6"/>
      <c r="XDZ8" s="6"/>
      <c r="XEB8" s="6"/>
      <c r="XED8" s="6"/>
      <c r="XEF8" s="6"/>
      <c r="XEH8" s="6"/>
      <c r="XEJ8" s="6"/>
      <c r="XEL8" s="6"/>
      <c r="XEN8" s="6"/>
      <c r="XEP8" s="6"/>
      <c r="XER8" s="6"/>
      <c r="XET8" s="6"/>
      <c r="XEV8" s="6"/>
      <c r="XEX8" s="6"/>
      <c r="XEZ8" s="6"/>
      <c r="XFB8" s="6"/>
      <c r="XFD8" s="6"/>
    </row>
    <row r="9" spans="1:1024 1026:2048 2050:3072 3074:4096 4098:5120 5122:6144 6146:7168 7170:8192 8194:9216 9218:10240 10242:11264 11266:12288 12290:13312 13314:14336 14338:15360 15362:16384" x14ac:dyDescent="0.25">
      <c r="A9" s="2" t="s">
        <v>84</v>
      </c>
      <c r="B9" s="7">
        <f>Parameters!B32-St_REFPROP</f>
        <v>4.289422579999993</v>
      </c>
      <c r="D9" s="6"/>
      <c r="F9" s="6"/>
      <c r="H9" s="6"/>
      <c r="J9" s="6"/>
      <c r="L9" s="6"/>
      <c r="N9" s="6"/>
      <c r="P9" s="6"/>
      <c r="R9" s="6"/>
      <c r="T9" s="6"/>
      <c r="V9" s="6"/>
      <c r="X9" s="6"/>
      <c r="Z9" s="6"/>
      <c r="AB9" s="6"/>
      <c r="AD9" s="6"/>
      <c r="AF9" s="6"/>
      <c r="AH9" s="6"/>
      <c r="AJ9" s="6"/>
      <c r="AL9" s="6"/>
      <c r="AN9" s="6"/>
      <c r="AP9" s="6"/>
      <c r="AR9" s="6"/>
      <c r="AT9" s="6"/>
      <c r="AV9" s="6"/>
      <c r="AX9" s="6"/>
      <c r="AZ9" s="6"/>
      <c r="BB9" s="6"/>
      <c r="BD9" s="6"/>
      <c r="BF9" s="6"/>
      <c r="BH9" s="6"/>
      <c r="BJ9" s="6"/>
      <c r="BL9" s="6"/>
      <c r="BN9" s="6"/>
      <c r="BP9" s="6"/>
      <c r="BR9" s="6"/>
      <c r="BT9" s="6"/>
      <c r="BV9" s="6"/>
      <c r="BX9" s="6"/>
      <c r="BZ9" s="6"/>
      <c r="CB9" s="6"/>
      <c r="CD9" s="6"/>
      <c r="CF9" s="6"/>
      <c r="CH9" s="6"/>
      <c r="CJ9" s="6"/>
      <c r="CL9" s="6"/>
      <c r="CN9" s="6"/>
      <c r="CP9" s="6"/>
      <c r="CR9" s="6"/>
      <c r="CT9" s="6"/>
      <c r="CV9" s="6"/>
      <c r="CX9" s="6"/>
      <c r="CZ9" s="6"/>
      <c r="DB9" s="6"/>
      <c r="DD9" s="6"/>
      <c r="DF9" s="6"/>
      <c r="DH9" s="6"/>
      <c r="DJ9" s="6"/>
      <c r="DL9" s="6"/>
      <c r="DN9" s="6"/>
      <c r="DP9" s="6"/>
      <c r="DR9" s="6"/>
      <c r="DT9" s="6"/>
      <c r="DV9" s="6"/>
      <c r="DX9" s="6"/>
      <c r="DZ9" s="6"/>
      <c r="EB9" s="6"/>
      <c r="ED9" s="6"/>
      <c r="EF9" s="6"/>
      <c r="EH9" s="6"/>
      <c r="EJ9" s="6"/>
      <c r="EL9" s="6"/>
      <c r="EN9" s="6"/>
      <c r="EP9" s="6"/>
      <c r="ER9" s="6"/>
      <c r="ET9" s="6"/>
      <c r="EV9" s="6"/>
      <c r="EX9" s="6"/>
      <c r="EZ9" s="6"/>
      <c r="FB9" s="6"/>
      <c r="FD9" s="6"/>
      <c r="FF9" s="6"/>
      <c r="FH9" s="6"/>
      <c r="FJ9" s="6"/>
      <c r="FL9" s="6"/>
      <c r="FN9" s="6"/>
      <c r="FP9" s="6"/>
      <c r="FR9" s="6"/>
      <c r="FT9" s="6"/>
      <c r="FV9" s="6"/>
      <c r="FX9" s="6"/>
      <c r="FZ9" s="6"/>
      <c r="GB9" s="6"/>
      <c r="GD9" s="6"/>
      <c r="GF9" s="6"/>
      <c r="GH9" s="6"/>
      <c r="GJ9" s="6"/>
      <c r="GL9" s="6"/>
      <c r="GN9" s="6"/>
      <c r="GP9" s="6"/>
      <c r="GR9" s="6"/>
      <c r="GT9" s="6"/>
      <c r="GV9" s="6"/>
      <c r="GX9" s="6"/>
      <c r="GZ9" s="6"/>
      <c r="HB9" s="6"/>
      <c r="HD9" s="6"/>
      <c r="HF9" s="6"/>
      <c r="HH9" s="6"/>
      <c r="HJ9" s="6"/>
      <c r="HL9" s="6"/>
      <c r="HN9" s="6"/>
      <c r="HP9" s="6"/>
      <c r="HR9" s="6"/>
      <c r="HT9" s="6"/>
      <c r="HV9" s="6"/>
      <c r="HX9" s="6"/>
      <c r="HZ9" s="6"/>
      <c r="IB9" s="6"/>
      <c r="ID9" s="6"/>
      <c r="IF9" s="6"/>
      <c r="IH9" s="6"/>
      <c r="IJ9" s="6"/>
      <c r="IL9" s="6"/>
      <c r="IN9" s="6"/>
      <c r="IP9" s="6"/>
      <c r="IR9" s="6"/>
      <c r="IT9" s="6"/>
      <c r="IV9" s="6"/>
      <c r="IX9" s="6"/>
      <c r="IZ9" s="6"/>
      <c r="JB9" s="6"/>
      <c r="JD9" s="6"/>
      <c r="JF9" s="6"/>
      <c r="JH9" s="6"/>
      <c r="JJ9" s="6"/>
      <c r="JL9" s="6"/>
      <c r="JN9" s="6"/>
      <c r="JP9" s="6"/>
      <c r="JR9" s="6"/>
      <c r="JT9" s="6"/>
      <c r="JV9" s="6"/>
      <c r="JX9" s="6"/>
      <c r="JZ9" s="6"/>
      <c r="KB9" s="6"/>
      <c r="KD9" s="6"/>
      <c r="KF9" s="6"/>
      <c r="KH9" s="6"/>
      <c r="KJ9" s="6"/>
      <c r="KL9" s="6"/>
      <c r="KN9" s="6"/>
      <c r="KP9" s="6"/>
      <c r="KR9" s="6"/>
      <c r="KT9" s="6"/>
      <c r="KV9" s="6"/>
      <c r="KX9" s="6"/>
      <c r="KZ9" s="6"/>
      <c r="LB9" s="6"/>
      <c r="LD9" s="6"/>
      <c r="LF9" s="6"/>
      <c r="LH9" s="6"/>
      <c r="LJ9" s="6"/>
      <c r="LL9" s="6"/>
      <c r="LN9" s="6"/>
      <c r="LP9" s="6"/>
      <c r="LR9" s="6"/>
      <c r="LT9" s="6"/>
      <c r="LV9" s="6"/>
      <c r="LX9" s="6"/>
      <c r="LZ9" s="6"/>
      <c r="MB9" s="6"/>
      <c r="MD9" s="6"/>
      <c r="MF9" s="6"/>
      <c r="MH9" s="6"/>
      <c r="MJ9" s="6"/>
      <c r="ML9" s="6"/>
      <c r="MN9" s="6"/>
      <c r="MP9" s="6"/>
      <c r="MR9" s="6"/>
      <c r="MT9" s="6"/>
      <c r="MV9" s="6"/>
      <c r="MX9" s="6"/>
      <c r="MZ9" s="6"/>
      <c r="NB9" s="6"/>
      <c r="ND9" s="6"/>
      <c r="NF9" s="6"/>
      <c r="NH9" s="6"/>
      <c r="NJ9" s="6"/>
      <c r="NL9" s="6"/>
      <c r="NN9" s="6"/>
      <c r="NP9" s="6"/>
      <c r="NR9" s="6"/>
      <c r="NT9" s="6"/>
      <c r="NV9" s="6"/>
      <c r="NX9" s="6"/>
      <c r="NZ9" s="6"/>
      <c r="OB9" s="6"/>
      <c r="OD9" s="6"/>
      <c r="OF9" s="6"/>
      <c r="OH9" s="6"/>
      <c r="OJ9" s="6"/>
      <c r="OL9" s="6"/>
      <c r="ON9" s="6"/>
      <c r="OP9" s="6"/>
      <c r="OR9" s="6"/>
      <c r="OT9" s="6"/>
      <c r="OV9" s="6"/>
      <c r="OX9" s="6"/>
      <c r="OZ9" s="6"/>
      <c r="PB9" s="6"/>
      <c r="PD9" s="6"/>
      <c r="PF9" s="6"/>
      <c r="PH9" s="6"/>
      <c r="PJ9" s="6"/>
      <c r="PL9" s="6"/>
      <c r="PN9" s="6"/>
      <c r="PP9" s="6"/>
      <c r="PR9" s="6"/>
      <c r="PT9" s="6"/>
      <c r="PV9" s="6"/>
      <c r="PX9" s="6"/>
      <c r="PZ9" s="6"/>
      <c r="QB9" s="6"/>
      <c r="QD9" s="6"/>
      <c r="QF9" s="6"/>
      <c r="QH9" s="6"/>
      <c r="QJ9" s="6"/>
      <c r="QL9" s="6"/>
      <c r="QN9" s="6"/>
      <c r="QP9" s="6"/>
      <c r="QR9" s="6"/>
      <c r="QT9" s="6"/>
      <c r="QV9" s="6"/>
      <c r="QX9" s="6"/>
      <c r="QZ9" s="6"/>
      <c r="RB9" s="6"/>
      <c r="RD9" s="6"/>
      <c r="RF9" s="6"/>
      <c r="RH9" s="6"/>
      <c r="RJ9" s="6"/>
      <c r="RL9" s="6"/>
      <c r="RN9" s="6"/>
      <c r="RP9" s="6"/>
      <c r="RR9" s="6"/>
      <c r="RT9" s="6"/>
      <c r="RV9" s="6"/>
      <c r="RX9" s="6"/>
      <c r="RZ9" s="6"/>
      <c r="SB9" s="6"/>
      <c r="SD9" s="6"/>
      <c r="SF9" s="6"/>
      <c r="SH9" s="6"/>
      <c r="SJ9" s="6"/>
      <c r="SL9" s="6"/>
      <c r="SN9" s="6"/>
      <c r="SP9" s="6"/>
      <c r="SR9" s="6"/>
      <c r="ST9" s="6"/>
      <c r="SV9" s="6"/>
      <c r="SX9" s="6"/>
      <c r="SZ9" s="6"/>
      <c r="TB9" s="6"/>
      <c r="TD9" s="6"/>
      <c r="TF9" s="6"/>
      <c r="TH9" s="6"/>
      <c r="TJ9" s="6"/>
      <c r="TL9" s="6"/>
      <c r="TN9" s="6"/>
      <c r="TP9" s="6"/>
      <c r="TR9" s="6"/>
      <c r="TT9" s="6"/>
      <c r="TV9" s="6"/>
      <c r="TX9" s="6"/>
      <c r="TZ9" s="6"/>
      <c r="UB9" s="6"/>
      <c r="UD9" s="6"/>
      <c r="UF9" s="6"/>
      <c r="UH9" s="6"/>
      <c r="UJ9" s="6"/>
      <c r="UL9" s="6"/>
      <c r="UN9" s="6"/>
      <c r="UP9" s="6"/>
      <c r="UR9" s="6"/>
      <c r="UT9" s="6"/>
      <c r="UV9" s="6"/>
      <c r="UX9" s="6"/>
      <c r="UZ9" s="6"/>
      <c r="VB9" s="6"/>
      <c r="VD9" s="6"/>
      <c r="VF9" s="6"/>
      <c r="VH9" s="6"/>
      <c r="VJ9" s="6"/>
      <c r="VL9" s="6"/>
      <c r="VN9" s="6"/>
      <c r="VP9" s="6"/>
      <c r="VR9" s="6"/>
      <c r="VT9" s="6"/>
      <c r="VV9" s="6"/>
      <c r="VX9" s="6"/>
      <c r="VZ9" s="6"/>
      <c r="WB9" s="6"/>
      <c r="WD9" s="6"/>
      <c r="WF9" s="6"/>
      <c r="WH9" s="6"/>
      <c r="WJ9" s="6"/>
      <c r="WL9" s="6"/>
      <c r="WN9" s="6"/>
      <c r="WP9" s="6"/>
      <c r="WR9" s="6"/>
      <c r="WT9" s="6"/>
      <c r="WV9" s="6"/>
      <c r="WX9" s="6"/>
      <c r="WZ9" s="6"/>
      <c r="XB9" s="6"/>
      <c r="XD9" s="6"/>
      <c r="XF9" s="6"/>
      <c r="XH9" s="6"/>
      <c r="XJ9" s="6"/>
      <c r="XL9" s="6"/>
      <c r="XN9" s="6"/>
      <c r="XP9" s="6"/>
      <c r="XR9" s="6"/>
      <c r="XT9" s="6"/>
      <c r="XV9" s="6"/>
      <c r="XX9" s="6"/>
      <c r="XZ9" s="6"/>
      <c r="YB9" s="6"/>
      <c r="YD9" s="6"/>
      <c r="YF9" s="6"/>
      <c r="YH9" s="6"/>
      <c r="YJ9" s="6"/>
      <c r="YL9" s="6"/>
      <c r="YN9" s="6"/>
      <c r="YP9" s="6"/>
      <c r="YR9" s="6"/>
      <c r="YT9" s="6"/>
      <c r="YV9" s="6"/>
      <c r="YX9" s="6"/>
      <c r="YZ9" s="6"/>
      <c r="ZB9" s="6"/>
      <c r="ZD9" s="6"/>
      <c r="ZF9" s="6"/>
      <c r="ZH9" s="6"/>
      <c r="ZJ9" s="6"/>
      <c r="ZL9" s="6"/>
      <c r="ZN9" s="6"/>
      <c r="ZP9" s="6"/>
      <c r="ZR9" s="6"/>
      <c r="ZT9" s="6"/>
      <c r="ZV9" s="6"/>
      <c r="ZX9" s="6"/>
      <c r="ZZ9" s="6"/>
      <c r="AAB9" s="6"/>
      <c r="AAD9" s="6"/>
      <c r="AAF9" s="6"/>
      <c r="AAH9" s="6"/>
      <c r="AAJ9" s="6"/>
      <c r="AAL9" s="6"/>
      <c r="AAN9" s="6"/>
      <c r="AAP9" s="6"/>
      <c r="AAR9" s="6"/>
      <c r="AAT9" s="6"/>
      <c r="AAV9" s="6"/>
      <c r="AAX9" s="6"/>
      <c r="AAZ9" s="6"/>
      <c r="ABB9" s="6"/>
      <c r="ABD9" s="6"/>
      <c r="ABF9" s="6"/>
      <c r="ABH9" s="6"/>
      <c r="ABJ9" s="6"/>
      <c r="ABL9" s="6"/>
      <c r="ABN9" s="6"/>
      <c r="ABP9" s="6"/>
      <c r="ABR9" s="6"/>
      <c r="ABT9" s="6"/>
      <c r="ABV9" s="6"/>
      <c r="ABX9" s="6"/>
      <c r="ABZ9" s="6"/>
      <c r="ACB9" s="6"/>
      <c r="ACD9" s="6"/>
      <c r="ACF9" s="6"/>
      <c r="ACH9" s="6"/>
      <c r="ACJ9" s="6"/>
      <c r="ACL9" s="6"/>
      <c r="ACN9" s="6"/>
      <c r="ACP9" s="6"/>
      <c r="ACR9" s="6"/>
      <c r="ACT9" s="6"/>
      <c r="ACV9" s="6"/>
      <c r="ACX9" s="6"/>
      <c r="ACZ9" s="6"/>
      <c r="ADB9" s="6"/>
      <c r="ADD9" s="6"/>
      <c r="ADF9" s="6"/>
      <c r="ADH9" s="6"/>
      <c r="ADJ9" s="6"/>
      <c r="ADL9" s="6"/>
      <c r="ADN9" s="6"/>
      <c r="ADP9" s="6"/>
      <c r="ADR9" s="6"/>
      <c r="ADT9" s="6"/>
      <c r="ADV9" s="6"/>
      <c r="ADX9" s="6"/>
      <c r="ADZ9" s="6"/>
      <c r="AEB9" s="6"/>
      <c r="AED9" s="6"/>
      <c r="AEF9" s="6"/>
      <c r="AEH9" s="6"/>
      <c r="AEJ9" s="6"/>
      <c r="AEL9" s="6"/>
      <c r="AEN9" s="6"/>
      <c r="AEP9" s="6"/>
      <c r="AER9" s="6"/>
      <c r="AET9" s="6"/>
      <c r="AEV9" s="6"/>
      <c r="AEX9" s="6"/>
      <c r="AEZ9" s="6"/>
      <c r="AFB9" s="6"/>
      <c r="AFD9" s="6"/>
      <c r="AFF9" s="6"/>
      <c r="AFH9" s="6"/>
      <c r="AFJ9" s="6"/>
      <c r="AFL9" s="6"/>
      <c r="AFN9" s="6"/>
      <c r="AFP9" s="6"/>
      <c r="AFR9" s="6"/>
      <c r="AFT9" s="6"/>
      <c r="AFV9" s="6"/>
      <c r="AFX9" s="6"/>
      <c r="AFZ9" s="6"/>
      <c r="AGB9" s="6"/>
      <c r="AGD9" s="6"/>
      <c r="AGF9" s="6"/>
      <c r="AGH9" s="6"/>
      <c r="AGJ9" s="6"/>
      <c r="AGL9" s="6"/>
      <c r="AGN9" s="6"/>
      <c r="AGP9" s="6"/>
      <c r="AGR9" s="6"/>
      <c r="AGT9" s="6"/>
      <c r="AGV9" s="6"/>
      <c r="AGX9" s="6"/>
      <c r="AGZ9" s="6"/>
      <c r="AHB9" s="6"/>
      <c r="AHD9" s="6"/>
      <c r="AHF9" s="6"/>
      <c r="AHH9" s="6"/>
      <c r="AHJ9" s="6"/>
      <c r="AHL9" s="6"/>
      <c r="AHN9" s="6"/>
      <c r="AHP9" s="6"/>
      <c r="AHR9" s="6"/>
      <c r="AHT9" s="6"/>
      <c r="AHV9" s="6"/>
      <c r="AHX9" s="6"/>
      <c r="AHZ9" s="6"/>
      <c r="AIB9" s="6"/>
      <c r="AID9" s="6"/>
      <c r="AIF9" s="6"/>
      <c r="AIH9" s="6"/>
      <c r="AIJ9" s="6"/>
      <c r="AIL9" s="6"/>
      <c r="AIN9" s="6"/>
      <c r="AIP9" s="6"/>
      <c r="AIR9" s="6"/>
      <c r="AIT9" s="6"/>
      <c r="AIV9" s="6"/>
      <c r="AIX9" s="6"/>
      <c r="AIZ9" s="6"/>
      <c r="AJB9" s="6"/>
      <c r="AJD9" s="6"/>
      <c r="AJF9" s="6"/>
      <c r="AJH9" s="6"/>
      <c r="AJJ9" s="6"/>
      <c r="AJL9" s="6"/>
      <c r="AJN9" s="6"/>
      <c r="AJP9" s="6"/>
      <c r="AJR9" s="6"/>
      <c r="AJT9" s="6"/>
      <c r="AJV9" s="6"/>
      <c r="AJX9" s="6"/>
      <c r="AJZ9" s="6"/>
      <c r="AKB9" s="6"/>
      <c r="AKD9" s="6"/>
      <c r="AKF9" s="6"/>
      <c r="AKH9" s="6"/>
      <c r="AKJ9" s="6"/>
      <c r="AKL9" s="6"/>
      <c r="AKN9" s="6"/>
      <c r="AKP9" s="6"/>
      <c r="AKR9" s="6"/>
      <c r="AKT9" s="6"/>
      <c r="AKV9" s="6"/>
      <c r="AKX9" s="6"/>
      <c r="AKZ9" s="6"/>
      <c r="ALB9" s="6"/>
      <c r="ALD9" s="6"/>
      <c r="ALF9" s="6"/>
      <c r="ALH9" s="6"/>
      <c r="ALJ9" s="6"/>
      <c r="ALL9" s="6"/>
      <c r="ALN9" s="6"/>
      <c r="ALP9" s="6"/>
      <c r="ALR9" s="6"/>
      <c r="ALT9" s="6"/>
      <c r="ALV9" s="6"/>
      <c r="ALX9" s="6"/>
      <c r="ALZ9" s="6"/>
      <c r="AMB9" s="6"/>
      <c r="AMD9" s="6"/>
      <c r="AMF9" s="6"/>
      <c r="AMH9" s="6"/>
      <c r="AMJ9" s="6"/>
      <c r="AML9" s="6"/>
      <c r="AMN9" s="6"/>
      <c r="AMP9" s="6"/>
      <c r="AMR9" s="6"/>
      <c r="AMT9" s="6"/>
      <c r="AMV9" s="6"/>
      <c r="AMX9" s="6"/>
      <c r="AMZ9" s="6"/>
      <c r="ANB9" s="6"/>
      <c r="AND9" s="6"/>
      <c r="ANF9" s="6"/>
      <c r="ANH9" s="6"/>
      <c r="ANJ9" s="6"/>
      <c r="ANL9" s="6"/>
      <c r="ANN9" s="6"/>
      <c r="ANP9" s="6"/>
      <c r="ANR9" s="6"/>
      <c r="ANT9" s="6"/>
      <c r="ANV9" s="6"/>
      <c r="ANX9" s="6"/>
      <c r="ANZ9" s="6"/>
      <c r="AOB9" s="6"/>
      <c r="AOD9" s="6"/>
      <c r="AOF9" s="6"/>
      <c r="AOH9" s="6"/>
      <c r="AOJ9" s="6"/>
      <c r="AOL9" s="6"/>
      <c r="AON9" s="6"/>
      <c r="AOP9" s="6"/>
      <c r="AOR9" s="6"/>
      <c r="AOT9" s="6"/>
      <c r="AOV9" s="6"/>
      <c r="AOX9" s="6"/>
      <c r="AOZ9" s="6"/>
      <c r="APB9" s="6"/>
      <c r="APD9" s="6"/>
      <c r="APF9" s="6"/>
      <c r="APH9" s="6"/>
      <c r="APJ9" s="6"/>
      <c r="APL9" s="6"/>
      <c r="APN9" s="6"/>
      <c r="APP9" s="6"/>
      <c r="APR9" s="6"/>
      <c r="APT9" s="6"/>
      <c r="APV9" s="6"/>
      <c r="APX9" s="6"/>
      <c r="APZ9" s="6"/>
      <c r="AQB9" s="6"/>
      <c r="AQD9" s="6"/>
      <c r="AQF9" s="6"/>
      <c r="AQH9" s="6"/>
      <c r="AQJ9" s="6"/>
      <c r="AQL9" s="6"/>
      <c r="AQN9" s="6"/>
      <c r="AQP9" s="6"/>
      <c r="AQR9" s="6"/>
      <c r="AQT9" s="6"/>
      <c r="AQV9" s="6"/>
      <c r="AQX9" s="6"/>
      <c r="AQZ9" s="6"/>
      <c r="ARB9" s="6"/>
      <c r="ARD9" s="6"/>
      <c r="ARF9" s="6"/>
      <c r="ARH9" s="6"/>
      <c r="ARJ9" s="6"/>
      <c r="ARL9" s="6"/>
      <c r="ARN9" s="6"/>
      <c r="ARP9" s="6"/>
      <c r="ARR9" s="6"/>
      <c r="ART9" s="6"/>
      <c r="ARV9" s="6"/>
      <c r="ARX9" s="6"/>
      <c r="ARZ9" s="6"/>
      <c r="ASB9" s="6"/>
      <c r="ASD9" s="6"/>
      <c r="ASF9" s="6"/>
      <c r="ASH9" s="6"/>
      <c r="ASJ9" s="6"/>
      <c r="ASL9" s="6"/>
      <c r="ASN9" s="6"/>
      <c r="ASP9" s="6"/>
      <c r="ASR9" s="6"/>
      <c r="AST9" s="6"/>
      <c r="ASV9" s="6"/>
      <c r="ASX9" s="6"/>
      <c r="ASZ9" s="6"/>
      <c r="ATB9" s="6"/>
      <c r="ATD9" s="6"/>
      <c r="ATF9" s="6"/>
      <c r="ATH9" s="6"/>
      <c r="ATJ9" s="6"/>
      <c r="ATL9" s="6"/>
      <c r="ATN9" s="6"/>
      <c r="ATP9" s="6"/>
      <c r="ATR9" s="6"/>
      <c r="ATT9" s="6"/>
      <c r="ATV9" s="6"/>
      <c r="ATX9" s="6"/>
      <c r="ATZ9" s="6"/>
      <c r="AUB9" s="6"/>
      <c r="AUD9" s="6"/>
      <c r="AUF9" s="6"/>
      <c r="AUH9" s="6"/>
      <c r="AUJ9" s="6"/>
      <c r="AUL9" s="6"/>
      <c r="AUN9" s="6"/>
      <c r="AUP9" s="6"/>
      <c r="AUR9" s="6"/>
      <c r="AUT9" s="6"/>
      <c r="AUV9" s="6"/>
      <c r="AUX9" s="6"/>
      <c r="AUZ9" s="6"/>
      <c r="AVB9" s="6"/>
      <c r="AVD9" s="6"/>
      <c r="AVF9" s="6"/>
      <c r="AVH9" s="6"/>
      <c r="AVJ9" s="6"/>
      <c r="AVL9" s="6"/>
      <c r="AVN9" s="6"/>
      <c r="AVP9" s="6"/>
      <c r="AVR9" s="6"/>
      <c r="AVT9" s="6"/>
      <c r="AVV9" s="6"/>
      <c r="AVX9" s="6"/>
      <c r="AVZ9" s="6"/>
      <c r="AWB9" s="6"/>
      <c r="AWD9" s="6"/>
      <c r="AWF9" s="6"/>
      <c r="AWH9" s="6"/>
      <c r="AWJ9" s="6"/>
      <c r="AWL9" s="6"/>
      <c r="AWN9" s="6"/>
      <c r="AWP9" s="6"/>
      <c r="AWR9" s="6"/>
      <c r="AWT9" s="6"/>
      <c r="AWV9" s="6"/>
      <c r="AWX9" s="6"/>
      <c r="AWZ9" s="6"/>
      <c r="AXB9" s="6"/>
      <c r="AXD9" s="6"/>
      <c r="AXF9" s="6"/>
      <c r="AXH9" s="6"/>
      <c r="AXJ9" s="6"/>
      <c r="AXL9" s="6"/>
      <c r="AXN9" s="6"/>
      <c r="AXP9" s="6"/>
      <c r="AXR9" s="6"/>
      <c r="AXT9" s="6"/>
      <c r="AXV9" s="6"/>
      <c r="AXX9" s="6"/>
      <c r="AXZ9" s="6"/>
      <c r="AYB9" s="6"/>
      <c r="AYD9" s="6"/>
      <c r="AYF9" s="6"/>
      <c r="AYH9" s="6"/>
      <c r="AYJ9" s="6"/>
      <c r="AYL9" s="6"/>
      <c r="AYN9" s="6"/>
      <c r="AYP9" s="6"/>
      <c r="AYR9" s="6"/>
      <c r="AYT9" s="6"/>
      <c r="AYV9" s="6"/>
      <c r="AYX9" s="6"/>
      <c r="AYZ9" s="6"/>
      <c r="AZB9" s="6"/>
      <c r="AZD9" s="6"/>
      <c r="AZF9" s="6"/>
      <c r="AZH9" s="6"/>
      <c r="AZJ9" s="6"/>
      <c r="AZL9" s="6"/>
      <c r="AZN9" s="6"/>
      <c r="AZP9" s="6"/>
      <c r="AZR9" s="6"/>
      <c r="AZT9" s="6"/>
      <c r="AZV9" s="6"/>
      <c r="AZX9" s="6"/>
      <c r="AZZ9" s="6"/>
      <c r="BAB9" s="6"/>
      <c r="BAD9" s="6"/>
      <c r="BAF9" s="6"/>
      <c r="BAH9" s="6"/>
      <c r="BAJ9" s="6"/>
      <c r="BAL9" s="6"/>
      <c r="BAN9" s="6"/>
      <c r="BAP9" s="6"/>
      <c r="BAR9" s="6"/>
      <c r="BAT9" s="6"/>
      <c r="BAV9" s="6"/>
      <c r="BAX9" s="6"/>
      <c r="BAZ9" s="6"/>
      <c r="BBB9" s="6"/>
      <c r="BBD9" s="6"/>
      <c r="BBF9" s="6"/>
      <c r="BBH9" s="6"/>
      <c r="BBJ9" s="6"/>
      <c r="BBL9" s="6"/>
      <c r="BBN9" s="6"/>
      <c r="BBP9" s="6"/>
      <c r="BBR9" s="6"/>
      <c r="BBT9" s="6"/>
      <c r="BBV9" s="6"/>
      <c r="BBX9" s="6"/>
      <c r="BBZ9" s="6"/>
      <c r="BCB9" s="6"/>
      <c r="BCD9" s="6"/>
      <c r="BCF9" s="6"/>
      <c r="BCH9" s="6"/>
      <c r="BCJ9" s="6"/>
      <c r="BCL9" s="6"/>
      <c r="BCN9" s="6"/>
      <c r="BCP9" s="6"/>
      <c r="BCR9" s="6"/>
      <c r="BCT9" s="6"/>
      <c r="BCV9" s="6"/>
      <c r="BCX9" s="6"/>
      <c r="BCZ9" s="6"/>
      <c r="BDB9" s="6"/>
      <c r="BDD9" s="6"/>
      <c r="BDF9" s="6"/>
      <c r="BDH9" s="6"/>
      <c r="BDJ9" s="6"/>
      <c r="BDL9" s="6"/>
      <c r="BDN9" s="6"/>
      <c r="BDP9" s="6"/>
      <c r="BDR9" s="6"/>
      <c r="BDT9" s="6"/>
      <c r="BDV9" s="6"/>
      <c r="BDX9" s="6"/>
      <c r="BDZ9" s="6"/>
      <c r="BEB9" s="6"/>
      <c r="BED9" s="6"/>
      <c r="BEF9" s="6"/>
      <c r="BEH9" s="6"/>
      <c r="BEJ9" s="6"/>
      <c r="BEL9" s="6"/>
      <c r="BEN9" s="6"/>
      <c r="BEP9" s="6"/>
      <c r="BER9" s="6"/>
      <c r="BET9" s="6"/>
      <c r="BEV9" s="6"/>
      <c r="BEX9" s="6"/>
      <c r="BEZ9" s="6"/>
      <c r="BFB9" s="6"/>
      <c r="BFD9" s="6"/>
      <c r="BFF9" s="6"/>
      <c r="BFH9" s="6"/>
      <c r="BFJ9" s="6"/>
      <c r="BFL9" s="6"/>
      <c r="BFN9" s="6"/>
      <c r="BFP9" s="6"/>
      <c r="BFR9" s="6"/>
      <c r="BFT9" s="6"/>
      <c r="BFV9" s="6"/>
      <c r="BFX9" s="6"/>
      <c r="BFZ9" s="6"/>
      <c r="BGB9" s="6"/>
      <c r="BGD9" s="6"/>
      <c r="BGF9" s="6"/>
      <c r="BGH9" s="6"/>
      <c r="BGJ9" s="6"/>
      <c r="BGL9" s="6"/>
      <c r="BGN9" s="6"/>
      <c r="BGP9" s="6"/>
      <c r="BGR9" s="6"/>
      <c r="BGT9" s="6"/>
      <c r="BGV9" s="6"/>
      <c r="BGX9" s="6"/>
      <c r="BGZ9" s="6"/>
      <c r="BHB9" s="6"/>
      <c r="BHD9" s="6"/>
      <c r="BHF9" s="6"/>
      <c r="BHH9" s="6"/>
      <c r="BHJ9" s="6"/>
      <c r="BHL9" s="6"/>
      <c r="BHN9" s="6"/>
      <c r="BHP9" s="6"/>
      <c r="BHR9" s="6"/>
      <c r="BHT9" s="6"/>
      <c r="BHV9" s="6"/>
      <c r="BHX9" s="6"/>
      <c r="BHZ9" s="6"/>
      <c r="BIB9" s="6"/>
      <c r="BID9" s="6"/>
      <c r="BIF9" s="6"/>
      <c r="BIH9" s="6"/>
      <c r="BIJ9" s="6"/>
      <c r="BIL9" s="6"/>
      <c r="BIN9" s="6"/>
      <c r="BIP9" s="6"/>
      <c r="BIR9" s="6"/>
      <c r="BIT9" s="6"/>
      <c r="BIV9" s="6"/>
      <c r="BIX9" s="6"/>
      <c r="BIZ9" s="6"/>
      <c r="BJB9" s="6"/>
      <c r="BJD9" s="6"/>
      <c r="BJF9" s="6"/>
      <c r="BJH9" s="6"/>
      <c r="BJJ9" s="6"/>
      <c r="BJL9" s="6"/>
      <c r="BJN9" s="6"/>
      <c r="BJP9" s="6"/>
      <c r="BJR9" s="6"/>
      <c r="BJT9" s="6"/>
      <c r="BJV9" s="6"/>
      <c r="BJX9" s="6"/>
      <c r="BJZ9" s="6"/>
      <c r="BKB9" s="6"/>
      <c r="BKD9" s="6"/>
      <c r="BKF9" s="6"/>
      <c r="BKH9" s="6"/>
      <c r="BKJ9" s="6"/>
      <c r="BKL9" s="6"/>
      <c r="BKN9" s="6"/>
      <c r="BKP9" s="6"/>
      <c r="BKR9" s="6"/>
      <c r="BKT9" s="6"/>
      <c r="BKV9" s="6"/>
      <c r="BKX9" s="6"/>
      <c r="BKZ9" s="6"/>
      <c r="BLB9" s="6"/>
      <c r="BLD9" s="6"/>
      <c r="BLF9" s="6"/>
      <c r="BLH9" s="6"/>
      <c r="BLJ9" s="6"/>
      <c r="BLL9" s="6"/>
      <c r="BLN9" s="6"/>
      <c r="BLP9" s="6"/>
      <c r="BLR9" s="6"/>
      <c r="BLT9" s="6"/>
      <c r="BLV9" s="6"/>
      <c r="BLX9" s="6"/>
      <c r="BLZ9" s="6"/>
      <c r="BMB9" s="6"/>
      <c r="BMD9" s="6"/>
      <c r="BMF9" s="6"/>
      <c r="BMH9" s="6"/>
      <c r="BMJ9" s="6"/>
      <c r="BML9" s="6"/>
      <c r="BMN9" s="6"/>
      <c r="BMP9" s="6"/>
      <c r="BMR9" s="6"/>
      <c r="BMT9" s="6"/>
      <c r="BMV9" s="6"/>
      <c r="BMX9" s="6"/>
      <c r="BMZ9" s="6"/>
      <c r="BNB9" s="6"/>
      <c r="BND9" s="6"/>
      <c r="BNF9" s="6"/>
      <c r="BNH9" s="6"/>
      <c r="BNJ9" s="6"/>
      <c r="BNL9" s="6"/>
      <c r="BNN9" s="6"/>
      <c r="BNP9" s="6"/>
      <c r="BNR9" s="6"/>
      <c r="BNT9" s="6"/>
      <c r="BNV9" s="6"/>
      <c r="BNX9" s="6"/>
      <c r="BNZ9" s="6"/>
      <c r="BOB9" s="6"/>
      <c r="BOD9" s="6"/>
      <c r="BOF9" s="6"/>
      <c r="BOH9" s="6"/>
      <c r="BOJ9" s="6"/>
      <c r="BOL9" s="6"/>
      <c r="BON9" s="6"/>
      <c r="BOP9" s="6"/>
      <c r="BOR9" s="6"/>
      <c r="BOT9" s="6"/>
      <c r="BOV9" s="6"/>
      <c r="BOX9" s="6"/>
      <c r="BOZ9" s="6"/>
      <c r="BPB9" s="6"/>
      <c r="BPD9" s="6"/>
      <c r="BPF9" s="6"/>
      <c r="BPH9" s="6"/>
      <c r="BPJ9" s="6"/>
      <c r="BPL9" s="6"/>
      <c r="BPN9" s="6"/>
      <c r="BPP9" s="6"/>
      <c r="BPR9" s="6"/>
      <c r="BPT9" s="6"/>
      <c r="BPV9" s="6"/>
      <c r="BPX9" s="6"/>
      <c r="BPZ9" s="6"/>
      <c r="BQB9" s="6"/>
      <c r="BQD9" s="6"/>
      <c r="BQF9" s="6"/>
      <c r="BQH9" s="6"/>
      <c r="BQJ9" s="6"/>
      <c r="BQL9" s="6"/>
      <c r="BQN9" s="6"/>
      <c r="BQP9" s="6"/>
      <c r="BQR9" s="6"/>
      <c r="BQT9" s="6"/>
      <c r="BQV9" s="6"/>
      <c r="BQX9" s="6"/>
      <c r="BQZ9" s="6"/>
      <c r="BRB9" s="6"/>
      <c r="BRD9" s="6"/>
      <c r="BRF9" s="6"/>
      <c r="BRH9" s="6"/>
      <c r="BRJ9" s="6"/>
      <c r="BRL9" s="6"/>
      <c r="BRN9" s="6"/>
      <c r="BRP9" s="6"/>
      <c r="BRR9" s="6"/>
      <c r="BRT9" s="6"/>
      <c r="BRV9" s="6"/>
      <c r="BRX9" s="6"/>
      <c r="BRZ9" s="6"/>
      <c r="BSB9" s="6"/>
      <c r="BSD9" s="6"/>
      <c r="BSF9" s="6"/>
      <c r="BSH9" s="6"/>
      <c r="BSJ9" s="6"/>
      <c r="BSL9" s="6"/>
      <c r="BSN9" s="6"/>
      <c r="BSP9" s="6"/>
      <c r="BSR9" s="6"/>
      <c r="BST9" s="6"/>
      <c r="BSV9" s="6"/>
      <c r="BSX9" s="6"/>
      <c r="BSZ9" s="6"/>
      <c r="BTB9" s="6"/>
      <c r="BTD9" s="6"/>
      <c r="BTF9" s="6"/>
      <c r="BTH9" s="6"/>
      <c r="BTJ9" s="6"/>
      <c r="BTL9" s="6"/>
      <c r="BTN9" s="6"/>
      <c r="BTP9" s="6"/>
      <c r="BTR9" s="6"/>
      <c r="BTT9" s="6"/>
      <c r="BTV9" s="6"/>
      <c r="BTX9" s="6"/>
      <c r="BTZ9" s="6"/>
      <c r="BUB9" s="6"/>
      <c r="BUD9" s="6"/>
      <c r="BUF9" s="6"/>
      <c r="BUH9" s="6"/>
      <c r="BUJ9" s="6"/>
      <c r="BUL9" s="6"/>
      <c r="BUN9" s="6"/>
      <c r="BUP9" s="6"/>
      <c r="BUR9" s="6"/>
      <c r="BUT9" s="6"/>
      <c r="BUV9" s="6"/>
      <c r="BUX9" s="6"/>
      <c r="BUZ9" s="6"/>
      <c r="BVB9" s="6"/>
      <c r="BVD9" s="6"/>
      <c r="BVF9" s="6"/>
      <c r="BVH9" s="6"/>
      <c r="BVJ9" s="6"/>
      <c r="BVL9" s="6"/>
      <c r="BVN9" s="6"/>
      <c r="BVP9" s="6"/>
      <c r="BVR9" s="6"/>
      <c r="BVT9" s="6"/>
      <c r="BVV9" s="6"/>
      <c r="BVX9" s="6"/>
      <c r="BVZ9" s="6"/>
      <c r="BWB9" s="6"/>
      <c r="BWD9" s="6"/>
      <c r="BWF9" s="6"/>
      <c r="BWH9" s="6"/>
      <c r="BWJ9" s="6"/>
      <c r="BWL9" s="6"/>
      <c r="BWN9" s="6"/>
      <c r="BWP9" s="6"/>
      <c r="BWR9" s="6"/>
      <c r="BWT9" s="6"/>
      <c r="BWV9" s="6"/>
      <c r="BWX9" s="6"/>
      <c r="BWZ9" s="6"/>
      <c r="BXB9" s="6"/>
      <c r="BXD9" s="6"/>
      <c r="BXF9" s="6"/>
      <c r="BXH9" s="6"/>
      <c r="BXJ9" s="6"/>
      <c r="BXL9" s="6"/>
      <c r="BXN9" s="6"/>
      <c r="BXP9" s="6"/>
      <c r="BXR9" s="6"/>
      <c r="BXT9" s="6"/>
      <c r="BXV9" s="6"/>
      <c r="BXX9" s="6"/>
      <c r="BXZ9" s="6"/>
      <c r="BYB9" s="6"/>
      <c r="BYD9" s="6"/>
      <c r="BYF9" s="6"/>
      <c r="BYH9" s="6"/>
      <c r="BYJ9" s="6"/>
      <c r="BYL9" s="6"/>
      <c r="BYN9" s="6"/>
      <c r="BYP9" s="6"/>
      <c r="BYR9" s="6"/>
      <c r="BYT9" s="6"/>
      <c r="BYV9" s="6"/>
      <c r="BYX9" s="6"/>
      <c r="BYZ9" s="6"/>
      <c r="BZB9" s="6"/>
      <c r="BZD9" s="6"/>
      <c r="BZF9" s="6"/>
      <c r="BZH9" s="6"/>
      <c r="BZJ9" s="6"/>
      <c r="BZL9" s="6"/>
      <c r="BZN9" s="6"/>
      <c r="BZP9" s="6"/>
      <c r="BZR9" s="6"/>
      <c r="BZT9" s="6"/>
      <c r="BZV9" s="6"/>
      <c r="BZX9" s="6"/>
      <c r="BZZ9" s="6"/>
      <c r="CAB9" s="6"/>
      <c r="CAD9" s="6"/>
      <c r="CAF9" s="6"/>
      <c r="CAH9" s="6"/>
      <c r="CAJ9" s="6"/>
      <c r="CAL9" s="6"/>
      <c r="CAN9" s="6"/>
      <c r="CAP9" s="6"/>
      <c r="CAR9" s="6"/>
      <c r="CAT9" s="6"/>
      <c r="CAV9" s="6"/>
      <c r="CAX9" s="6"/>
      <c r="CAZ9" s="6"/>
      <c r="CBB9" s="6"/>
      <c r="CBD9" s="6"/>
      <c r="CBF9" s="6"/>
      <c r="CBH9" s="6"/>
      <c r="CBJ9" s="6"/>
      <c r="CBL9" s="6"/>
      <c r="CBN9" s="6"/>
      <c r="CBP9" s="6"/>
      <c r="CBR9" s="6"/>
      <c r="CBT9" s="6"/>
      <c r="CBV9" s="6"/>
      <c r="CBX9" s="6"/>
      <c r="CBZ9" s="6"/>
      <c r="CCB9" s="6"/>
      <c r="CCD9" s="6"/>
      <c r="CCF9" s="6"/>
      <c r="CCH9" s="6"/>
      <c r="CCJ9" s="6"/>
      <c r="CCL9" s="6"/>
      <c r="CCN9" s="6"/>
      <c r="CCP9" s="6"/>
      <c r="CCR9" s="6"/>
      <c r="CCT9" s="6"/>
      <c r="CCV9" s="6"/>
      <c r="CCX9" s="6"/>
      <c r="CCZ9" s="6"/>
      <c r="CDB9" s="6"/>
      <c r="CDD9" s="6"/>
      <c r="CDF9" s="6"/>
      <c r="CDH9" s="6"/>
      <c r="CDJ9" s="6"/>
      <c r="CDL9" s="6"/>
      <c r="CDN9" s="6"/>
      <c r="CDP9" s="6"/>
      <c r="CDR9" s="6"/>
      <c r="CDT9" s="6"/>
      <c r="CDV9" s="6"/>
      <c r="CDX9" s="6"/>
      <c r="CDZ9" s="6"/>
      <c r="CEB9" s="6"/>
      <c r="CED9" s="6"/>
      <c r="CEF9" s="6"/>
      <c r="CEH9" s="6"/>
      <c r="CEJ9" s="6"/>
      <c r="CEL9" s="6"/>
      <c r="CEN9" s="6"/>
      <c r="CEP9" s="6"/>
      <c r="CER9" s="6"/>
      <c r="CET9" s="6"/>
      <c r="CEV9" s="6"/>
      <c r="CEX9" s="6"/>
      <c r="CEZ9" s="6"/>
      <c r="CFB9" s="6"/>
      <c r="CFD9" s="6"/>
      <c r="CFF9" s="6"/>
      <c r="CFH9" s="6"/>
      <c r="CFJ9" s="6"/>
      <c r="CFL9" s="6"/>
      <c r="CFN9" s="6"/>
      <c r="CFP9" s="6"/>
      <c r="CFR9" s="6"/>
      <c r="CFT9" s="6"/>
      <c r="CFV9" s="6"/>
      <c r="CFX9" s="6"/>
      <c r="CFZ9" s="6"/>
      <c r="CGB9" s="6"/>
      <c r="CGD9" s="6"/>
      <c r="CGF9" s="6"/>
      <c r="CGH9" s="6"/>
      <c r="CGJ9" s="6"/>
      <c r="CGL9" s="6"/>
      <c r="CGN9" s="6"/>
      <c r="CGP9" s="6"/>
      <c r="CGR9" s="6"/>
      <c r="CGT9" s="6"/>
      <c r="CGV9" s="6"/>
      <c r="CGX9" s="6"/>
      <c r="CGZ9" s="6"/>
      <c r="CHB9" s="6"/>
      <c r="CHD9" s="6"/>
      <c r="CHF9" s="6"/>
      <c r="CHH9" s="6"/>
      <c r="CHJ9" s="6"/>
      <c r="CHL9" s="6"/>
      <c r="CHN9" s="6"/>
      <c r="CHP9" s="6"/>
      <c r="CHR9" s="6"/>
      <c r="CHT9" s="6"/>
      <c r="CHV9" s="6"/>
      <c r="CHX9" s="6"/>
      <c r="CHZ9" s="6"/>
      <c r="CIB9" s="6"/>
      <c r="CID9" s="6"/>
      <c r="CIF9" s="6"/>
      <c r="CIH9" s="6"/>
      <c r="CIJ9" s="6"/>
      <c r="CIL9" s="6"/>
      <c r="CIN9" s="6"/>
      <c r="CIP9" s="6"/>
      <c r="CIR9" s="6"/>
      <c r="CIT9" s="6"/>
      <c r="CIV9" s="6"/>
      <c r="CIX9" s="6"/>
      <c r="CIZ9" s="6"/>
      <c r="CJB9" s="6"/>
      <c r="CJD9" s="6"/>
      <c r="CJF9" s="6"/>
      <c r="CJH9" s="6"/>
      <c r="CJJ9" s="6"/>
      <c r="CJL9" s="6"/>
      <c r="CJN9" s="6"/>
      <c r="CJP9" s="6"/>
      <c r="CJR9" s="6"/>
      <c r="CJT9" s="6"/>
      <c r="CJV9" s="6"/>
      <c r="CJX9" s="6"/>
      <c r="CJZ9" s="6"/>
      <c r="CKB9" s="6"/>
      <c r="CKD9" s="6"/>
      <c r="CKF9" s="6"/>
      <c r="CKH9" s="6"/>
      <c r="CKJ9" s="6"/>
      <c r="CKL9" s="6"/>
      <c r="CKN9" s="6"/>
      <c r="CKP9" s="6"/>
      <c r="CKR9" s="6"/>
      <c r="CKT9" s="6"/>
      <c r="CKV9" s="6"/>
      <c r="CKX9" s="6"/>
      <c r="CKZ9" s="6"/>
      <c r="CLB9" s="6"/>
      <c r="CLD9" s="6"/>
      <c r="CLF9" s="6"/>
      <c r="CLH9" s="6"/>
      <c r="CLJ9" s="6"/>
      <c r="CLL9" s="6"/>
      <c r="CLN9" s="6"/>
      <c r="CLP9" s="6"/>
      <c r="CLR9" s="6"/>
      <c r="CLT9" s="6"/>
      <c r="CLV9" s="6"/>
      <c r="CLX9" s="6"/>
      <c r="CLZ9" s="6"/>
      <c r="CMB9" s="6"/>
      <c r="CMD9" s="6"/>
      <c r="CMF9" s="6"/>
      <c r="CMH9" s="6"/>
      <c r="CMJ9" s="6"/>
      <c r="CML9" s="6"/>
      <c r="CMN9" s="6"/>
      <c r="CMP9" s="6"/>
      <c r="CMR9" s="6"/>
      <c r="CMT9" s="6"/>
      <c r="CMV9" s="6"/>
      <c r="CMX9" s="6"/>
      <c r="CMZ9" s="6"/>
      <c r="CNB9" s="6"/>
      <c r="CND9" s="6"/>
      <c r="CNF9" s="6"/>
      <c r="CNH9" s="6"/>
      <c r="CNJ9" s="6"/>
      <c r="CNL9" s="6"/>
      <c r="CNN9" s="6"/>
      <c r="CNP9" s="6"/>
      <c r="CNR9" s="6"/>
      <c r="CNT9" s="6"/>
      <c r="CNV9" s="6"/>
      <c r="CNX9" s="6"/>
      <c r="CNZ9" s="6"/>
      <c r="COB9" s="6"/>
      <c r="COD9" s="6"/>
      <c r="COF9" s="6"/>
      <c r="COH9" s="6"/>
      <c r="COJ9" s="6"/>
      <c r="COL9" s="6"/>
      <c r="CON9" s="6"/>
      <c r="COP9" s="6"/>
      <c r="COR9" s="6"/>
      <c r="COT9" s="6"/>
      <c r="COV9" s="6"/>
      <c r="COX9" s="6"/>
      <c r="COZ9" s="6"/>
      <c r="CPB9" s="6"/>
      <c r="CPD9" s="6"/>
      <c r="CPF9" s="6"/>
      <c r="CPH9" s="6"/>
      <c r="CPJ9" s="6"/>
      <c r="CPL9" s="6"/>
      <c r="CPN9" s="6"/>
      <c r="CPP9" s="6"/>
      <c r="CPR9" s="6"/>
      <c r="CPT9" s="6"/>
      <c r="CPV9" s="6"/>
      <c r="CPX9" s="6"/>
      <c r="CPZ9" s="6"/>
      <c r="CQB9" s="6"/>
      <c r="CQD9" s="6"/>
      <c r="CQF9" s="6"/>
      <c r="CQH9" s="6"/>
      <c r="CQJ9" s="6"/>
      <c r="CQL9" s="6"/>
      <c r="CQN9" s="6"/>
      <c r="CQP9" s="6"/>
      <c r="CQR9" s="6"/>
      <c r="CQT9" s="6"/>
      <c r="CQV9" s="6"/>
      <c r="CQX9" s="6"/>
      <c r="CQZ9" s="6"/>
      <c r="CRB9" s="6"/>
      <c r="CRD9" s="6"/>
      <c r="CRF9" s="6"/>
      <c r="CRH9" s="6"/>
      <c r="CRJ9" s="6"/>
      <c r="CRL9" s="6"/>
      <c r="CRN9" s="6"/>
      <c r="CRP9" s="6"/>
      <c r="CRR9" s="6"/>
      <c r="CRT9" s="6"/>
      <c r="CRV9" s="6"/>
      <c r="CRX9" s="6"/>
      <c r="CRZ9" s="6"/>
      <c r="CSB9" s="6"/>
      <c r="CSD9" s="6"/>
      <c r="CSF9" s="6"/>
      <c r="CSH9" s="6"/>
      <c r="CSJ9" s="6"/>
      <c r="CSL9" s="6"/>
      <c r="CSN9" s="6"/>
      <c r="CSP9" s="6"/>
      <c r="CSR9" s="6"/>
      <c r="CST9" s="6"/>
      <c r="CSV9" s="6"/>
      <c r="CSX9" s="6"/>
      <c r="CSZ9" s="6"/>
      <c r="CTB9" s="6"/>
      <c r="CTD9" s="6"/>
      <c r="CTF9" s="6"/>
      <c r="CTH9" s="6"/>
      <c r="CTJ9" s="6"/>
      <c r="CTL9" s="6"/>
      <c r="CTN9" s="6"/>
      <c r="CTP9" s="6"/>
      <c r="CTR9" s="6"/>
      <c r="CTT9" s="6"/>
      <c r="CTV9" s="6"/>
      <c r="CTX9" s="6"/>
      <c r="CTZ9" s="6"/>
      <c r="CUB9" s="6"/>
      <c r="CUD9" s="6"/>
      <c r="CUF9" s="6"/>
      <c r="CUH9" s="6"/>
      <c r="CUJ9" s="6"/>
      <c r="CUL9" s="6"/>
      <c r="CUN9" s="6"/>
      <c r="CUP9" s="6"/>
      <c r="CUR9" s="6"/>
      <c r="CUT9" s="6"/>
      <c r="CUV9" s="6"/>
      <c r="CUX9" s="6"/>
      <c r="CUZ9" s="6"/>
      <c r="CVB9" s="6"/>
      <c r="CVD9" s="6"/>
      <c r="CVF9" s="6"/>
      <c r="CVH9" s="6"/>
      <c r="CVJ9" s="6"/>
      <c r="CVL9" s="6"/>
      <c r="CVN9" s="6"/>
      <c r="CVP9" s="6"/>
      <c r="CVR9" s="6"/>
      <c r="CVT9" s="6"/>
      <c r="CVV9" s="6"/>
      <c r="CVX9" s="6"/>
      <c r="CVZ9" s="6"/>
      <c r="CWB9" s="6"/>
      <c r="CWD9" s="6"/>
      <c r="CWF9" s="6"/>
      <c r="CWH9" s="6"/>
      <c r="CWJ9" s="6"/>
      <c r="CWL9" s="6"/>
      <c r="CWN9" s="6"/>
      <c r="CWP9" s="6"/>
      <c r="CWR9" s="6"/>
      <c r="CWT9" s="6"/>
      <c r="CWV9" s="6"/>
      <c r="CWX9" s="6"/>
      <c r="CWZ9" s="6"/>
      <c r="CXB9" s="6"/>
      <c r="CXD9" s="6"/>
      <c r="CXF9" s="6"/>
      <c r="CXH9" s="6"/>
      <c r="CXJ9" s="6"/>
      <c r="CXL9" s="6"/>
      <c r="CXN9" s="6"/>
      <c r="CXP9" s="6"/>
      <c r="CXR9" s="6"/>
      <c r="CXT9" s="6"/>
      <c r="CXV9" s="6"/>
      <c r="CXX9" s="6"/>
      <c r="CXZ9" s="6"/>
      <c r="CYB9" s="6"/>
      <c r="CYD9" s="6"/>
      <c r="CYF9" s="6"/>
      <c r="CYH9" s="6"/>
      <c r="CYJ9" s="6"/>
      <c r="CYL9" s="6"/>
      <c r="CYN9" s="6"/>
      <c r="CYP9" s="6"/>
      <c r="CYR9" s="6"/>
      <c r="CYT9" s="6"/>
      <c r="CYV9" s="6"/>
      <c r="CYX9" s="6"/>
      <c r="CYZ9" s="6"/>
      <c r="CZB9" s="6"/>
      <c r="CZD9" s="6"/>
      <c r="CZF9" s="6"/>
      <c r="CZH9" s="6"/>
      <c r="CZJ9" s="6"/>
      <c r="CZL9" s="6"/>
      <c r="CZN9" s="6"/>
      <c r="CZP9" s="6"/>
      <c r="CZR9" s="6"/>
      <c r="CZT9" s="6"/>
      <c r="CZV9" s="6"/>
      <c r="CZX9" s="6"/>
      <c r="CZZ9" s="6"/>
      <c r="DAB9" s="6"/>
      <c r="DAD9" s="6"/>
      <c r="DAF9" s="6"/>
      <c r="DAH9" s="6"/>
      <c r="DAJ9" s="6"/>
      <c r="DAL9" s="6"/>
      <c r="DAN9" s="6"/>
      <c r="DAP9" s="6"/>
      <c r="DAR9" s="6"/>
      <c r="DAT9" s="6"/>
      <c r="DAV9" s="6"/>
      <c r="DAX9" s="6"/>
      <c r="DAZ9" s="6"/>
      <c r="DBB9" s="6"/>
      <c r="DBD9" s="6"/>
      <c r="DBF9" s="6"/>
      <c r="DBH9" s="6"/>
      <c r="DBJ9" s="6"/>
      <c r="DBL9" s="6"/>
      <c r="DBN9" s="6"/>
      <c r="DBP9" s="6"/>
      <c r="DBR9" s="6"/>
      <c r="DBT9" s="6"/>
      <c r="DBV9" s="6"/>
      <c r="DBX9" s="6"/>
      <c r="DBZ9" s="6"/>
      <c r="DCB9" s="6"/>
      <c r="DCD9" s="6"/>
      <c r="DCF9" s="6"/>
      <c r="DCH9" s="6"/>
      <c r="DCJ9" s="6"/>
      <c r="DCL9" s="6"/>
      <c r="DCN9" s="6"/>
      <c r="DCP9" s="6"/>
      <c r="DCR9" s="6"/>
      <c r="DCT9" s="6"/>
      <c r="DCV9" s="6"/>
      <c r="DCX9" s="6"/>
      <c r="DCZ9" s="6"/>
      <c r="DDB9" s="6"/>
      <c r="DDD9" s="6"/>
      <c r="DDF9" s="6"/>
      <c r="DDH9" s="6"/>
      <c r="DDJ9" s="6"/>
      <c r="DDL9" s="6"/>
      <c r="DDN9" s="6"/>
      <c r="DDP9" s="6"/>
      <c r="DDR9" s="6"/>
      <c r="DDT9" s="6"/>
      <c r="DDV9" s="6"/>
      <c r="DDX9" s="6"/>
      <c r="DDZ9" s="6"/>
      <c r="DEB9" s="6"/>
      <c r="DED9" s="6"/>
      <c r="DEF9" s="6"/>
      <c r="DEH9" s="6"/>
      <c r="DEJ9" s="6"/>
      <c r="DEL9" s="6"/>
      <c r="DEN9" s="6"/>
      <c r="DEP9" s="6"/>
      <c r="DER9" s="6"/>
      <c r="DET9" s="6"/>
      <c r="DEV9" s="6"/>
      <c r="DEX9" s="6"/>
      <c r="DEZ9" s="6"/>
      <c r="DFB9" s="6"/>
      <c r="DFD9" s="6"/>
      <c r="DFF9" s="6"/>
      <c r="DFH9" s="6"/>
      <c r="DFJ9" s="6"/>
      <c r="DFL9" s="6"/>
      <c r="DFN9" s="6"/>
      <c r="DFP9" s="6"/>
      <c r="DFR9" s="6"/>
      <c r="DFT9" s="6"/>
      <c r="DFV9" s="6"/>
      <c r="DFX9" s="6"/>
      <c r="DFZ9" s="6"/>
      <c r="DGB9" s="6"/>
      <c r="DGD9" s="6"/>
      <c r="DGF9" s="6"/>
      <c r="DGH9" s="6"/>
      <c r="DGJ9" s="6"/>
      <c r="DGL9" s="6"/>
      <c r="DGN9" s="6"/>
      <c r="DGP9" s="6"/>
      <c r="DGR9" s="6"/>
      <c r="DGT9" s="6"/>
      <c r="DGV9" s="6"/>
      <c r="DGX9" s="6"/>
      <c r="DGZ9" s="6"/>
      <c r="DHB9" s="6"/>
      <c r="DHD9" s="6"/>
      <c r="DHF9" s="6"/>
      <c r="DHH9" s="6"/>
      <c r="DHJ9" s="6"/>
      <c r="DHL9" s="6"/>
      <c r="DHN9" s="6"/>
      <c r="DHP9" s="6"/>
      <c r="DHR9" s="6"/>
      <c r="DHT9" s="6"/>
      <c r="DHV9" s="6"/>
      <c r="DHX9" s="6"/>
      <c r="DHZ9" s="6"/>
      <c r="DIB9" s="6"/>
      <c r="DID9" s="6"/>
      <c r="DIF9" s="6"/>
      <c r="DIH9" s="6"/>
      <c r="DIJ9" s="6"/>
      <c r="DIL9" s="6"/>
      <c r="DIN9" s="6"/>
      <c r="DIP9" s="6"/>
      <c r="DIR9" s="6"/>
      <c r="DIT9" s="6"/>
      <c r="DIV9" s="6"/>
      <c r="DIX9" s="6"/>
      <c r="DIZ9" s="6"/>
      <c r="DJB9" s="6"/>
      <c r="DJD9" s="6"/>
      <c r="DJF9" s="6"/>
      <c r="DJH9" s="6"/>
      <c r="DJJ9" s="6"/>
      <c r="DJL9" s="6"/>
      <c r="DJN9" s="6"/>
      <c r="DJP9" s="6"/>
      <c r="DJR9" s="6"/>
      <c r="DJT9" s="6"/>
      <c r="DJV9" s="6"/>
      <c r="DJX9" s="6"/>
      <c r="DJZ9" s="6"/>
      <c r="DKB9" s="6"/>
      <c r="DKD9" s="6"/>
      <c r="DKF9" s="6"/>
      <c r="DKH9" s="6"/>
      <c r="DKJ9" s="6"/>
      <c r="DKL9" s="6"/>
      <c r="DKN9" s="6"/>
      <c r="DKP9" s="6"/>
      <c r="DKR9" s="6"/>
      <c r="DKT9" s="6"/>
      <c r="DKV9" s="6"/>
      <c r="DKX9" s="6"/>
      <c r="DKZ9" s="6"/>
      <c r="DLB9" s="6"/>
      <c r="DLD9" s="6"/>
      <c r="DLF9" s="6"/>
      <c r="DLH9" s="6"/>
      <c r="DLJ9" s="6"/>
      <c r="DLL9" s="6"/>
      <c r="DLN9" s="6"/>
      <c r="DLP9" s="6"/>
      <c r="DLR9" s="6"/>
      <c r="DLT9" s="6"/>
      <c r="DLV9" s="6"/>
      <c r="DLX9" s="6"/>
      <c r="DLZ9" s="6"/>
      <c r="DMB9" s="6"/>
      <c r="DMD9" s="6"/>
      <c r="DMF9" s="6"/>
      <c r="DMH9" s="6"/>
      <c r="DMJ9" s="6"/>
      <c r="DML9" s="6"/>
      <c r="DMN9" s="6"/>
      <c r="DMP9" s="6"/>
      <c r="DMR9" s="6"/>
      <c r="DMT9" s="6"/>
      <c r="DMV9" s="6"/>
      <c r="DMX9" s="6"/>
      <c r="DMZ9" s="6"/>
      <c r="DNB9" s="6"/>
      <c r="DND9" s="6"/>
      <c r="DNF9" s="6"/>
      <c r="DNH9" s="6"/>
      <c r="DNJ9" s="6"/>
      <c r="DNL9" s="6"/>
      <c r="DNN9" s="6"/>
      <c r="DNP9" s="6"/>
      <c r="DNR9" s="6"/>
      <c r="DNT9" s="6"/>
      <c r="DNV9" s="6"/>
      <c r="DNX9" s="6"/>
      <c r="DNZ9" s="6"/>
      <c r="DOB9" s="6"/>
      <c r="DOD9" s="6"/>
      <c r="DOF9" s="6"/>
      <c r="DOH9" s="6"/>
      <c r="DOJ9" s="6"/>
      <c r="DOL9" s="6"/>
      <c r="DON9" s="6"/>
      <c r="DOP9" s="6"/>
      <c r="DOR9" s="6"/>
      <c r="DOT9" s="6"/>
      <c r="DOV9" s="6"/>
      <c r="DOX9" s="6"/>
      <c r="DOZ9" s="6"/>
      <c r="DPB9" s="6"/>
      <c r="DPD9" s="6"/>
      <c r="DPF9" s="6"/>
      <c r="DPH9" s="6"/>
      <c r="DPJ9" s="6"/>
      <c r="DPL9" s="6"/>
      <c r="DPN9" s="6"/>
      <c r="DPP9" s="6"/>
      <c r="DPR9" s="6"/>
      <c r="DPT9" s="6"/>
      <c r="DPV9" s="6"/>
      <c r="DPX9" s="6"/>
      <c r="DPZ9" s="6"/>
      <c r="DQB9" s="6"/>
      <c r="DQD9" s="6"/>
      <c r="DQF9" s="6"/>
      <c r="DQH9" s="6"/>
      <c r="DQJ9" s="6"/>
      <c r="DQL9" s="6"/>
      <c r="DQN9" s="6"/>
      <c r="DQP9" s="6"/>
      <c r="DQR9" s="6"/>
      <c r="DQT9" s="6"/>
      <c r="DQV9" s="6"/>
      <c r="DQX9" s="6"/>
      <c r="DQZ9" s="6"/>
      <c r="DRB9" s="6"/>
      <c r="DRD9" s="6"/>
      <c r="DRF9" s="6"/>
      <c r="DRH9" s="6"/>
      <c r="DRJ9" s="6"/>
      <c r="DRL9" s="6"/>
      <c r="DRN9" s="6"/>
      <c r="DRP9" s="6"/>
      <c r="DRR9" s="6"/>
      <c r="DRT9" s="6"/>
      <c r="DRV9" s="6"/>
      <c r="DRX9" s="6"/>
      <c r="DRZ9" s="6"/>
      <c r="DSB9" s="6"/>
      <c r="DSD9" s="6"/>
      <c r="DSF9" s="6"/>
      <c r="DSH9" s="6"/>
      <c r="DSJ9" s="6"/>
      <c r="DSL9" s="6"/>
      <c r="DSN9" s="6"/>
      <c r="DSP9" s="6"/>
      <c r="DSR9" s="6"/>
      <c r="DST9" s="6"/>
      <c r="DSV9" s="6"/>
      <c r="DSX9" s="6"/>
      <c r="DSZ9" s="6"/>
      <c r="DTB9" s="6"/>
      <c r="DTD9" s="6"/>
      <c r="DTF9" s="6"/>
      <c r="DTH9" s="6"/>
      <c r="DTJ9" s="6"/>
      <c r="DTL9" s="6"/>
      <c r="DTN9" s="6"/>
      <c r="DTP9" s="6"/>
      <c r="DTR9" s="6"/>
      <c r="DTT9" s="6"/>
      <c r="DTV9" s="6"/>
      <c r="DTX9" s="6"/>
      <c r="DTZ9" s="6"/>
      <c r="DUB9" s="6"/>
      <c r="DUD9" s="6"/>
      <c r="DUF9" s="6"/>
      <c r="DUH9" s="6"/>
      <c r="DUJ9" s="6"/>
      <c r="DUL9" s="6"/>
      <c r="DUN9" s="6"/>
      <c r="DUP9" s="6"/>
      <c r="DUR9" s="6"/>
      <c r="DUT9" s="6"/>
      <c r="DUV9" s="6"/>
      <c r="DUX9" s="6"/>
      <c r="DUZ9" s="6"/>
      <c r="DVB9" s="6"/>
      <c r="DVD9" s="6"/>
      <c r="DVF9" s="6"/>
      <c r="DVH9" s="6"/>
      <c r="DVJ9" s="6"/>
      <c r="DVL9" s="6"/>
      <c r="DVN9" s="6"/>
      <c r="DVP9" s="6"/>
      <c r="DVR9" s="6"/>
      <c r="DVT9" s="6"/>
      <c r="DVV9" s="6"/>
      <c r="DVX9" s="6"/>
      <c r="DVZ9" s="6"/>
      <c r="DWB9" s="6"/>
      <c r="DWD9" s="6"/>
      <c r="DWF9" s="6"/>
      <c r="DWH9" s="6"/>
      <c r="DWJ9" s="6"/>
      <c r="DWL9" s="6"/>
      <c r="DWN9" s="6"/>
      <c r="DWP9" s="6"/>
      <c r="DWR9" s="6"/>
      <c r="DWT9" s="6"/>
      <c r="DWV9" s="6"/>
      <c r="DWX9" s="6"/>
      <c r="DWZ9" s="6"/>
      <c r="DXB9" s="6"/>
      <c r="DXD9" s="6"/>
      <c r="DXF9" s="6"/>
      <c r="DXH9" s="6"/>
      <c r="DXJ9" s="6"/>
      <c r="DXL9" s="6"/>
      <c r="DXN9" s="6"/>
      <c r="DXP9" s="6"/>
      <c r="DXR9" s="6"/>
      <c r="DXT9" s="6"/>
      <c r="DXV9" s="6"/>
      <c r="DXX9" s="6"/>
      <c r="DXZ9" s="6"/>
      <c r="DYB9" s="6"/>
      <c r="DYD9" s="6"/>
      <c r="DYF9" s="6"/>
      <c r="DYH9" s="6"/>
      <c r="DYJ9" s="6"/>
      <c r="DYL9" s="6"/>
      <c r="DYN9" s="6"/>
      <c r="DYP9" s="6"/>
      <c r="DYR9" s="6"/>
      <c r="DYT9" s="6"/>
      <c r="DYV9" s="6"/>
      <c r="DYX9" s="6"/>
      <c r="DYZ9" s="6"/>
      <c r="DZB9" s="6"/>
      <c r="DZD9" s="6"/>
      <c r="DZF9" s="6"/>
      <c r="DZH9" s="6"/>
      <c r="DZJ9" s="6"/>
      <c r="DZL9" s="6"/>
      <c r="DZN9" s="6"/>
      <c r="DZP9" s="6"/>
      <c r="DZR9" s="6"/>
      <c r="DZT9" s="6"/>
      <c r="DZV9" s="6"/>
      <c r="DZX9" s="6"/>
      <c r="DZZ9" s="6"/>
      <c r="EAB9" s="6"/>
      <c r="EAD9" s="6"/>
      <c r="EAF9" s="6"/>
      <c r="EAH9" s="6"/>
      <c r="EAJ9" s="6"/>
      <c r="EAL9" s="6"/>
      <c r="EAN9" s="6"/>
      <c r="EAP9" s="6"/>
      <c r="EAR9" s="6"/>
      <c r="EAT9" s="6"/>
      <c r="EAV9" s="6"/>
      <c r="EAX9" s="6"/>
      <c r="EAZ9" s="6"/>
      <c r="EBB9" s="6"/>
      <c r="EBD9" s="6"/>
      <c r="EBF9" s="6"/>
      <c r="EBH9" s="6"/>
      <c r="EBJ9" s="6"/>
      <c r="EBL9" s="6"/>
      <c r="EBN9" s="6"/>
      <c r="EBP9" s="6"/>
      <c r="EBR9" s="6"/>
      <c r="EBT9" s="6"/>
      <c r="EBV9" s="6"/>
      <c r="EBX9" s="6"/>
      <c r="EBZ9" s="6"/>
      <c r="ECB9" s="6"/>
      <c r="ECD9" s="6"/>
      <c r="ECF9" s="6"/>
      <c r="ECH9" s="6"/>
      <c r="ECJ9" s="6"/>
      <c r="ECL9" s="6"/>
      <c r="ECN9" s="6"/>
      <c r="ECP9" s="6"/>
      <c r="ECR9" s="6"/>
      <c r="ECT9" s="6"/>
      <c r="ECV9" s="6"/>
      <c r="ECX9" s="6"/>
      <c r="ECZ9" s="6"/>
      <c r="EDB9" s="6"/>
      <c r="EDD9" s="6"/>
      <c r="EDF9" s="6"/>
      <c r="EDH9" s="6"/>
      <c r="EDJ9" s="6"/>
      <c r="EDL9" s="6"/>
      <c r="EDN9" s="6"/>
      <c r="EDP9" s="6"/>
      <c r="EDR9" s="6"/>
      <c r="EDT9" s="6"/>
      <c r="EDV9" s="6"/>
      <c r="EDX9" s="6"/>
      <c r="EDZ9" s="6"/>
      <c r="EEB9" s="6"/>
      <c r="EED9" s="6"/>
      <c r="EEF9" s="6"/>
      <c r="EEH9" s="6"/>
      <c r="EEJ9" s="6"/>
      <c r="EEL9" s="6"/>
      <c r="EEN9" s="6"/>
      <c r="EEP9" s="6"/>
      <c r="EER9" s="6"/>
      <c r="EET9" s="6"/>
      <c r="EEV9" s="6"/>
      <c r="EEX9" s="6"/>
      <c r="EEZ9" s="6"/>
      <c r="EFB9" s="6"/>
      <c r="EFD9" s="6"/>
      <c r="EFF9" s="6"/>
      <c r="EFH9" s="6"/>
      <c r="EFJ9" s="6"/>
      <c r="EFL9" s="6"/>
      <c r="EFN9" s="6"/>
      <c r="EFP9" s="6"/>
      <c r="EFR9" s="6"/>
      <c r="EFT9" s="6"/>
      <c r="EFV9" s="6"/>
      <c r="EFX9" s="6"/>
      <c r="EFZ9" s="6"/>
      <c r="EGB9" s="6"/>
      <c r="EGD9" s="6"/>
      <c r="EGF9" s="6"/>
      <c r="EGH9" s="6"/>
      <c r="EGJ9" s="6"/>
      <c r="EGL9" s="6"/>
      <c r="EGN9" s="6"/>
      <c r="EGP9" s="6"/>
      <c r="EGR9" s="6"/>
      <c r="EGT9" s="6"/>
      <c r="EGV9" s="6"/>
      <c r="EGX9" s="6"/>
      <c r="EGZ9" s="6"/>
      <c r="EHB9" s="6"/>
      <c r="EHD9" s="6"/>
      <c r="EHF9" s="6"/>
      <c r="EHH9" s="6"/>
      <c r="EHJ9" s="6"/>
      <c r="EHL9" s="6"/>
      <c r="EHN9" s="6"/>
      <c r="EHP9" s="6"/>
      <c r="EHR9" s="6"/>
      <c r="EHT9" s="6"/>
      <c r="EHV9" s="6"/>
      <c r="EHX9" s="6"/>
      <c r="EHZ9" s="6"/>
      <c r="EIB9" s="6"/>
      <c r="EID9" s="6"/>
      <c r="EIF9" s="6"/>
      <c r="EIH9" s="6"/>
      <c r="EIJ9" s="6"/>
      <c r="EIL9" s="6"/>
      <c r="EIN9" s="6"/>
      <c r="EIP9" s="6"/>
      <c r="EIR9" s="6"/>
      <c r="EIT9" s="6"/>
      <c r="EIV9" s="6"/>
      <c r="EIX9" s="6"/>
      <c r="EIZ9" s="6"/>
      <c r="EJB9" s="6"/>
      <c r="EJD9" s="6"/>
      <c r="EJF9" s="6"/>
      <c r="EJH9" s="6"/>
      <c r="EJJ9" s="6"/>
      <c r="EJL9" s="6"/>
      <c r="EJN9" s="6"/>
      <c r="EJP9" s="6"/>
      <c r="EJR9" s="6"/>
      <c r="EJT9" s="6"/>
      <c r="EJV9" s="6"/>
      <c r="EJX9" s="6"/>
      <c r="EJZ9" s="6"/>
      <c r="EKB9" s="6"/>
      <c r="EKD9" s="6"/>
      <c r="EKF9" s="6"/>
      <c r="EKH9" s="6"/>
      <c r="EKJ9" s="6"/>
      <c r="EKL9" s="6"/>
      <c r="EKN9" s="6"/>
      <c r="EKP9" s="6"/>
      <c r="EKR9" s="6"/>
      <c r="EKT9" s="6"/>
      <c r="EKV9" s="6"/>
      <c r="EKX9" s="6"/>
      <c r="EKZ9" s="6"/>
      <c r="ELB9" s="6"/>
      <c r="ELD9" s="6"/>
      <c r="ELF9" s="6"/>
      <c r="ELH9" s="6"/>
      <c r="ELJ9" s="6"/>
      <c r="ELL9" s="6"/>
      <c r="ELN9" s="6"/>
      <c r="ELP9" s="6"/>
      <c r="ELR9" s="6"/>
      <c r="ELT9" s="6"/>
      <c r="ELV9" s="6"/>
      <c r="ELX9" s="6"/>
      <c r="ELZ9" s="6"/>
      <c r="EMB9" s="6"/>
      <c r="EMD9" s="6"/>
      <c r="EMF9" s="6"/>
      <c r="EMH9" s="6"/>
      <c r="EMJ9" s="6"/>
      <c r="EML9" s="6"/>
      <c r="EMN9" s="6"/>
      <c r="EMP9" s="6"/>
      <c r="EMR9" s="6"/>
      <c r="EMT9" s="6"/>
      <c r="EMV9" s="6"/>
      <c r="EMX9" s="6"/>
      <c r="EMZ9" s="6"/>
      <c r="ENB9" s="6"/>
      <c r="END9" s="6"/>
      <c r="ENF9" s="6"/>
      <c r="ENH9" s="6"/>
      <c r="ENJ9" s="6"/>
      <c r="ENL9" s="6"/>
      <c r="ENN9" s="6"/>
      <c r="ENP9" s="6"/>
      <c r="ENR9" s="6"/>
      <c r="ENT9" s="6"/>
      <c r="ENV9" s="6"/>
      <c r="ENX9" s="6"/>
      <c r="ENZ9" s="6"/>
      <c r="EOB9" s="6"/>
      <c r="EOD9" s="6"/>
      <c r="EOF9" s="6"/>
      <c r="EOH9" s="6"/>
      <c r="EOJ9" s="6"/>
      <c r="EOL9" s="6"/>
      <c r="EON9" s="6"/>
      <c r="EOP9" s="6"/>
      <c r="EOR9" s="6"/>
      <c r="EOT9" s="6"/>
      <c r="EOV9" s="6"/>
      <c r="EOX9" s="6"/>
      <c r="EOZ9" s="6"/>
      <c r="EPB9" s="6"/>
      <c r="EPD9" s="6"/>
      <c r="EPF9" s="6"/>
      <c r="EPH9" s="6"/>
      <c r="EPJ9" s="6"/>
      <c r="EPL9" s="6"/>
      <c r="EPN9" s="6"/>
      <c r="EPP9" s="6"/>
      <c r="EPR9" s="6"/>
      <c r="EPT9" s="6"/>
      <c r="EPV9" s="6"/>
      <c r="EPX9" s="6"/>
      <c r="EPZ9" s="6"/>
      <c r="EQB9" s="6"/>
      <c r="EQD9" s="6"/>
      <c r="EQF9" s="6"/>
      <c r="EQH9" s="6"/>
      <c r="EQJ9" s="6"/>
      <c r="EQL9" s="6"/>
      <c r="EQN9" s="6"/>
      <c r="EQP9" s="6"/>
      <c r="EQR9" s="6"/>
      <c r="EQT9" s="6"/>
      <c r="EQV9" s="6"/>
      <c r="EQX9" s="6"/>
      <c r="EQZ9" s="6"/>
      <c r="ERB9" s="6"/>
      <c r="ERD9" s="6"/>
      <c r="ERF9" s="6"/>
      <c r="ERH9" s="6"/>
      <c r="ERJ9" s="6"/>
      <c r="ERL9" s="6"/>
      <c r="ERN9" s="6"/>
      <c r="ERP9" s="6"/>
      <c r="ERR9" s="6"/>
      <c r="ERT9" s="6"/>
      <c r="ERV9" s="6"/>
      <c r="ERX9" s="6"/>
      <c r="ERZ9" s="6"/>
      <c r="ESB9" s="6"/>
      <c r="ESD9" s="6"/>
      <c r="ESF9" s="6"/>
      <c r="ESH9" s="6"/>
      <c r="ESJ9" s="6"/>
      <c r="ESL9" s="6"/>
      <c r="ESN9" s="6"/>
      <c r="ESP9" s="6"/>
      <c r="ESR9" s="6"/>
      <c r="EST9" s="6"/>
      <c r="ESV9" s="6"/>
      <c r="ESX9" s="6"/>
      <c r="ESZ9" s="6"/>
      <c r="ETB9" s="6"/>
      <c r="ETD9" s="6"/>
      <c r="ETF9" s="6"/>
      <c r="ETH9" s="6"/>
      <c r="ETJ9" s="6"/>
      <c r="ETL9" s="6"/>
      <c r="ETN9" s="6"/>
      <c r="ETP9" s="6"/>
      <c r="ETR9" s="6"/>
      <c r="ETT9" s="6"/>
      <c r="ETV9" s="6"/>
      <c r="ETX9" s="6"/>
      <c r="ETZ9" s="6"/>
      <c r="EUB9" s="6"/>
      <c r="EUD9" s="6"/>
      <c r="EUF9" s="6"/>
      <c r="EUH9" s="6"/>
      <c r="EUJ9" s="6"/>
      <c r="EUL9" s="6"/>
      <c r="EUN9" s="6"/>
      <c r="EUP9" s="6"/>
      <c r="EUR9" s="6"/>
      <c r="EUT9" s="6"/>
      <c r="EUV9" s="6"/>
      <c r="EUX9" s="6"/>
      <c r="EUZ9" s="6"/>
      <c r="EVB9" s="6"/>
      <c r="EVD9" s="6"/>
      <c r="EVF9" s="6"/>
      <c r="EVH9" s="6"/>
      <c r="EVJ9" s="6"/>
      <c r="EVL9" s="6"/>
      <c r="EVN9" s="6"/>
      <c r="EVP9" s="6"/>
      <c r="EVR9" s="6"/>
      <c r="EVT9" s="6"/>
      <c r="EVV9" s="6"/>
      <c r="EVX9" s="6"/>
      <c r="EVZ9" s="6"/>
      <c r="EWB9" s="6"/>
      <c r="EWD9" s="6"/>
      <c r="EWF9" s="6"/>
      <c r="EWH9" s="6"/>
      <c r="EWJ9" s="6"/>
      <c r="EWL9" s="6"/>
      <c r="EWN9" s="6"/>
      <c r="EWP9" s="6"/>
      <c r="EWR9" s="6"/>
      <c r="EWT9" s="6"/>
      <c r="EWV9" s="6"/>
      <c r="EWX9" s="6"/>
      <c r="EWZ9" s="6"/>
      <c r="EXB9" s="6"/>
      <c r="EXD9" s="6"/>
      <c r="EXF9" s="6"/>
      <c r="EXH9" s="6"/>
      <c r="EXJ9" s="6"/>
      <c r="EXL9" s="6"/>
      <c r="EXN9" s="6"/>
      <c r="EXP9" s="6"/>
      <c r="EXR9" s="6"/>
      <c r="EXT9" s="6"/>
      <c r="EXV9" s="6"/>
      <c r="EXX9" s="6"/>
      <c r="EXZ9" s="6"/>
      <c r="EYB9" s="6"/>
      <c r="EYD9" s="6"/>
      <c r="EYF9" s="6"/>
      <c r="EYH9" s="6"/>
      <c r="EYJ9" s="6"/>
      <c r="EYL9" s="6"/>
      <c r="EYN9" s="6"/>
      <c r="EYP9" s="6"/>
      <c r="EYR9" s="6"/>
      <c r="EYT9" s="6"/>
      <c r="EYV9" s="6"/>
      <c r="EYX9" s="6"/>
      <c r="EYZ9" s="6"/>
      <c r="EZB9" s="6"/>
      <c r="EZD9" s="6"/>
      <c r="EZF9" s="6"/>
      <c r="EZH9" s="6"/>
      <c r="EZJ9" s="6"/>
      <c r="EZL9" s="6"/>
      <c r="EZN9" s="6"/>
      <c r="EZP9" s="6"/>
      <c r="EZR9" s="6"/>
      <c r="EZT9" s="6"/>
      <c r="EZV9" s="6"/>
      <c r="EZX9" s="6"/>
      <c r="EZZ9" s="6"/>
      <c r="FAB9" s="6"/>
      <c r="FAD9" s="6"/>
      <c r="FAF9" s="6"/>
      <c r="FAH9" s="6"/>
      <c r="FAJ9" s="6"/>
      <c r="FAL9" s="6"/>
      <c r="FAN9" s="6"/>
      <c r="FAP9" s="6"/>
      <c r="FAR9" s="6"/>
      <c r="FAT9" s="6"/>
      <c r="FAV9" s="6"/>
      <c r="FAX9" s="6"/>
      <c r="FAZ9" s="6"/>
      <c r="FBB9" s="6"/>
      <c r="FBD9" s="6"/>
      <c r="FBF9" s="6"/>
      <c r="FBH9" s="6"/>
      <c r="FBJ9" s="6"/>
      <c r="FBL9" s="6"/>
      <c r="FBN9" s="6"/>
      <c r="FBP9" s="6"/>
      <c r="FBR9" s="6"/>
      <c r="FBT9" s="6"/>
      <c r="FBV9" s="6"/>
      <c r="FBX9" s="6"/>
      <c r="FBZ9" s="6"/>
      <c r="FCB9" s="6"/>
      <c r="FCD9" s="6"/>
      <c r="FCF9" s="6"/>
      <c r="FCH9" s="6"/>
      <c r="FCJ9" s="6"/>
      <c r="FCL9" s="6"/>
      <c r="FCN9" s="6"/>
      <c r="FCP9" s="6"/>
      <c r="FCR9" s="6"/>
      <c r="FCT9" s="6"/>
      <c r="FCV9" s="6"/>
      <c r="FCX9" s="6"/>
      <c r="FCZ9" s="6"/>
      <c r="FDB9" s="6"/>
      <c r="FDD9" s="6"/>
      <c r="FDF9" s="6"/>
      <c r="FDH9" s="6"/>
      <c r="FDJ9" s="6"/>
      <c r="FDL9" s="6"/>
      <c r="FDN9" s="6"/>
      <c r="FDP9" s="6"/>
      <c r="FDR9" s="6"/>
      <c r="FDT9" s="6"/>
      <c r="FDV9" s="6"/>
      <c r="FDX9" s="6"/>
      <c r="FDZ9" s="6"/>
      <c r="FEB9" s="6"/>
      <c r="FED9" s="6"/>
      <c r="FEF9" s="6"/>
      <c r="FEH9" s="6"/>
      <c r="FEJ9" s="6"/>
      <c r="FEL9" s="6"/>
      <c r="FEN9" s="6"/>
      <c r="FEP9" s="6"/>
      <c r="FER9" s="6"/>
      <c r="FET9" s="6"/>
      <c r="FEV9" s="6"/>
      <c r="FEX9" s="6"/>
      <c r="FEZ9" s="6"/>
      <c r="FFB9" s="6"/>
      <c r="FFD9" s="6"/>
      <c r="FFF9" s="6"/>
      <c r="FFH9" s="6"/>
      <c r="FFJ9" s="6"/>
      <c r="FFL9" s="6"/>
      <c r="FFN9" s="6"/>
      <c r="FFP9" s="6"/>
      <c r="FFR9" s="6"/>
      <c r="FFT9" s="6"/>
      <c r="FFV9" s="6"/>
      <c r="FFX9" s="6"/>
      <c r="FFZ9" s="6"/>
      <c r="FGB9" s="6"/>
      <c r="FGD9" s="6"/>
      <c r="FGF9" s="6"/>
      <c r="FGH9" s="6"/>
      <c r="FGJ9" s="6"/>
      <c r="FGL9" s="6"/>
      <c r="FGN9" s="6"/>
      <c r="FGP9" s="6"/>
      <c r="FGR9" s="6"/>
      <c r="FGT9" s="6"/>
      <c r="FGV9" s="6"/>
      <c r="FGX9" s="6"/>
      <c r="FGZ9" s="6"/>
      <c r="FHB9" s="6"/>
      <c r="FHD9" s="6"/>
      <c r="FHF9" s="6"/>
      <c r="FHH9" s="6"/>
      <c r="FHJ9" s="6"/>
      <c r="FHL9" s="6"/>
      <c r="FHN9" s="6"/>
      <c r="FHP9" s="6"/>
      <c r="FHR9" s="6"/>
      <c r="FHT9" s="6"/>
      <c r="FHV9" s="6"/>
      <c r="FHX9" s="6"/>
      <c r="FHZ9" s="6"/>
      <c r="FIB9" s="6"/>
      <c r="FID9" s="6"/>
      <c r="FIF9" s="6"/>
      <c r="FIH9" s="6"/>
      <c r="FIJ9" s="6"/>
      <c r="FIL9" s="6"/>
      <c r="FIN9" s="6"/>
      <c r="FIP9" s="6"/>
      <c r="FIR9" s="6"/>
      <c r="FIT9" s="6"/>
      <c r="FIV9" s="6"/>
      <c r="FIX9" s="6"/>
      <c r="FIZ9" s="6"/>
      <c r="FJB9" s="6"/>
      <c r="FJD9" s="6"/>
      <c r="FJF9" s="6"/>
      <c r="FJH9" s="6"/>
      <c r="FJJ9" s="6"/>
      <c r="FJL9" s="6"/>
      <c r="FJN9" s="6"/>
      <c r="FJP9" s="6"/>
      <c r="FJR9" s="6"/>
      <c r="FJT9" s="6"/>
      <c r="FJV9" s="6"/>
      <c r="FJX9" s="6"/>
      <c r="FJZ9" s="6"/>
      <c r="FKB9" s="6"/>
      <c r="FKD9" s="6"/>
      <c r="FKF9" s="6"/>
      <c r="FKH9" s="6"/>
      <c r="FKJ9" s="6"/>
      <c r="FKL9" s="6"/>
      <c r="FKN9" s="6"/>
      <c r="FKP9" s="6"/>
      <c r="FKR9" s="6"/>
      <c r="FKT9" s="6"/>
      <c r="FKV9" s="6"/>
      <c r="FKX9" s="6"/>
      <c r="FKZ9" s="6"/>
      <c r="FLB9" s="6"/>
      <c r="FLD9" s="6"/>
      <c r="FLF9" s="6"/>
      <c r="FLH9" s="6"/>
      <c r="FLJ9" s="6"/>
      <c r="FLL9" s="6"/>
      <c r="FLN9" s="6"/>
      <c r="FLP9" s="6"/>
      <c r="FLR9" s="6"/>
      <c r="FLT9" s="6"/>
      <c r="FLV9" s="6"/>
      <c r="FLX9" s="6"/>
      <c r="FLZ9" s="6"/>
      <c r="FMB9" s="6"/>
      <c r="FMD9" s="6"/>
      <c r="FMF9" s="6"/>
      <c r="FMH9" s="6"/>
      <c r="FMJ9" s="6"/>
      <c r="FML9" s="6"/>
      <c r="FMN9" s="6"/>
      <c r="FMP9" s="6"/>
      <c r="FMR9" s="6"/>
      <c r="FMT9" s="6"/>
      <c r="FMV9" s="6"/>
      <c r="FMX9" s="6"/>
      <c r="FMZ9" s="6"/>
      <c r="FNB9" s="6"/>
      <c r="FND9" s="6"/>
      <c r="FNF9" s="6"/>
      <c r="FNH9" s="6"/>
      <c r="FNJ9" s="6"/>
      <c r="FNL9" s="6"/>
      <c r="FNN9" s="6"/>
      <c r="FNP9" s="6"/>
      <c r="FNR9" s="6"/>
      <c r="FNT9" s="6"/>
      <c r="FNV9" s="6"/>
      <c r="FNX9" s="6"/>
      <c r="FNZ9" s="6"/>
      <c r="FOB9" s="6"/>
      <c r="FOD9" s="6"/>
      <c r="FOF9" s="6"/>
      <c r="FOH9" s="6"/>
      <c r="FOJ9" s="6"/>
      <c r="FOL9" s="6"/>
      <c r="FON9" s="6"/>
      <c r="FOP9" s="6"/>
      <c r="FOR9" s="6"/>
      <c r="FOT9" s="6"/>
      <c r="FOV9" s="6"/>
      <c r="FOX9" s="6"/>
      <c r="FOZ9" s="6"/>
      <c r="FPB9" s="6"/>
      <c r="FPD9" s="6"/>
      <c r="FPF9" s="6"/>
      <c r="FPH9" s="6"/>
      <c r="FPJ9" s="6"/>
      <c r="FPL9" s="6"/>
      <c r="FPN9" s="6"/>
      <c r="FPP9" s="6"/>
      <c r="FPR9" s="6"/>
      <c r="FPT9" s="6"/>
      <c r="FPV9" s="6"/>
      <c r="FPX9" s="6"/>
      <c r="FPZ9" s="6"/>
      <c r="FQB9" s="6"/>
      <c r="FQD9" s="6"/>
      <c r="FQF9" s="6"/>
      <c r="FQH9" s="6"/>
      <c r="FQJ9" s="6"/>
      <c r="FQL9" s="6"/>
      <c r="FQN9" s="6"/>
      <c r="FQP9" s="6"/>
      <c r="FQR9" s="6"/>
      <c r="FQT9" s="6"/>
      <c r="FQV9" s="6"/>
      <c r="FQX9" s="6"/>
      <c r="FQZ9" s="6"/>
      <c r="FRB9" s="6"/>
      <c r="FRD9" s="6"/>
      <c r="FRF9" s="6"/>
      <c r="FRH9" s="6"/>
      <c r="FRJ9" s="6"/>
      <c r="FRL9" s="6"/>
      <c r="FRN9" s="6"/>
      <c r="FRP9" s="6"/>
      <c r="FRR9" s="6"/>
      <c r="FRT9" s="6"/>
      <c r="FRV9" s="6"/>
      <c r="FRX9" s="6"/>
      <c r="FRZ9" s="6"/>
      <c r="FSB9" s="6"/>
      <c r="FSD9" s="6"/>
      <c r="FSF9" s="6"/>
      <c r="FSH9" s="6"/>
      <c r="FSJ9" s="6"/>
      <c r="FSL9" s="6"/>
      <c r="FSN9" s="6"/>
      <c r="FSP9" s="6"/>
      <c r="FSR9" s="6"/>
      <c r="FST9" s="6"/>
      <c r="FSV9" s="6"/>
      <c r="FSX9" s="6"/>
      <c r="FSZ9" s="6"/>
      <c r="FTB9" s="6"/>
      <c r="FTD9" s="6"/>
      <c r="FTF9" s="6"/>
      <c r="FTH9" s="6"/>
      <c r="FTJ9" s="6"/>
      <c r="FTL9" s="6"/>
      <c r="FTN9" s="6"/>
      <c r="FTP9" s="6"/>
      <c r="FTR9" s="6"/>
      <c r="FTT9" s="6"/>
      <c r="FTV9" s="6"/>
      <c r="FTX9" s="6"/>
      <c r="FTZ9" s="6"/>
      <c r="FUB9" s="6"/>
      <c r="FUD9" s="6"/>
      <c r="FUF9" s="6"/>
      <c r="FUH9" s="6"/>
      <c r="FUJ9" s="6"/>
      <c r="FUL9" s="6"/>
      <c r="FUN9" s="6"/>
      <c r="FUP9" s="6"/>
      <c r="FUR9" s="6"/>
      <c r="FUT9" s="6"/>
      <c r="FUV9" s="6"/>
      <c r="FUX9" s="6"/>
      <c r="FUZ9" s="6"/>
      <c r="FVB9" s="6"/>
      <c r="FVD9" s="6"/>
      <c r="FVF9" s="6"/>
      <c r="FVH9" s="6"/>
      <c r="FVJ9" s="6"/>
      <c r="FVL9" s="6"/>
      <c r="FVN9" s="6"/>
      <c r="FVP9" s="6"/>
      <c r="FVR9" s="6"/>
      <c r="FVT9" s="6"/>
      <c r="FVV9" s="6"/>
      <c r="FVX9" s="6"/>
      <c r="FVZ9" s="6"/>
      <c r="FWB9" s="6"/>
      <c r="FWD9" s="6"/>
      <c r="FWF9" s="6"/>
      <c r="FWH9" s="6"/>
      <c r="FWJ9" s="6"/>
      <c r="FWL9" s="6"/>
      <c r="FWN9" s="6"/>
      <c r="FWP9" s="6"/>
      <c r="FWR9" s="6"/>
      <c r="FWT9" s="6"/>
      <c r="FWV9" s="6"/>
      <c r="FWX9" s="6"/>
      <c r="FWZ9" s="6"/>
      <c r="FXB9" s="6"/>
      <c r="FXD9" s="6"/>
      <c r="FXF9" s="6"/>
      <c r="FXH9" s="6"/>
      <c r="FXJ9" s="6"/>
      <c r="FXL9" s="6"/>
      <c r="FXN9" s="6"/>
      <c r="FXP9" s="6"/>
      <c r="FXR9" s="6"/>
      <c r="FXT9" s="6"/>
      <c r="FXV9" s="6"/>
      <c r="FXX9" s="6"/>
      <c r="FXZ9" s="6"/>
      <c r="FYB9" s="6"/>
      <c r="FYD9" s="6"/>
      <c r="FYF9" s="6"/>
      <c r="FYH9" s="6"/>
      <c r="FYJ9" s="6"/>
      <c r="FYL9" s="6"/>
      <c r="FYN9" s="6"/>
      <c r="FYP9" s="6"/>
      <c r="FYR9" s="6"/>
      <c r="FYT9" s="6"/>
      <c r="FYV9" s="6"/>
      <c r="FYX9" s="6"/>
      <c r="FYZ9" s="6"/>
      <c r="FZB9" s="6"/>
      <c r="FZD9" s="6"/>
      <c r="FZF9" s="6"/>
      <c r="FZH9" s="6"/>
      <c r="FZJ9" s="6"/>
      <c r="FZL9" s="6"/>
      <c r="FZN9" s="6"/>
      <c r="FZP9" s="6"/>
      <c r="FZR9" s="6"/>
      <c r="FZT9" s="6"/>
      <c r="FZV9" s="6"/>
      <c r="FZX9" s="6"/>
      <c r="FZZ9" s="6"/>
      <c r="GAB9" s="6"/>
      <c r="GAD9" s="6"/>
      <c r="GAF9" s="6"/>
      <c r="GAH9" s="6"/>
      <c r="GAJ9" s="6"/>
      <c r="GAL9" s="6"/>
      <c r="GAN9" s="6"/>
      <c r="GAP9" s="6"/>
      <c r="GAR9" s="6"/>
      <c r="GAT9" s="6"/>
      <c r="GAV9" s="6"/>
      <c r="GAX9" s="6"/>
      <c r="GAZ9" s="6"/>
      <c r="GBB9" s="6"/>
      <c r="GBD9" s="6"/>
      <c r="GBF9" s="6"/>
      <c r="GBH9" s="6"/>
      <c r="GBJ9" s="6"/>
      <c r="GBL9" s="6"/>
      <c r="GBN9" s="6"/>
      <c r="GBP9" s="6"/>
      <c r="GBR9" s="6"/>
      <c r="GBT9" s="6"/>
      <c r="GBV9" s="6"/>
      <c r="GBX9" s="6"/>
      <c r="GBZ9" s="6"/>
      <c r="GCB9" s="6"/>
      <c r="GCD9" s="6"/>
      <c r="GCF9" s="6"/>
      <c r="GCH9" s="6"/>
      <c r="GCJ9" s="6"/>
      <c r="GCL9" s="6"/>
      <c r="GCN9" s="6"/>
      <c r="GCP9" s="6"/>
      <c r="GCR9" s="6"/>
      <c r="GCT9" s="6"/>
      <c r="GCV9" s="6"/>
      <c r="GCX9" s="6"/>
      <c r="GCZ9" s="6"/>
      <c r="GDB9" s="6"/>
      <c r="GDD9" s="6"/>
      <c r="GDF9" s="6"/>
      <c r="GDH9" s="6"/>
      <c r="GDJ9" s="6"/>
      <c r="GDL9" s="6"/>
      <c r="GDN9" s="6"/>
      <c r="GDP9" s="6"/>
      <c r="GDR9" s="6"/>
      <c r="GDT9" s="6"/>
      <c r="GDV9" s="6"/>
      <c r="GDX9" s="6"/>
      <c r="GDZ9" s="6"/>
      <c r="GEB9" s="6"/>
      <c r="GED9" s="6"/>
      <c r="GEF9" s="6"/>
      <c r="GEH9" s="6"/>
      <c r="GEJ9" s="6"/>
      <c r="GEL9" s="6"/>
      <c r="GEN9" s="6"/>
      <c r="GEP9" s="6"/>
      <c r="GER9" s="6"/>
      <c r="GET9" s="6"/>
      <c r="GEV9" s="6"/>
      <c r="GEX9" s="6"/>
      <c r="GEZ9" s="6"/>
      <c r="GFB9" s="6"/>
      <c r="GFD9" s="6"/>
      <c r="GFF9" s="6"/>
      <c r="GFH9" s="6"/>
      <c r="GFJ9" s="6"/>
      <c r="GFL9" s="6"/>
      <c r="GFN9" s="6"/>
      <c r="GFP9" s="6"/>
      <c r="GFR9" s="6"/>
      <c r="GFT9" s="6"/>
      <c r="GFV9" s="6"/>
      <c r="GFX9" s="6"/>
      <c r="GFZ9" s="6"/>
      <c r="GGB9" s="6"/>
      <c r="GGD9" s="6"/>
      <c r="GGF9" s="6"/>
      <c r="GGH9" s="6"/>
      <c r="GGJ9" s="6"/>
      <c r="GGL9" s="6"/>
      <c r="GGN9" s="6"/>
      <c r="GGP9" s="6"/>
      <c r="GGR9" s="6"/>
      <c r="GGT9" s="6"/>
      <c r="GGV9" s="6"/>
      <c r="GGX9" s="6"/>
      <c r="GGZ9" s="6"/>
      <c r="GHB9" s="6"/>
      <c r="GHD9" s="6"/>
      <c r="GHF9" s="6"/>
      <c r="GHH9" s="6"/>
      <c r="GHJ9" s="6"/>
      <c r="GHL9" s="6"/>
      <c r="GHN9" s="6"/>
      <c r="GHP9" s="6"/>
      <c r="GHR9" s="6"/>
      <c r="GHT9" s="6"/>
      <c r="GHV9" s="6"/>
      <c r="GHX9" s="6"/>
      <c r="GHZ9" s="6"/>
      <c r="GIB9" s="6"/>
      <c r="GID9" s="6"/>
      <c r="GIF9" s="6"/>
      <c r="GIH9" s="6"/>
      <c r="GIJ9" s="6"/>
      <c r="GIL9" s="6"/>
      <c r="GIN9" s="6"/>
      <c r="GIP9" s="6"/>
      <c r="GIR9" s="6"/>
      <c r="GIT9" s="6"/>
      <c r="GIV9" s="6"/>
      <c r="GIX9" s="6"/>
      <c r="GIZ9" s="6"/>
      <c r="GJB9" s="6"/>
      <c r="GJD9" s="6"/>
      <c r="GJF9" s="6"/>
      <c r="GJH9" s="6"/>
      <c r="GJJ9" s="6"/>
      <c r="GJL9" s="6"/>
      <c r="GJN9" s="6"/>
      <c r="GJP9" s="6"/>
      <c r="GJR9" s="6"/>
      <c r="GJT9" s="6"/>
      <c r="GJV9" s="6"/>
      <c r="GJX9" s="6"/>
      <c r="GJZ9" s="6"/>
      <c r="GKB9" s="6"/>
      <c r="GKD9" s="6"/>
      <c r="GKF9" s="6"/>
      <c r="GKH9" s="6"/>
      <c r="GKJ9" s="6"/>
      <c r="GKL9" s="6"/>
      <c r="GKN9" s="6"/>
      <c r="GKP9" s="6"/>
      <c r="GKR9" s="6"/>
      <c r="GKT9" s="6"/>
      <c r="GKV9" s="6"/>
      <c r="GKX9" s="6"/>
      <c r="GKZ9" s="6"/>
      <c r="GLB9" s="6"/>
      <c r="GLD9" s="6"/>
      <c r="GLF9" s="6"/>
      <c r="GLH9" s="6"/>
      <c r="GLJ9" s="6"/>
      <c r="GLL9" s="6"/>
      <c r="GLN9" s="6"/>
      <c r="GLP9" s="6"/>
      <c r="GLR9" s="6"/>
      <c r="GLT9" s="6"/>
      <c r="GLV9" s="6"/>
      <c r="GLX9" s="6"/>
      <c r="GLZ9" s="6"/>
      <c r="GMB9" s="6"/>
      <c r="GMD9" s="6"/>
      <c r="GMF9" s="6"/>
      <c r="GMH9" s="6"/>
      <c r="GMJ9" s="6"/>
      <c r="GML9" s="6"/>
      <c r="GMN9" s="6"/>
      <c r="GMP9" s="6"/>
      <c r="GMR9" s="6"/>
      <c r="GMT9" s="6"/>
      <c r="GMV9" s="6"/>
      <c r="GMX9" s="6"/>
      <c r="GMZ9" s="6"/>
      <c r="GNB9" s="6"/>
      <c r="GND9" s="6"/>
      <c r="GNF9" s="6"/>
      <c r="GNH9" s="6"/>
      <c r="GNJ9" s="6"/>
      <c r="GNL9" s="6"/>
      <c r="GNN9" s="6"/>
      <c r="GNP9" s="6"/>
      <c r="GNR9" s="6"/>
      <c r="GNT9" s="6"/>
      <c r="GNV9" s="6"/>
      <c r="GNX9" s="6"/>
      <c r="GNZ9" s="6"/>
      <c r="GOB9" s="6"/>
      <c r="GOD9" s="6"/>
      <c r="GOF9" s="6"/>
      <c r="GOH9" s="6"/>
      <c r="GOJ9" s="6"/>
      <c r="GOL9" s="6"/>
      <c r="GON9" s="6"/>
      <c r="GOP9" s="6"/>
      <c r="GOR9" s="6"/>
      <c r="GOT9" s="6"/>
      <c r="GOV9" s="6"/>
      <c r="GOX9" s="6"/>
      <c r="GOZ9" s="6"/>
      <c r="GPB9" s="6"/>
      <c r="GPD9" s="6"/>
      <c r="GPF9" s="6"/>
      <c r="GPH9" s="6"/>
      <c r="GPJ9" s="6"/>
      <c r="GPL9" s="6"/>
      <c r="GPN9" s="6"/>
      <c r="GPP9" s="6"/>
      <c r="GPR9" s="6"/>
      <c r="GPT9" s="6"/>
      <c r="GPV9" s="6"/>
      <c r="GPX9" s="6"/>
      <c r="GPZ9" s="6"/>
      <c r="GQB9" s="6"/>
      <c r="GQD9" s="6"/>
      <c r="GQF9" s="6"/>
      <c r="GQH9" s="6"/>
      <c r="GQJ9" s="6"/>
      <c r="GQL9" s="6"/>
      <c r="GQN9" s="6"/>
      <c r="GQP9" s="6"/>
      <c r="GQR9" s="6"/>
      <c r="GQT9" s="6"/>
      <c r="GQV9" s="6"/>
      <c r="GQX9" s="6"/>
      <c r="GQZ9" s="6"/>
      <c r="GRB9" s="6"/>
      <c r="GRD9" s="6"/>
      <c r="GRF9" s="6"/>
      <c r="GRH9" s="6"/>
      <c r="GRJ9" s="6"/>
      <c r="GRL9" s="6"/>
      <c r="GRN9" s="6"/>
      <c r="GRP9" s="6"/>
      <c r="GRR9" s="6"/>
      <c r="GRT9" s="6"/>
      <c r="GRV9" s="6"/>
      <c r="GRX9" s="6"/>
      <c r="GRZ9" s="6"/>
      <c r="GSB9" s="6"/>
      <c r="GSD9" s="6"/>
      <c r="GSF9" s="6"/>
      <c r="GSH9" s="6"/>
      <c r="GSJ9" s="6"/>
      <c r="GSL9" s="6"/>
      <c r="GSN9" s="6"/>
      <c r="GSP9" s="6"/>
      <c r="GSR9" s="6"/>
      <c r="GST9" s="6"/>
      <c r="GSV9" s="6"/>
      <c r="GSX9" s="6"/>
      <c r="GSZ9" s="6"/>
      <c r="GTB9" s="6"/>
      <c r="GTD9" s="6"/>
      <c r="GTF9" s="6"/>
      <c r="GTH9" s="6"/>
      <c r="GTJ9" s="6"/>
      <c r="GTL9" s="6"/>
      <c r="GTN9" s="6"/>
      <c r="GTP9" s="6"/>
      <c r="GTR9" s="6"/>
      <c r="GTT9" s="6"/>
      <c r="GTV9" s="6"/>
      <c r="GTX9" s="6"/>
      <c r="GTZ9" s="6"/>
      <c r="GUB9" s="6"/>
      <c r="GUD9" s="6"/>
      <c r="GUF9" s="6"/>
      <c r="GUH9" s="6"/>
      <c r="GUJ9" s="6"/>
      <c r="GUL9" s="6"/>
      <c r="GUN9" s="6"/>
      <c r="GUP9" s="6"/>
      <c r="GUR9" s="6"/>
      <c r="GUT9" s="6"/>
      <c r="GUV9" s="6"/>
      <c r="GUX9" s="6"/>
      <c r="GUZ9" s="6"/>
      <c r="GVB9" s="6"/>
      <c r="GVD9" s="6"/>
      <c r="GVF9" s="6"/>
      <c r="GVH9" s="6"/>
      <c r="GVJ9" s="6"/>
      <c r="GVL9" s="6"/>
      <c r="GVN9" s="6"/>
      <c r="GVP9" s="6"/>
      <c r="GVR9" s="6"/>
      <c r="GVT9" s="6"/>
      <c r="GVV9" s="6"/>
      <c r="GVX9" s="6"/>
      <c r="GVZ9" s="6"/>
      <c r="GWB9" s="6"/>
      <c r="GWD9" s="6"/>
      <c r="GWF9" s="6"/>
      <c r="GWH9" s="6"/>
      <c r="GWJ9" s="6"/>
      <c r="GWL9" s="6"/>
      <c r="GWN9" s="6"/>
      <c r="GWP9" s="6"/>
      <c r="GWR9" s="6"/>
      <c r="GWT9" s="6"/>
      <c r="GWV9" s="6"/>
      <c r="GWX9" s="6"/>
      <c r="GWZ9" s="6"/>
      <c r="GXB9" s="6"/>
      <c r="GXD9" s="6"/>
      <c r="GXF9" s="6"/>
      <c r="GXH9" s="6"/>
      <c r="GXJ9" s="6"/>
      <c r="GXL9" s="6"/>
      <c r="GXN9" s="6"/>
      <c r="GXP9" s="6"/>
      <c r="GXR9" s="6"/>
      <c r="GXT9" s="6"/>
      <c r="GXV9" s="6"/>
      <c r="GXX9" s="6"/>
      <c r="GXZ9" s="6"/>
      <c r="GYB9" s="6"/>
      <c r="GYD9" s="6"/>
      <c r="GYF9" s="6"/>
      <c r="GYH9" s="6"/>
      <c r="GYJ9" s="6"/>
      <c r="GYL9" s="6"/>
      <c r="GYN9" s="6"/>
      <c r="GYP9" s="6"/>
      <c r="GYR9" s="6"/>
      <c r="GYT9" s="6"/>
      <c r="GYV9" s="6"/>
      <c r="GYX9" s="6"/>
      <c r="GYZ9" s="6"/>
      <c r="GZB9" s="6"/>
      <c r="GZD9" s="6"/>
      <c r="GZF9" s="6"/>
      <c r="GZH9" s="6"/>
      <c r="GZJ9" s="6"/>
      <c r="GZL9" s="6"/>
      <c r="GZN9" s="6"/>
      <c r="GZP9" s="6"/>
      <c r="GZR9" s="6"/>
      <c r="GZT9" s="6"/>
      <c r="GZV9" s="6"/>
      <c r="GZX9" s="6"/>
      <c r="GZZ9" s="6"/>
      <c r="HAB9" s="6"/>
      <c r="HAD9" s="6"/>
      <c r="HAF9" s="6"/>
      <c r="HAH9" s="6"/>
      <c r="HAJ9" s="6"/>
      <c r="HAL9" s="6"/>
      <c r="HAN9" s="6"/>
      <c r="HAP9" s="6"/>
      <c r="HAR9" s="6"/>
      <c r="HAT9" s="6"/>
      <c r="HAV9" s="6"/>
      <c r="HAX9" s="6"/>
      <c r="HAZ9" s="6"/>
      <c r="HBB9" s="6"/>
      <c r="HBD9" s="6"/>
      <c r="HBF9" s="6"/>
      <c r="HBH9" s="6"/>
      <c r="HBJ9" s="6"/>
      <c r="HBL9" s="6"/>
      <c r="HBN9" s="6"/>
      <c r="HBP9" s="6"/>
      <c r="HBR9" s="6"/>
      <c r="HBT9" s="6"/>
      <c r="HBV9" s="6"/>
      <c r="HBX9" s="6"/>
      <c r="HBZ9" s="6"/>
      <c r="HCB9" s="6"/>
      <c r="HCD9" s="6"/>
      <c r="HCF9" s="6"/>
      <c r="HCH9" s="6"/>
      <c r="HCJ9" s="6"/>
      <c r="HCL9" s="6"/>
      <c r="HCN9" s="6"/>
      <c r="HCP9" s="6"/>
      <c r="HCR9" s="6"/>
      <c r="HCT9" s="6"/>
      <c r="HCV9" s="6"/>
      <c r="HCX9" s="6"/>
      <c r="HCZ9" s="6"/>
      <c r="HDB9" s="6"/>
      <c r="HDD9" s="6"/>
      <c r="HDF9" s="6"/>
      <c r="HDH9" s="6"/>
      <c r="HDJ9" s="6"/>
      <c r="HDL9" s="6"/>
      <c r="HDN9" s="6"/>
      <c r="HDP9" s="6"/>
      <c r="HDR9" s="6"/>
      <c r="HDT9" s="6"/>
      <c r="HDV9" s="6"/>
      <c r="HDX9" s="6"/>
      <c r="HDZ9" s="6"/>
      <c r="HEB9" s="6"/>
      <c r="HED9" s="6"/>
      <c r="HEF9" s="6"/>
      <c r="HEH9" s="6"/>
      <c r="HEJ9" s="6"/>
      <c r="HEL9" s="6"/>
      <c r="HEN9" s="6"/>
      <c r="HEP9" s="6"/>
      <c r="HER9" s="6"/>
      <c r="HET9" s="6"/>
      <c r="HEV9" s="6"/>
      <c r="HEX9" s="6"/>
      <c r="HEZ9" s="6"/>
      <c r="HFB9" s="6"/>
      <c r="HFD9" s="6"/>
      <c r="HFF9" s="6"/>
      <c r="HFH9" s="6"/>
      <c r="HFJ9" s="6"/>
      <c r="HFL9" s="6"/>
      <c r="HFN9" s="6"/>
      <c r="HFP9" s="6"/>
      <c r="HFR9" s="6"/>
      <c r="HFT9" s="6"/>
      <c r="HFV9" s="6"/>
      <c r="HFX9" s="6"/>
      <c r="HFZ9" s="6"/>
      <c r="HGB9" s="6"/>
      <c r="HGD9" s="6"/>
      <c r="HGF9" s="6"/>
      <c r="HGH9" s="6"/>
      <c r="HGJ9" s="6"/>
      <c r="HGL9" s="6"/>
      <c r="HGN9" s="6"/>
      <c r="HGP9" s="6"/>
      <c r="HGR9" s="6"/>
      <c r="HGT9" s="6"/>
      <c r="HGV9" s="6"/>
      <c r="HGX9" s="6"/>
      <c r="HGZ9" s="6"/>
      <c r="HHB9" s="6"/>
      <c r="HHD9" s="6"/>
      <c r="HHF9" s="6"/>
      <c r="HHH9" s="6"/>
      <c r="HHJ9" s="6"/>
      <c r="HHL9" s="6"/>
      <c r="HHN9" s="6"/>
      <c r="HHP9" s="6"/>
      <c r="HHR9" s="6"/>
      <c r="HHT9" s="6"/>
      <c r="HHV9" s="6"/>
      <c r="HHX9" s="6"/>
      <c r="HHZ9" s="6"/>
      <c r="HIB9" s="6"/>
      <c r="HID9" s="6"/>
      <c r="HIF9" s="6"/>
      <c r="HIH9" s="6"/>
      <c r="HIJ9" s="6"/>
      <c r="HIL9" s="6"/>
      <c r="HIN9" s="6"/>
      <c r="HIP9" s="6"/>
      <c r="HIR9" s="6"/>
      <c r="HIT9" s="6"/>
      <c r="HIV9" s="6"/>
      <c r="HIX9" s="6"/>
      <c r="HIZ9" s="6"/>
      <c r="HJB9" s="6"/>
      <c r="HJD9" s="6"/>
      <c r="HJF9" s="6"/>
      <c r="HJH9" s="6"/>
      <c r="HJJ9" s="6"/>
      <c r="HJL9" s="6"/>
      <c r="HJN9" s="6"/>
      <c r="HJP9" s="6"/>
      <c r="HJR9" s="6"/>
      <c r="HJT9" s="6"/>
      <c r="HJV9" s="6"/>
      <c r="HJX9" s="6"/>
      <c r="HJZ9" s="6"/>
      <c r="HKB9" s="6"/>
      <c r="HKD9" s="6"/>
      <c r="HKF9" s="6"/>
      <c r="HKH9" s="6"/>
      <c r="HKJ9" s="6"/>
      <c r="HKL9" s="6"/>
      <c r="HKN9" s="6"/>
      <c r="HKP9" s="6"/>
      <c r="HKR9" s="6"/>
      <c r="HKT9" s="6"/>
      <c r="HKV9" s="6"/>
      <c r="HKX9" s="6"/>
      <c r="HKZ9" s="6"/>
      <c r="HLB9" s="6"/>
      <c r="HLD9" s="6"/>
      <c r="HLF9" s="6"/>
      <c r="HLH9" s="6"/>
      <c r="HLJ9" s="6"/>
      <c r="HLL9" s="6"/>
      <c r="HLN9" s="6"/>
      <c r="HLP9" s="6"/>
      <c r="HLR9" s="6"/>
      <c r="HLT9" s="6"/>
      <c r="HLV9" s="6"/>
      <c r="HLX9" s="6"/>
      <c r="HLZ9" s="6"/>
      <c r="HMB9" s="6"/>
      <c r="HMD9" s="6"/>
      <c r="HMF9" s="6"/>
      <c r="HMH9" s="6"/>
      <c r="HMJ9" s="6"/>
      <c r="HML9" s="6"/>
      <c r="HMN9" s="6"/>
      <c r="HMP9" s="6"/>
      <c r="HMR9" s="6"/>
      <c r="HMT9" s="6"/>
      <c r="HMV9" s="6"/>
      <c r="HMX9" s="6"/>
      <c r="HMZ9" s="6"/>
      <c r="HNB9" s="6"/>
      <c r="HND9" s="6"/>
      <c r="HNF9" s="6"/>
      <c r="HNH9" s="6"/>
      <c r="HNJ9" s="6"/>
      <c r="HNL9" s="6"/>
      <c r="HNN9" s="6"/>
      <c r="HNP9" s="6"/>
      <c r="HNR9" s="6"/>
      <c r="HNT9" s="6"/>
      <c r="HNV9" s="6"/>
      <c r="HNX9" s="6"/>
      <c r="HNZ9" s="6"/>
      <c r="HOB9" s="6"/>
      <c r="HOD9" s="6"/>
      <c r="HOF9" s="6"/>
      <c r="HOH9" s="6"/>
      <c r="HOJ9" s="6"/>
      <c r="HOL9" s="6"/>
      <c r="HON9" s="6"/>
      <c r="HOP9" s="6"/>
      <c r="HOR9" s="6"/>
      <c r="HOT9" s="6"/>
      <c r="HOV9" s="6"/>
      <c r="HOX9" s="6"/>
      <c r="HOZ9" s="6"/>
      <c r="HPB9" s="6"/>
      <c r="HPD9" s="6"/>
      <c r="HPF9" s="6"/>
      <c r="HPH9" s="6"/>
      <c r="HPJ9" s="6"/>
      <c r="HPL9" s="6"/>
      <c r="HPN9" s="6"/>
      <c r="HPP9" s="6"/>
      <c r="HPR9" s="6"/>
      <c r="HPT9" s="6"/>
      <c r="HPV9" s="6"/>
      <c r="HPX9" s="6"/>
      <c r="HPZ9" s="6"/>
      <c r="HQB9" s="6"/>
      <c r="HQD9" s="6"/>
      <c r="HQF9" s="6"/>
      <c r="HQH9" s="6"/>
      <c r="HQJ9" s="6"/>
      <c r="HQL9" s="6"/>
      <c r="HQN9" s="6"/>
      <c r="HQP9" s="6"/>
      <c r="HQR9" s="6"/>
      <c r="HQT9" s="6"/>
      <c r="HQV9" s="6"/>
      <c r="HQX9" s="6"/>
      <c r="HQZ9" s="6"/>
      <c r="HRB9" s="6"/>
      <c r="HRD9" s="6"/>
      <c r="HRF9" s="6"/>
      <c r="HRH9" s="6"/>
      <c r="HRJ9" s="6"/>
      <c r="HRL9" s="6"/>
      <c r="HRN9" s="6"/>
      <c r="HRP9" s="6"/>
      <c r="HRR9" s="6"/>
      <c r="HRT9" s="6"/>
      <c r="HRV9" s="6"/>
      <c r="HRX9" s="6"/>
      <c r="HRZ9" s="6"/>
      <c r="HSB9" s="6"/>
      <c r="HSD9" s="6"/>
      <c r="HSF9" s="6"/>
      <c r="HSH9" s="6"/>
      <c r="HSJ9" s="6"/>
      <c r="HSL9" s="6"/>
      <c r="HSN9" s="6"/>
      <c r="HSP9" s="6"/>
      <c r="HSR9" s="6"/>
      <c r="HST9" s="6"/>
      <c r="HSV9" s="6"/>
      <c r="HSX9" s="6"/>
      <c r="HSZ9" s="6"/>
      <c r="HTB9" s="6"/>
      <c r="HTD9" s="6"/>
      <c r="HTF9" s="6"/>
      <c r="HTH9" s="6"/>
      <c r="HTJ9" s="6"/>
      <c r="HTL9" s="6"/>
      <c r="HTN9" s="6"/>
      <c r="HTP9" s="6"/>
      <c r="HTR9" s="6"/>
      <c r="HTT9" s="6"/>
      <c r="HTV9" s="6"/>
      <c r="HTX9" s="6"/>
      <c r="HTZ9" s="6"/>
      <c r="HUB9" s="6"/>
      <c r="HUD9" s="6"/>
      <c r="HUF9" s="6"/>
      <c r="HUH9" s="6"/>
      <c r="HUJ9" s="6"/>
      <c r="HUL9" s="6"/>
      <c r="HUN9" s="6"/>
      <c r="HUP9" s="6"/>
      <c r="HUR9" s="6"/>
      <c r="HUT9" s="6"/>
      <c r="HUV9" s="6"/>
      <c r="HUX9" s="6"/>
      <c r="HUZ9" s="6"/>
      <c r="HVB9" s="6"/>
      <c r="HVD9" s="6"/>
      <c r="HVF9" s="6"/>
      <c r="HVH9" s="6"/>
      <c r="HVJ9" s="6"/>
      <c r="HVL9" s="6"/>
      <c r="HVN9" s="6"/>
      <c r="HVP9" s="6"/>
      <c r="HVR9" s="6"/>
      <c r="HVT9" s="6"/>
      <c r="HVV9" s="6"/>
      <c r="HVX9" s="6"/>
      <c r="HVZ9" s="6"/>
      <c r="HWB9" s="6"/>
      <c r="HWD9" s="6"/>
      <c r="HWF9" s="6"/>
      <c r="HWH9" s="6"/>
      <c r="HWJ9" s="6"/>
      <c r="HWL9" s="6"/>
      <c r="HWN9" s="6"/>
      <c r="HWP9" s="6"/>
      <c r="HWR9" s="6"/>
      <c r="HWT9" s="6"/>
      <c r="HWV9" s="6"/>
      <c r="HWX9" s="6"/>
      <c r="HWZ9" s="6"/>
      <c r="HXB9" s="6"/>
      <c r="HXD9" s="6"/>
      <c r="HXF9" s="6"/>
      <c r="HXH9" s="6"/>
      <c r="HXJ9" s="6"/>
      <c r="HXL9" s="6"/>
      <c r="HXN9" s="6"/>
      <c r="HXP9" s="6"/>
      <c r="HXR9" s="6"/>
      <c r="HXT9" s="6"/>
      <c r="HXV9" s="6"/>
      <c r="HXX9" s="6"/>
      <c r="HXZ9" s="6"/>
      <c r="HYB9" s="6"/>
      <c r="HYD9" s="6"/>
      <c r="HYF9" s="6"/>
      <c r="HYH9" s="6"/>
      <c r="HYJ9" s="6"/>
      <c r="HYL9" s="6"/>
      <c r="HYN9" s="6"/>
      <c r="HYP9" s="6"/>
      <c r="HYR9" s="6"/>
      <c r="HYT9" s="6"/>
      <c r="HYV9" s="6"/>
      <c r="HYX9" s="6"/>
      <c r="HYZ9" s="6"/>
      <c r="HZB9" s="6"/>
      <c r="HZD9" s="6"/>
      <c r="HZF9" s="6"/>
      <c r="HZH9" s="6"/>
      <c r="HZJ9" s="6"/>
      <c r="HZL9" s="6"/>
      <c r="HZN9" s="6"/>
      <c r="HZP9" s="6"/>
      <c r="HZR9" s="6"/>
      <c r="HZT9" s="6"/>
      <c r="HZV9" s="6"/>
      <c r="HZX9" s="6"/>
      <c r="HZZ9" s="6"/>
      <c r="IAB9" s="6"/>
      <c r="IAD9" s="6"/>
      <c r="IAF9" s="6"/>
      <c r="IAH9" s="6"/>
      <c r="IAJ9" s="6"/>
      <c r="IAL9" s="6"/>
      <c r="IAN9" s="6"/>
      <c r="IAP9" s="6"/>
      <c r="IAR9" s="6"/>
      <c r="IAT9" s="6"/>
      <c r="IAV9" s="6"/>
      <c r="IAX9" s="6"/>
      <c r="IAZ9" s="6"/>
      <c r="IBB9" s="6"/>
      <c r="IBD9" s="6"/>
      <c r="IBF9" s="6"/>
      <c r="IBH9" s="6"/>
      <c r="IBJ9" s="6"/>
      <c r="IBL9" s="6"/>
      <c r="IBN9" s="6"/>
      <c r="IBP9" s="6"/>
      <c r="IBR9" s="6"/>
      <c r="IBT9" s="6"/>
      <c r="IBV9" s="6"/>
      <c r="IBX9" s="6"/>
      <c r="IBZ9" s="6"/>
      <c r="ICB9" s="6"/>
      <c r="ICD9" s="6"/>
      <c r="ICF9" s="6"/>
      <c r="ICH9" s="6"/>
      <c r="ICJ9" s="6"/>
      <c r="ICL9" s="6"/>
      <c r="ICN9" s="6"/>
      <c r="ICP9" s="6"/>
      <c r="ICR9" s="6"/>
      <c r="ICT9" s="6"/>
      <c r="ICV9" s="6"/>
      <c r="ICX9" s="6"/>
      <c r="ICZ9" s="6"/>
      <c r="IDB9" s="6"/>
      <c r="IDD9" s="6"/>
      <c r="IDF9" s="6"/>
      <c r="IDH9" s="6"/>
      <c r="IDJ9" s="6"/>
      <c r="IDL9" s="6"/>
      <c r="IDN9" s="6"/>
      <c r="IDP9" s="6"/>
      <c r="IDR9" s="6"/>
      <c r="IDT9" s="6"/>
      <c r="IDV9" s="6"/>
      <c r="IDX9" s="6"/>
      <c r="IDZ9" s="6"/>
      <c r="IEB9" s="6"/>
      <c r="IED9" s="6"/>
      <c r="IEF9" s="6"/>
      <c r="IEH9" s="6"/>
      <c r="IEJ9" s="6"/>
      <c r="IEL9" s="6"/>
      <c r="IEN9" s="6"/>
      <c r="IEP9" s="6"/>
      <c r="IER9" s="6"/>
      <c r="IET9" s="6"/>
      <c r="IEV9" s="6"/>
      <c r="IEX9" s="6"/>
      <c r="IEZ9" s="6"/>
      <c r="IFB9" s="6"/>
      <c r="IFD9" s="6"/>
      <c r="IFF9" s="6"/>
      <c r="IFH9" s="6"/>
      <c r="IFJ9" s="6"/>
      <c r="IFL9" s="6"/>
      <c r="IFN9" s="6"/>
      <c r="IFP9" s="6"/>
      <c r="IFR9" s="6"/>
      <c r="IFT9" s="6"/>
      <c r="IFV9" s="6"/>
      <c r="IFX9" s="6"/>
      <c r="IFZ9" s="6"/>
      <c r="IGB9" s="6"/>
      <c r="IGD9" s="6"/>
      <c r="IGF9" s="6"/>
      <c r="IGH9" s="6"/>
      <c r="IGJ9" s="6"/>
      <c r="IGL9" s="6"/>
      <c r="IGN9" s="6"/>
      <c r="IGP9" s="6"/>
      <c r="IGR9" s="6"/>
      <c r="IGT9" s="6"/>
      <c r="IGV9" s="6"/>
      <c r="IGX9" s="6"/>
      <c r="IGZ9" s="6"/>
      <c r="IHB9" s="6"/>
      <c r="IHD9" s="6"/>
      <c r="IHF9" s="6"/>
      <c r="IHH9" s="6"/>
      <c r="IHJ9" s="6"/>
      <c r="IHL9" s="6"/>
      <c r="IHN9" s="6"/>
      <c r="IHP9" s="6"/>
      <c r="IHR9" s="6"/>
      <c r="IHT9" s="6"/>
      <c r="IHV9" s="6"/>
      <c r="IHX9" s="6"/>
      <c r="IHZ9" s="6"/>
      <c r="IIB9" s="6"/>
      <c r="IID9" s="6"/>
      <c r="IIF9" s="6"/>
      <c r="IIH9" s="6"/>
      <c r="IIJ9" s="6"/>
      <c r="IIL9" s="6"/>
      <c r="IIN9" s="6"/>
      <c r="IIP9" s="6"/>
      <c r="IIR9" s="6"/>
      <c r="IIT9" s="6"/>
      <c r="IIV9" s="6"/>
      <c r="IIX9" s="6"/>
      <c r="IIZ9" s="6"/>
      <c r="IJB9" s="6"/>
      <c r="IJD9" s="6"/>
      <c r="IJF9" s="6"/>
      <c r="IJH9" s="6"/>
      <c r="IJJ9" s="6"/>
      <c r="IJL9" s="6"/>
      <c r="IJN9" s="6"/>
      <c r="IJP9" s="6"/>
      <c r="IJR9" s="6"/>
      <c r="IJT9" s="6"/>
      <c r="IJV9" s="6"/>
      <c r="IJX9" s="6"/>
      <c r="IJZ9" s="6"/>
      <c r="IKB9" s="6"/>
      <c r="IKD9" s="6"/>
      <c r="IKF9" s="6"/>
      <c r="IKH9" s="6"/>
      <c r="IKJ9" s="6"/>
      <c r="IKL9" s="6"/>
      <c r="IKN9" s="6"/>
      <c r="IKP9" s="6"/>
      <c r="IKR9" s="6"/>
      <c r="IKT9" s="6"/>
      <c r="IKV9" s="6"/>
      <c r="IKX9" s="6"/>
      <c r="IKZ9" s="6"/>
      <c r="ILB9" s="6"/>
      <c r="ILD9" s="6"/>
      <c r="ILF9" s="6"/>
      <c r="ILH9" s="6"/>
      <c r="ILJ9" s="6"/>
      <c r="ILL9" s="6"/>
      <c r="ILN9" s="6"/>
      <c r="ILP9" s="6"/>
      <c r="ILR9" s="6"/>
      <c r="ILT9" s="6"/>
      <c r="ILV9" s="6"/>
      <c r="ILX9" s="6"/>
      <c r="ILZ9" s="6"/>
      <c r="IMB9" s="6"/>
      <c r="IMD9" s="6"/>
      <c r="IMF9" s="6"/>
      <c r="IMH9" s="6"/>
      <c r="IMJ9" s="6"/>
      <c r="IML9" s="6"/>
      <c r="IMN9" s="6"/>
      <c r="IMP9" s="6"/>
      <c r="IMR9" s="6"/>
      <c r="IMT9" s="6"/>
      <c r="IMV9" s="6"/>
      <c r="IMX9" s="6"/>
      <c r="IMZ9" s="6"/>
      <c r="INB9" s="6"/>
      <c r="IND9" s="6"/>
      <c r="INF9" s="6"/>
      <c r="INH9" s="6"/>
      <c r="INJ9" s="6"/>
      <c r="INL9" s="6"/>
      <c r="INN9" s="6"/>
      <c r="INP9" s="6"/>
      <c r="INR9" s="6"/>
      <c r="INT9" s="6"/>
      <c r="INV9" s="6"/>
      <c r="INX9" s="6"/>
      <c r="INZ9" s="6"/>
      <c r="IOB9" s="6"/>
      <c r="IOD9" s="6"/>
      <c r="IOF9" s="6"/>
      <c r="IOH9" s="6"/>
      <c r="IOJ9" s="6"/>
      <c r="IOL9" s="6"/>
      <c r="ION9" s="6"/>
      <c r="IOP9" s="6"/>
      <c r="IOR9" s="6"/>
      <c r="IOT9" s="6"/>
      <c r="IOV9" s="6"/>
      <c r="IOX9" s="6"/>
      <c r="IOZ9" s="6"/>
      <c r="IPB9" s="6"/>
      <c r="IPD9" s="6"/>
      <c r="IPF9" s="6"/>
      <c r="IPH9" s="6"/>
      <c r="IPJ9" s="6"/>
      <c r="IPL9" s="6"/>
      <c r="IPN9" s="6"/>
      <c r="IPP9" s="6"/>
      <c r="IPR9" s="6"/>
      <c r="IPT9" s="6"/>
      <c r="IPV9" s="6"/>
      <c r="IPX9" s="6"/>
      <c r="IPZ9" s="6"/>
      <c r="IQB9" s="6"/>
      <c r="IQD9" s="6"/>
      <c r="IQF9" s="6"/>
      <c r="IQH9" s="6"/>
      <c r="IQJ9" s="6"/>
      <c r="IQL9" s="6"/>
      <c r="IQN9" s="6"/>
      <c r="IQP9" s="6"/>
      <c r="IQR9" s="6"/>
      <c r="IQT9" s="6"/>
      <c r="IQV9" s="6"/>
      <c r="IQX9" s="6"/>
      <c r="IQZ9" s="6"/>
      <c r="IRB9" s="6"/>
      <c r="IRD9" s="6"/>
      <c r="IRF9" s="6"/>
      <c r="IRH9" s="6"/>
      <c r="IRJ9" s="6"/>
      <c r="IRL9" s="6"/>
      <c r="IRN9" s="6"/>
      <c r="IRP9" s="6"/>
      <c r="IRR9" s="6"/>
      <c r="IRT9" s="6"/>
      <c r="IRV9" s="6"/>
      <c r="IRX9" s="6"/>
      <c r="IRZ9" s="6"/>
      <c r="ISB9" s="6"/>
      <c r="ISD9" s="6"/>
      <c r="ISF9" s="6"/>
      <c r="ISH9" s="6"/>
      <c r="ISJ9" s="6"/>
      <c r="ISL9" s="6"/>
      <c r="ISN9" s="6"/>
      <c r="ISP9" s="6"/>
      <c r="ISR9" s="6"/>
      <c r="IST9" s="6"/>
      <c r="ISV9" s="6"/>
      <c r="ISX9" s="6"/>
      <c r="ISZ9" s="6"/>
      <c r="ITB9" s="6"/>
      <c r="ITD9" s="6"/>
      <c r="ITF9" s="6"/>
      <c r="ITH9" s="6"/>
      <c r="ITJ9" s="6"/>
      <c r="ITL9" s="6"/>
      <c r="ITN9" s="6"/>
      <c r="ITP9" s="6"/>
      <c r="ITR9" s="6"/>
      <c r="ITT9" s="6"/>
      <c r="ITV9" s="6"/>
      <c r="ITX9" s="6"/>
      <c r="ITZ9" s="6"/>
      <c r="IUB9" s="6"/>
      <c r="IUD9" s="6"/>
      <c r="IUF9" s="6"/>
      <c r="IUH9" s="6"/>
      <c r="IUJ9" s="6"/>
      <c r="IUL9" s="6"/>
      <c r="IUN9" s="6"/>
      <c r="IUP9" s="6"/>
      <c r="IUR9" s="6"/>
      <c r="IUT9" s="6"/>
      <c r="IUV9" s="6"/>
      <c r="IUX9" s="6"/>
      <c r="IUZ9" s="6"/>
      <c r="IVB9" s="6"/>
      <c r="IVD9" s="6"/>
      <c r="IVF9" s="6"/>
      <c r="IVH9" s="6"/>
      <c r="IVJ9" s="6"/>
      <c r="IVL9" s="6"/>
      <c r="IVN9" s="6"/>
      <c r="IVP9" s="6"/>
      <c r="IVR9" s="6"/>
      <c r="IVT9" s="6"/>
      <c r="IVV9" s="6"/>
      <c r="IVX9" s="6"/>
      <c r="IVZ9" s="6"/>
      <c r="IWB9" s="6"/>
      <c r="IWD9" s="6"/>
      <c r="IWF9" s="6"/>
      <c r="IWH9" s="6"/>
      <c r="IWJ9" s="6"/>
      <c r="IWL9" s="6"/>
      <c r="IWN9" s="6"/>
      <c r="IWP9" s="6"/>
      <c r="IWR9" s="6"/>
      <c r="IWT9" s="6"/>
      <c r="IWV9" s="6"/>
      <c r="IWX9" s="6"/>
      <c r="IWZ9" s="6"/>
      <c r="IXB9" s="6"/>
      <c r="IXD9" s="6"/>
      <c r="IXF9" s="6"/>
      <c r="IXH9" s="6"/>
      <c r="IXJ9" s="6"/>
      <c r="IXL9" s="6"/>
      <c r="IXN9" s="6"/>
      <c r="IXP9" s="6"/>
      <c r="IXR9" s="6"/>
      <c r="IXT9" s="6"/>
      <c r="IXV9" s="6"/>
      <c r="IXX9" s="6"/>
      <c r="IXZ9" s="6"/>
      <c r="IYB9" s="6"/>
      <c r="IYD9" s="6"/>
      <c r="IYF9" s="6"/>
      <c r="IYH9" s="6"/>
      <c r="IYJ9" s="6"/>
      <c r="IYL9" s="6"/>
      <c r="IYN9" s="6"/>
      <c r="IYP9" s="6"/>
      <c r="IYR9" s="6"/>
      <c r="IYT9" s="6"/>
      <c r="IYV9" s="6"/>
      <c r="IYX9" s="6"/>
      <c r="IYZ9" s="6"/>
      <c r="IZB9" s="6"/>
      <c r="IZD9" s="6"/>
      <c r="IZF9" s="6"/>
      <c r="IZH9" s="6"/>
      <c r="IZJ9" s="6"/>
      <c r="IZL9" s="6"/>
      <c r="IZN9" s="6"/>
      <c r="IZP9" s="6"/>
      <c r="IZR9" s="6"/>
      <c r="IZT9" s="6"/>
      <c r="IZV9" s="6"/>
      <c r="IZX9" s="6"/>
      <c r="IZZ9" s="6"/>
      <c r="JAB9" s="6"/>
      <c r="JAD9" s="6"/>
      <c r="JAF9" s="6"/>
      <c r="JAH9" s="6"/>
      <c r="JAJ9" s="6"/>
      <c r="JAL9" s="6"/>
      <c r="JAN9" s="6"/>
      <c r="JAP9" s="6"/>
      <c r="JAR9" s="6"/>
      <c r="JAT9" s="6"/>
      <c r="JAV9" s="6"/>
      <c r="JAX9" s="6"/>
      <c r="JAZ9" s="6"/>
      <c r="JBB9" s="6"/>
      <c r="JBD9" s="6"/>
      <c r="JBF9" s="6"/>
      <c r="JBH9" s="6"/>
      <c r="JBJ9" s="6"/>
      <c r="JBL9" s="6"/>
      <c r="JBN9" s="6"/>
      <c r="JBP9" s="6"/>
      <c r="JBR9" s="6"/>
      <c r="JBT9" s="6"/>
      <c r="JBV9" s="6"/>
      <c r="JBX9" s="6"/>
      <c r="JBZ9" s="6"/>
      <c r="JCB9" s="6"/>
      <c r="JCD9" s="6"/>
      <c r="JCF9" s="6"/>
      <c r="JCH9" s="6"/>
      <c r="JCJ9" s="6"/>
      <c r="JCL9" s="6"/>
      <c r="JCN9" s="6"/>
      <c r="JCP9" s="6"/>
      <c r="JCR9" s="6"/>
      <c r="JCT9" s="6"/>
      <c r="JCV9" s="6"/>
      <c r="JCX9" s="6"/>
      <c r="JCZ9" s="6"/>
      <c r="JDB9" s="6"/>
      <c r="JDD9" s="6"/>
      <c r="JDF9" s="6"/>
      <c r="JDH9" s="6"/>
      <c r="JDJ9" s="6"/>
      <c r="JDL9" s="6"/>
      <c r="JDN9" s="6"/>
      <c r="JDP9" s="6"/>
      <c r="JDR9" s="6"/>
      <c r="JDT9" s="6"/>
      <c r="JDV9" s="6"/>
      <c r="JDX9" s="6"/>
      <c r="JDZ9" s="6"/>
      <c r="JEB9" s="6"/>
      <c r="JED9" s="6"/>
      <c r="JEF9" s="6"/>
      <c r="JEH9" s="6"/>
      <c r="JEJ9" s="6"/>
      <c r="JEL9" s="6"/>
      <c r="JEN9" s="6"/>
      <c r="JEP9" s="6"/>
      <c r="JER9" s="6"/>
      <c r="JET9" s="6"/>
      <c r="JEV9" s="6"/>
      <c r="JEX9" s="6"/>
      <c r="JEZ9" s="6"/>
      <c r="JFB9" s="6"/>
      <c r="JFD9" s="6"/>
      <c r="JFF9" s="6"/>
      <c r="JFH9" s="6"/>
      <c r="JFJ9" s="6"/>
      <c r="JFL9" s="6"/>
      <c r="JFN9" s="6"/>
      <c r="JFP9" s="6"/>
      <c r="JFR9" s="6"/>
      <c r="JFT9" s="6"/>
      <c r="JFV9" s="6"/>
      <c r="JFX9" s="6"/>
      <c r="JFZ9" s="6"/>
      <c r="JGB9" s="6"/>
      <c r="JGD9" s="6"/>
      <c r="JGF9" s="6"/>
      <c r="JGH9" s="6"/>
      <c r="JGJ9" s="6"/>
      <c r="JGL9" s="6"/>
      <c r="JGN9" s="6"/>
      <c r="JGP9" s="6"/>
      <c r="JGR9" s="6"/>
      <c r="JGT9" s="6"/>
      <c r="JGV9" s="6"/>
      <c r="JGX9" s="6"/>
      <c r="JGZ9" s="6"/>
      <c r="JHB9" s="6"/>
      <c r="JHD9" s="6"/>
      <c r="JHF9" s="6"/>
      <c r="JHH9" s="6"/>
      <c r="JHJ9" s="6"/>
      <c r="JHL9" s="6"/>
      <c r="JHN9" s="6"/>
      <c r="JHP9" s="6"/>
      <c r="JHR9" s="6"/>
      <c r="JHT9" s="6"/>
      <c r="JHV9" s="6"/>
      <c r="JHX9" s="6"/>
      <c r="JHZ9" s="6"/>
      <c r="JIB9" s="6"/>
      <c r="JID9" s="6"/>
      <c r="JIF9" s="6"/>
      <c r="JIH9" s="6"/>
      <c r="JIJ9" s="6"/>
      <c r="JIL9" s="6"/>
      <c r="JIN9" s="6"/>
      <c r="JIP9" s="6"/>
      <c r="JIR9" s="6"/>
      <c r="JIT9" s="6"/>
      <c r="JIV9" s="6"/>
      <c r="JIX9" s="6"/>
      <c r="JIZ9" s="6"/>
      <c r="JJB9" s="6"/>
      <c r="JJD9" s="6"/>
      <c r="JJF9" s="6"/>
      <c r="JJH9" s="6"/>
      <c r="JJJ9" s="6"/>
      <c r="JJL9" s="6"/>
      <c r="JJN9" s="6"/>
      <c r="JJP9" s="6"/>
      <c r="JJR9" s="6"/>
      <c r="JJT9" s="6"/>
      <c r="JJV9" s="6"/>
      <c r="JJX9" s="6"/>
      <c r="JJZ9" s="6"/>
      <c r="JKB9" s="6"/>
      <c r="JKD9" s="6"/>
      <c r="JKF9" s="6"/>
      <c r="JKH9" s="6"/>
      <c r="JKJ9" s="6"/>
      <c r="JKL9" s="6"/>
      <c r="JKN9" s="6"/>
      <c r="JKP9" s="6"/>
      <c r="JKR9" s="6"/>
      <c r="JKT9" s="6"/>
      <c r="JKV9" s="6"/>
      <c r="JKX9" s="6"/>
      <c r="JKZ9" s="6"/>
      <c r="JLB9" s="6"/>
      <c r="JLD9" s="6"/>
      <c r="JLF9" s="6"/>
      <c r="JLH9" s="6"/>
      <c r="JLJ9" s="6"/>
      <c r="JLL9" s="6"/>
      <c r="JLN9" s="6"/>
      <c r="JLP9" s="6"/>
      <c r="JLR9" s="6"/>
      <c r="JLT9" s="6"/>
      <c r="JLV9" s="6"/>
      <c r="JLX9" s="6"/>
      <c r="JLZ9" s="6"/>
      <c r="JMB9" s="6"/>
      <c r="JMD9" s="6"/>
      <c r="JMF9" s="6"/>
      <c r="JMH9" s="6"/>
      <c r="JMJ9" s="6"/>
      <c r="JML9" s="6"/>
      <c r="JMN9" s="6"/>
      <c r="JMP9" s="6"/>
      <c r="JMR9" s="6"/>
      <c r="JMT9" s="6"/>
      <c r="JMV9" s="6"/>
      <c r="JMX9" s="6"/>
      <c r="JMZ9" s="6"/>
      <c r="JNB9" s="6"/>
      <c r="JND9" s="6"/>
      <c r="JNF9" s="6"/>
      <c r="JNH9" s="6"/>
      <c r="JNJ9" s="6"/>
      <c r="JNL9" s="6"/>
      <c r="JNN9" s="6"/>
      <c r="JNP9" s="6"/>
      <c r="JNR9" s="6"/>
      <c r="JNT9" s="6"/>
      <c r="JNV9" s="6"/>
      <c r="JNX9" s="6"/>
      <c r="JNZ9" s="6"/>
      <c r="JOB9" s="6"/>
      <c r="JOD9" s="6"/>
      <c r="JOF9" s="6"/>
      <c r="JOH9" s="6"/>
      <c r="JOJ9" s="6"/>
      <c r="JOL9" s="6"/>
      <c r="JON9" s="6"/>
      <c r="JOP9" s="6"/>
      <c r="JOR9" s="6"/>
      <c r="JOT9" s="6"/>
      <c r="JOV9" s="6"/>
      <c r="JOX9" s="6"/>
      <c r="JOZ9" s="6"/>
      <c r="JPB9" s="6"/>
      <c r="JPD9" s="6"/>
      <c r="JPF9" s="6"/>
      <c r="JPH9" s="6"/>
      <c r="JPJ9" s="6"/>
      <c r="JPL9" s="6"/>
      <c r="JPN9" s="6"/>
      <c r="JPP9" s="6"/>
      <c r="JPR9" s="6"/>
      <c r="JPT9" s="6"/>
      <c r="JPV9" s="6"/>
      <c r="JPX9" s="6"/>
      <c r="JPZ9" s="6"/>
      <c r="JQB9" s="6"/>
      <c r="JQD9" s="6"/>
      <c r="JQF9" s="6"/>
      <c r="JQH9" s="6"/>
      <c r="JQJ9" s="6"/>
      <c r="JQL9" s="6"/>
      <c r="JQN9" s="6"/>
      <c r="JQP9" s="6"/>
      <c r="JQR9" s="6"/>
      <c r="JQT9" s="6"/>
      <c r="JQV9" s="6"/>
      <c r="JQX9" s="6"/>
      <c r="JQZ9" s="6"/>
      <c r="JRB9" s="6"/>
      <c r="JRD9" s="6"/>
      <c r="JRF9" s="6"/>
      <c r="JRH9" s="6"/>
      <c r="JRJ9" s="6"/>
      <c r="JRL9" s="6"/>
      <c r="JRN9" s="6"/>
      <c r="JRP9" s="6"/>
      <c r="JRR9" s="6"/>
      <c r="JRT9" s="6"/>
      <c r="JRV9" s="6"/>
      <c r="JRX9" s="6"/>
      <c r="JRZ9" s="6"/>
      <c r="JSB9" s="6"/>
      <c r="JSD9" s="6"/>
      <c r="JSF9" s="6"/>
      <c r="JSH9" s="6"/>
      <c r="JSJ9" s="6"/>
      <c r="JSL9" s="6"/>
      <c r="JSN9" s="6"/>
      <c r="JSP9" s="6"/>
      <c r="JSR9" s="6"/>
      <c r="JST9" s="6"/>
      <c r="JSV9" s="6"/>
      <c r="JSX9" s="6"/>
      <c r="JSZ9" s="6"/>
      <c r="JTB9" s="6"/>
      <c r="JTD9" s="6"/>
      <c r="JTF9" s="6"/>
      <c r="JTH9" s="6"/>
      <c r="JTJ9" s="6"/>
      <c r="JTL9" s="6"/>
      <c r="JTN9" s="6"/>
      <c r="JTP9" s="6"/>
      <c r="JTR9" s="6"/>
      <c r="JTT9" s="6"/>
      <c r="JTV9" s="6"/>
      <c r="JTX9" s="6"/>
      <c r="JTZ9" s="6"/>
      <c r="JUB9" s="6"/>
      <c r="JUD9" s="6"/>
      <c r="JUF9" s="6"/>
      <c r="JUH9" s="6"/>
      <c r="JUJ9" s="6"/>
      <c r="JUL9" s="6"/>
      <c r="JUN9" s="6"/>
      <c r="JUP9" s="6"/>
      <c r="JUR9" s="6"/>
      <c r="JUT9" s="6"/>
      <c r="JUV9" s="6"/>
      <c r="JUX9" s="6"/>
      <c r="JUZ9" s="6"/>
      <c r="JVB9" s="6"/>
      <c r="JVD9" s="6"/>
      <c r="JVF9" s="6"/>
      <c r="JVH9" s="6"/>
      <c r="JVJ9" s="6"/>
      <c r="JVL9" s="6"/>
      <c r="JVN9" s="6"/>
      <c r="JVP9" s="6"/>
      <c r="JVR9" s="6"/>
      <c r="JVT9" s="6"/>
      <c r="JVV9" s="6"/>
      <c r="JVX9" s="6"/>
      <c r="JVZ9" s="6"/>
      <c r="JWB9" s="6"/>
      <c r="JWD9" s="6"/>
      <c r="JWF9" s="6"/>
      <c r="JWH9" s="6"/>
      <c r="JWJ9" s="6"/>
      <c r="JWL9" s="6"/>
      <c r="JWN9" s="6"/>
      <c r="JWP9" s="6"/>
      <c r="JWR9" s="6"/>
      <c r="JWT9" s="6"/>
      <c r="JWV9" s="6"/>
      <c r="JWX9" s="6"/>
      <c r="JWZ9" s="6"/>
      <c r="JXB9" s="6"/>
      <c r="JXD9" s="6"/>
      <c r="JXF9" s="6"/>
      <c r="JXH9" s="6"/>
      <c r="JXJ9" s="6"/>
      <c r="JXL9" s="6"/>
      <c r="JXN9" s="6"/>
      <c r="JXP9" s="6"/>
      <c r="JXR9" s="6"/>
      <c r="JXT9" s="6"/>
      <c r="JXV9" s="6"/>
      <c r="JXX9" s="6"/>
      <c r="JXZ9" s="6"/>
      <c r="JYB9" s="6"/>
      <c r="JYD9" s="6"/>
      <c r="JYF9" s="6"/>
      <c r="JYH9" s="6"/>
      <c r="JYJ9" s="6"/>
      <c r="JYL9" s="6"/>
      <c r="JYN9" s="6"/>
      <c r="JYP9" s="6"/>
      <c r="JYR9" s="6"/>
      <c r="JYT9" s="6"/>
      <c r="JYV9" s="6"/>
      <c r="JYX9" s="6"/>
      <c r="JYZ9" s="6"/>
      <c r="JZB9" s="6"/>
      <c r="JZD9" s="6"/>
      <c r="JZF9" s="6"/>
      <c r="JZH9" s="6"/>
      <c r="JZJ9" s="6"/>
      <c r="JZL9" s="6"/>
      <c r="JZN9" s="6"/>
      <c r="JZP9" s="6"/>
      <c r="JZR9" s="6"/>
      <c r="JZT9" s="6"/>
      <c r="JZV9" s="6"/>
      <c r="JZX9" s="6"/>
      <c r="JZZ9" s="6"/>
      <c r="KAB9" s="6"/>
      <c r="KAD9" s="6"/>
      <c r="KAF9" s="6"/>
      <c r="KAH9" s="6"/>
      <c r="KAJ9" s="6"/>
      <c r="KAL9" s="6"/>
      <c r="KAN9" s="6"/>
      <c r="KAP9" s="6"/>
      <c r="KAR9" s="6"/>
      <c r="KAT9" s="6"/>
      <c r="KAV9" s="6"/>
      <c r="KAX9" s="6"/>
      <c r="KAZ9" s="6"/>
      <c r="KBB9" s="6"/>
      <c r="KBD9" s="6"/>
      <c r="KBF9" s="6"/>
      <c r="KBH9" s="6"/>
      <c r="KBJ9" s="6"/>
      <c r="KBL9" s="6"/>
      <c r="KBN9" s="6"/>
      <c r="KBP9" s="6"/>
      <c r="KBR9" s="6"/>
      <c r="KBT9" s="6"/>
      <c r="KBV9" s="6"/>
      <c r="KBX9" s="6"/>
      <c r="KBZ9" s="6"/>
      <c r="KCB9" s="6"/>
      <c r="KCD9" s="6"/>
      <c r="KCF9" s="6"/>
      <c r="KCH9" s="6"/>
      <c r="KCJ9" s="6"/>
      <c r="KCL9" s="6"/>
      <c r="KCN9" s="6"/>
      <c r="KCP9" s="6"/>
      <c r="KCR9" s="6"/>
      <c r="KCT9" s="6"/>
      <c r="KCV9" s="6"/>
      <c r="KCX9" s="6"/>
      <c r="KCZ9" s="6"/>
      <c r="KDB9" s="6"/>
      <c r="KDD9" s="6"/>
      <c r="KDF9" s="6"/>
      <c r="KDH9" s="6"/>
      <c r="KDJ9" s="6"/>
      <c r="KDL9" s="6"/>
      <c r="KDN9" s="6"/>
      <c r="KDP9" s="6"/>
      <c r="KDR9" s="6"/>
      <c r="KDT9" s="6"/>
      <c r="KDV9" s="6"/>
      <c r="KDX9" s="6"/>
      <c r="KDZ9" s="6"/>
      <c r="KEB9" s="6"/>
      <c r="KED9" s="6"/>
      <c r="KEF9" s="6"/>
      <c r="KEH9" s="6"/>
      <c r="KEJ9" s="6"/>
      <c r="KEL9" s="6"/>
      <c r="KEN9" s="6"/>
      <c r="KEP9" s="6"/>
      <c r="KER9" s="6"/>
      <c r="KET9" s="6"/>
      <c r="KEV9" s="6"/>
      <c r="KEX9" s="6"/>
      <c r="KEZ9" s="6"/>
      <c r="KFB9" s="6"/>
      <c r="KFD9" s="6"/>
      <c r="KFF9" s="6"/>
      <c r="KFH9" s="6"/>
      <c r="KFJ9" s="6"/>
      <c r="KFL9" s="6"/>
      <c r="KFN9" s="6"/>
      <c r="KFP9" s="6"/>
      <c r="KFR9" s="6"/>
      <c r="KFT9" s="6"/>
      <c r="KFV9" s="6"/>
      <c r="KFX9" s="6"/>
      <c r="KFZ9" s="6"/>
      <c r="KGB9" s="6"/>
      <c r="KGD9" s="6"/>
      <c r="KGF9" s="6"/>
      <c r="KGH9" s="6"/>
      <c r="KGJ9" s="6"/>
      <c r="KGL9" s="6"/>
      <c r="KGN9" s="6"/>
      <c r="KGP9" s="6"/>
      <c r="KGR9" s="6"/>
      <c r="KGT9" s="6"/>
      <c r="KGV9" s="6"/>
      <c r="KGX9" s="6"/>
      <c r="KGZ9" s="6"/>
      <c r="KHB9" s="6"/>
      <c r="KHD9" s="6"/>
      <c r="KHF9" s="6"/>
      <c r="KHH9" s="6"/>
      <c r="KHJ9" s="6"/>
      <c r="KHL9" s="6"/>
      <c r="KHN9" s="6"/>
      <c r="KHP9" s="6"/>
      <c r="KHR9" s="6"/>
      <c r="KHT9" s="6"/>
      <c r="KHV9" s="6"/>
      <c r="KHX9" s="6"/>
      <c r="KHZ9" s="6"/>
      <c r="KIB9" s="6"/>
      <c r="KID9" s="6"/>
      <c r="KIF9" s="6"/>
      <c r="KIH9" s="6"/>
      <c r="KIJ9" s="6"/>
      <c r="KIL9" s="6"/>
      <c r="KIN9" s="6"/>
      <c r="KIP9" s="6"/>
      <c r="KIR9" s="6"/>
      <c r="KIT9" s="6"/>
      <c r="KIV9" s="6"/>
      <c r="KIX9" s="6"/>
      <c r="KIZ9" s="6"/>
      <c r="KJB9" s="6"/>
      <c r="KJD9" s="6"/>
      <c r="KJF9" s="6"/>
      <c r="KJH9" s="6"/>
      <c r="KJJ9" s="6"/>
      <c r="KJL9" s="6"/>
      <c r="KJN9" s="6"/>
      <c r="KJP9" s="6"/>
      <c r="KJR9" s="6"/>
      <c r="KJT9" s="6"/>
      <c r="KJV9" s="6"/>
      <c r="KJX9" s="6"/>
      <c r="KJZ9" s="6"/>
      <c r="KKB9" s="6"/>
      <c r="KKD9" s="6"/>
      <c r="KKF9" s="6"/>
      <c r="KKH9" s="6"/>
      <c r="KKJ9" s="6"/>
      <c r="KKL9" s="6"/>
      <c r="KKN9" s="6"/>
      <c r="KKP9" s="6"/>
      <c r="KKR9" s="6"/>
      <c r="KKT9" s="6"/>
      <c r="KKV9" s="6"/>
      <c r="KKX9" s="6"/>
      <c r="KKZ9" s="6"/>
      <c r="KLB9" s="6"/>
      <c r="KLD9" s="6"/>
      <c r="KLF9" s="6"/>
      <c r="KLH9" s="6"/>
      <c r="KLJ9" s="6"/>
      <c r="KLL9" s="6"/>
      <c r="KLN9" s="6"/>
      <c r="KLP9" s="6"/>
      <c r="KLR9" s="6"/>
      <c r="KLT9" s="6"/>
      <c r="KLV9" s="6"/>
      <c r="KLX9" s="6"/>
      <c r="KLZ9" s="6"/>
      <c r="KMB9" s="6"/>
      <c r="KMD9" s="6"/>
      <c r="KMF9" s="6"/>
      <c r="KMH9" s="6"/>
      <c r="KMJ9" s="6"/>
      <c r="KML9" s="6"/>
      <c r="KMN9" s="6"/>
      <c r="KMP9" s="6"/>
      <c r="KMR9" s="6"/>
      <c r="KMT9" s="6"/>
      <c r="KMV9" s="6"/>
      <c r="KMX9" s="6"/>
      <c r="KMZ9" s="6"/>
      <c r="KNB9" s="6"/>
      <c r="KND9" s="6"/>
      <c r="KNF9" s="6"/>
      <c r="KNH9" s="6"/>
      <c r="KNJ9" s="6"/>
      <c r="KNL9" s="6"/>
      <c r="KNN9" s="6"/>
      <c r="KNP9" s="6"/>
      <c r="KNR9" s="6"/>
      <c r="KNT9" s="6"/>
      <c r="KNV9" s="6"/>
      <c r="KNX9" s="6"/>
      <c r="KNZ9" s="6"/>
      <c r="KOB9" s="6"/>
      <c r="KOD9" s="6"/>
      <c r="KOF9" s="6"/>
      <c r="KOH9" s="6"/>
      <c r="KOJ9" s="6"/>
      <c r="KOL9" s="6"/>
      <c r="KON9" s="6"/>
      <c r="KOP9" s="6"/>
      <c r="KOR9" s="6"/>
      <c r="KOT9" s="6"/>
      <c r="KOV9" s="6"/>
      <c r="KOX9" s="6"/>
      <c r="KOZ9" s="6"/>
      <c r="KPB9" s="6"/>
      <c r="KPD9" s="6"/>
      <c r="KPF9" s="6"/>
      <c r="KPH9" s="6"/>
      <c r="KPJ9" s="6"/>
      <c r="KPL9" s="6"/>
      <c r="KPN9" s="6"/>
      <c r="KPP9" s="6"/>
      <c r="KPR9" s="6"/>
      <c r="KPT9" s="6"/>
      <c r="KPV9" s="6"/>
      <c r="KPX9" s="6"/>
      <c r="KPZ9" s="6"/>
      <c r="KQB9" s="6"/>
      <c r="KQD9" s="6"/>
      <c r="KQF9" s="6"/>
      <c r="KQH9" s="6"/>
      <c r="KQJ9" s="6"/>
      <c r="KQL9" s="6"/>
      <c r="KQN9" s="6"/>
      <c r="KQP9" s="6"/>
      <c r="KQR9" s="6"/>
      <c r="KQT9" s="6"/>
      <c r="KQV9" s="6"/>
      <c r="KQX9" s="6"/>
      <c r="KQZ9" s="6"/>
      <c r="KRB9" s="6"/>
      <c r="KRD9" s="6"/>
      <c r="KRF9" s="6"/>
      <c r="KRH9" s="6"/>
      <c r="KRJ9" s="6"/>
      <c r="KRL9" s="6"/>
      <c r="KRN9" s="6"/>
      <c r="KRP9" s="6"/>
      <c r="KRR9" s="6"/>
      <c r="KRT9" s="6"/>
      <c r="KRV9" s="6"/>
      <c r="KRX9" s="6"/>
      <c r="KRZ9" s="6"/>
      <c r="KSB9" s="6"/>
      <c r="KSD9" s="6"/>
      <c r="KSF9" s="6"/>
      <c r="KSH9" s="6"/>
      <c r="KSJ9" s="6"/>
      <c r="KSL9" s="6"/>
      <c r="KSN9" s="6"/>
      <c r="KSP9" s="6"/>
      <c r="KSR9" s="6"/>
      <c r="KST9" s="6"/>
      <c r="KSV9" s="6"/>
      <c r="KSX9" s="6"/>
      <c r="KSZ9" s="6"/>
      <c r="KTB9" s="6"/>
      <c r="KTD9" s="6"/>
      <c r="KTF9" s="6"/>
      <c r="KTH9" s="6"/>
      <c r="KTJ9" s="6"/>
      <c r="KTL9" s="6"/>
      <c r="KTN9" s="6"/>
      <c r="KTP9" s="6"/>
      <c r="KTR9" s="6"/>
      <c r="KTT9" s="6"/>
      <c r="KTV9" s="6"/>
      <c r="KTX9" s="6"/>
      <c r="KTZ9" s="6"/>
      <c r="KUB9" s="6"/>
      <c r="KUD9" s="6"/>
      <c r="KUF9" s="6"/>
      <c r="KUH9" s="6"/>
      <c r="KUJ9" s="6"/>
      <c r="KUL9" s="6"/>
      <c r="KUN9" s="6"/>
      <c r="KUP9" s="6"/>
      <c r="KUR9" s="6"/>
      <c r="KUT9" s="6"/>
      <c r="KUV9" s="6"/>
      <c r="KUX9" s="6"/>
      <c r="KUZ9" s="6"/>
      <c r="KVB9" s="6"/>
      <c r="KVD9" s="6"/>
      <c r="KVF9" s="6"/>
      <c r="KVH9" s="6"/>
      <c r="KVJ9" s="6"/>
      <c r="KVL9" s="6"/>
      <c r="KVN9" s="6"/>
      <c r="KVP9" s="6"/>
      <c r="KVR9" s="6"/>
      <c r="KVT9" s="6"/>
      <c r="KVV9" s="6"/>
      <c r="KVX9" s="6"/>
      <c r="KVZ9" s="6"/>
      <c r="KWB9" s="6"/>
      <c r="KWD9" s="6"/>
      <c r="KWF9" s="6"/>
      <c r="KWH9" s="6"/>
      <c r="KWJ9" s="6"/>
      <c r="KWL9" s="6"/>
      <c r="KWN9" s="6"/>
      <c r="KWP9" s="6"/>
      <c r="KWR9" s="6"/>
      <c r="KWT9" s="6"/>
      <c r="KWV9" s="6"/>
      <c r="KWX9" s="6"/>
      <c r="KWZ9" s="6"/>
      <c r="KXB9" s="6"/>
      <c r="KXD9" s="6"/>
      <c r="KXF9" s="6"/>
      <c r="KXH9" s="6"/>
      <c r="KXJ9" s="6"/>
      <c r="KXL9" s="6"/>
      <c r="KXN9" s="6"/>
      <c r="KXP9" s="6"/>
      <c r="KXR9" s="6"/>
      <c r="KXT9" s="6"/>
      <c r="KXV9" s="6"/>
      <c r="KXX9" s="6"/>
      <c r="KXZ9" s="6"/>
      <c r="KYB9" s="6"/>
      <c r="KYD9" s="6"/>
      <c r="KYF9" s="6"/>
      <c r="KYH9" s="6"/>
      <c r="KYJ9" s="6"/>
      <c r="KYL9" s="6"/>
      <c r="KYN9" s="6"/>
      <c r="KYP9" s="6"/>
      <c r="KYR9" s="6"/>
      <c r="KYT9" s="6"/>
      <c r="KYV9" s="6"/>
      <c r="KYX9" s="6"/>
      <c r="KYZ9" s="6"/>
      <c r="KZB9" s="6"/>
      <c r="KZD9" s="6"/>
      <c r="KZF9" s="6"/>
      <c r="KZH9" s="6"/>
      <c r="KZJ9" s="6"/>
      <c r="KZL9" s="6"/>
      <c r="KZN9" s="6"/>
      <c r="KZP9" s="6"/>
      <c r="KZR9" s="6"/>
      <c r="KZT9" s="6"/>
      <c r="KZV9" s="6"/>
      <c r="KZX9" s="6"/>
      <c r="KZZ9" s="6"/>
      <c r="LAB9" s="6"/>
      <c r="LAD9" s="6"/>
      <c r="LAF9" s="6"/>
      <c r="LAH9" s="6"/>
      <c r="LAJ9" s="6"/>
      <c r="LAL9" s="6"/>
      <c r="LAN9" s="6"/>
      <c r="LAP9" s="6"/>
      <c r="LAR9" s="6"/>
      <c r="LAT9" s="6"/>
      <c r="LAV9" s="6"/>
      <c r="LAX9" s="6"/>
      <c r="LAZ9" s="6"/>
      <c r="LBB9" s="6"/>
      <c r="LBD9" s="6"/>
      <c r="LBF9" s="6"/>
      <c r="LBH9" s="6"/>
      <c r="LBJ9" s="6"/>
      <c r="LBL9" s="6"/>
      <c r="LBN9" s="6"/>
      <c r="LBP9" s="6"/>
      <c r="LBR9" s="6"/>
      <c r="LBT9" s="6"/>
      <c r="LBV9" s="6"/>
      <c r="LBX9" s="6"/>
      <c r="LBZ9" s="6"/>
      <c r="LCB9" s="6"/>
      <c r="LCD9" s="6"/>
      <c r="LCF9" s="6"/>
      <c r="LCH9" s="6"/>
      <c r="LCJ9" s="6"/>
      <c r="LCL9" s="6"/>
      <c r="LCN9" s="6"/>
      <c r="LCP9" s="6"/>
      <c r="LCR9" s="6"/>
      <c r="LCT9" s="6"/>
      <c r="LCV9" s="6"/>
      <c r="LCX9" s="6"/>
      <c r="LCZ9" s="6"/>
      <c r="LDB9" s="6"/>
      <c r="LDD9" s="6"/>
      <c r="LDF9" s="6"/>
      <c r="LDH9" s="6"/>
      <c r="LDJ9" s="6"/>
      <c r="LDL9" s="6"/>
      <c r="LDN9" s="6"/>
      <c r="LDP9" s="6"/>
      <c r="LDR9" s="6"/>
      <c r="LDT9" s="6"/>
      <c r="LDV9" s="6"/>
      <c r="LDX9" s="6"/>
      <c r="LDZ9" s="6"/>
      <c r="LEB9" s="6"/>
      <c r="LED9" s="6"/>
      <c r="LEF9" s="6"/>
      <c r="LEH9" s="6"/>
      <c r="LEJ9" s="6"/>
      <c r="LEL9" s="6"/>
      <c r="LEN9" s="6"/>
      <c r="LEP9" s="6"/>
      <c r="LER9" s="6"/>
      <c r="LET9" s="6"/>
      <c r="LEV9" s="6"/>
      <c r="LEX9" s="6"/>
      <c r="LEZ9" s="6"/>
      <c r="LFB9" s="6"/>
      <c r="LFD9" s="6"/>
      <c r="LFF9" s="6"/>
      <c r="LFH9" s="6"/>
      <c r="LFJ9" s="6"/>
      <c r="LFL9" s="6"/>
      <c r="LFN9" s="6"/>
      <c r="LFP9" s="6"/>
      <c r="LFR9" s="6"/>
      <c r="LFT9" s="6"/>
      <c r="LFV9" s="6"/>
      <c r="LFX9" s="6"/>
      <c r="LFZ9" s="6"/>
      <c r="LGB9" s="6"/>
      <c r="LGD9" s="6"/>
      <c r="LGF9" s="6"/>
      <c r="LGH9" s="6"/>
      <c r="LGJ9" s="6"/>
      <c r="LGL9" s="6"/>
      <c r="LGN9" s="6"/>
      <c r="LGP9" s="6"/>
      <c r="LGR9" s="6"/>
      <c r="LGT9" s="6"/>
      <c r="LGV9" s="6"/>
      <c r="LGX9" s="6"/>
      <c r="LGZ9" s="6"/>
      <c r="LHB9" s="6"/>
      <c r="LHD9" s="6"/>
      <c r="LHF9" s="6"/>
      <c r="LHH9" s="6"/>
      <c r="LHJ9" s="6"/>
      <c r="LHL9" s="6"/>
      <c r="LHN9" s="6"/>
      <c r="LHP9" s="6"/>
      <c r="LHR9" s="6"/>
      <c r="LHT9" s="6"/>
      <c r="LHV9" s="6"/>
      <c r="LHX9" s="6"/>
      <c r="LHZ9" s="6"/>
      <c r="LIB9" s="6"/>
      <c r="LID9" s="6"/>
      <c r="LIF9" s="6"/>
      <c r="LIH9" s="6"/>
      <c r="LIJ9" s="6"/>
      <c r="LIL9" s="6"/>
      <c r="LIN9" s="6"/>
      <c r="LIP9" s="6"/>
      <c r="LIR9" s="6"/>
      <c r="LIT9" s="6"/>
      <c r="LIV9" s="6"/>
      <c r="LIX9" s="6"/>
      <c r="LIZ9" s="6"/>
      <c r="LJB9" s="6"/>
      <c r="LJD9" s="6"/>
      <c r="LJF9" s="6"/>
      <c r="LJH9" s="6"/>
      <c r="LJJ9" s="6"/>
      <c r="LJL9" s="6"/>
      <c r="LJN9" s="6"/>
      <c r="LJP9" s="6"/>
      <c r="LJR9" s="6"/>
      <c r="LJT9" s="6"/>
      <c r="LJV9" s="6"/>
      <c r="LJX9" s="6"/>
      <c r="LJZ9" s="6"/>
      <c r="LKB9" s="6"/>
      <c r="LKD9" s="6"/>
      <c r="LKF9" s="6"/>
      <c r="LKH9" s="6"/>
      <c r="LKJ9" s="6"/>
      <c r="LKL9" s="6"/>
      <c r="LKN9" s="6"/>
      <c r="LKP9" s="6"/>
      <c r="LKR9" s="6"/>
      <c r="LKT9" s="6"/>
      <c r="LKV9" s="6"/>
      <c r="LKX9" s="6"/>
      <c r="LKZ9" s="6"/>
      <c r="LLB9" s="6"/>
      <c r="LLD9" s="6"/>
      <c r="LLF9" s="6"/>
      <c r="LLH9" s="6"/>
      <c r="LLJ9" s="6"/>
      <c r="LLL9" s="6"/>
      <c r="LLN9" s="6"/>
      <c r="LLP9" s="6"/>
      <c r="LLR9" s="6"/>
      <c r="LLT9" s="6"/>
      <c r="LLV9" s="6"/>
      <c r="LLX9" s="6"/>
      <c r="LLZ9" s="6"/>
      <c r="LMB9" s="6"/>
      <c r="LMD9" s="6"/>
      <c r="LMF9" s="6"/>
      <c r="LMH9" s="6"/>
      <c r="LMJ9" s="6"/>
      <c r="LML9" s="6"/>
      <c r="LMN9" s="6"/>
      <c r="LMP9" s="6"/>
      <c r="LMR9" s="6"/>
      <c r="LMT9" s="6"/>
      <c r="LMV9" s="6"/>
      <c r="LMX9" s="6"/>
      <c r="LMZ9" s="6"/>
      <c r="LNB9" s="6"/>
      <c r="LND9" s="6"/>
      <c r="LNF9" s="6"/>
      <c r="LNH9" s="6"/>
      <c r="LNJ9" s="6"/>
      <c r="LNL9" s="6"/>
      <c r="LNN9" s="6"/>
      <c r="LNP9" s="6"/>
      <c r="LNR9" s="6"/>
      <c r="LNT9" s="6"/>
      <c r="LNV9" s="6"/>
      <c r="LNX9" s="6"/>
      <c r="LNZ9" s="6"/>
      <c r="LOB9" s="6"/>
      <c r="LOD9" s="6"/>
      <c r="LOF9" s="6"/>
      <c r="LOH9" s="6"/>
      <c r="LOJ9" s="6"/>
      <c r="LOL9" s="6"/>
      <c r="LON9" s="6"/>
      <c r="LOP9" s="6"/>
      <c r="LOR9" s="6"/>
      <c r="LOT9" s="6"/>
      <c r="LOV9" s="6"/>
      <c r="LOX9" s="6"/>
      <c r="LOZ9" s="6"/>
      <c r="LPB9" s="6"/>
      <c r="LPD9" s="6"/>
      <c r="LPF9" s="6"/>
      <c r="LPH9" s="6"/>
      <c r="LPJ9" s="6"/>
      <c r="LPL9" s="6"/>
      <c r="LPN9" s="6"/>
      <c r="LPP9" s="6"/>
      <c r="LPR9" s="6"/>
      <c r="LPT9" s="6"/>
      <c r="LPV9" s="6"/>
      <c r="LPX9" s="6"/>
      <c r="LPZ9" s="6"/>
      <c r="LQB9" s="6"/>
      <c r="LQD9" s="6"/>
      <c r="LQF9" s="6"/>
      <c r="LQH9" s="6"/>
      <c r="LQJ9" s="6"/>
      <c r="LQL9" s="6"/>
      <c r="LQN9" s="6"/>
      <c r="LQP9" s="6"/>
      <c r="LQR9" s="6"/>
      <c r="LQT9" s="6"/>
      <c r="LQV9" s="6"/>
      <c r="LQX9" s="6"/>
      <c r="LQZ9" s="6"/>
      <c r="LRB9" s="6"/>
      <c r="LRD9" s="6"/>
      <c r="LRF9" s="6"/>
      <c r="LRH9" s="6"/>
      <c r="LRJ9" s="6"/>
      <c r="LRL9" s="6"/>
      <c r="LRN9" s="6"/>
      <c r="LRP9" s="6"/>
      <c r="LRR9" s="6"/>
      <c r="LRT9" s="6"/>
      <c r="LRV9" s="6"/>
      <c r="LRX9" s="6"/>
      <c r="LRZ9" s="6"/>
      <c r="LSB9" s="6"/>
      <c r="LSD9" s="6"/>
      <c r="LSF9" s="6"/>
      <c r="LSH9" s="6"/>
      <c r="LSJ9" s="6"/>
      <c r="LSL9" s="6"/>
      <c r="LSN9" s="6"/>
      <c r="LSP9" s="6"/>
      <c r="LSR9" s="6"/>
      <c r="LST9" s="6"/>
      <c r="LSV9" s="6"/>
      <c r="LSX9" s="6"/>
      <c r="LSZ9" s="6"/>
      <c r="LTB9" s="6"/>
      <c r="LTD9" s="6"/>
      <c r="LTF9" s="6"/>
      <c r="LTH9" s="6"/>
      <c r="LTJ9" s="6"/>
      <c r="LTL9" s="6"/>
      <c r="LTN9" s="6"/>
      <c r="LTP9" s="6"/>
      <c r="LTR9" s="6"/>
      <c r="LTT9" s="6"/>
      <c r="LTV9" s="6"/>
      <c r="LTX9" s="6"/>
      <c r="LTZ9" s="6"/>
      <c r="LUB9" s="6"/>
      <c r="LUD9" s="6"/>
      <c r="LUF9" s="6"/>
      <c r="LUH9" s="6"/>
      <c r="LUJ9" s="6"/>
      <c r="LUL9" s="6"/>
      <c r="LUN9" s="6"/>
      <c r="LUP9" s="6"/>
      <c r="LUR9" s="6"/>
      <c r="LUT9" s="6"/>
      <c r="LUV9" s="6"/>
      <c r="LUX9" s="6"/>
      <c r="LUZ9" s="6"/>
      <c r="LVB9" s="6"/>
      <c r="LVD9" s="6"/>
      <c r="LVF9" s="6"/>
      <c r="LVH9" s="6"/>
      <c r="LVJ9" s="6"/>
      <c r="LVL9" s="6"/>
      <c r="LVN9" s="6"/>
      <c r="LVP9" s="6"/>
      <c r="LVR9" s="6"/>
      <c r="LVT9" s="6"/>
      <c r="LVV9" s="6"/>
      <c r="LVX9" s="6"/>
      <c r="LVZ9" s="6"/>
      <c r="LWB9" s="6"/>
      <c r="LWD9" s="6"/>
      <c r="LWF9" s="6"/>
      <c r="LWH9" s="6"/>
      <c r="LWJ9" s="6"/>
      <c r="LWL9" s="6"/>
      <c r="LWN9" s="6"/>
      <c r="LWP9" s="6"/>
      <c r="LWR9" s="6"/>
      <c r="LWT9" s="6"/>
      <c r="LWV9" s="6"/>
      <c r="LWX9" s="6"/>
      <c r="LWZ9" s="6"/>
      <c r="LXB9" s="6"/>
      <c r="LXD9" s="6"/>
      <c r="LXF9" s="6"/>
      <c r="LXH9" s="6"/>
      <c r="LXJ9" s="6"/>
      <c r="LXL9" s="6"/>
      <c r="LXN9" s="6"/>
      <c r="LXP9" s="6"/>
      <c r="LXR9" s="6"/>
      <c r="LXT9" s="6"/>
      <c r="LXV9" s="6"/>
      <c r="LXX9" s="6"/>
      <c r="LXZ9" s="6"/>
      <c r="LYB9" s="6"/>
      <c r="LYD9" s="6"/>
      <c r="LYF9" s="6"/>
      <c r="LYH9" s="6"/>
      <c r="LYJ9" s="6"/>
      <c r="LYL9" s="6"/>
      <c r="LYN9" s="6"/>
      <c r="LYP9" s="6"/>
      <c r="LYR9" s="6"/>
      <c r="LYT9" s="6"/>
      <c r="LYV9" s="6"/>
      <c r="LYX9" s="6"/>
      <c r="LYZ9" s="6"/>
      <c r="LZB9" s="6"/>
      <c r="LZD9" s="6"/>
      <c r="LZF9" s="6"/>
      <c r="LZH9" s="6"/>
      <c r="LZJ9" s="6"/>
      <c r="LZL9" s="6"/>
      <c r="LZN9" s="6"/>
      <c r="LZP9" s="6"/>
      <c r="LZR9" s="6"/>
      <c r="LZT9" s="6"/>
      <c r="LZV9" s="6"/>
      <c r="LZX9" s="6"/>
      <c r="LZZ9" s="6"/>
      <c r="MAB9" s="6"/>
      <c r="MAD9" s="6"/>
      <c r="MAF9" s="6"/>
      <c r="MAH9" s="6"/>
      <c r="MAJ9" s="6"/>
      <c r="MAL9" s="6"/>
      <c r="MAN9" s="6"/>
      <c r="MAP9" s="6"/>
      <c r="MAR9" s="6"/>
      <c r="MAT9" s="6"/>
      <c r="MAV9" s="6"/>
      <c r="MAX9" s="6"/>
      <c r="MAZ9" s="6"/>
      <c r="MBB9" s="6"/>
      <c r="MBD9" s="6"/>
      <c r="MBF9" s="6"/>
      <c r="MBH9" s="6"/>
      <c r="MBJ9" s="6"/>
      <c r="MBL9" s="6"/>
      <c r="MBN9" s="6"/>
      <c r="MBP9" s="6"/>
      <c r="MBR9" s="6"/>
      <c r="MBT9" s="6"/>
      <c r="MBV9" s="6"/>
      <c r="MBX9" s="6"/>
      <c r="MBZ9" s="6"/>
      <c r="MCB9" s="6"/>
      <c r="MCD9" s="6"/>
      <c r="MCF9" s="6"/>
      <c r="MCH9" s="6"/>
      <c r="MCJ9" s="6"/>
      <c r="MCL9" s="6"/>
      <c r="MCN9" s="6"/>
      <c r="MCP9" s="6"/>
      <c r="MCR9" s="6"/>
      <c r="MCT9" s="6"/>
      <c r="MCV9" s="6"/>
      <c r="MCX9" s="6"/>
      <c r="MCZ9" s="6"/>
      <c r="MDB9" s="6"/>
      <c r="MDD9" s="6"/>
      <c r="MDF9" s="6"/>
      <c r="MDH9" s="6"/>
      <c r="MDJ9" s="6"/>
      <c r="MDL9" s="6"/>
      <c r="MDN9" s="6"/>
      <c r="MDP9" s="6"/>
      <c r="MDR9" s="6"/>
      <c r="MDT9" s="6"/>
      <c r="MDV9" s="6"/>
      <c r="MDX9" s="6"/>
      <c r="MDZ9" s="6"/>
      <c r="MEB9" s="6"/>
      <c r="MED9" s="6"/>
      <c r="MEF9" s="6"/>
      <c r="MEH9" s="6"/>
      <c r="MEJ9" s="6"/>
      <c r="MEL9" s="6"/>
      <c r="MEN9" s="6"/>
      <c r="MEP9" s="6"/>
      <c r="MER9" s="6"/>
      <c r="MET9" s="6"/>
      <c r="MEV9" s="6"/>
      <c r="MEX9" s="6"/>
      <c r="MEZ9" s="6"/>
      <c r="MFB9" s="6"/>
      <c r="MFD9" s="6"/>
      <c r="MFF9" s="6"/>
      <c r="MFH9" s="6"/>
      <c r="MFJ9" s="6"/>
      <c r="MFL9" s="6"/>
      <c r="MFN9" s="6"/>
      <c r="MFP9" s="6"/>
      <c r="MFR9" s="6"/>
      <c r="MFT9" s="6"/>
      <c r="MFV9" s="6"/>
      <c r="MFX9" s="6"/>
      <c r="MFZ9" s="6"/>
      <c r="MGB9" s="6"/>
      <c r="MGD9" s="6"/>
      <c r="MGF9" s="6"/>
      <c r="MGH9" s="6"/>
      <c r="MGJ9" s="6"/>
      <c r="MGL9" s="6"/>
      <c r="MGN9" s="6"/>
      <c r="MGP9" s="6"/>
      <c r="MGR9" s="6"/>
      <c r="MGT9" s="6"/>
      <c r="MGV9" s="6"/>
      <c r="MGX9" s="6"/>
      <c r="MGZ9" s="6"/>
      <c r="MHB9" s="6"/>
      <c r="MHD9" s="6"/>
      <c r="MHF9" s="6"/>
      <c r="MHH9" s="6"/>
      <c r="MHJ9" s="6"/>
      <c r="MHL9" s="6"/>
      <c r="MHN9" s="6"/>
      <c r="MHP9" s="6"/>
      <c r="MHR9" s="6"/>
      <c r="MHT9" s="6"/>
      <c r="MHV9" s="6"/>
      <c r="MHX9" s="6"/>
      <c r="MHZ9" s="6"/>
      <c r="MIB9" s="6"/>
      <c r="MID9" s="6"/>
      <c r="MIF9" s="6"/>
      <c r="MIH9" s="6"/>
      <c r="MIJ9" s="6"/>
      <c r="MIL9" s="6"/>
      <c r="MIN9" s="6"/>
      <c r="MIP9" s="6"/>
      <c r="MIR9" s="6"/>
      <c r="MIT9" s="6"/>
      <c r="MIV9" s="6"/>
      <c r="MIX9" s="6"/>
      <c r="MIZ9" s="6"/>
      <c r="MJB9" s="6"/>
      <c r="MJD9" s="6"/>
      <c r="MJF9" s="6"/>
      <c r="MJH9" s="6"/>
      <c r="MJJ9" s="6"/>
      <c r="MJL9" s="6"/>
      <c r="MJN9" s="6"/>
      <c r="MJP9" s="6"/>
      <c r="MJR9" s="6"/>
      <c r="MJT9" s="6"/>
      <c r="MJV9" s="6"/>
      <c r="MJX9" s="6"/>
      <c r="MJZ9" s="6"/>
      <c r="MKB9" s="6"/>
      <c r="MKD9" s="6"/>
      <c r="MKF9" s="6"/>
      <c r="MKH9" s="6"/>
      <c r="MKJ9" s="6"/>
      <c r="MKL9" s="6"/>
      <c r="MKN9" s="6"/>
      <c r="MKP9" s="6"/>
      <c r="MKR9" s="6"/>
      <c r="MKT9" s="6"/>
      <c r="MKV9" s="6"/>
      <c r="MKX9" s="6"/>
      <c r="MKZ9" s="6"/>
      <c r="MLB9" s="6"/>
      <c r="MLD9" s="6"/>
      <c r="MLF9" s="6"/>
      <c r="MLH9" s="6"/>
      <c r="MLJ9" s="6"/>
      <c r="MLL9" s="6"/>
      <c r="MLN9" s="6"/>
      <c r="MLP9" s="6"/>
      <c r="MLR9" s="6"/>
      <c r="MLT9" s="6"/>
      <c r="MLV9" s="6"/>
      <c r="MLX9" s="6"/>
      <c r="MLZ9" s="6"/>
      <c r="MMB9" s="6"/>
      <c r="MMD9" s="6"/>
      <c r="MMF9" s="6"/>
      <c r="MMH9" s="6"/>
      <c r="MMJ9" s="6"/>
      <c r="MML9" s="6"/>
      <c r="MMN9" s="6"/>
      <c r="MMP9" s="6"/>
      <c r="MMR9" s="6"/>
      <c r="MMT9" s="6"/>
      <c r="MMV9" s="6"/>
      <c r="MMX9" s="6"/>
      <c r="MMZ9" s="6"/>
      <c r="MNB9" s="6"/>
      <c r="MND9" s="6"/>
      <c r="MNF9" s="6"/>
      <c r="MNH9" s="6"/>
      <c r="MNJ9" s="6"/>
      <c r="MNL9" s="6"/>
      <c r="MNN9" s="6"/>
      <c r="MNP9" s="6"/>
      <c r="MNR9" s="6"/>
      <c r="MNT9" s="6"/>
      <c r="MNV9" s="6"/>
      <c r="MNX9" s="6"/>
      <c r="MNZ9" s="6"/>
      <c r="MOB9" s="6"/>
      <c r="MOD9" s="6"/>
      <c r="MOF9" s="6"/>
      <c r="MOH9" s="6"/>
      <c r="MOJ9" s="6"/>
      <c r="MOL9" s="6"/>
      <c r="MON9" s="6"/>
      <c r="MOP9" s="6"/>
      <c r="MOR9" s="6"/>
      <c r="MOT9" s="6"/>
      <c r="MOV9" s="6"/>
      <c r="MOX9" s="6"/>
      <c r="MOZ9" s="6"/>
      <c r="MPB9" s="6"/>
      <c r="MPD9" s="6"/>
      <c r="MPF9" s="6"/>
      <c r="MPH9" s="6"/>
      <c r="MPJ9" s="6"/>
      <c r="MPL9" s="6"/>
      <c r="MPN9" s="6"/>
      <c r="MPP9" s="6"/>
      <c r="MPR9" s="6"/>
      <c r="MPT9" s="6"/>
      <c r="MPV9" s="6"/>
      <c r="MPX9" s="6"/>
      <c r="MPZ9" s="6"/>
      <c r="MQB9" s="6"/>
      <c r="MQD9" s="6"/>
      <c r="MQF9" s="6"/>
      <c r="MQH9" s="6"/>
      <c r="MQJ9" s="6"/>
      <c r="MQL9" s="6"/>
      <c r="MQN9" s="6"/>
      <c r="MQP9" s="6"/>
      <c r="MQR9" s="6"/>
      <c r="MQT9" s="6"/>
      <c r="MQV9" s="6"/>
      <c r="MQX9" s="6"/>
      <c r="MQZ9" s="6"/>
      <c r="MRB9" s="6"/>
      <c r="MRD9" s="6"/>
      <c r="MRF9" s="6"/>
      <c r="MRH9" s="6"/>
      <c r="MRJ9" s="6"/>
      <c r="MRL9" s="6"/>
      <c r="MRN9" s="6"/>
      <c r="MRP9" s="6"/>
      <c r="MRR9" s="6"/>
      <c r="MRT9" s="6"/>
      <c r="MRV9" s="6"/>
      <c r="MRX9" s="6"/>
      <c r="MRZ9" s="6"/>
      <c r="MSB9" s="6"/>
      <c r="MSD9" s="6"/>
      <c r="MSF9" s="6"/>
      <c r="MSH9" s="6"/>
      <c r="MSJ9" s="6"/>
      <c r="MSL9" s="6"/>
      <c r="MSN9" s="6"/>
      <c r="MSP9" s="6"/>
      <c r="MSR9" s="6"/>
      <c r="MST9" s="6"/>
      <c r="MSV9" s="6"/>
      <c r="MSX9" s="6"/>
      <c r="MSZ9" s="6"/>
      <c r="MTB9" s="6"/>
      <c r="MTD9" s="6"/>
      <c r="MTF9" s="6"/>
      <c r="MTH9" s="6"/>
      <c r="MTJ9" s="6"/>
      <c r="MTL9" s="6"/>
      <c r="MTN9" s="6"/>
      <c r="MTP9" s="6"/>
      <c r="MTR9" s="6"/>
      <c r="MTT9" s="6"/>
      <c r="MTV9" s="6"/>
      <c r="MTX9" s="6"/>
      <c r="MTZ9" s="6"/>
      <c r="MUB9" s="6"/>
      <c r="MUD9" s="6"/>
      <c r="MUF9" s="6"/>
      <c r="MUH9" s="6"/>
      <c r="MUJ9" s="6"/>
      <c r="MUL9" s="6"/>
      <c r="MUN9" s="6"/>
      <c r="MUP9" s="6"/>
      <c r="MUR9" s="6"/>
      <c r="MUT9" s="6"/>
      <c r="MUV9" s="6"/>
      <c r="MUX9" s="6"/>
      <c r="MUZ9" s="6"/>
      <c r="MVB9" s="6"/>
      <c r="MVD9" s="6"/>
      <c r="MVF9" s="6"/>
      <c r="MVH9" s="6"/>
      <c r="MVJ9" s="6"/>
      <c r="MVL9" s="6"/>
      <c r="MVN9" s="6"/>
      <c r="MVP9" s="6"/>
      <c r="MVR9" s="6"/>
      <c r="MVT9" s="6"/>
      <c r="MVV9" s="6"/>
      <c r="MVX9" s="6"/>
      <c r="MVZ9" s="6"/>
      <c r="MWB9" s="6"/>
      <c r="MWD9" s="6"/>
      <c r="MWF9" s="6"/>
      <c r="MWH9" s="6"/>
      <c r="MWJ9" s="6"/>
      <c r="MWL9" s="6"/>
      <c r="MWN9" s="6"/>
      <c r="MWP9" s="6"/>
      <c r="MWR9" s="6"/>
      <c r="MWT9" s="6"/>
      <c r="MWV9" s="6"/>
      <c r="MWX9" s="6"/>
      <c r="MWZ9" s="6"/>
      <c r="MXB9" s="6"/>
      <c r="MXD9" s="6"/>
      <c r="MXF9" s="6"/>
      <c r="MXH9" s="6"/>
      <c r="MXJ9" s="6"/>
      <c r="MXL9" s="6"/>
      <c r="MXN9" s="6"/>
      <c r="MXP9" s="6"/>
      <c r="MXR9" s="6"/>
      <c r="MXT9" s="6"/>
      <c r="MXV9" s="6"/>
      <c r="MXX9" s="6"/>
      <c r="MXZ9" s="6"/>
      <c r="MYB9" s="6"/>
      <c r="MYD9" s="6"/>
      <c r="MYF9" s="6"/>
      <c r="MYH9" s="6"/>
      <c r="MYJ9" s="6"/>
      <c r="MYL9" s="6"/>
      <c r="MYN9" s="6"/>
      <c r="MYP9" s="6"/>
      <c r="MYR9" s="6"/>
      <c r="MYT9" s="6"/>
      <c r="MYV9" s="6"/>
      <c r="MYX9" s="6"/>
      <c r="MYZ9" s="6"/>
      <c r="MZB9" s="6"/>
      <c r="MZD9" s="6"/>
      <c r="MZF9" s="6"/>
      <c r="MZH9" s="6"/>
      <c r="MZJ9" s="6"/>
      <c r="MZL9" s="6"/>
      <c r="MZN9" s="6"/>
      <c r="MZP9" s="6"/>
      <c r="MZR9" s="6"/>
      <c r="MZT9" s="6"/>
      <c r="MZV9" s="6"/>
      <c r="MZX9" s="6"/>
      <c r="MZZ9" s="6"/>
      <c r="NAB9" s="6"/>
      <c r="NAD9" s="6"/>
      <c r="NAF9" s="6"/>
      <c r="NAH9" s="6"/>
      <c r="NAJ9" s="6"/>
      <c r="NAL9" s="6"/>
      <c r="NAN9" s="6"/>
      <c r="NAP9" s="6"/>
      <c r="NAR9" s="6"/>
      <c r="NAT9" s="6"/>
      <c r="NAV9" s="6"/>
      <c r="NAX9" s="6"/>
      <c r="NAZ9" s="6"/>
      <c r="NBB9" s="6"/>
      <c r="NBD9" s="6"/>
      <c r="NBF9" s="6"/>
      <c r="NBH9" s="6"/>
      <c r="NBJ9" s="6"/>
      <c r="NBL9" s="6"/>
      <c r="NBN9" s="6"/>
      <c r="NBP9" s="6"/>
      <c r="NBR9" s="6"/>
      <c r="NBT9" s="6"/>
      <c r="NBV9" s="6"/>
      <c r="NBX9" s="6"/>
      <c r="NBZ9" s="6"/>
      <c r="NCB9" s="6"/>
      <c r="NCD9" s="6"/>
      <c r="NCF9" s="6"/>
      <c r="NCH9" s="6"/>
      <c r="NCJ9" s="6"/>
      <c r="NCL9" s="6"/>
      <c r="NCN9" s="6"/>
      <c r="NCP9" s="6"/>
      <c r="NCR9" s="6"/>
      <c r="NCT9" s="6"/>
      <c r="NCV9" s="6"/>
      <c r="NCX9" s="6"/>
      <c r="NCZ9" s="6"/>
      <c r="NDB9" s="6"/>
      <c r="NDD9" s="6"/>
      <c r="NDF9" s="6"/>
      <c r="NDH9" s="6"/>
      <c r="NDJ9" s="6"/>
      <c r="NDL9" s="6"/>
      <c r="NDN9" s="6"/>
      <c r="NDP9" s="6"/>
      <c r="NDR9" s="6"/>
      <c r="NDT9" s="6"/>
      <c r="NDV9" s="6"/>
      <c r="NDX9" s="6"/>
      <c r="NDZ9" s="6"/>
      <c r="NEB9" s="6"/>
      <c r="NED9" s="6"/>
      <c r="NEF9" s="6"/>
      <c r="NEH9" s="6"/>
      <c r="NEJ9" s="6"/>
      <c r="NEL9" s="6"/>
      <c r="NEN9" s="6"/>
      <c r="NEP9" s="6"/>
      <c r="NER9" s="6"/>
      <c r="NET9" s="6"/>
      <c r="NEV9" s="6"/>
      <c r="NEX9" s="6"/>
      <c r="NEZ9" s="6"/>
      <c r="NFB9" s="6"/>
      <c r="NFD9" s="6"/>
      <c r="NFF9" s="6"/>
      <c r="NFH9" s="6"/>
      <c r="NFJ9" s="6"/>
      <c r="NFL9" s="6"/>
      <c r="NFN9" s="6"/>
      <c r="NFP9" s="6"/>
      <c r="NFR9" s="6"/>
      <c r="NFT9" s="6"/>
      <c r="NFV9" s="6"/>
      <c r="NFX9" s="6"/>
      <c r="NFZ9" s="6"/>
      <c r="NGB9" s="6"/>
      <c r="NGD9" s="6"/>
      <c r="NGF9" s="6"/>
      <c r="NGH9" s="6"/>
      <c r="NGJ9" s="6"/>
      <c r="NGL9" s="6"/>
      <c r="NGN9" s="6"/>
      <c r="NGP9" s="6"/>
      <c r="NGR9" s="6"/>
      <c r="NGT9" s="6"/>
      <c r="NGV9" s="6"/>
      <c r="NGX9" s="6"/>
      <c r="NGZ9" s="6"/>
      <c r="NHB9" s="6"/>
      <c r="NHD9" s="6"/>
      <c r="NHF9" s="6"/>
      <c r="NHH9" s="6"/>
      <c r="NHJ9" s="6"/>
      <c r="NHL9" s="6"/>
      <c r="NHN9" s="6"/>
      <c r="NHP9" s="6"/>
      <c r="NHR9" s="6"/>
      <c r="NHT9" s="6"/>
      <c r="NHV9" s="6"/>
      <c r="NHX9" s="6"/>
      <c r="NHZ9" s="6"/>
      <c r="NIB9" s="6"/>
      <c r="NID9" s="6"/>
      <c r="NIF9" s="6"/>
      <c r="NIH9" s="6"/>
      <c r="NIJ9" s="6"/>
      <c r="NIL9" s="6"/>
      <c r="NIN9" s="6"/>
      <c r="NIP9" s="6"/>
      <c r="NIR9" s="6"/>
      <c r="NIT9" s="6"/>
      <c r="NIV9" s="6"/>
      <c r="NIX9" s="6"/>
      <c r="NIZ9" s="6"/>
      <c r="NJB9" s="6"/>
      <c r="NJD9" s="6"/>
      <c r="NJF9" s="6"/>
      <c r="NJH9" s="6"/>
      <c r="NJJ9" s="6"/>
      <c r="NJL9" s="6"/>
      <c r="NJN9" s="6"/>
      <c r="NJP9" s="6"/>
      <c r="NJR9" s="6"/>
      <c r="NJT9" s="6"/>
      <c r="NJV9" s="6"/>
      <c r="NJX9" s="6"/>
      <c r="NJZ9" s="6"/>
      <c r="NKB9" s="6"/>
      <c r="NKD9" s="6"/>
      <c r="NKF9" s="6"/>
      <c r="NKH9" s="6"/>
      <c r="NKJ9" s="6"/>
      <c r="NKL9" s="6"/>
      <c r="NKN9" s="6"/>
      <c r="NKP9" s="6"/>
      <c r="NKR9" s="6"/>
      <c r="NKT9" s="6"/>
      <c r="NKV9" s="6"/>
      <c r="NKX9" s="6"/>
      <c r="NKZ9" s="6"/>
      <c r="NLB9" s="6"/>
      <c r="NLD9" s="6"/>
      <c r="NLF9" s="6"/>
      <c r="NLH9" s="6"/>
      <c r="NLJ9" s="6"/>
      <c r="NLL9" s="6"/>
      <c r="NLN9" s="6"/>
      <c r="NLP9" s="6"/>
      <c r="NLR9" s="6"/>
      <c r="NLT9" s="6"/>
      <c r="NLV9" s="6"/>
      <c r="NLX9" s="6"/>
      <c r="NLZ9" s="6"/>
      <c r="NMB9" s="6"/>
      <c r="NMD9" s="6"/>
      <c r="NMF9" s="6"/>
      <c r="NMH9" s="6"/>
      <c r="NMJ9" s="6"/>
      <c r="NML9" s="6"/>
      <c r="NMN9" s="6"/>
      <c r="NMP9" s="6"/>
      <c r="NMR9" s="6"/>
      <c r="NMT9" s="6"/>
      <c r="NMV9" s="6"/>
      <c r="NMX9" s="6"/>
      <c r="NMZ9" s="6"/>
      <c r="NNB9" s="6"/>
      <c r="NND9" s="6"/>
      <c r="NNF9" s="6"/>
      <c r="NNH9" s="6"/>
      <c r="NNJ9" s="6"/>
      <c r="NNL9" s="6"/>
      <c r="NNN9" s="6"/>
      <c r="NNP9" s="6"/>
      <c r="NNR9" s="6"/>
      <c r="NNT9" s="6"/>
      <c r="NNV9" s="6"/>
      <c r="NNX9" s="6"/>
      <c r="NNZ9" s="6"/>
      <c r="NOB9" s="6"/>
      <c r="NOD9" s="6"/>
      <c r="NOF9" s="6"/>
      <c r="NOH9" s="6"/>
      <c r="NOJ9" s="6"/>
      <c r="NOL9" s="6"/>
      <c r="NON9" s="6"/>
      <c r="NOP9" s="6"/>
      <c r="NOR9" s="6"/>
      <c r="NOT9" s="6"/>
      <c r="NOV9" s="6"/>
      <c r="NOX9" s="6"/>
      <c r="NOZ9" s="6"/>
      <c r="NPB9" s="6"/>
      <c r="NPD9" s="6"/>
      <c r="NPF9" s="6"/>
      <c r="NPH9" s="6"/>
      <c r="NPJ9" s="6"/>
      <c r="NPL9" s="6"/>
      <c r="NPN9" s="6"/>
      <c r="NPP9" s="6"/>
      <c r="NPR9" s="6"/>
      <c r="NPT9" s="6"/>
      <c r="NPV9" s="6"/>
      <c r="NPX9" s="6"/>
      <c r="NPZ9" s="6"/>
      <c r="NQB9" s="6"/>
      <c r="NQD9" s="6"/>
      <c r="NQF9" s="6"/>
      <c r="NQH9" s="6"/>
      <c r="NQJ9" s="6"/>
      <c r="NQL9" s="6"/>
      <c r="NQN9" s="6"/>
      <c r="NQP9" s="6"/>
      <c r="NQR9" s="6"/>
      <c r="NQT9" s="6"/>
      <c r="NQV9" s="6"/>
      <c r="NQX9" s="6"/>
      <c r="NQZ9" s="6"/>
      <c r="NRB9" s="6"/>
      <c r="NRD9" s="6"/>
      <c r="NRF9" s="6"/>
      <c r="NRH9" s="6"/>
      <c r="NRJ9" s="6"/>
      <c r="NRL9" s="6"/>
      <c r="NRN9" s="6"/>
      <c r="NRP9" s="6"/>
      <c r="NRR9" s="6"/>
      <c r="NRT9" s="6"/>
      <c r="NRV9" s="6"/>
      <c r="NRX9" s="6"/>
      <c r="NRZ9" s="6"/>
      <c r="NSB9" s="6"/>
      <c r="NSD9" s="6"/>
      <c r="NSF9" s="6"/>
      <c r="NSH9" s="6"/>
      <c r="NSJ9" s="6"/>
      <c r="NSL9" s="6"/>
      <c r="NSN9" s="6"/>
      <c r="NSP9" s="6"/>
      <c r="NSR9" s="6"/>
      <c r="NST9" s="6"/>
      <c r="NSV9" s="6"/>
      <c r="NSX9" s="6"/>
      <c r="NSZ9" s="6"/>
      <c r="NTB9" s="6"/>
      <c r="NTD9" s="6"/>
      <c r="NTF9" s="6"/>
      <c r="NTH9" s="6"/>
      <c r="NTJ9" s="6"/>
      <c r="NTL9" s="6"/>
      <c r="NTN9" s="6"/>
      <c r="NTP9" s="6"/>
      <c r="NTR9" s="6"/>
      <c r="NTT9" s="6"/>
      <c r="NTV9" s="6"/>
      <c r="NTX9" s="6"/>
      <c r="NTZ9" s="6"/>
      <c r="NUB9" s="6"/>
      <c r="NUD9" s="6"/>
      <c r="NUF9" s="6"/>
      <c r="NUH9" s="6"/>
      <c r="NUJ9" s="6"/>
      <c r="NUL9" s="6"/>
      <c r="NUN9" s="6"/>
      <c r="NUP9" s="6"/>
      <c r="NUR9" s="6"/>
      <c r="NUT9" s="6"/>
      <c r="NUV9" s="6"/>
      <c r="NUX9" s="6"/>
      <c r="NUZ9" s="6"/>
      <c r="NVB9" s="6"/>
      <c r="NVD9" s="6"/>
      <c r="NVF9" s="6"/>
      <c r="NVH9" s="6"/>
      <c r="NVJ9" s="6"/>
      <c r="NVL9" s="6"/>
      <c r="NVN9" s="6"/>
      <c r="NVP9" s="6"/>
      <c r="NVR9" s="6"/>
      <c r="NVT9" s="6"/>
      <c r="NVV9" s="6"/>
      <c r="NVX9" s="6"/>
      <c r="NVZ9" s="6"/>
      <c r="NWB9" s="6"/>
      <c r="NWD9" s="6"/>
      <c r="NWF9" s="6"/>
      <c r="NWH9" s="6"/>
      <c r="NWJ9" s="6"/>
      <c r="NWL9" s="6"/>
      <c r="NWN9" s="6"/>
      <c r="NWP9" s="6"/>
      <c r="NWR9" s="6"/>
      <c r="NWT9" s="6"/>
      <c r="NWV9" s="6"/>
      <c r="NWX9" s="6"/>
      <c r="NWZ9" s="6"/>
      <c r="NXB9" s="6"/>
      <c r="NXD9" s="6"/>
      <c r="NXF9" s="6"/>
      <c r="NXH9" s="6"/>
      <c r="NXJ9" s="6"/>
      <c r="NXL9" s="6"/>
      <c r="NXN9" s="6"/>
      <c r="NXP9" s="6"/>
      <c r="NXR9" s="6"/>
      <c r="NXT9" s="6"/>
      <c r="NXV9" s="6"/>
      <c r="NXX9" s="6"/>
      <c r="NXZ9" s="6"/>
      <c r="NYB9" s="6"/>
      <c r="NYD9" s="6"/>
      <c r="NYF9" s="6"/>
      <c r="NYH9" s="6"/>
      <c r="NYJ9" s="6"/>
      <c r="NYL9" s="6"/>
      <c r="NYN9" s="6"/>
      <c r="NYP9" s="6"/>
      <c r="NYR9" s="6"/>
      <c r="NYT9" s="6"/>
      <c r="NYV9" s="6"/>
      <c r="NYX9" s="6"/>
      <c r="NYZ9" s="6"/>
      <c r="NZB9" s="6"/>
      <c r="NZD9" s="6"/>
      <c r="NZF9" s="6"/>
      <c r="NZH9" s="6"/>
      <c r="NZJ9" s="6"/>
      <c r="NZL9" s="6"/>
      <c r="NZN9" s="6"/>
      <c r="NZP9" s="6"/>
      <c r="NZR9" s="6"/>
      <c r="NZT9" s="6"/>
      <c r="NZV9" s="6"/>
      <c r="NZX9" s="6"/>
      <c r="NZZ9" s="6"/>
      <c r="OAB9" s="6"/>
      <c r="OAD9" s="6"/>
      <c r="OAF9" s="6"/>
      <c r="OAH9" s="6"/>
      <c r="OAJ9" s="6"/>
      <c r="OAL9" s="6"/>
      <c r="OAN9" s="6"/>
      <c r="OAP9" s="6"/>
      <c r="OAR9" s="6"/>
      <c r="OAT9" s="6"/>
      <c r="OAV9" s="6"/>
      <c r="OAX9" s="6"/>
      <c r="OAZ9" s="6"/>
      <c r="OBB9" s="6"/>
      <c r="OBD9" s="6"/>
      <c r="OBF9" s="6"/>
      <c r="OBH9" s="6"/>
      <c r="OBJ9" s="6"/>
      <c r="OBL9" s="6"/>
      <c r="OBN9" s="6"/>
      <c r="OBP9" s="6"/>
      <c r="OBR9" s="6"/>
      <c r="OBT9" s="6"/>
      <c r="OBV9" s="6"/>
      <c r="OBX9" s="6"/>
      <c r="OBZ9" s="6"/>
      <c r="OCB9" s="6"/>
      <c r="OCD9" s="6"/>
      <c r="OCF9" s="6"/>
      <c r="OCH9" s="6"/>
      <c r="OCJ9" s="6"/>
      <c r="OCL9" s="6"/>
      <c r="OCN9" s="6"/>
      <c r="OCP9" s="6"/>
      <c r="OCR9" s="6"/>
      <c r="OCT9" s="6"/>
      <c r="OCV9" s="6"/>
      <c r="OCX9" s="6"/>
      <c r="OCZ9" s="6"/>
      <c r="ODB9" s="6"/>
      <c r="ODD9" s="6"/>
      <c r="ODF9" s="6"/>
      <c r="ODH9" s="6"/>
      <c r="ODJ9" s="6"/>
      <c r="ODL9" s="6"/>
      <c r="ODN9" s="6"/>
      <c r="ODP9" s="6"/>
      <c r="ODR9" s="6"/>
      <c r="ODT9" s="6"/>
      <c r="ODV9" s="6"/>
      <c r="ODX9" s="6"/>
      <c r="ODZ9" s="6"/>
      <c r="OEB9" s="6"/>
      <c r="OED9" s="6"/>
      <c r="OEF9" s="6"/>
      <c r="OEH9" s="6"/>
      <c r="OEJ9" s="6"/>
      <c r="OEL9" s="6"/>
      <c r="OEN9" s="6"/>
      <c r="OEP9" s="6"/>
      <c r="OER9" s="6"/>
      <c r="OET9" s="6"/>
      <c r="OEV9" s="6"/>
      <c r="OEX9" s="6"/>
      <c r="OEZ9" s="6"/>
      <c r="OFB9" s="6"/>
      <c r="OFD9" s="6"/>
      <c r="OFF9" s="6"/>
      <c r="OFH9" s="6"/>
      <c r="OFJ9" s="6"/>
      <c r="OFL9" s="6"/>
      <c r="OFN9" s="6"/>
      <c r="OFP9" s="6"/>
      <c r="OFR9" s="6"/>
      <c r="OFT9" s="6"/>
      <c r="OFV9" s="6"/>
      <c r="OFX9" s="6"/>
      <c r="OFZ9" s="6"/>
      <c r="OGB9" s="6"/>
      <c r="OGD9" s="6"/>
      <c r="OGF9" s="6"/>
      <c r="OGH9" s="6"/>
      <c r="OGJ9" s="6"/>
      <c r="OGL9" s="6"/>
      <c r="OGN9" s="6"/>
      <c r="OGP9" s="6"/>
      <c r="OGR9" s="6"/>
      <c r="OGT9" s="6"/>
      <c r="OGV9" s="6"/>
      <c r="OGX9" s="6"/>
      <c r="OGZ9" s="6"/>
      <c r="OHB9" s="6"/>
      <c r="OHD9" s="6"/>
      <c r="OHF9" s="6"/>
      <c r="OHH9" s="6"/>
      <c r="OHJ9" s="6"/>
      <c r="OHL9" s="6"/>
      <c r="OHN9" s="6"/>
      <c r="OHP9" s="6"/>
      <c r="OHR9" s="6"/>
      <c r="OHT9" s="6"/>
      <c r="OHV9" s="6"/>
      <c r="OHX9" s="6"/>
      <c r="OHZ9" s="6"/>
      <c r="OIB9" s="6"/>
      <c r="OID9" s="6"/>
      <c r="OIF9" s="6"/>
      <c r="OIH9" s="6"/>
      <c r="OIJ9" s="6"/>
      <c r="OIL9" s="6"/>
      <c r="OIN9" s="6"/>
      <c r="OIP9" s="6"/>
      <c r="OIR9" s="6"/>
      <c r="OIT9" s="6"/>
      <c r="OIV9" s="6"/>
      <c r="OIX9" s="6"/>
      <c r="OIZ9" s="6"/>
      <c r="OJB9" s="6"/>
      <c r="OJD9" s="6"/>
      <c r="OJF9" s="6"/>
      <c r="OJH9" s="6"/>
      <c r="OJJ9" s="6"/>
      <c r="OJL9" s="6"/>
      <c r="OJN9" s="6"/>
      <c r="OJP9" s="6"/>
      <c r="OJR9" s="6"/>
      <c r="OJT9" s="6"/>
      <c r="OJV9" s="6"/>
      <c r="OJX9" s="6"/>
      <c r="OJZ9" s="6"/>
      <c r="OKB9" s="6"/>
      <c r="OKD9" s="6"/>
      <c r="OKF9" s="6"/>
      <c r="OKH9" s="6"/>
      <c r="OKJ9" s="6"/>
      <c r="OKL9" s="6"/>
      <c r="OKN9" s="6"/>
      <c r="OKP9" s="6"/>
      <c r="OKR9" s="6"/>
      <c r="OKT9" s="6"/>
      <c r="OKV9" s="6"/>
      <c r="OKX9" s="6"/>
      <c r="OKZ9" s="6"/>
      <c r="OLB9" s="6"/>
      <c r="OLD9" s="6"/>
      <c r="OLF9" s="6"/>
      <c r="OLH9" s="6"/>
      <c r="OLJ9" s="6"/>
      <c r="OLL9" s="6"/>
      <c r="OLN9" s="6"/>
      <c r="OLP9" s="6"/>
      <c r="OLR9" s="6"/>
      <c r="OLT9" s="6"/>
      <c r="OLV9" s="6"/>
      <c r="OLX9" s="6"/>
      <c r="OLZ9" s="6"/>
      <c r="OMB9" s="6"/>
      <c r="OMD9" s="6"/>
      <c r="OMF9" s="6"/>
      <c r="OMH9" s="6"/>
      <c r="OMJ9" s="6"/>
      <c r="OML9" s="6"/>
      <c r="OMN9" s="6"/>
      <c r="OMP9" s="6"/>
      <c r="OMR9" s="6"/>
      <c r="OMT9" s="6"/>
      <c r="OMV9" s="6"/>
      <c r="OMX9" s="6"/>
      <c r="OMZ9" s="6"/>
      <c r="ONB9" s="6"/>
      <c r="OND9" s="6"/>
      <c r="ONF9" s="6"/>
      <c r="ONH9" s="6"/>
      <c r="ONJ9" s="6"/>
      <c r="ONL9" s="6"/>
      <c r="ONN9" s="6"/>
      <c r="ONP9" s="6"/>
      <c r="ONR9" s="6"/>
      <c r="ONT9" s="6"/>
      <c r="ONV9" s="6"/>
      <c r="ONX9" s="6"/>
      <c r="ONZ9" s="6"/>
      <c r="OOB9" s="6"/>
      <c r="OOD9" s="6"/>
      <c r="OOF9" s="6"/>
      <c r="OOH9" s="6"/>
      <c r="OOJ9" s="6"/>
      <c r="OOL9" s="6"/>
      <c r="OON9" s="6"/>
      <c r="OOP9" s="6"/>
      <c r="OOR9" s="6"/>
      <c r="OOT9" s="6"/>
      <c r="OOV9" s="6"/>
      <c r="OOX9" s="6"/>
      <c r="OOZ9" s="6"/>
      <c r="OPB9" s="6"/>
      <c r="OPD9" s="6"/>
      <c r="OPF9" s="6"/>
      <c r="OPH9" s="6"/>
      <c r="OPJ9" s="6"/>
      <c r="OPL9" s="6"/>
      <c r="OPN9" s="6"/>
      <c r="OPP9" s="6"/>
      <c r="OPR9" s="6"/>
      <c r="OPT9" s="6"/>
      <c r="OPV9" s="6"/>
      <c r="OPX9" s="6"/>
      <c r="OPZ9" s="6"/>
      <c r="OQB9" s="6"/>
      <c r="OQD9" s="6"/>
      <c r="OQF9" s="6"/>
      <c r="OQH9" s="6"/>
      <c r="OQJ9" s="6"/>
      <c r="OQL9" s="6"/>
      <c r="OQN9" s="6"/>
      <c r="OQP9" s="6"/>
      <c r="OQR9" s="6"/>
      <c r="OQT9" s="6"/>
      <c r="OQV9" s="6"/>
      <c r="OQX9" s="6"/>
      <c r="OQZ9" s="6"/>
      <c r="ORB9" s="6"/>
      <c r="ORD9" s="6"/>
      <c r="ORF9" s="6"/>
      <c r="ORH9" s="6"/>
      <c r="ORJ9" s="6"/>
      <c r="ORL9" s="6"/>
      <c r="ORN9" s="6"/>
      <c r="ORP9" s="6"/>
      <c r="ORR9" s="6"/>
      <c r="ORT9" s="6"/>
      <c r="ORV9" s="6"/>
      <c r="ORX9" s="6"/>
      <c r="ORZ9" s="6"/>
      <c r="OSB9" s="6"/>
      <c r="OSD9" s="6"/>
      <c r="OSF9" s="6"/>
      <c r="OSH9" s="6"/>
      <c r="OSJ9" s="6"/>
      <c r="OSL9" s="6"/>
      <c r="OSN9" s="6"/>
      <c r="OSP9" s="6"/>
      <c r="OSR9" s="6"/>
      <c r="OST9" s="6"/>
      <c r="OSV9" s="6"/>
      <c r="OSX9" s="6"/>
      <c r="OSZ9" s="6"/>
      <c r="OTB9" s="6"/>
      <c r="OTD9" s="6"/>
      <c r="OTF9" s="6"/>
      <c r="OTH9" s="6"/>
      <c r="OTJ9" s="6"/>
      <c r="OTL9" s="6"/>
      <c r="OTN9" s="6"/>
      <c r="OTP9" s="6"/>
      <c r="OTR9" s="6"/>
      <c r="OTT9" s="6"/>
      <c r="OTV9" s="6"/>
      <c r="OTX9" s="6"/>
      <c r="OTZ9" s="6"/>
      <c r="OUB9" s="6"/>
      <c r="OUD9" s="6"/>
      <c r="OUF9" s="6"/>
      <c r="OUH9" s="6"/>
      <c r="OUJ9" s="6"/>
      <c r="OUL9" s="6"/>
      <c r="OUN9" s="6"/>
      <c r="OUP9" s="6"/>
      <c r="OUR9" s="6"/>
      <c r="OUT9" s="6"/>
      <c r="OUV9" s="6"/>
      <c r="OUX9" s="6"/>
      <c r="OUZ9" s="6"/>
      <c r="OVB9" s="6"/>
      <c r="OVD9" s="6"/>
      <c r="OVF9" s="6"/>
      <c r="OVH9" s="6"/>
      <c r="OVJ9" s="6"/>
      <c r="OVL9" s="6"/>
      <c r="OVN9" s="6"/>
      <c r="OVP9" s="6"/>
      <c r="OVR9" s="6"/>
      <c r="OVT9" s="6"/>
      <c r="OVV9" s="6"/>
      <c r="OVX9" s="6"/>
      <c r="OVZ9" s="6"/>
      <c r="OWB9" s="6"/>
      <c r="OWD9" s="6"/>
      <c r="OWF9" s="6"/>
      <c r="OWH9" s="6"/>
      <c r="OWJ9" s="6"/>
      <c r="OWL9" s="6"/>
      <c r="OWN9" s="6"/>
      <c r="OWP9" s="6"/>
      <c r="OWR9" s="6"/>
      <c r="OWT9" s="6"/>
      <c r="OWV9" s="6"/>
      <c r="OWX9" s="6"/>
      <c r="OWZ9" s="6"/>
      <c r="OXB9" s="6"/>
      <c r="OXD9" s="6"/>
      <c r="OXF9" s="6"/>
      <c r="OXH9" s="6"/>
      <c r="OXJ9" s="6"/>
      <c r="OXL9" s="6"/>
      <c r="OXN9" s="6"/>
      <c r="OXP9" s="6"/>
      <c r="OXR9" s="6"/>
      <c r="OXT9" s="6"/>
      <c r="OXV9" s="6"/>
      <c r="OXX9" s="6"/>
      <c r="OXZ9" s="6"/>
      <c r="OYB9" s="6"/>
      <c r="OYD9" s="6"/>
      <c r="OYF9" s="6"/>
      <c r="OYH9" s="6"/>
      <c r="OYJ9" s="6"/>
      <c r="OYL9" s="6"/>
      <c r="OYN9" s="6"/>
      <c r="OYP9" s="6"/>
      <c r="OYR9" s="6"/>
      <c r="OYT9" s="6"/>
      <c r="OYV9" s="6"/>
      <c r="OYX9" s="6"/>
      <c r="OYZ9" s="6"/>
      <c r="OZB9" s="6"/>
      <c r="OZD9" s="6"/>
      <c r="OZF9" s="6"/>
      <c r="OZH9" s="6"/>
      <c r="OZJ9" s="6"/>
      <c r="OZL9" s="6"/>
      <c r="OZN9" s="6"/>
      <c r="OZP9" s="6"/>
      <c r="OZR9" s="6"/>
      <c r="OZT9" s="6"/>
      <c r="OZV9" s="6"/>
      <c r="OZX9" s="6"/>
      <c r="OZZ9" s="6"/>
      <c r="PAB9" s="6"/>
      <c r="PAD9" s="6"/>
      <c r="PAF9" s="6"/>
      <c r="PAH9" s="6"/>
      <c r="PAJ9" s="6"/>
      <c r="PAL9" s="6"/>
      <c r="PAN9" s="6"/>
      <c r="PAP9" s="6"/>
      <c r="PAR9" s="6"/>
      <c r="PAT9" s="6"/>
      <c r="PAV9" s="6"/>
      <c r="PAX9" s="6"/>
      <c r="PAZ9" s="6"/>
      <c r="PBB9" s="6"/>
      <c r="PBD9" s="6"/>
      <c r="PBF9" s="6"/>
      <c r="PBH9" s="6"/>
      <c r="PBJ9" s="6"/>
      <c r="PBL9" s="6"/>
      <c r="PBN9" s="6"/>
      <c r="PBP9" s="6"/>
      <c r="PBR9" s="6"/>
      <c r="PBT9" s="6"/>
      <c r="PBV9" s="6"/>
      <c r="PBX9" s="6"/>
      <c r="PBZ9" s="6"/>
      <c r="PCB9" s="6"/>
      <c r="PCD9" s="6"/>
      <c r="PCF9" s="6"/>
      <c r="PCH9" s="6"/>
      <c r="PCJ9" s="6"/>
      <c r="PCL9" s="6"/>
      <c r="PCN9" s="6"/>
      <c r="PCP9" s="6"/>
      <c r="PCR9" s="6"/>
      <c r="PCT9" s="6"/>
      <c r="PCV9" s="6"/>
      <c r="PCX9" s="6"/>
      <c r="PCZ9" s="6"/>
      <c r="PDB9" s="6"/>
      <c r="PDD9" s="6"/>
      <c r="PDF9" s="6"/>
      <c r="PDH9" s="6"/>
      <c r="PDJ9" s="6"/>
      <c r="PDL9" s="6"/>
      <c r="PDN9" s="6"/>
      <c r="PDP9" s="6"/>
      <c r="PDR9" s="6"/>
      <c r="PDT9" s="6"/>
      <c r="PDV9" s="6"/>
      <c r="PDX9" s="6"/>
      <c r="PDZ9" s="6"/>
      <c r="PEB9" s="6"/>
      <c r="PED9" s="6"/>
      <c r="PEF9" s="6"/>
      <c r="PEH9" s="6"/>
      <c r="PEJ9" s="6"/>
      <c r="PEL9" s="6"/>
      <c r="PEN9" s="6"/>
      <c r="PEP9" s="6"/>
      <c r="PER9" s="6"/>
      <c r="PET9" s="6"/>
      <c r="PEV9" s="6"/>
      <c r="PEX9" s="6"/>
      <c r="PEZ9" s="6"/>
      <c r="PFB9" s="6"/>
      <c r="PFD9" s="6"/>
      <c r="PFF9" s="6"/>
      <c r="PFH9" s="6"/>
      <c r="PFJ9" s="6"/>
      <c r="PFL9" s="6"/>
      <c r="PFN9" s="6"/>
      <c r="PFP9" s="6"/>
      <c r="PFR9" s="6"/>
      <c r="PFT9" s="6"/>
      <c r="PFV9" s="6"/>
      <c r="PFX9" s="6"/>
      <c r="PFZ9" s="6"/>
      <c r="PGB9" s="6"/>
      <c r="PGD9" s="6"/>
      <c r="PGF9" s="6"/>
      <c r="PGH9" s="6"/>
      <c r="PGJ9" s="6"/>
      <c r="PGL9" s="6"/>
      <c r="PGN9" s="6"/>
      <c r="PGP9" s="6"/>
      <c r="PGR9" s="6"/>
      <c r="PGT9" s="6"/>
      <c r="PGV9" s="6"/>
      <c r="PGX9" s="6"/>
      <c r="PGZ9" s="6"/>
      <c r="PHB9" s="6"/>
      <c r="PHD9" s="6"/>
      <c r="PHF9" s="6"/>
      <c r="PHH9" s="6"/>
      <c r="PHJ9" s="6"/>
      <c r="PHL9" s="6"/>
      <c r="PHN9" s="6"/>
      <c r="PHP9" s="6"/>
      <c r="PHR9" s="6"/>
      <c r="PHT9" s="6"/>
      <c r="PHV9" s="6"/>
      <c r="PHX9" s="6"/>
      <c r="PHZ9" s="6"/>
      <c r="PIB9" s="6"/>
      <c r="PID9" s="6"/>
      <c r="PIF9" s="6"/>
      <c r="PIH9" s="6"/>
      <c r="PIJ9" s="6"/>
      <c r="PIL9" s="6"/>
      <c r="PIN9" s="6"/>
      <c r="PIP9" s="6"/>
      <c r="PIR9" s="6"/>
      <c r="PIT9" s="6"/>
      <c r="PIV9" s="6"/>
      <c r="PIX9" s="6"/>
      <c r="PIZ9" s="6"/>
      <c r="PJB9" s="6"/>
      <c r="PJD9" s="6"/>
      <c r="PJF9" s="6"/>
      <c r="PJH9" s="6"/>
      <c r="PJJ9" s="6"/>
      <c r="PJL9" s="6"/>
      <c r="PJN9" s="6"/>
      <c r="PJP9" s="6"/>
      <c r="PJR9" s="6"/>
      <c r="PJT9" s="6"/>
      <c r="PJV9" s="6"/>
      <c r="PJX9" s="6"/>
      <c r="PJZ9" s="6"/>
      <c r="PKB9" s="6"/>
      <c r="PKD9" s="6"/>
      <c r="PKF9" s="6"/>
      <c r="PKH9" s="6"/>
      <c r="PKJ9" s="6"/>
      <c r="PKL9" s="6"/>
      <c r="PKN9" s="6"/>
      <c r="PKP9" s="6"/>
      <c r="PKR9" s="6"/>
      <c r="PKT9" s="6"/>
      <c r="PKV9" s="6"/>
      <c r="PKX9" s="6"/>
      <c r="PKZ9" s="6"/>
      <c r="PLB9" s="6"/>
      <c r="PLD9" s="6"/>
      <c r="PLF9" s="6"/>
      <c r="PLH9" s="6"/>
      <c r="PLJ9" s="6"/>
      <c r="PLL9" s="6"/>
      <c r="PLN9" s="6"/>
      <c r="PLP9" s="6"/>
      <c r="PLR9" s="6"/>
      <c r="PLT9" s="6"/>
      <c r="PLV9" s="6"/>
      <c r="PLX9" s="6"/>
      <c r="PLZ9" s="6"/>
      <c r="PMB9" s="6"/>
      <c r="PMD9" s="6"/>
      <c r="PMF9" s="6"/>
      <c r="PMH9" s="6"/>
      <c r="PMJ9" s="6"/>
      <c r="PML9" s="6"/>
      <c r="PMN9" s="6"/>
      <c r="PMP9" s="6"/>
      <c r="PMR9" s="6"/>
      <c r="PMT9" s="6"/>
      <c r="PMV9" s="6"/>
      <c r="PMX9" s="6"/>
      <c r="PMZ9" s="6"/>
      <c r="PNB9" s="6"/>
      <c r="PND9" s="6"/>
      <c r="PNF9" s="6"/>
      <c r="PNH9" s="6"/>
      <c r="PNJ9" s="6"/>
      <c r="PNL9" s="6"/>
      <c r="PNN9" s="6"/>
      <c r="PNP9" s="6"/>
      <c r="PNR9" s="6"/>
      <c r="PNT9" s="6"/>
      <c r="PNV9" s="6"/>
      <c r="PNX9" s="6"/>
      <c r="PNZ9" s="6"/>
      <c r="POB9" s="6"/>
      <c r="POD9" s="6"/>
      <c r="POF9" s="6"/>
      <c r="POH9" s="6"/>
      <c r="POJ9" s="6"/>
      <c r="POL9" s="6"/>
      <c r="PON9" s="6"/>
      <c r="POP9" s="6"/>
      <c r="POR9" s="6"/>
      <c r="POT9" s="6"/>
      <c r="POV9" s="6"/>
      <c r="POX9" s="6"/>
      <c r="POZ9" s="6"/>
      <c r="PPB9" s="6"/>
      <c r="PPD9" s="6"/>
      <c r="PPF9" s="6"/>
      <c r="PPH9" s="6"/>
      <c r="PPJ9" s="6"/>
      <c r="PPL9" s="6"/>
      <c r="PPN9" s="6"/>
      <c r="PPP9" s="6"/>
      <c r="PPR9" s="6"/>
      <c r="PPT9" s="6"/>
      <c r="PPV9" s="6"/>
      <c r="PPX9" s="6"/>
      <c r="PPZ9" s="6"/>
      <c r="PQB9" s="6"/>
      <c r="PQD9" s="6"/>
      <c r="PQF9" s="6"/>
      <c r="PQH9" s="6"/>
      <c r="PQJ9" s="6"/>
      <c r="PQL9" s="6"/>
      <c r="PQN9" s="6"/>
      <c r="PQP9" s="6"/>
      <c r="PQR9" s="6"/>
      <c r="PQT9" s="6"/>
      <c r="PQV9" s="6"/>
      <c r="PQX9" s="6"/>
      <c r="PQZ9" s="6"/>
      <c r="PRB9" s="6"/>
      <c r="PRD9" s="6"/>
      <c r="PRF9" s="6"/>
      <c r="PRH9" s="6"/>
      <c r="PRJ9" s="6"/>
      <c r="PRL9" s="6"/>
      <c r="PRN9" s="6"/>
      <c r="PRP9" s="6"/>
      <c r="PRR9" s="6"/>
      <c r="PRT9" s="6"/>
      <c r="PRV9" s="6"/>
      <c r="PRX9" s="6"/>
      <c r="PRZ9" s="6"/>
      <c r="PSB9" s="6"/>
      <c r="PSD9" s="6"/>
      <c r="PSF9" s="6"/>
      <c r="PSH9" s="6"/>
      <c r="PSJ9" s="6"/>
      <c r="PSL9" s="6"/>
      <c r="PSN9" s="6"/>
      <c r="PSP9" s="6"/>
      <c r="PSR9" s="6"/>
      <c r="PST9" s="6"/>
      <c r="PSV9" s="6"/>
      <c r="PSX9" s="6"/>
      <c r="PSZ9" s="6"/>
      <c r="PTB9" s="6"/>
      <c r="PTD9" s="6"/>
      <c r="PTF9" s="6"/>
      <c r="PTH9" s="6"/>
      <c r="PTJ9" s="6"/>
      <c r="PTL9" s="6"/>
      <c r="PTN9" s="6"/>
      <c r="PTP9" s="6"/>
      <c r="PTR9" s="6"/>
      <c r="PTT9" s="6"/>
      <c r="PTV9" s="6"/>
      <c r="PTX9" s="6"/>
      <c r="PTZ9" s="6"/>
      <c r="PUB9" s="6"/>
      <c r="PUD9" s="6"/>
      <c r="PUF9" s="6"/>
      <c r="PUH9" s="6"/>
      <c r="PUJ9" s="6"/>
      <c r="PUL9" s="6"/>
      <c r="PUN9" s="6"/>
      <c r="PUP9" s="6"/>
      <c r="PUR9" s="6"/>
      <c r="PUT9" s="6"/>
      <c r="PUV9" s="6"/>
      <c r="PUX9" s="6"/>
      <c r="PUZ9" s="6"/>
      <c r="PVB9" s="6"/>
      <c r="PVD9" s="6"/>
      <c r="PVF9" s="6"/>
      <c r="PVH9" s="6"/>
      <c r="PVJ9" s="6"/>
      <c r="PVL9" s="6"/>
      <c r="PVN9" s="6"/>
      <c r="PVP9" s="6"/>
      <c r="PVR9" s="6"/>
      <c r="PVT9" s="6"/>
      <c r="PVV9" s="6"/>
      <c r="PVX9" s="6"/>
      <c r="PVZ9" s="6"/>
      <c r="PWB9" s="6"/>
      <c r="PWD9" s="6"/>
      <c r="PWF9" s="6"/>
      <c r="PWH9" s="6"/>
      <c r="PWJ9" s="6"/>
      <c r="PWL9" s="6"/>
      <c r="PWN9" s="6"/>
      <c r="PWP9" s="6"/>
      <c r="PWR9" s="6"/>
      <c r="PWT9" s="6"/>
      <c r="PWV9" s="6"/>
      <c r="PWX9" s="6"/>
      <c r="PWZ9" s="6"/>
      <c r="PXB9" s="6"/>
      <c r="PXD9" s="6"/>
      <c r="PXF9" s="6"/>
      <c r="PXH9" s="6"/>
      <c r="PXJ9" s="6"/>
      <c r="PXL9" s="6"/>
      <c r="PXN9" s="6"/>
      <c r="PXP9" s="6"/>
      <c r="PXR9" s="6"/>
      <c r="PXT9" s="6"/>
      <c r="PXV9" s="6"/>
      <c r="PXX9" s="6"/>
      <c r="PXZ9" s="6"/>
      <c r="PYB9" s="6"/>
      <c r="PYD9" s="6"/>
      <c r="PYF9" s="6"/>
      <c r="PYH9" s="6"/>
      <c r="PYJ9" s="6"/>
      <c r="PYL9" s="6"/>
      <c r="PYN9" s="6"/>
      <c r="PYP9" s="6"/>
      <c r="PYR9" s="6"/>
      <c r="PYT9" s="6"/>
      <c r="PYV9" s="6"/>
      <c r="PYX9" s="6"/>
      <c r="PYZ9" s="6"/>
      <c r="PZB9" s="6"/>
      <c r="PZD9" s="6"/>
      <c r="PZF9" s="6"/>
      <c r="PZH9" s="6"/>
      <c r="PZJ9" s="6"/>
      <c r="PZL9" s="6"/>
      <c r="PZN9" s="6"/>
      <c r="PZP9" s="6"/>
      <c r="PZR9" s="6"/>
      <c r="PZT9" s="6"/>
      <c r="PZV9" s="6"/>
      <c r="PZX9" s="6"/>
      <c r="PZZ9" s="6"/>
      <c r="QAB9" s="6"/>
      <c r="QAD9" s="6"/>
      <c r="QAF9" s="6"/>
      <c r="QAH9" s="6"/>
      <c r="QAJ9" s="6"/>
      <c r="QAL9" s="6"/>
      <c r="QAN9" s="6"/>
      <c r="QAP9" s="6"/>
      <c r="QAR9" s="6"/>
      <c r="QAT9" s="6"/>
      <c r="QAV9" s="6"/>
      <c r="QAX9" s="6"/>
      <c r="QAZ9" s="6"/>
      <c r="QBB9" s="6"/>
      <c r="QBD9" s="6"/>
      <c r="QBF9" s="6"/>
      <c r="QBH9" s="6"/>
      <c r="QBJ9" s="6"/>
      <c r="QBL9" s="6"/>
      <c r="QBN9" s="6"/>
      <c r="QBP9" s="6"/>
      <c r="QBR9" s="6"/>
      <c r="QBT9" s="6"/>
      <c r="QBV9" s="6"/>
      <c r="QBX9" s="6"/>
      <c r="QBZ9" s="6"/>
      <c r="QCB9" s="6"/>
      <c r="QCD9" s="6"/>
      <c r="QCF9" s="6"/>
      <c r="QCH9" s="6"/>
      <c r="QCJ9" s="6"/>
      <c r="QCL9" s="6"/>
      <c r="QCN9" s="6"/>
      <c r="QCP9" s="6"/>
      <c r="QCR9" s="6"/>
      <c r="QCT9" s="6"/>
      <c r="QCV9" s="6"/>
      <c r="QCX9" s="6"/>
      <c r="QCZ9" s="6"/>
      <c r="QDB9" s="6"/>
      <c r="QDD9" s="6"/>
      <c r="QDF9" s="6"/>
      <c r="QDH9" s="6"/>
      <c r="QDJ9" s="6"/>
      <c r="QDL9" s="6"/>
      <c r="QDN9" s="6"/>
      <c r="QDP9" s="6"/>
      <c r="QDR9" s="6"/>
      <c r="QDT9" s="6"/>
      <c r="QDV9" s="6"/>
      <c r="QDX9" s="6"/>
      <c r="QDZ9" s="6"/>
      <c r="QEB9" s="6"/>
      <c r="QED9" s="6"/>
      <c r="QEF9" s="6"/>
      <c r="QEH9" s="6"/>
      <c r="QEJ9" s="6"/>
      <c r="QEL9" s="6"/>
      <c r="QEN9" s="6"/>
      <c r="QEP9" s="6"/>
      <c r="QER9" s="6"/>
      <c r="QET9" s="6"/>
      <c r="QEV9" s="6"/>
      <c r="QEX9" s="6"/>
      <c r="QEZ9" s="6"/>
      <c r="QFB9" s="6"/>
      <c r="QFD9" s="6"/>
      <c r="QFF9" s="6"/>
      <c r="QFH9" s="6"/>
      <c r="QFJ9" s="6"/>
      <c r="QFL9" s="6"/>
      <c r="QFN9" s="6"/>
      <c r="QFP9" s="6"/>
      <c r="QFR9" s="6"/>
      <c r="QFT9" s="6"/>
      <c r="QFV9" s="6"/>
      <c r="QFX9" s="6"/>
      <c r="QFZ9" s="6"/>
      <c r="QGB9" s="6"/>
      <c r="QGD9" s="6"/>
      <c r="QGF9" s="6"/>
      <c r="QGH9" s="6"/>
      <c r="QGJ9" s="6"/>
      <c r="QGL9" s="6"/>
      <c r="QGN9" s="6"/>
      <c r="QGP9" s="6"/>
      <c r="QGR9" s="6"/>
      <c r="QGT9" s="6"/>
      <c r="QGV9" s="6"/>
      <c r="QGX9" s="6"/>
      <c r="QGZ9" s="6"/>
      <c r="QHB9" s="6"/>
      <c r="QHD9" s="6"/>
      <c r="QHF9" s="6"/>
      <c r="QHH9" s="6"/>
      <c r="QHJ9" s="6"/>
      <c r="QHL9" s="6"/>
      <c r="QHN9" s="6"/>
      <c r="QHP9" s="6"/>
      <c r="QHR9" s="6"/>
      <c r="QHT9" s="6"/>
      <c r="QHV9" s="6"/>
      <c r="QHX9" s="6"/>
      <c r="QHZ9" s="6"/>
      <c r="QIB9" s="6"/>
      <c r="QID9" s="6"/>
      <c r="QIF9" s="6"/>
      <c r="QIH9" s="6"/>
      <c r="QIJ9" s="6"/>
      <c r="QIL9" s="6"/>
      <c r="QIN9" s="6"/>
      <c r="QIP9" s="6"/>
      <c r="QIR9" s="6"/>
      <c r="QIT9" s="6"/>
      <c r="QIV9" s="6"/>
      <c r="QIX9" s="6"/>
      <c r="QIZ9" s="6"/>
      <c r="QJB9" s="6"/>
      <c r="QJD9" s="6"/>
      <c r="QJF9" s="6"/>
      <c r="QJH9" s="6"/>
      <c r="QJJ9" s="6"/>
      <c r="QJL9" s="6"/>
      <c r="QJN9" s="6"/>
      <c r="QJP9" s="6"/>
      <c r="QJR9" s="6"/>
      <c r="QJT9" s="6"/>
      <c r="QJV9" s="6"/>
      <c r="QJX9" s="6"/>
      <c r="QJZ9" s="6"/>
      <c r="QKB9" s="6"/>
      <c r="QKD9" s="6"/>
      <c r="QKF9" s="6"/>
      <c r="QKH9" s="6"/>
      <c r="QKJ9" s="6"/>
      <c r="QKL9" s="6"/>
      <c r="QKN9" s="6"/>
      <c r="QKP9" s="6"/>
      <c r="QKR9" s="6"/>
      <c r="QKT9" s="6"/>
      <c r="QKV9" s="6"/>
      <c r="QKX9" s="6"/>
      <c r="QKZ9" s="6"/>
      <c r="QLB9" s="6"/>
      <c r="QLD9" s="6"/>
      <c r="QLF9" s="6"/>
      <c r="QLH9" s="6"/>
      <c r="QLJ9" s="6"/>
      <c r="QLL9" s="6"/>
      <c r="QLN9" s="6"/>
      <c r="QLP9" s="6"/>
      <c r="QLR9" s="6"/>
      <c r="QLT9" s="6"/>
      <c r="QLV9" s="6"/>
      <c r="QLX9" s="6"/>
      <c r="QLZ9" s="6"/>
      <c r="QMB9" s="6"/>
      <c r="QMD9" s="6"/>
      <c r="QMF9" s="6"/>
      <c r="QMH9" s="6"/>
      <c r="QMJ9" s="6"/>
      <c r="QML9" s="6"/>
      <c r="QMN9" s="6"/>
      <c r="QMP9" s="6"/>
      <c r="QMR9" s="6"/>
      <c r="QMT9" s="6"/>
      <c r="QMV9" s="6"/>
      <c r="QMX9" s="6"/>
      <c r="QMZ9" s="6"/>
      <c r="QNB9" s="6"/>
      <c r="QND9" s="6"/>
      <c r="QNF9" s="6"/>
      <c r="QNH9" s="6"/>
      <c r="QNJ9" s="6"/>
      <c r="QNL9" s="6"/>
      <c r="QNN9" s="6"/>
      <c r="QNP9" s="6"/>
      <c r="QNR9" s="6"/>
      <c r="QNT9" s="6"/>
      <c r="QNV9" s="6"/>
      <c r="QNX9" s="6"/>
      <c r="QNZ9" s="6"/>
      <c r="QOB9" s="6"/>
      <c r="QOD9" s="6"/>
      <c r="QOF9" s="6"/>
      <c r="QOH9" s="6"/>
      <c r="QOJ9" s="6"/>
      <c r="QOL9" s="6"/>
      <c r="QON9" s="6"/>
      <c r="QOP9" s="6"/>
      <c r="QOR9" s="6"/>
      <c r="QOT9" s="6"/>
      <c r="QOV9" s="6"/>
      <c r="QOX9" s="6"/>
      <c r="QOZ9" s="6"/>
      <c r="QPB9" s="6"/>
      <c r="QPD9" s="6"/>
      <c r="QPF9" s="6"/>
      <c r="QPH9" s="6"/>
      <c r="QPJ9" s="6"/>
      <c r="QPL9" s="6"/>
      <c r="QPN9" s="6"/>
      <c r="QPP9" s="6"/>
      <c r="QPR9" s="6"/>
      <c r="QPT9" s="6"/>
      <c r="QPV9" s="6"/>
      <c r="QPX9" s="6"/>
      <c r="QPZ9" s="6"/>
      <c r="QQB9" s="6"/>
      <c r="QQD9" s="6"/>
      <c r="QQF9" s="6"/>
      <c r="QQH9" s="6"/>
      <c r="QQJ9" s="6"/>
      <c r="QQL9" s="6"/>
      <c r="QQN9" s="6"/>
      <c r="QQP9" s="6"/>
      <c r="QQR9" s="6"/>
      <c r="QQT9" s="6"/>
      <c r="QQV9" s="6"/>
      <c r="QQX9" s="6"/>
      <c r="QQZ9" s="6"/>
      <c r="QRB9" s="6"/>
      <c r="QRD9" s="6"/>
      <c r="QRF9" s="6"/>
      <c r="QRH9" s="6"/>
      <c r="QRJ9" s="6"/>
      <c r="QRL9" s="6"/>
      <c r="QRN9" s="6"/>
      <c r="QRP9" s="6"/>
      <c r="QRR9" s="6"/>
      <c r="QRT9" s="6"/>
      <c r="QRV9" s="6"/>
      <c r="QRX9" s="6"/>
      <c r="QRZ9" s="6"/>
      <c r="QSB9" s="6"/>
      <c r="QSD9" s="6"/>
      <c r="QSF9" s="6"/>
      <c r="QSH9" s="6"/>
      <c r="QSJ9" s="6"/>
      <c r="QSL9" s="6"/>
      <c r="QSN9" s="6"/>
      <c r="QSP9" s="6"/>
      <c r="QSR9" s="6"/>
      <c r="QST9" s="6"/>
      <c r="QSV9" s="6"/>
      <c r="QSX9" s="6"/>
      <c r="QSZ9" s="6"/>
      <c r="QTB9" s="6"/>
      <c r="QTD9" s="6"/>
      <c r="QTF9" s="6"/>
      <c r="QTH9" s="6"/>
      <c r="QTJ9" s="6"/>
      <c r="QTL9" s="6"/>
      <c r="QTN9" s="6"/>
      <c r="QTP9" s="6"/>
      <c r="QTR9" s="6"/>
      <c r="QTT9" s="6"/>
      <c r="QTV9" s="6"/>
      <c r="QTX9" s="6"/>
      <c r="QTZ9" s="6"/>
      <c r="QUB9" s="6"/>
      <c r="QUD9" s="6"/>
      <c r="QUF9" s="6"/>
      <c r="QUH9" s="6"/>
      <c r="QUJ9" s="6"/>
      <c r="QUL9" s="6"/>
      <c r="QUN9" s="6"/>
      <c r="QUP9" s="6"/>
      <c r="QUR9" s="6"/>
      <c r="QUT9" s="6"/>
      <c r="QUV9" s="6"/>
      <c r="QUX9" s="6"/>
      <c r="QUZ9" s="6"/>
      <c r="QVB9" s="6"/>
      <c r="QVD9" s="6"/>
      <c r="QVF9" s="6"/>
      <c r="QVH9" s="6"/>
      <c r="QVJ9" s="6"/>
      <c r="QVL9" s="6"/>
      <c r="QVN9" s="6"/>
      <c r="QVP9" s="6"/>
      <c r="QVR9" s="6"/>
      <c r="QVT9" s="6"/>
      <c r="QVV9" s="6"/>
      <c r="QVX9" s="6"/>
      <c r="QVZ9" s="6"/>
      <c r="QWB9" s="6"/>
      <c r="QWD9" s="6"/>
      <c r="QWF9" s="6"/>
      <c r="QWH9" s="6"/>
      <c r="QWJ9" s="6"/>
      <c r="QWL9" s="6"/>
      <c r="QWN9" s="6"/>
      <c r="QWP9" s="6"/>
      <c r="QWR9" s="6"/>
      <c r="QWT9" s="6"/>
      <c r="QWV9" s="6"/>
      <c r="QWX9" s="6"/>
      <c r="QWZ9" s="6"/>
      <c r="QXB9" s="6"/>
      <c r="QXD9" s="6"/>
      <c r="QXF9" s="6"/>
      <c r="QXH9" s="6"/>
      <c r="QXJ9" s="6"/>
      <c r="QXL9" s="6"/>
      <c r="QXN9" s="6"/>
      <c r="QXP9" s="6"/>
      <c r="QXR9" s="6"/>
      <c r="QXT9" s="6"/>
      <c r="QXV9" s="6"/>
      <c r="QXX9" s="6"/>
      <c r="QXZ9" s="6"/>
      <c r="QYB9" s="6"/>
      <c r="QYD9" s="6"/>
      <c r="QYF9" s="6"/>
      <c r="QYH9" s="6"/>
      <c r="QYJ9" s="6"/>
      <c r="QYL9" s="6"/>
      <c r="QYN9" s="6"/>
      <c r="QYP9" s="6"/>
      <c r="QYR9" s="6"/>
      <c r="QYT9" s="6"/>
      <c r="QYV9" s="6"/>
      <c r="QYX9" s="6"/>
      <c r="QYZ9" s="6"/>
      <c r="QZB9" s="6"/>
      <c r="QZD9" s="6"/>
      <c r="QZF9" s="6"/>
      <c r="QZH9" s="6"/>
      <c r="QZJ9" s="6"/>
      <c r="QZL9" s="6"/>
      <c r="QZN9" s="6"/>
      <c r="QZP9" s="6"/>
      <c r="QZR9" s="6"/>
      <c r="QZT9" s="6"/>
      <c r="QZV9" s="6"/>
      <c r="QZX9" s="6"/>
      <c r="QZZ9" s="6"/>
      <c r="RAB9" s="6"/>
      <c r="RAD9" s="6"/>
      <c r="RAF9" s="6"/>
      <c r="RAH9" s="6"/>
      <c r="RAJ9" s="6"/>
      <c r="RAL9" s="6"/>
      <c r="RAN9" s="6"/>
      <c r="RAP9" s="6"/>
      <c r="RAR9" s="6"/>
      <c r="RAT9" s="6"/>
      <c r="RAV9" s="6"/>
      <c r="RAX9" s="6"/>
      <c r="RAZ9" s="6"/>
      <c r="RBB9" s="6"/>
      <c r="RBD9" s="6"/>
      <c r="RBF9" s="6"/>
      <c r="RBH9" s="6"/>
      <c r="RBJ9" s="6"/>
      <c r="RBL9" s="6"/>
      <c r="RBN9" s="6"/>
      <c r="RBP9" s="6"/>
      <c r="RBR9" s="6"/>
      <c r="RBT9" s="6"/>
      <c r="RBV9" s="6"/>
      <c r="RBX9" s="6"/>
      <c r="RBZ9" s="6"/>
      <c r="RCB9" s="6"/>
      <c r="RCD9" s="6"/>
      <c r="RCF9" s="6"/>
      <c r="RCH9" s="6"/>
      <c r="RCJ9" s="6"/>
      <c r="RCL9" s="6"/>
      <c r="RCN9" s="6"/>
      <c r="RCP9" s="6"/>
      <c r="RCR9" s="6"/>
      <c r="RCT9" s="6"/>
      <c r="RCV9" s="6"/>
      <c r="RCX9" s="6"/>
      <c r="RCZ9" s="6"/>
      <c r="RDB9" s="6"/>
      <c r="RDD9" s="6"/>
      <c r="RDF9" s="6"/>
      <c r="RDH9" s="6"/>
      <c r="RDJ9" s="6"/>
      <c r="RDL9" s="6"/>
      <c r="RDN9" s="6"/>
      <c r="RDP9" s="6"/>
      <c r="RDR9" s="6"/>
      <c r="RDT9" s="6"/>
      <c r="RDV9" s="6"/>
      <c r="RDX9" s="6"/>
      <c r="RDZ9" s="6"/>
      <c r="REB9" s="6"/>
      <c r="RED9" s="6"/>
      <c r="REF9" s="6"/>
      <c r="REH9" s="6"/>
      <c r="REJ9" s="6"/>
      <c r="REL9" s="6"/>
      <c r="REN9" s="6"/>
      <c r="REP9" s="6"/>
      <c r="RER9" s="6"/>
      <c r="RET9" s="6"/>
      <c r="REV9" s="6"/>
      <c r="REX9" s="6"/>
      <c r="REZ9" s="6"/>
      <c r="RFB9" s="6"/>
      <c r="RFD9" s="6"/>
      <c r="RFF9" s="6"/>
      <c r="RFH9" s="6"/>
      <c r="RFJ9" s="6"/>
      <c r="RFL9" s="6"/>
      <c r="RFN9" s="6"/>
      <c r="RFP9" s="6"/>
      <c r="RFR9" s="6"/>
      <c r="RFT9" s="6"/>
      <c r="RFV9" s="6"/>
      <c r="RFX9" s="6"/>
      <c r="RFZ9" s="6"/>
      <c r="RGB9" s="6"/>
      <c r="RGD9" s="6"/>
      <c r="RGF9" s="6"/>
      <c r="RGH9" s="6"/>
      <c r="RGJ9" s="6"/>
      <c r="RGL9" s="6"/>
      <c r="RGN9" s="6"/>
      <c r="RGP9" s="6"/>
      <c r="RGR9" s="6"/>
      <c r="RGT9" s="6"/>
      <c r="RGV9" s="6"/>
      <c r="RGX9" s="6"/>
      <c r="RGZ9" s="6"/>
      <c r="RHB9" s="6"/>
      <c r="RHD9" s="6"/>
      <c r="RHF9" s="6"/>
      <c r="RHH9" s="6"/>
      <c r="RHJ9" s="6"/>
      <c r="RHL9" s="6"/>
      <c r="RHN9" s="6"/>
      <c r="RHP9" s="6"/>
      <c r="RHR9" s="6"/>
      <c r="RHT9" s="6"/>
      <c r="RHV9" s="6"/>
      <c r="RHX9" s="6"/>
      <c r="RHZ9" s="6"/>
      <c r="RIB9" s="6"/>
      <c r="RID9" s="6"/>
      <c r="RIF9" s="6"/>
      <c r="RIH9" s="6"/>
      <c r="RIJ9" s="6"/>
      <c r="RIL9" s="6"/>
      <c r="RIN9" s="6"/>
      <c r="RIP9" s="6"/>
      <c r="RIR9" s="6"/>
      <c r="RIT9" s="6"/>
      <c r="RIV9" s="6"/>
      <c r="RIX9" s="6"/>
      <c r="RIZ9" s="6"/>
      <c r="RJB9" s="6"/>
      <c r="RJD9" s="6"/>
      <c r="RJF9" s="6"/>
      <c r="RJH9" s="6"/>
      <c r="RJJ9" s="6"/>
      <c r="RJL9" s="6"/>
      <c r="RJN9" s="6"/>
      <c r="RJP9" s="6"/>
      <c r="RJR9" s="6"/>
      <c r="RJT9" s="6"/>
      <c r="RJV9" s="6"/>
      <c r="RJX9" s="6"/>
      <c r="RJZ9" s="6"/>
      <c r="RKB9" s="6"/>
      <c r="RKD9" s="6"/>
      <c r="RKF9" s="6"/>
      <c r="RKH9" s="6"/>
      <c r="RKJ9" s="6"/>
      <c r="RKL9" s="6"/>
      <c r="RKN9" s="6"/>
      <c r="RKP9" s="6"/>
      <c r="RKR9" s="6"/>
      <c r="RKT9" s="6"/>
      <c r="RKV9" s="6"/>
      <c r="RKX9" s="6"/>
      <c r="RKZ9" s="6"/>
      <c r="RLB9" s="6"/>
      <c r="RLD9" s="6"/>
      <c r="RLF9" s="6"/>
      <c r="RLH9" s="6"/>
      <c r="RLJ9" s="6"/>
      <c r="RLL9" s="6"/>
      <c r="RLN9" s="6"/>
      <c r="RLP9" s="6"/>
      <c r="RLR9" s="6"/>
      <c r="RLT9" s="6"/>
      <c r="RLV9" s="6"/>
      <c r="RLX9" s="6"/>
      <c r="RLZ9" s="6"/>
      <c r="RMB9" s="6"/>
      <c r="RMD9" s="6"/>
      <c r="RMF9" s="6"/>
      <c r="RMH9" s="6"/>
      <c r="RMJ9" s="6"/>
      <c r="RML9" s="6"/>
      <c r="RMN9" s="6"/>
      <c r="RMP9" s="6"/>
      <c r="RMR9" s="6"/>
      <c r="RMT9" s="6"/>
      <c r="RMV9" s="6"/>
      <c r="RMX9" s="6"/>
      <c r="RMZ9" s="6"/>
      <c r="RNB9" s="6"/>
      <c r="RND9" s="6"/>
      <c r="RNF9" s="6"/>
      <c r="RNH9" s="6"/>
      <c r="RNJ9" s="6"/>
      <c r="RNL9" s="6"/>
      <c r="RNN9" s="6"/>
      <c r="RNP9" s="6"/>
      <c r="RNR9" s="6"/>
      <c r="RNT9" s="6"/>
      <c r="RNV9" s="6"/>
      <c r="RNX9" s="6"/>
      <c r="RNZ9" s="6"/>
      <c r="ROB9" s="6"/>
      <c r="ROD9" s="6"/>
      <c r="ROF9" s="6"/>
      <c r="ROH9" s="6"/>
      <c r="ROJ9" s="6"/>
      <c r="ROL9" s="6"/>
      <c r="RON9" s="6"/>
      <c r="ROP9" s="6"/>
      <c r="ROR9" s="6"/>
      <c r="ROT9" s="6"/>
      <c r="ROV9" s="6"/>
      <c r="ROX9" s="6"/>
      <c r="ROZ9" s="6"/>
      <c r="RPB9" s="6"/>
      <c r="RPD9" s="6"/>
      <c r="RPF9" s="6"/>
      <c r="RPH9" s="6"/>
      <c r="RPJ9" s="6"/>
      <c r="RPL9" s="6"/>
      <c r="RPN9" s="6"/>
      <c r="RPP9" s="6"/>
      <c r="RPR9" s="6"/>
      <c r="RPT9" s="6"/>
      <c r="RPV9" s="6"/>
      <c r="RPX9" s="6"/>
      <c r="RPZ9" s="6"/>
      <c r="RQB9" s="6"/>
      <c r="RQD9" s="6"/>
      <c r="RQF9" s="6"/>
      <c r="RQH9" s="6"/>
      <c r="RQJ9" s="6"/>
      <c r="RQL9" s="6"/>
      <c r="RQN9" s="6"/>
      <c r="RQP9" s="6"/>
      <c r="RQR9" s="6"/>
      <c r="RQT9" s="6"/>
      <c r="RQV9" s="6"/>
      <c r="RQX9" s="6"/>
      <c r="RQZ9" s="6"/>
      <c r="RRB9" s="6"/>
      <c r="RRD9" s="6"/>
      <c r="RRF9" s="6"/>
      <c r="RRH9" s="6"/>
      <c r="RRJ9" s="6"/>
      <c r="RRL9" s="6"/>
      <c r="RRN9" s="6"/>
      <c r="RRP9" s="6"/>
      <c r="RRR9" s="6"/>
      <c r="RRT9" s="6"/>
      <c r="RRV9" s="6"/>
      <c r="RRX9" s="6"/>
      <c r="RRZ9" s="6"/>
      <c r="RSB9" s="6"/>
      <c r="RSD9" s="6"/>
      <c r="RSF9" s="6"/>
      <c r="RSH9" s="6"/>
      <c r="RSJ9" s="6"/>
      <c r="RSL9" s="6"/>
      <c r="RSN9" s="6"/>
      <c r="RSP9" s="6"/>
      <c r="RSR9" s="6"/>
      <c r="RST9" s="6"/>
      <c r="RSV9" s="6"/>
      <c r="RSX9" s="6"/>
      <c r="RSZ9" s="6"/>
      <c r="RTB9" s="6"/>
      <c r="RTD9" s="6"/>
      <c r="RTF9" s="6"/>
      <c r="RTH9" s="6"/>
      <c r="RTJ9" s="6"/>
      <c r="RTL9" s="6"/>
      <c r="RTN9" s="6"/>
      <c r="RTP9" s="6"/>
      <c r="RTR9" s="6"/>
      <c r="RTT9" s="6"/>
      <c r="RTV9" s="6"/>
      <c r="RTX9" s="6"/>
      <c r="RTZ9" s="6"/>
      <c r="RUB9" s="6"/>
      <c r="RUD9" s="6"/>
      <c r="RUF9" s="6"/>
      <c r="RUH9" s="6"/>
      <c r="RUJ9" s="6"/>
      <c r="RUL9" s="6"/>
      <c r="RUN9" s="6"/>
      <c r="RUP9" s="6"/>
      <c r="RUR9" s="6"/>
      <c r="RUT9" s="6"/>
      <c r="RUV9" s="6"/>
      <c r="RUX9" s="6"/>
      <c r="RUZ9" s="6"/>
      <c r="RVB9" s="6"/>
      <c r="RVD9" s="6"/>
      <c r="RVF9" s="6"/>
      <c r="RVH9" s="6"/>
      <c r="RVJ9" s="6"/>
      <c r="RVL9" s="6"/>
      <c r="RVN9" s="6"/>
      <c r="RVP9" s="6"/>
      <c r="RVR9" s="6"/>
      <c r="RVT9" s="6"/>
      <c r="RVV9" s="6"/>
      <c r="RVX9" s="6"/>
      <c r="RVZ9" s="6"/>
      <c r="RWB9" s="6"/>
      <c r="RWD9" s="6"/>
      <c r="RWF9" s="6"/>
      <c r="RWH9" s="6"/>
      <c r="RWJ9" s="6"/>
      <c r="RWL9" s="6"/>
      <c r="RWN9" s="6"/>
      <c r="RWP9" s="6"/>
      <c r="RWR9" s="6"/>
      <c r="RWT9" s="6"/>
      <c r="RWV9" s="6"/>
      <c r="RWX9" s="6"/>
      <c r="RWZ9" s="6"/>
      <c r="RXB9" s="6"/>
      <c r="RXD9" s="6"/>
      <c r="RXF9" s="6"/>
      <c r="RXH9" s="6"/>
      <c r="RXJ9" s="6"/>
      <c r="RXL9" s="6"/>
      <c r="RXN9" s="6"/>
      <c r="RXP9" s="6"/>
      <c r="RXR9" s="6"/>
      <c r="RXT9" s="6"/>
      <c r="RXV9" s="6"/>
      <c r="RXX9" s="6"/>
      <c r="RXZ9" s="6"/>
      <c r="RYB9" s="6"/>
      <c r="RYD9" s="6"/>
      <c r="RYF9" s="6"/>
      <c r="RYH9" s="6"/>
      <c r="RYJ9" s="6"/>
      <c r="RYL9" s="6"/>
      <c r="RYN9" s="6"/>
      <c r="RYP9" s="6"/>
      <c r="RYR9" s="6"/>
      <c r="RYT9" s="6"/>
      <c r="RYV9" s="6"/>
      <c r="RYX9" s="6"/>
      <c r="RYZ9" s="6"/>
      <c r="RZB9" s="6"/>
      <c r="RZD9" s="6"/>
      <c r="RZF9" s="6"/>
      <c r="RZH9" s="6"/>
      <c r="RZJ9" s="6"/>
      <c r="RZL9" s="6"/>
      <c r="RZN9" s="6"/>
      <c r="RZP9" s="6"/>
      <c r="RZR9" s="6"/>
      <c r="RZT9" s="6"/>
      <c r="RZV9" s="6"/>
      <c r="RZX9" s="6"/>
      <c r="RZZ9" s="6"/>
      <c r="SAB9" s="6"/>
      <c r="SAD9" s="6"/>
      <c r="SAF9" s="6"/>
      <c r="SAH9" s="6"/>
      <c r="SAJ9" s="6"/>
      <c r="SAL9" s="6"/>
      <c r="SAN9" s="6"/>
      <c r="SAP9" s="6"/>
      <c r="SAR9" s="6"/>
      <c r="SAT9" s="6"/>
      <c r="SAV9" s="6"/>
      <c r="SAX9" s="6"/>
      <c r="SAZ9" s="6"/>
      <c r="SBB9" s="6"/>
      <c r="SBD9" s="6"/>
      <c r="SBF9" s="6"/>
      <c r="SBH9" s="6"/>
      <c r="SBJ9" s="6"/>
      <c r="SBL9" s="6"/>
      <c r="SBN9" s="6"/>
      <c r="SBP9" s="6"/>
      <c r="SBR9" s="6"/>
      <c r="SBT9" s="6"/>
      <c r="SBV9" s="6"/>
      <c r="SBX9" s="6"/>
      <c r="SBZ9" s="6"/>
      <c r="SCB9" s="6"/>
      <c r="SCD9" s="6"/>
      <c r="SCF9" s="6"/>
      <c r="SCH9" s="6"/>
      <c r="SCJ9" s="6"/>
      <c r="SCL9" s="6"/>
      <c r="SCN9" s="6"/>
      <c r="SCP9" s="6"/>
      <c r="SCR9" s="6"/>
      <c r="SCT9" s="6"/>
      <c r="SCV9" s="6"/>
      <c r="SCX9" s="6"/>
      <c r="SCZ9" s="6"/>
      <c r="SDB9" s="6"/>
      <c r="SDD9" s="6"/>
      <c r="SDF9" s="6"/>
      <c r="SDH9" s="6"/>
      <c r="SDJ9" s="6"/>
      <c r="SDL9" s="6"/>
      <c r="SDN9" s="6"/>
      <c r="SDP9" s="6"/>
      <c r="SDR9" s="6"/>
      <c r="SDT9" s="6"/>
      <c r="SDV9" s="6"/>
      <c r="SDX9" s="6"/>
      <c r="SDZ9" s="6"/>
      <c r="SEB9" s="6"/>
      <c r="SED9" s="6"/>
      <c r="SEF9" s="6"/>
      <c r="SEH9" s="6"/>
      <c r="SEJ9" s="6"/>
      <c r="SEL9" s="6"/>
      <c r="SEN9" s="6"/>
      <c r="SEP9" s="6"/>
      <c r="SER9" s="6"/>
      <c r="SET9" s="6"/>
      <c r="SEV9" s="6"/>
      <c r="SEX9" s="6"/>
      <c r="SEZ9" s="6"/>
      <c r="SFB9" s="6"/>
      <c r="SFD9" s="6"/>
      <c r="SFF9" s="6"/>
      <c r="SFH9" s="6"/>
      <c r="SFJ9" s="6"/>
      <c r="SFL9" s="6"/>
      <c r="SFN9" s="6"/>
      <c r="SFP9" s="6"/>
      <c r="SFR9" s="6"/>
      <c r="SFT9" s="6"/>
      <c r="SFV9" s="6"/>
      <c r="SFX9" s="6"/>
      <c r="SFZ9" s="6"/>
      <c r="SGB9" s="6"/>
      <c r="SGD9" s="6"/>
      <c r="SGF9" s="6"/>
      <c r="SGH9" s="6"/>
      <c r="SGJ9" s="6"/>
      <c r="SGL9" s="6"/>
      <c r="SGN9" s="6"/>
      <c r="SGP9" s="6"/>
      <c r="SGR9" s="6"/>
      <c r="SGT9" s="6"/>
      <c r="SGV9" s="6"/>
      <c r="SGX9" s="6"/>
      <c r="SGZ9" s="6"/>
      <c r="SHB9" s="6"/>
      <c r="SHD9" s="6"/>
      <c r="SHF9" s="6"/>
      <c r="SHH9" s="6"/>
      <c r="SHJ9" s="6"/>
      <c r="SHL9" s="6"/>
      <c r="SHN9" s="6"/>
      <c r="SHP9" s="6"/>
      <c r="SHR9" s="6"/>
      <c r="SHT9" s="6"/>
      <c r="SHV9" s="6"/>
      <c r="SHX9" s="6"/>
      <c r="SHZ9" s="6"/>
      <c r="SIB9" s="6"/>
      <c r="SID9" s="6"/>
      <c r="SIF9" s="6"/>
      <c r="SIH9" s="6"/>
      <c r="SIJ9" s="6"/>
      <c r="SIL9" s="6"/>
      <c r="SIN9" s="6"/>
      <c r="SIP9" s="6"/>
      <c r="SIR9" s="6"/>
      <c r="SIT9" s="6"/>
      <c r="SIV9" s="6"/>
      <c r="SIX9" s="6"/>
      <c r="SIZ9" s="6"/>
      <c r="SJB9" s="6"/>
      <c r="SJD9" s="6"/>
      <c r="SJF9" s="6"/>
      <c r="SJH9" s="6"/>
      <c r="SJJ9" s="6"/>
      <c r="SJL9" s="6"/>
      <c r="SJN9" s="6"/>
      <c r="SJP9" s="6"/>
      <c r="SJR9" s="6"/>
      <c r="SJT9" s="6"/>
      <c r="SJV9" s="6"/>
      <c r="SJX9" s="6"/>
      <c r="SJZ9" s="6"/>
      <c r="SKB9" s="6"/>
      <c r="SKD9" s="6"/>
      <c r="SKF9" s="6"/>
      <c r="SKH9" s="6"/>
      <c r="SKJ9" s="6"/>
      <c r="SKL9" s="6"/>
      <c r="SKN9" s="6"/>
      <c r="SKP9" s="6"/>
      <c r="SKR9" s="6"/>
      <c r="SKT9" s="6"/>
      <c r="SKV9" s="6"/>
      <c r="SKX9" s="6"/>
      <c r="SKZ9" s="6"/>
      <c r="SLB9" s="6"/>
      <c r="SLD9" s="6"/>
      <c r="SLF9" s="6"/>
      <c r="SLH9" s="6"/>
      <c r="SLJ9" s="6"/>
      <c r="SLL9" s="6"/>
      <c r="SLN9" s="6"/>
      <c r="SLP9" s="6"/>
      <c r="SLR9" s="6"/>
      <c r="SLT9" s="6"/>
      <c r="SLV9" s="6"/>
      <c r="SLX9" s="6"/>
      <c r="SLZ9" s="6"/>
      <c r="SMB9" s="6"/>
      <c r="SMD9" s="6"/>
      <c r="SMF9" s="6"/>
      <c r="SMH9" s="6"/>
      <c r="SMJ9" s="6"/>
      <c r="SML9" s="6"/>
      <c r="SMN9" s="6"/>
      <c r="SMP9" s="6"/>
      <c r="SMR9" s="6"/>
      <c r="SMT9" s="6"/>
      <c r="SMV9" s="6"/>
      <c r="SMX9" s="6"/>
      <c r="SMZ9" s="6"/>
      <c r="SNB9" s="6"/>
      <c r="SND9" s="6"/>
      <c r="SNF9" s="6"/>
      <c r="SNH9" s="6"/>
      <c r="SNJ9" s="6"/>
      <c r="SNL9" s="6"/>
      <c r="SNN9" s="6"/>
      <c r="SNP9" s="6"/>
      <c r="SNR9" s="6"/>
      <c r="SNT9" s="6"/>
      <c r="SNV9" s="6"/>
      <c r="SNX9" s="6"/>
      <c r="SNZ9" s="6"/>
      <c r="SOB9" s="6"/>
      <c r="SOD9" s="6"/>
      <c r="SOF9" s="6"/>
      <c r="SOH9" s="6"/>
      <c r="SOJ9" s="6"/>
      <c r="SOL9" s="6"/>
      <c r="SON9" s="6"/>
      <c r="SOP9" s="6"/>
      <c r="SOR9" s="6"/>
      <c r="SOT9" s="6"/>
      <c r="SOV9" s="6"/>
      <c r="SOX9" s="6"/>
      <c r="SOZ9" s="6"/>
      <c r="SPB9" s="6"/>
      <c r="SPD9" s="6"/>
      <c r="SPF9" s="6"/>
      <c r="SPH9" s="6"/>
      <c r="SPJ9" s="6"/>
      <c r="SPL9" s="6"/>
      <c r="SPN9" s="6"/>
      <c r="SPP9" s="6"/>
      <c r="SPR9" s="6"/>
      <c r="SPT9" s="6"/>
      <c r="SPV9" s="6"/>
      <c r="SPX9" s="6"/>
      <c r="SPZ9" s="6"/>
      <c r="SQB9" s="6"/>
      <c r="SQD9" s="6"/>
      <c r="SQF9" s="6"/>
      <c r="SQH9" s="6"/>
      <c r="SQJ9" s="6"/>
      <c r="SQL9" s="6"/>
      <c r="SQN9" s="6"/>
      <c r="SQP9" s="6"/>
      <c r="SQR9" s="6"/>
      <c r="SQT9" s="6"/>
      <c r="SQV9" s="6"/>
      <c r="SQX9" s="6"/>
      <c r="SQZ9" s="6"/>
      <c r="SRB9" s="6"/>
      <c r="SRD9" s="6"/>
      <c r="SRF9" s="6"/>
      <c r="SRH9" s="6"/>
      <c r="SRJ9" s="6"/>
      <c r="SRL9" s="6"/>
      <c r="SRN9" s="6"/>
      <c r="SRP9" s="6"/>
      <c r="SRR9" s="6"/>
      <c r="SRT9" s="6"/>
      <c r="SRV9" s="6"/>
      <c r="SRX9" s="6"/>
      <c r="SRZ9" s="6"/>
      <c r="SSB9" s="6"/>
      <c r="SSD9" s="6"/>
      <c r="SSF9" s="6"/>
      <c r="SSH9" s="6"/>
      <c r="SSJ9" s="6"/>
      <c r="SSL9" s="6"/>
      <c r="SSN9" s="6"/>
      <c r="SSP9" s="6"/>
      <c r="SSR9" s="6"/>
      <c r="SST9" s="6"/>
      <c r="SSV9" s="6"/>
      <c r="SSX9" s="6"/>
      <c r="SSZ9" s="6"/>
      <c r="STB9" s="6"/>
      <c r="STD9" s="6"/>
      <c r="STF9" s="6"/>
      <c r="STH9" s="6"/>
      <c r="STJ9" s="6"/>
      <c r="STL9" s="6"/>
      <c r="STN9" s="6"/>
      <c r="STP9" s="6"/>
      <c r="STR9" s="6"/>
      <c r="STT9" s="6"/>
      <c r="STV9" s="6"/>
      <c r="STX9" s="6"/>
      <c r="STZ9" s="6"/>
      <c r="SUB9" s="6"/>
      <c r="SUD9" s="6"/>
      <c r="SUF9" s="6"/>
      <c r="SUH9" s="6"/>
      <c r="SUJ9" s="6"/>
      <c r="SUL9" s="6"/>
      <c r="SUN9" s="6"/>
      <c r="SUP9" s="6"/>
      <c r="SUR9" s="6"/>
      <c r="SUT9" s="6"/>
      <c r="SUV9" s="6"/>
      <c r="SUX9" s="6"/>
      <c r="SUZ9" s="6"/>
      <c r="SVB9" s="6"/>
      <c r="SVD9" s="6"/>
      <c r="SVF9" s="6"/>
      <c r="SVH9" s="6"/>
      <c r="SVJ9" s="6"/>
      <c r="SVL9" s="6"/>
      <c r="SVN9" s="6"/>
      <c r="SVP9" s="6"/>
      <c r="SVR9" s="6"/>
      <c r="SVT9" s="6"/>
      <c r="SVV9" s="6"/>
      <c r="SVX9" s="6"/>
      <c r="SVZ9" s="6"/>
      <c r="SWB9" s="6"/>
      <c r="SWD9" s="6"/>
      <c r="SWF9" s="6"/>
      <c r="SWH9" s="6"/>
      <c r="SWJ9" s="6"/>
      <c r="SWL9" s="6"/>
      <c r="SWN9" s="6"/>
      <c r="SWP9" s="6"/>
      <c r="SWR9" s="6"/>
      <c r="SWT9" s="6"/>
      <c r="SWV9" s="6"/>
      <c r="SWX9" s="6"/>
      <c r="SWZ9" s="6"/>
      <c r="SXB9" s="6"/>
      <c r="SXD9" s="6"/>
      <c r="SXF9" s="6"/>
      <c r="SXH9" s="6"/>
      <c r="SXJ9" s="6"/>
      <c r="SXL9" s="6"/>
      <c r="SXN9" s="6"/>
      <c r="SXP9" s="6"/>
      <c r="SXR9" s="6"/>
      <c r="SXT9" s="6"/>
      <c r="SXV9" s="6"/>
      <c r="SXX9" s="6"/>
      <c r="SXZ9" s="6"/>
      <c r="SYB9" s="6"/>
      <c r="SYD9" s="6"/>
      <c r="SYF9" s="6"/>
      <c r="SYH9" s="6"/>
      <c r="SYJ9" s="6"/>
      <c r="SYL9" s="6"/>
      <c r="SYN9" s="6"/>
      <c r="SYP9" s="6"/>
      <c r="SYR9" s="6"/>
      <c r="SYT9" s="6"/>
      <c r="SYV9" s="6"/>
      <c r="SYX9" s="6"/>
      <c r="SYZ9" s="6"/>
      <c r="SZB9" s="6"/>
      <c r="SZD9" s="6"/>
      <c r="SZF9" s="6"/>
      <c r="SZH9" s="6"/>
      <c r="SZJ9" s="6"/>
      <c r="SZL9" s="6"/>
      <c r="SZN9" s="6"/>
      <c r="SZP9" s="6"/>
      <c r="SZR9" s="6"/>
      <c r="SZT9" s="6"/>
      <c r="SZV9" s="6"/>
      <c r="SZX9" s="6"/>
      <c r="SZZ9" s="6"/>
      <c r="TAB9" s="6"/>
      <c r="TAD9" s="6"/>
      <c r="TAF9" s="6"/>
      <c r="TAH9" s="6"/>
      <c r="TAJ9" s="6"/>
      <c r="TAL9" s="6"/>
      <c r="TAN9" s="6"/>
      <c r="TAP9" s="6"/>
      <c r="TAR9" s="6"/>
      <c r="TAT9" s="6"/>
      <c r="TAV9" s="6"/>
      <c r="TAX9" s="6"/>
      <c r="TAZ9" s="6"/>
      <c r="TBB9" s="6"/>
      <c r="TBD9" s="6"/>
      <c r="TBF9" s="6"/>
      <c r="TBH9" s="6"/>
      <c r="TBJ9" s="6"/>
      <c r="TBL9" s="6"/>
      <c r="TBN9" s="6"/>
      <c r="TBP9" s="6"/>
      <c r="TBR9" s="6"/>
      <c r="TBT9" s="6"/>
      <c r="TBV9" s="6"/>
      <c r="TBX9" s="6"/>
      <c r="TBZ9" s="6"/>
      <c r="TCB9" s="6"/>
      <c r="TCD9" s="6"/>
      <c r="TCF9" s="6"/>
      <c r="TCH9" s="6"/>
      <c r="TCJ9" s="6"/>
      <c r="TCL9" s="6"/>
      <c r="TCN9" s="6"/>
      <c r="TCP9" s="6"/>
      <c r="TCR9" s="6"/>
      <c r="TCT9" s="6"/>
      <c r="TCV9" s="6"/>
      <c r="TCX9" s="6"/>
      <c r="TCZ9" s="6"/>
      <c r="TDB9" s="6"/>
      <c r="TDD9" s="6"/>
      <c r="TDF9" s="6"/>
      <c r="TDH9" s="6"/>
      <c r="TDJ9" s="6"/>
      <c r="TDL9" s="6"/>
      <c r="TDN9" s="6"/>
      <c r="TDP9" s="6"/>
      <c r="TDR9" s="6"/>
      <c r="TDT9" s="6"/>
      <c r="TDV9" s="6"/>
      <c r="TDX9" s="6"/>
      <c r="TDZ9" s="6"/>
      <c r="TEB9" s="6"/>
      <c r="TED9" s="6"/>
      <c r="TEF9" s="6"/>
      <c r="TEH9" s="6"/>
      <c r="TEJ9" s="6"/>
      <c r="TEL9" s="6"/>
      <c r="TEN9" s="6"/>
      <c r="TEP9" s="6"/>
      <c r="TER9" s="6"/>
      <c r="TET9" s="6"/>
      <c r="TEV9" s="6"/>
      <c r="TEX9" s="6"/>
      <c r="TEZ9" s="6"/>
      <c r="TFB9" s="6"/>
      <c r="TFD9" s="6"/>
      <c r="TFF9" s="6"/>
      <c r="TFH9" s="6"/>
      <c r="TFJ9" s="6"/>
      <c r="TFL9" s="6"/>
      <c r="TFN9" s="6"/>
      <c r="TFP9" s="6"/>
      <c r="TFR9" s="6"/>
      <c r="TFT9" s="6"/>
      <c r="TFV9" s="6"/>
      <c r="TFX9" s="6"/>
      <c r="TFZ9" s="6"/>
      <c r="TGB9" s="6"/>
      <c r="TGD9" s="6"/>
      <c r="TGF9" s="6"/>
      <c r="TGH9" s="6"/>
      <c r="TGJ9" s="6"/>
      <c r="TGL9" s="6"/>
      <c r="TGN9" s="6"/>
      <c r="TGP9" s="6"/>
      <c r="TGR9" s="6"/>
      <c r="TGT9" s="6"/>
      <c r="TGV9" s="6"/>
      <c r="TGX9" s="6"/>
      <c r="TGZ9" s="6"/>
      <c r="THB9" s="6"/>
      <c r="THD9" s="6"/>
      <c r="THF9" s="6"/>
      <c r="THH9" s="6"/>
      <c r="THJ9" s="6"/>
      <c r="THL9" s="6"/>
      <c r="THN9" s="6"/>
      <c r="THP9" s="6"/>
      <c r="THR9" s="6"/>
      <c r="THT9" s="6"/>
      <c r="THV9" s="6"/>
      <c r="THX9" s="6"/>
      <c r="THZ9" s="6"/>
      <c r="TIB9" s="6"/>
      <c r="TID9" s="6"/>
      <c r="TIF9" s="6"/>
      <c r="TIH9" s="6"/>
      <c r="TIJ9" s="6"/>
      <c r="TIL9" s="6"/>
      <c r="TIN9" s="6"/>
      <c r="TIP9" s="6"/>
      <c r="TIR9" s="6"/>
      <c r="TIT9" s="6"/>
      <c r="TIV9" s="6"/>
      <c r="TIX9" s="6"/>
      <c r="TIZ9" s="6"/>
      <c r="TJB9" s="6"/>
      <c r="TJD9" s="6"/>
      <c r="TJF9" s="6"/>
      <c r="TJH9" s="6"/>
      <c r="TJJ9" s="6"/>
      <c r="TJL9" s="6"/>
      <c r="TJN9" s="6"/>
      <c r="TJP9" s="6"/>
      <c r="TJR9" s="6"/>
      <c r="TJT9" s="6"/>
      <c r="TJV9" s="6"/>
      <c r="TJX9" s="6"/>
      <c r="TJZ9" s="6"/>
      <c r="TKB9" s="6"/>
      <c r="TKD9" s="6"/>
      <c r="TKF9" s="6"/>
      <c r="TKH9" s="6"/>
      <c r="TKJ9" s="6"/>
      <c r="TKL9" s="6"/>
      <c r="TKN9" s="6"/>
      <c r="TKP9" s="6"/>
      <c r="TKR9" s="6"/>
      <c r="TKT9" s="6"/>
      <c r="TKV9" s="6"/>
      <c r="TKX9" s="6"/>
      <c r="TKZ9" s="6"/>
      <c r="TLB9" s="6"/>
      <c r="TLD9" s="6"/>
      <c r="TLF9" s="6"/>
      <c r="TLH9" s="6"/>
      <c r="TLJ9" s="6"/>
      <c r="TLL9" s="6"/>
      <c r="TLN9" s="6"/>
      <c r="TLP9" s="6"/>
      <c r="TLR9" s="6"/>
      <c r="TLT9" s="6"/>
      <c r="TLV9" s="6"/>
      <c r="TLX9" s="6"/>
      <c r="TLZ9" s="6"/>
      <c r="TMB9" s="6"/>
      <c r="TMD9" s="6"/>
      <c r="TMF9" s="6"/>
      <c r="TMH9" s="6"/>
      <c r="TMJ9" s="6"/>
      <c r="TML9" s="6"/>
      <c r="TMN9" s="6"/>
      <c r="TMP9" s="6"/>
      <c r="TMR9" s="6"/>
      <c r="TMT9" s="6"/>
      <c r="TMV9" s="6"/>
      <c r="TMX9" s="6"/>
      <c r="TMZ9" s="6"/>
      <c r="TNB9" s="6"/>
      <c r="TND9" s="6"/>
      <c r="TNF9" s="6"/>
      <c r="TNH9" s="6"/>
      <c r="TNJ9" s="6"/>
      <c r="TNL9" s="6"/>
      <c r="TNN9" s="6"/>
      <c r="TNP9" s="6"/>
      <c r="TNR9" s="6"/>
      <c r="TNT9" s="6"/>
      <c r="TNV9" s="6"/>
      <c r="TNX9" s="6"/>
      <c r="TNZ9" s="6"/>
      <c r="TOB9" s="6"/>
      <c r="TOD9" s="6"/>
      <c r="TOF9" s="6"/>
      <c r="TOH9" s="6"/>
      <c r="TOJ9" s="6"/>
      <c r="TOL9" s="6"/>
      <c r="TON9" s="6"/>
      <c r="TOP9" s="6"/>
      <c r="TOR9" s="6"/>
      <c r="TOT9" s="6"/>
      <c r="TOV9" s="6"/>
      <c r="TOX9" s="6"/>
      <c r="TOZ9" s="6"/>
      <c r="TPB9" s="6"/>
      <c r="TPD9" s="6"/>
      <c r="TPF9" s="6"/>
      <c r="TPH9" s="6"/>
      <c r="TPJ9" s="6"/>
      <c r="TPL9" s="6"/>
      <c r="TPN9" s="6"/>
      <c r="TPP9" s="6"/>
      <c r="TPR9" s="6"/>
      <c r="TPT9" s="6"/>
      <c r="TPV9" s="6"/>
      <c r="TPX9" s="6"/>
      <c r="TPZ9" s="6"/>
      <c r="TQB9" s="6"/>
      <c r="TQD9" s="6"/>
      <c r="TQF9" s="6"/>
      <c r="TQH9" s="6"/>
      <c r="TQJ9" s="6"/>
      <c r="TQL9" s="6"/>
      <c r="TQN9" s="6"/>
      <c r="TQP9" s="6"/>
      <c r="TQR9" s="6"/>
      <c r="TQT9" s="6"/>
      <c r="TQV9" s="6"/>
      <c r="TQX9" s="6"/>
      <c r="TQZ9" s="6"/>
      <c r="TRB9" s="6"/>
      <c r="TRD9" s="6"/>
      <c r="TRF9" s="6"/>
      <c r="TRH9" s="6"/>
      <c r="TRJ9" s="6"/>
      <c r="TRL9" s="6"/>
      <c r="TRN9" s="6"/>
      <c r="TRP9" s="6"/>
      <c r="TRR9" s="6"/>
      <c r="TRT9" s="6"/>
      <c r="TRV9" s="6"/>
      <c r="TRX9" s="6"/>
      <c r="TRZ9" s="6"/>
      <c r="TSB9" s="6"/>
      <c r="TSD9" s="6"/>
      <c r="TSF9" s="6"/>
      <c r="TSH9" s="6"/>
      <c r="TSJ9" s="6"/>
      <c r="TSL9" s="6"/>
      <c r="TSN9" s="6"/>
      <c r="TSP9" s="6"/>
      <c r="TSR9" s="6"/>
      <c r="TST9" s="6"/>
      <c r="TSV9" s="6"/>
      <c r="TSX9" s="6"/>
      <c r="TSZ9" s="6"/>
      <c r="TTB9" s="6"/>
      <c r="TTD9" s="6"/>
      <c r="TTF9" s="6"/>
      <c r="TTH9" s="6"/>
      <c r="TTJ9" s="6"/>
      <c r="TTL9" s="6"/>
      <c r="TTN9" s="6"/>
      <c r="TTP9" s="6"/>
      <c r="TTR9" s="6"/>
      <c r="TTT9" s="6"/>
      <c r="TTV9" s="6"/>
      <c r="TTX9" s="6"/>
      <c r="TTZ9" s="6"/>
      <c r="TUB9" s="6"/>
      <c r="TUD9" s="6"/>
      <c r="TUF9" s="6"/>
      <c r="TUH9" s="6"/>
      <c r="TUJ9" s="6"/>
      <c r="TUL9" s="6"/>
      <c r="TUN9" s="6"/>
      <c r="TUP9" s="6"/>
      <c r="TUR9" s="6"/>
      <c r="TUT9" s="6"/>
      <c r="TUV9" s="6"/>
      <c r="TUX9" s="6"/>
      <c r="TUZ9" s="6"/>
      <c r="TVB9" s="6"/>
      <c r="TVD9" s="6"/>
      <c r="TVF9" s="6"/>
      <c r="TVH9" s="6"/>
      <c r="TVJ9" s="6"/>
      <c r="TVL9" s="6"/>
      <c r="TVN9" s="6"/>
      <c r="TVP9" s="6"/>
      <c r="TVR9" s="6"/>
      <c r="TVT9" s="6"/>
      <c r="TVV9" s="6"/>
      <c r="TVX9" s="6"/>
      <c r="TVZ9" s="6"/>
      <c r="TWB9" s="6"/>
      <c r="TWD9" s="6"/>
      <c r="TWF9" s="6"/>
      <c r="TWH9" s="6"/>
      <c r="TWJ9" s="6"/>
      <c r="TWL9" s="6"/>
      <c r="TWN9" s="6"/>
      <c r="TWP9" s="6"/>
      <c r="TWR9" s="6"/>
      <c r="TWT9" s="6"/>
      <c r="TWV9" s="6"/>
      <c r="TWX9" s="6"/>
      <c r="TWZ9" s="6"/>
      <c r="TXB9" s="6"/>
      <c r="TXD9" s="6"/>
      <c r="TXF9" s="6"/>
      <c r="TXH9" s="6"/>
      <c r="TXJ9" s="6"/>
      <c r="TXL9" s="6"/>
      <c r="TXN9" s="6"/>
      <c r="TXP9" s="6"/>
      <c r="TXR9" s="6"/>
      <c r="TXT9" s="6"/>
      <c r="TXV9" s="6"/>
      <c r="TXX9" s="6"/>
      <c r="TXZ9" s="6"/>
      <c r="TYB9" s="6"/>
      <c r="TYD9" s="6"/>
      <c r="TYF9" s="6"/>
      <c r="TYH9" s="6"/>
      <c r="TYJ9" s="6"/>
      <c r="TYL9" s="6"/>
      <c r="TYN9" s="6"/>
      <c r="TYP9" s="6"/>
      <c r="TYR9" s="6"/>
      <c r="TYT9" s="6"/>
      <c r="TYV9" s="6"/>
      <c r="TYX9" s="6"/>
      <c r="TYZ9" s="6"/>
      <c r="TZB9" s="6"/>
      <c r="TZD9" s="6"/>
      <c r="TZF9" s="6"/>
      <c r="TZH9" s="6"/>
      <c r="TZJ9" s="6"/>
      <c r="TZL9" s="6"/>
      <c r="TZN9" s="6"/>
      <c r="TZP9" s="6"/>
      <c r="TZR9" s="6"/>
      <c r="TZT9" s="6"/>
      <c r="TZV9" s="6"/>
      <c r="TZX9" s="6"/>
      <c r="TZZ9" s="6"/>
      <c r="UAB9" s="6"/>
      <c r="UAD9" s="6"/>
      <c r="UAF9" s="6"/>
      <c r="UAH9" s="6"/>
      <c r="UAJ9" s="6"/>
      <c r="UAL9" s="6"/>
      <c r="UAN9" s="6"/>
      <c r="UAP9" s="6"/>
      <c r="UAR9" s="6"/>
      <c r="UAT9" s="6"/>
      <c r="UAV9" s="6"/>
      <c r="UAX9" s="6"/>
      <c r="UAZ9" s="6"/>
      <c r="UBB9" s="6"/>
      <c r="UBD9" s="6"/>
      <c r="UBF9" s="6"/>
      <c r="UBH9" s="6"/>
      <c r="UBJ9" s="6"/>
      <c r="UBL9" s="6"/>
      <c r="UBN9" s="6"/>
      <c r="UBP9" s="6"/>
      <c r="UBR9" s="6"/>
      <c r="UBT9" s="6"/>
      <c r="UBV9" s="6"/>
      <c r="UBX9" s="6"/>
      <c r="UBZ9" s="6"/>
      <c r="UCB9" s="6"/>
      <c r="UCD9" s="6"/>
      <c r="UCF9" s="6"/>
      <c r="UCH9" s="6"/>
      <c r="UCJ9" s="6"/>
      <c r="UCL9" s="6"/>
      <c r="UCN9" s="6"/>
      <c r="UCP9" s="6"/>
      <c r="UCR9" s="6"/>
      <c r="UCT9" s="6"/>
      <c r="UCV9" s="6"/>
      <c r="UCX9" s="6"/>
      <c r="UCZ9" s="6"/>
      <c r="UDB9" s="6"/>
      <c r="UDD9" s="6"/>
      <c r="UDF9" s="6"/>
      <c r="UDH9" s="6"/>
      <c r="UDJ9" s="6"/>
      <c r="UDL9" s="6"/>
      <c r="UDN9" s="6"/>
      <c r="UDP9" s="6"/>
      <c r="UDR9" s="6"/>
      <c r="UDT9" s="6"/>
      <c r="UDV9" s="6"/>
      <c r="UDX9" s="6"/>
      <c r="UDZ9" s="6"/>
      <c r="UEB9" s="6"/>
      <c r="UED9" s="6"/>
      <c r="UEF9" s="6"/>
      <c r="UEH9" s="6"/>
      <c r="UEJ9" s="6"/>
      <c r="UEL9" s="6"/>
      <c r="UEN9" s="6"/>
      <c r="UEP9" s="6"/>
      <c r="UER9" s="6"/>
      <c r="UET9" s="6"/>
      <c r="UEV9" s="6"/>
      <c r="UEX9" s="6"/>
      <c r="UEZ9" s="6"/>
      <c r="UFB9" s="6"/>
      <c r="UFD9" s="6"/>
      <c r="UFF9" s="6"/>
      <c r="UFH9" s="6"/>
      <c r="UFJ9" s="6"/>
      <c r="UFL9" s="6"/>
      <c r="UFN9" s="6"/>
      <c r="UFP9" s="6"/>
      <c r="UFR9" s="6"/>
      <c r="UFT9" s="6"/>
      <c r="UFV9" s="6"/>
      <c r="UFX9" s="6"/>
      <c r="UFZ9" s="6"/>
      <c r="UGB9" s="6"/>
      <c r="UGD9" s="6"/>
      <c r="UGF9" s="6"/>
      <c r="UGH9" s="6"/>
      <c r="UGJ9" s="6"/>
      <c r="UGL9" s="6"/>
      <c r="UGN9" s="6"/>
      <c r="UGP9" s="6"/>
      <c r="UGR9" s="6"/>
      <c r="UGT9" s="6"/>
      <c r="UGV9" s="6"/>
      <c r="UGX9" s="6"/>
      <c r="UGZ9" s="6"/>
      <c r="UHB9" s="6"/>
      <c r="UHD9" s="6"/>
      <c r="UHF9" s="6"/>
      <c r="UHH9" s="6"/>
      <c r="UHJ9" s="6"/>
      <c r="UHL9" s="6"/>
      <c r="UHN9" s="6"/>
      <c r="UHP9" s="6"/>
      <c r="UHR9" s="6"/>
      <c r="UHT9" s="6"/>
      <c r="UHV9" s="6"/>
      <c r="UHX9" s="6"/>
      <c r="UHZ9" s="6"/>
      <c r="UIB9" s="6"/>
      <c r="UID9" s="6"/>
      <c r="UIF9" s="6"/>
      <c r="UIH9" s="6"/>
      <c r="UIJ9" s="6"/>
      <c r="UIL9" s="6"/>
      <c r="UIN9" s="6"/>
      <c r="UIP9" s="6"/>
      <c r="UIR9" s="6"/>
      <c r="UIT9" s="6"/>
      <c r="UIV9" s="6"/>
      <c r="UIX9" s="6"/>
      <c r="UIZ9" s="6"/>
      <c r="UJB9" s="6"/>
      <c r="UJD9" s="6"/>
      <c r="UJF9" s="6"/>
      <c r="UJH9" s="6"/>
      <c r="UJJ9" s="6"/>
      <c r="UJL9" s="6"/>
      <c r="UJN9" s="6"/>
      <c r="UJP9" s="6"/>
      <c r="UJR9" s="6"/>
      <c r="UJT9" s="6"/>
      <c r="UJV9" s="6"/>
      <c r="UJX9" s="6"/>
      <c r="UJZ9" s="6"/>
      <c r="UKB9" s="6"/>
      <c r="UKD9" s="6"/>
      <c r="UKF9" s="6"/>
      <c r="UKH9" s="6"/>
      <c r="UKJ9" s="6"/>
      <c r="UKL9" s="6"/>
      <c r="UKN9" s="6"/>
      <c r="UKP9" s="6"/>
      <c r="UKR9" s="6"/>
      <c r="UKT9" s="6"/>
      <c r="UKV9" s="6"/>
      <c r="UKX9" s="6"/>
      <c r="UKZ9" s="6"/>
      <c r="ULB9" s="6"/>
      <c r="ULD9" s="6"/>
      <c r="ULF9" s="6"/>
      <c r="ULH9" s="6"/>
      <c r="ULJ9" s="6"/>
      <c r="ULL9" s="6"/>
      <c r="ULN9" s="6"/>
      <c r="ULP9" s="6"/>
      <c r="ULR9" s="6"/>
      <c r="ULT9" s="6"/>
      <c r="ULV9" s="6"/>
      <c r="ULX9" s="6"/>
      <c r="ULZ9" s="6"/>
      <c r="UMB9" s="6"/>
      <c r="UMD9" s="6"/>
      <c r="UMF9" s="6"/>
      <c r="UMH9" s="6"/>
      <c r="UMJ9" s="6"/>
      <c r="UML9" s="6"/>
      <c r="UMN9" s="6"/>
      <c r="UMP9" s="6"/>
      <c r="UMR9" s="6"/>
      <c r="UMT9" s="6"/>
      <c r="UMV9" s="6"/>
      <c r="UMX9" s="6"/>
      <c r="UMZ9" s="6"/>
      <c r="UNB9" s="6"/>
      <c r="UND9" s="6"/>
      <c r="UNF9" s="6"/>
      <c r="UNH9" s="6"/>
      <c r="UNJ9" s="6"/>
      <c r="UNL9" s="6"/>
      <c r="UNN9" s="6"/>
      <c r="UNP9" s="6"/>
      <c r="UNR9" s="6"/>
      <c r="UNT9" s="6"/>
      <c r="UNV9" s="6"/>
      <c r="UNX9" s="6"/>
      <c r="UNZ9" s="6"/>
      <c r="UOB9" s="6"/>
      <c r="UOD9" s="6"/>
      <c r="UOF9" s="6"/>
      <c r="UOH9" s="6"/>
      <c r="UOJ9" s="6"/>
      <c r="UOL9" s="6"/>
      <c r="UON9" s="6"/>
      <c r="UOP9" s="6"/>
      <c r="UOR9" s="6"/>
      <c r="UOT9" s="6"/>
      <c r="UOV9" s="6"/>
      <c r="UOX9" s="6"/>
      <c r="UOZ9" s="6"/>
      <c r="UPB9" s="6"/>
      <c r="UPD9" s="6"/>
      <c r="UPF9" s="6"/>
      <c r="UPH9" s="6"/>
      <c r="UPJ9" s="6"/>
      <c r="UPL9" s="6"/>
      <c r="UPN9" s="6"/>
      <c r="UPP9" s="6"/>
      <c r="UPR9" s="6"/>
      <c r="UPT9" s="6"/>
      <c r="UPV9" s="6"/>
      <c r="UPX9" s="6"/>
      <c r="UPZ9" s="6"/>
      <c r="UQB9" s="6"/>
      <c r="UQD9" s="6"/>
      <c r="UQF9" s="6"/>
      <c r="UQH9" s="6"/>
      <c r="UQJ9" s="6"/>
      <c r="UQL9" s="6"/>
      <c r="UQN9" s="6"/>
      <c r="UQP9" s="6"/>
      <c r="UQR9" s="6"/>
      <c r="UQT9" s="6"/>
      <c r="UQV9" s="6"/>
      <c r="UQX9" s="6"/>
      <c r="UQZ9" s="6"/>
      <c r="URB9" s="6"/>
      <c r="URD9" s="6"/>
      <c r="URF9" s="6"/>
      <c r="URH9" s="6"/>
      <c r="URJ9" s="6"/>
      <c r="URL9" s="6"/>
      <c r="URN9" s="6"/>
      <c r="URP9" s="6"/>
      <c r="URR9" s="6"/>
      <c r="URT9" s="6"/>
      <c r="URV9" s="6"/>
      <c r="URX9" s="6"/>
      <c r="URZ9" s="6"/>
      <c r="USB9" s="6"/>
      <c r="USD9" s="6"/>
      <c r="USF9" s="6"/>
      <c r="USH9" s="6"/>
      <c r="USJ9" s="6"/>
      <c r="USL9" s="6"/>
      <c r="USN9" s="6"/>
      <c r="USP9" s="6"/>
      <c r="USR9" s="6"/>
      <c r="UST9" s="6"/>
      <c r="USV9" s="6"/>
      <c r="USX9" s="6"/>
      <c r="USZ9" s="6"/>
      <c r="UTB9" s="6"/>
      <c r="UTD9" s="6"/>
      <c r="UTF9" s="6"/>
      <c r="UTH9" s="6"/>
      <c r="UTJ9" s="6"/>
      <c r="UTL9" s="6"/>
      <c r="UTN9" s="6"/>
      <c r="UTP9" s="6"/>
      <c r="UTR9" s="6"/>
      <c r="UTT9" s="6"/>
      <c r="UTV9" s="6"/>
      <c r="UTX9" s="6"/>
      <c r="UTZ9" s="6"/>
      <c r="UUB9" s="6"/>
      <c r="UUD9" s="6"/>
      <c r="UUF9" s="6"/>
      <c r="UUH9" s="6"/>
      <c r="UUJ9" s="6"/>
      <c r="UUL9" s="6"/>
      <c r="UUN9" s="6"/>
      <c r="UUP9" s="6"/>
      <c r="UUR9" s="6"/>
      <c r="UUT9" s="6"/>
      <c r="UUV9" s="6"/>
      <c r="UUX9" s="6"/>
      <c r="UUZ9" s="6"/>
      <c r="UVB9" s="6"/>
      <c r="UVD9" s="6"/>
      <c r="UVF9" s="6"/>
      <c r="UVH9" s="6"/>
      <c r="UVJ9" s="6"/>
      <c r="UVL9" s="6"/>
      <c r="UVN9" s="6"/>
      <c r="UVP9" s="6"/>
      <c r="UVR9" s="6"/>
      <c r="UVT9" s="6"/>
      <c r="UVV9" s="6"/>
      <c r="UVX9" s="6"/>
      <c r="UVZ9" s="6"/>
      <c r="UWB9" s="6"/>
      <c r="UWD9" s="6"/>
      <c r="UWF9" s="6"/>
      <c r="UWH9" s="6"/>
      <c r="UWJ9" s="6"/>
      <c r="UWL9" s="6"/>
      <c r="UWN9" s="6"/>
      <c r="UWP9" s="6"/>
      <c r="UWR9" s="6"/>
      <c r="UWT9" s="6"/>
      <c r="UWV9" s="6"/>
      <c r="UWX9" s="6"/>
      <c r="UWZ9" s="6"/>
      <c r="UXB9" s="6"/>
      <c r="UXD9" s="6"/>
      <c r="UXF9" s="6"/>
      <c r="UXH9" s="6"/>
      <c r="UXJ9" s="6"/>
      <c r="UXL9" s="6"/>
      <c r="UXN9" s="6"/>
      <c r="UXP9" s="6"/>
      <c r="UXR9" s="6"/>
      <c r="UXT9" s="6"/>
      <c r="UXV9" s="6"/>
      <c r="UXX9" s="6"/>
      <c r="UXZ9" s="6"/>
      <c r="UYB9" s="6"/>
      <c r="UYD9" s="6"/>
      <c r="UYF9" s="6"/>
      <c r="UYH9" s="6"/>
      <c r="UYJ9" s="6"/>
      <c r="UYL9" s="6"/>
      <c r="UYN9" s="6"/>
      <c r="UYP9" s="6"/>
      <c r="UYR9" s="6"/>
      <c r="UYT9" s="6"/>
      <c r="UYV9" s="6"/>
      <c r="UYX9" s="6"/>
      <c r="UYZ9" s="6"/>
      <c r="UZB9" s="6"/>
      <c r="UZD9" s="6"/>
      <c r="UZF9" s="6"/>
      <c r="UZH9" s="6"/>
      <c r="UZJ9" s="6"/>
      <c r="UZL9" s="6"/>
      <c r="UZN9" s="6"/>
      <c r="UZP9" s="6"/>
      <c r="UZR9" s="6"/>
      <c r="UZT9" s="6"/>
      <c r="UZV9" s="6"/>
      <c r="UZX9" s="6"/>
      <c r="UZZ9" s="6"/>
      <c r="VAB9" s="6"/>
      <c r="VAD9" s="6"/>
      <c r="VAF9" s="6"/>
      <c r="VAH9" s="6"/>
      <c r="VAJ9" s="6"/>
      <c r="VAL9" s="6"/>
      <c r="VAN9" s="6"/>
      <c r="VAP9" s="6"/>
      <c r="VAR9" s="6"/>
      <c r="VAT9" s="6"/>
      <c r="VAV9" s="6"/>
      <c r="VAX9" s="6"/>
      <c r="VAZ9" s="6"/>
      <c r="VBB9" s="6"/>
      <c r="VBD9" s="6"/>
      <c r="VBF9" s="6"/>
      <c r="VBH9" s="6"/>
      <c r="VBJ9" s="6"/>
      <c r="VBL9" s="6"/>
      <c r="VBN9" s="6"/>
      <c r="VBP9" s="6"/>
      <c r="VBR9" s="6"/>
      <c r="VBT9" s="6"/>
      <c r="VBV9" s="6"/>
      <c r="VBX9" s="6"/>
      <c r="VBZ9" s="6"/>
      <c r="VCB9" s="6"/>
      <c r="VCD9" s="6"/>
      <c r="VCF9" s="6"/>
      <c r="VCH9" s="6"/>
      <c r="VCJ9" s="6"/>
      <c r="VCL9" s="6"/>
      <c r="VCN9" s="6"/>
      <c r="VCP9" s="6"/>
      <c r="VCR9" s="6"/>
      <c r="VCT9" s="6"/>
      <c r="VCV9" s="6"/>
      <c r="VCX9" s="6"/>
      <c r="VCZ9" s="6"/>
      <c r="VDB9" s="6"/>
      <c r="VDD9" s="6"/>
      <c r="VDF9" s="6"/>
      <c r="VDH9" s="6"/>
      <c r="VDJ9" s="6"/>
      <c r="VDL9" s="6"/>
      <c r="VDN9" s="6"/>
      <c r="VDP9" s="6"/>
      <c r="VDR9" s="6"/>
      <c r="VDT9" s="6"/>
      <c r="VDV9" s="6"/>
      <c r="VDX9" s="6"/>
      <c r="VDZ9" s="6"/>
      <c r="VEB9" s="6"/>
      <c r="VED9" s="6"/>
      <c r="VEF9" s="6"/>
      <c r="VEH9" s="6"/>
      <c r="VEJ9" s="6"/>
      <c r="VEL9" s="6"/>
      <c r="VEN9" s="6"/>
      <c r="VEP9" s="6"/>
      <c r="VER9" s="6"/>
      <c r="VET9" s="6"/>
      <c r="VEV9" s="6"/>
      <c r="VEX9" s="6"/>
      <c r="VEZ9" s="6"/>
      <c r="VFB9" s="6"/>
      <c r="VFD9" s="6"/>
      <c r="VFF9" s="6"/>
      <c r="VFH9" s="6"/>
      <c r="VFJ9" s="6"/>
      <c r="VFL9" s="6"/>
      <c r="VFN9" s="6"/>
      <c r="VFP9" s="6"/>
      <c r="VFR9" s="6"/>
      <c r="VFT9" s="6"/>
      <c r="VFV9" s="6"/>
      <c r="VFX9" s="6"/>
      <c r="VFZ9" s="6"/>
      <c r="VGB9" s="6"/>
      <c r="VGD9" s="6"/>
      <c r="VGF9" s="6"/>
      <c r="VGH9" s="6"/>
      <c r="VGJ9" s="6"/>
      <c r="VGL9" s="6"/>
      <c r="VGN9" s="6"/>
      <c r="VGP9" s="6"/>
      <c r="VGR9" s="6"/>
      <c r="VGT9" s="6"/>
      <c r="VGV9" s="6"/>
      <c r="VGX9" s="6"/>
      <c r="VGZ9" s="6"/>
      <c r="VHB9" s="6"/>
      <c r="VHD9" s="6"/>
      <c r="VHF9" s="6"/>
      <c r="VHH9" s="6"/>
      <c r="VHJ9" s="6"/>
      <c r="VHL9" s="6"/>
      <c r="VHN9" s="6"/>
      <c r="VHP9" s="6"/>
      <c r="VHR9" s="6"/>
      <c r="VHT9" s="6"/>
      <c r="VHV9" s="6"/>
      <c r="VHX9" s="6"/>
      <c r="VHZ9" s="6"/>
      <c r="VIB9" s="6"/>
      <c r="VID9" s="6"/>
      <c r="VIF9" s="6"/>
      <c r="VIH9" s="6"/>
      <c r="VIJ9" s="6"/>
      <c r="VIL9" s="6"/>
      <c r="VIN9" s="6"/>
      <c r="VIP9" s="6"/>
      <c r="VIR9" s="6"/>
      <c r="VIT9" s="6"/>
      <c r="VIV9" s="6"/>
      <c r="VIX9" s="6"/>
      <c r="VIZ9" s="6"/>
      <c r="VJB9" s="6"/>
      <c r="VJD9" s="6"/>
      <c r="VJF9" s="6"/>
      <c r="VJH9" s="6"/>
      <c r="VJJ9" s="6"/>
      <c r="VJL9" s="6"/>
      <c r="VJN9" s="6"/>
      <c r="VJP9" s="6"/>
      <c r="VJR9" s="6"/>
      <c r="VJT9" s="6"/>
      <c r="VJV9" s="6"/>
      <c r="VJX9" s="6"/>
      <c r="VJZ9" s="6"/>
      <c r="VKB9" s="6"/>
      <c r="VKD9" s="6"/>
      <c r="VKF9" s="6"/>
      <c r="VKH9" s="6"/>
      <c r="VKJ9" s="6"/>
      <c r="VKL9" s="6"/>
      <c r="VKN9" s="6"/>
      <c r="VKP9" s="6"/>
      <c r="VKR9" s="6"/>
      <c r="VKT9" s="6"/>
      <c r="VKV9" s="6"/>
      <c r="VKX9" s="6"/>
      <c r="VKZ9" s="6"/>
      <c r="VLB9" s="6"/>
      <c r="VLD9" s="6"/>
      <c r="VLF9" s="6"/>
      <c r="VLH9" s="6"/>
      <c r="VLJ9" s="6"/>
      <c r="VLL9" s="6"/>
      <c r="VLN9" s="6"/>
      <c r="VLP9" s="6"/>
      <c r="VLR9" s="6"/>
      <c r="VLT9" s="6"/>
      <c r="VLV9" s="6"/>
      <c r="VLX9" s="6"/>
      <c r="VLZ9" s="6"/>
      <c r="VMB9" s="6"/>
      <c r="VMD9" s="6"/>
      <c r="VMF9" s="6"/>
      <c r="VMH9" s="6"/>
      <c r="VMJ9" s="6"/>
      <c r="VML9" s="6"/>
      <c r="VMN9" s="6"/>
      <c r="VMP9" s="6"/>
      <c r="VMR9" s="6"/>
      <c r="VMT9" s="6"/>
      <c r="VMV9" s="6"/>
      <c r="VMX9" s="6"/>
      <c r="VMZ9" s="6"/>
      <c r="VNB9" s="6"/>
      <c r="VND9" s="6"/>
      <c r="VNF9" s="6"/>
      <c r="VNH9" s="6"/>
      <c r="VNJ9" s="6"/>
      <c r="VNL9" s="6"/>
      <c r="VNN9" s="6"/>
      <c r="VNP9" s="6"/>
      <c r="VNR9" s="6"/>
      <c r="VNT9" s="6"/>
      <c r="VNV9" s="6"/>
      <c r="VNX9" s="6"/>
      <c r="VNZ9" s="6"/>
      <c r="VOB9" s="6"/>
      <c r="VOD9" s="6"/>
      <c r="VOF9" s="6"/>
      <c r="VOH9" s="6"/>
      <c r="VOJ9" s="6"/>
      <c r="VOL9" s="6"/>
      <c r="VON9" s="6"/>
      <c r="VOP9" s="6"/>
      <c r="VOR9" s="6"/>
      <c r="VOT9" s="6"/>
      <c r="VOV9" s="6"/>
      <c r="VOX9" s="6"/>
      <c r="VOZ9" s="6"/>
      <c r="VPB9" s="6"/>
      <c r="VPD9" s="6"/>
      <c r="VPF9" s="6"/>
      <c r="VPH9" s="6"/>
      <c r="VPJ9" s="6"/>
      <c r="VPL9" s="6"/>
      <c r="VPN9" s="6"/>
      <c r="VPP9" s="6"/>
      <c r="VPR9" s="6"/>
      <c r="VPT9" s="6"/>
      <c r="VPV9" s="6"/>
      <c r="VPX9" s="6"/>
      <c r="VPZ9" s="6"/>
      <c r="VQB9" s="6"/>
      <c r="VQD9" s="6"/>
      <c r="VQF9" s="6"/>
      <c r="VQH9" s="6"/>
      <c r="VQJ9" s="6"/>
      <c r="VQL9" s="6"/>
      <c r="VQN9" s="6"/>
      <c r="VQP9" s="6"/>
      <c r="VQR9" s="6"/>
      <c r="VQT9" s="6"/>
      <c r="VQV9" s="6"/>
      <c r="VQX9" s="6"/>
      <c r="VQZ9" s="6"/>
      <c r="VRB9" s="6"/>
      <c r="VRD9" s="6"/>
      <c r="VRF9" s="6"/>
      <c r="VRH9" s="6"/>
      <c r="VRJ9" s="6"/>
      <c r="VRL9" s="6"/>
      <c r="VRN9" s="6"/>
      <c r="VRP9" s="6"/>
      <c r="VRR9" s="6"/>
      <c r="VRT9" s="6"/>
      <c r="VRV9" s="6"/>
      <c r="VRX9" s="6"/>
      <c r="VRZ9" s="6"/>
      <c r="VSB9" s="6"/>
      <c r="VSD9" s="6"/>
      <c r="VSF9" s="6"/>
      <c r="VSH9" s="6"/>
      <c r="VSJ9" s="6"/>
      <c r="VSL9" s="6"/>
      <c r="VSN9" s="6"/>
      <c r="VSP9" s="6"/>
      <c r="VSR9" s="6"/>
      <c r="VST9" s="6"/>
      <c r="VSV9" s="6"/>
      <c r="VSX9" s="6"/>
      <c r="VSZ9" s="6"/>
      <c r="VTB9" s="6"/>
      <c r="VTD9" s="6"/>
      <c r="VTF9" s="6"/>
      <c r="VTH9" s="6"/>
      <c r="VTJ9" s="6"/>
      <c r="VTL9" s="6"/>
      <c r="VTN9" s="6"/>
      <c r="VTP9" s="6"/>
      <c r="VTR9" s="6"/>
      <c r="VTT9" s="6"/>
      <c r="VTV9" s="6"/>
      <c r="VTX9" s="6"/>
      <c r="VTZ9" s="6"/>
      <c r="VUB9" s="6"/>
      <c r="VUD9" s="6"/>
      <c r="VUF9" s="6"/>
      <c r="VUH9" s="6"/>
      <c r="VUJ9" s="6"/>
      <c r="VUL9" s="6"/>
      <c r="VUN9" s="6"/>
      <c r="VUP9" s="6"/>
      <c r="VUR9" s="6"/>
      <c r="VUT9" s="6"/>
      <c r="VUV9" s="6"/>
      <c r="VUX9" s="6"/>
      <c r="VUZ9" s="6"/>
      <c r="VVB9" s="6"/>
      <c r="VVD9" s="6"/>
      <c r="VVF9" s="6"/>
      <c r="VVH9" s="6"/>
      <c r="VVJ9" s="6"/>
      <c r="VVL9" s="6"/>
      <c r="VVN9" s="6"/>
      <c r="VVP9" s="6"/>
      <c r="VVR9" s="6"/>
      <c r="VVT9" s="6"/>
      <c r="VVV9" s="6"/>
      <c r="VVX9" s="6"/>
      <c r="VVZ9" s="6"/>
      <c r="VWB9" s="6"/>
      <c r="VWD9" s="6"/>
      <c r="VWF9" s="6"/>
      <c r="VWH9" s="6"/>
      <c r="VWJ9" s="6"/>
      <c r="VWL9" s="6"/>
      <c r="VWN9" s="6"/>
      <c r="VWP9" s="6"/>
      <c r="VWR9" s="6"/>
      <c r="VWT9" s="6"/>
      <c r="VWV9" s="6"/>
      <c r="VWX9" s="6"/>
      <c r="VWZ9" s="6"/>
      <c r="VXB9" s="6"/>
      <c r="VXD9" s="6"/>
      <c r="VXF9" s="6"/>
      <c r="VXH9" s="6"/>
      <c r="VXJ9" s="6"/>
      <c r="VXL9" s="6"/>
      <c r="VXN9" s="6"/>
      <c r="VXP9" s="6"/>
      <c r="VXR9" s="6"/>
      <c r="VXT9" s="6"/>
      <c r="VXV9" s="6"/>
      <c r="VXX9" s="6"/>
      <c r="VXZ9" s="6"/>
      <c r="VYB9" s="6"/>
      <c r="VYD9" s="6"/>
      <c r="VYF9" s="6"/>
      <c r="VYH9" s="6"/>
      <c r="VYJ9" s="6"/>
      <c r="VYL9" s="6"/>
      <c r="VYN9" s="6"/>
      <c r="VYP9" s="6"/>
      <c r="VYR9" s="6"/>
      <c r="VYT9" s="6"/>
      <c r="VYV9" s="6"/>
      <c r="VYX9" s="6"/>
      <c r="VYZ9" s="6"/>
      <c r="VZB9" s="6"/>
      <c r="VZD9" s="6"/>
      <c r="VZF9" s="6"/>
      <c r="VZH9" s="6"/>
      <c r="VZJ9" s="6"/>
      <c r="VZL9" s="6"/>
      <c r="VZN9" s="6"/>
      <c r="VZP9" s="6"/>
      <c r="VZR9" s="6"/>
      <c r="VZT9" s="6"/>
      <c r="VZV9" s="6"/>
      <c r="VZX9" s="6"/>
      <c r="VZZ9" s="6"/>
      <c r="WAB9" s="6"/>
      <c r="WAD9" s="6"/>
      <c r="WAF9" s="6"/>
      <c r="WAH9" s="6"/>
      <c r="WAJ9" s="6"/>
      <c r="WAL9" s="6"/>
      <c r="WAN9" s="6"/>
      <c r="WAP9" s="6"/>
      <c r="WAR9" s="6"/>
      <c r="WAT9" s="6"/>
      <c r="WAV9" s="6"/>
      <c r="WAX9" s="6"/>
      <c r="WAZ9" s="6"/>
      <c r="WBB9" s="6"/>
      <c r="WBD9" s="6"/>
      <c r="WBF9" s="6"/>
      <c r="WBH9" s="6"/>
      <c r="WBJ9" s="6"/>
      <c r="WBL9" s="6"/>
      <c r="WBN9" s="6"/>
      <c r="WBP9" s="6"/>
      <c r="WBR9" s="6"/>
      <c r="WBT9" s="6"/>
      <c r="WBV9" s="6"/>
      <c r="WBX9" s="6"/>
      <c r="WBZ9" s="6"/>
      <c r="WCB9" s="6"/>
      <c r="WCD9" s="6"/>
      <c r="WCF9" s="6"/>
      <c r="WCH9" s="6"/>
      <c r="WCJ9" s="6"/>
      <c r="WCL9" s="6"/>
      <c r="WCN9" s="6"/>
      <c r="WCP9" s="6"/>
      <c r="WCR9" s="6"/>
      <c r="WCT9" s="6"/>
      <c r="WCV9" s="6"/>
      <c r="WCX9" s="6"/>
      <c r="WCZ9" s="6"/>
      <c r="WDB9" s="6"/>
      <c r="WDD9" s="6"/>
      <c r="WDF9" s="6"/>
      <c r="WDH9" s="6"/>
      <c r="WDJ9" s="6"/>
      <c r="WDL9" s="6"/>
      <c r="WDN9" s="6"/>
      <c r="WDP9" s="6"/>
      <c r="WDR9" s="6"/>
      <c r="WDT9" s="6"/>
      <c r="WDV9" s="6"/>
      <c r="WDX9" s="6"/>
      <c r="WDZ9" s="6"/>
      <c r="WEB9" s="6"/>
      <c r="WED9" s="6"/>
      <c r="WEF9" s="6"/>
      <c r="WEH9" s="6"/>
      <c r="WEJ9" s="6"/>
      <c r="WEL9" s="6"/>
      <c r="WEN9" s="6"/>
      <c r="WEP9" s="6"/>
      <c r="WER9" s="6"/>
      <c r="WET9" s="6"/>
      <c r="WEV9" s="6"/>
      <c r="WEX9" s="6"/>
      <c r="WEZ9" s="6"/>
      <c r="WFB9" s="6"/>
      <c r="WFD9" s="6"/>
      <c r="WFF9" s="6"/>
      <c r="WFH9" s="6"/>
      <c r="WFJ9" s="6"/>
      <c r="WFL9" s="6"/>
      <c r="WFN9" s="6"/>
      <c r="WFP9" s="6"/>
      <c r="WFR9" s="6"/>
      <c r="WFT9" s="6"/>
      <c r="WFV9" s="6"/>
      <c r="WFX9" s="6"/>
      <c r="WFZ9" s="6"/>
      <c r="WGB9" s="6"/>
      <c r="WGD9" s="6"/>
      <c r="WGF9" s="6"/>
      <c r="WGH9" s="6"/>
      <c r="WGJ9" s="6"/>
      <c r="WGL9" s="6"/>
      <c r="WGN9" s="6"/>
      <c r="WGP9" s="6"/>
      <c r="WGR9" s="6"/>
      <c r="WGT9" s="6"/>
      <c r="WGV9" s="6"/>
      <c r="WGX9" s="6"/>
      <c r="WGZ9" s="6"/>
      <c r="WHB9" s="6"/>
      <c r="WHD9" s="6"/>
      <c r="WHF9" s="6"/>
      <c r="WHH9" s="6"/>
      <c r="WHJ9" s="6"/>
      <c r="WHL9" s="6"/>
      <c r="WHN9" s="6"/>
      <c r="WHP9" s="6"/>
      <c r="WHR9" s="6"/>
      <c r="WHT9" s="6"/>
      <c r="WHV9" s="6"/>
      <c r="WHX9" s="6"/>
      <c r="WHZ9" s="6"/>
      <c r="WIB9" s="6"/>
      <c r="WID9" s="6"/>
      <c r="WIF9" s="6"/>
      <c r="WIH9" s="6"/>
      <c r="WIJ9" s="6"/>
      <c r="WIL9" s="6"/>
      <c r="WIN9" s="6"/>
      <c r="WIP9" s="6"/>
      <c r="WIR9" s="6"/>
      <c r="WIT9" s="6"/>
      <c r="WIV9" s="6"/>
      <c r="WIX9" s="6"/>
      <c r="WIZ9" s="6"/>
      <c r="WJB9" s="6"/>
      <c r="WJD9" s="6"/>
      <c r="WJF9" s="6"/>
      <c r="WJH9" s="6"/>
      <c r="WJJ9" s="6"/>
      <c r="WJL9" s="6"/>
      <c r="WJN9" s="6"/>
      <c r="WJP9" s="6"/>
      <c r="WJR9" s="6"/>
      <c r="WJT9" s="6"/>
      <c r="WJV9" s="6"/>
      <c r="WJX9" s="6"/>
      <c r="WJZ9" s="6"/>
      <c r="WKB9" s="6"/>
      <c r="WKD9" s="6"/>
      <c r="WKF9" s="6"/>
      <c r="WKH9" s="6"/>
      <c r="WKJ9" s="6"/>
      <c r="WKL9" s="6"/>
      <c r="WKN9" s="6"/>
      <c r="WKP9" s="6"/>
      <c r="WKR9" s="6"/>
      <c r="WKT9" s="6"/>
      <c r="WKV9" s="6"/>
      <c r="WKX9" s="6"/>
      <c r="WKZ9" s="6"/>
      <c r="WLB9" s="6"/>
      <c r="WLD9" s="6"/>
      <c r="WLF9" s="6"/>
      <c r="WLH9" s="6"/>
      <c r="WLJ9" s="6"/>
      <c r="WLL9" s="6"/>
      <c r="WLN9" s="6"/>
      <c r="WLP9" s="6"/>
      <c r="WLR9" s="6"/>
      <c r="WLT9" s="6"/>
      <c r="WLV9" s="6"/>
      <c r="WLX9" s="6"/>
      <c r="WLZ9" s="6"/>
      <c r="WMB9" s="6"/>
      <c r="WMD9" s="6"/>
      <c r="WMF9" s="6"/>
      <c r="WMH9" s="6"/>
      <c r="WMJ9" s="6"/>
      <c r="WML9" s="6"/>
      <c r="WMN9" s="6"/>
      <c r="WMP9" s="6"/>
      <c r="WMR9" s="6"/>
      <c r="WMT9" s="6"/>
      <c r="WMV9" s="6"/>
      <c r="WMX9" s="6"/>
      <c r="WMZ9" s="6"/>
      <c r="WNB9" s="6"/>
      <c r="WND9" s="6"/>
      <c r="WNF9" s="6"/>
      <c r="WNH9" s="6"/>
      <c r="WNJ9" s="6"/>
      <c r="WNL9" s="6"/>
      <c r="WNN9" s="6"/>
      <c r="WNP9" s="6"/>
      <c r="WNR9" s="6"/>
      <c r="WNT9" s="6"/>
      <c r="WNV9" s="6"/>
      <c r="WNX9" s="6"/>
      <c r="WNZ9" s="6"/>
      <c r="WOB9" s="6"/>
      <c r="WOD9" s="6"/>
      <c r="WOF9" s="6"/>
      <c r="WOH9" s="6"/>
      <c r="WOJ9" s="6"/>
      <c r="WOL9" s="6"/>
      <c r="WON9" s="6"/>
      <c r="WOP9" s="6"/>
      <c r="WOR9" s="6"/>
      <c r="WOT9" s="6"/>
      <c r="WOV9" s="6"/>
      <c r="WOX9" s="6"/>
      <c r="WOZ9" s="6"/>
      <c r="WPB9" s="6"/>
      <c r="WPD9" s="6"/>
      <c r="WPF9" s="6"/>
      <c r="WPH9" s="6"/>
      <c r="WPJ9" s="6"/>
      <c r="WPL9" s="6"/>
      <c r="WPN9" s="6"/>
      <c r="WPP9" s="6"/>
      <c r="WPR9" s="6"/>
      <c r="WPT9" s="6"/>
      <c r="WPV9" s="6"/>
      <c r="WPX9" s="6"/>
      <c r="WPZ9" s="6"/>
      <c r="WQB9" s="6"/>
      <c r="WQD9" s="6"/>
      <c r="WQF9" s="6"/>
      <c r="WQH9" s="6"/>
      <c r="WQJ9" s="6"/>
      <c r="WQL9" s="6"/>
      <c r="WQN9" s="6"/>
      <c r="WQP9" s="6"/>
      <c r="WQR9" s="6"/>
      <c r="WQT9" s="6"/>
      <c r="WQV9" s="6"/>
      <c r="WQX9" s="6"/>
      <c r="WQZ9" s="6"/>
      <c r="WRB9" s="6"/>
      <c r="WRD9" s="6"/>
      <c r="WRF9" s="6"/>
      <c r="WRH9" s="6"/>
      <c r="WRJ9" s="6"/>
      <c r="WRL9" s="6"/>
      <c r="WRN9" s="6"/>
      <c r="WRP9" s="6"/>
      <c r="WRR9" s="6"/>
      <c r="WRT9" s="6"/>
      <c r="WRV9" s="6"/>
      <c r="WRX9" s="6"/>
      <c r="WRZ9" s="6"/>
      <c r="WSB9" s="6"/>
      <c r="WSD9" s="6"/>
      <c r="WSF9" s="6"/>
      <c r="WSH9" s="6"/>
      <c r="WSJ9" s="6"/>
      <c r="WSL9" s="6"/>
      <c r="WSN9" s="6"/>
      <c r="WSP9" s="6"/>
      <c r="WSR9" s="6"/>
      <c r="WST9" s="6"/>
      <c r="WSV9" s="6"/>
      <c r="WSX9" s="6"/>
      <c r="WSZ9" s="6"/>
      <c r="WTB9" s="6"/>
      <c r="WTD9" s="6"/>
      <c r="WTF9" s="6"/>
      <c r="WTH9" s="6"/>
      <c r="WTJ9" s="6"/>
      <c r="WTL9" s="6"/>
      <c r="WTN9" s="6"/>
      <c r="WTP9" s="6"/>
      <c r="WTR9" s="6"/>
      <c r="WTT9" s="6"/>
      <c r="WTV9" s="6"/>
      <c r="WTX9" s="6"/>
      <c r="WTZ9" s="6"/>
      <c r="WUB9" s="6"/>
      <c r="WUD9" s="6"/>
      <c r="WUF9" s="6"/>
      <c r="WUH9" s="6"/>
      <c r="WUJ9" s="6"/>
      <c r="WUL9" s="6"/>
      <c r="WUN9" s="6"/>
      <c r="WUP9" s="6"/>
      <c r="WUR9" s="6"/>
      <c r="WUT9" s="6"/>
      <c r="WUV9" s="6"/>
      <c r="WUX9" s="6"/>
      <c r="WUZ9" s="6"/>
      <c r="WVB9" s="6"/>
      <c r="WVD9" s="6"/>
      <c r="WVF9" s="6"/>
      <c r="WVH9" s="6"/>
      <c r="WVJ9" s="6"/>
      <c r="WVL9" s="6"/>
      <c r="WVN9" s="6"/>
      <c r="WVP9" s="6"/>
      <c r="WVR9" s="6"/>
      <c r="WVT9" s="6"/>
      <c r="WVV9" s="6"/>
      <c r="WVX9" s="6"/>
      <c r="WVZ9" s="6"/>
      <c r="WWB9" s="6"/>
      <c r="WWD9" s="6"/>
      <c r="WWF9" s="6"/>
      <c r="WWH9" s="6"/>
      <c r="WWJ9" s="6"/>
      <c r="WWL9" s="6"/>
      <c r="WWN9" s="6"/>
      <c r="WWP9" s="6"/>
      <c r="WWR9" s="6"/>
      <c r="WWT9" s="6"/>
      <c r="WWV9" s="6"/>
      <c r="WWX9" s="6"/>
      <c r="WWZ9" s="6"/>
      <c r="WXB9" s="6"/>
      <c r="WXD9" s="6"/>
      <c r="WXF9" s="6"/>
      <c r="WXH9" s="6"/>
      <c r="WXJ9" s="6"/>
      <c r="WXL9" s="6"/>
      <c r="WXN9" s="6"/>
      <c r="WXP9" s="6"/>
      <c r="WXR9" s="6"/>
      <c r="WXT9" s="6"/>
      <c r="WXV9" s="6"/>
      <c r="WXX9" s="6"/>
      <c r="WXZ9" s="6"/>
      <c r="WYB9" s="6"/>
      <c r="WYD9" s="6"/>
      <c r="WYF9" s="6"/>
      <c r="WYH9" s="6"/>
      <c r="WYJ9" s="6"/>
      <c r="WYL9" s="6"/>
      <c r="WYN9" s="6"/>
      <c r="WYP9" s="6"/>
      <c r="WYR9" s="6"/>
      <c r="WYT9" s="6"/>
      <c r="WYV9" s="6"/>
      <c r="WYX9" s="6"/>
      <c r="WYZ9" s="6"/>
      <c r="WZB9" s="6"/>
      <c r="WZD9" s="6"/>
      <c r="WZF9" s="6"/>
      <c r="WZH9" s="6"/>
      <c r="WZJ9" s="6"/>
      <c r="WZL9" s="6"/>
      <c r="WZN9" s="6"/>
      <c r="WZP9" s="6"/>
      <c r="WZR9" s="6"/>
      <c r="WZT9" s="6"/>
      <c r="WZV9" s="6"/>
      <c r="WZX9" s="6"/>
      <c r="WZZ9" s="6"/>
      <c r="XAB9" s="6"/>
      <c r="XAD9" s="6"/>
      <c r="XAF9" s="6"/>
      <c r="XAH9" s="6"/>
      <c r="XAJ9" s="6"/>
      <c r="XAL9" s="6"/>
      <c r="XAN9" s="6"/>
      <c r="XAP9" s="6"/>
      <c r="XAR9" s="6"/>
      <c r="XAT9" s="6"/>
      <c r="XAV9" s="6"/>
      <c r="XAX9" s="6"/>
      <c r="XAZ9" s="6"/>
      <c r="XBB9" s="6"/>
      <c r="XBD9" s="6"/>
      <c r="XBF9" s="6"/>
      <c r="XBH9" s="6"/>
      <c r="XBJ9" s="6"/>
      <c r="XBL9" s="6"/>
      <c r="XBN9" s="6"/>
      <c r="XBP9" s="6"/>
      <c r="XBR9" s="6"/>
      <c r="XBT9" s="6"/>
      <c r="XBV9" s="6"/>
      <c r="XBX9" s="6"/>
      <c r="XBZ9" s="6"/>
      <c r="XCB9" s="6"/>
      <c r="XCD9" s="6"/>
      <c r="XCF9" s="6"/>
      <c r="XCH9" s="6"/>
      <c r="XCJ9" s="6"/>
      <c r="XCL9" s="6"/>
      <c r="XCN9" s="6"/>
      <c r="XCP9" s="6"/>
      <c r="XCR9" s="6"/>
      <c r="XCT9" s="6"/>
      <c r="XCV9" s="6"/>
      <c r="XCX9" s="6"/>
      <c r="XCZ9" s="6"/>
      <c r="XDB9" s="6"/>
      <c r="XDD9" s="6"/>
      <c r="XDF9" s="6"/>
      <c r="XDH9" s="6"/>
      <c r="XDJ9" s="6"/>
      <c r="XDL9" s="6"/>
      <c r="XDN9" s="6"/>
      <c r="XDP9" s="6"/>
      <c r="XDR9" s="6"/>
      <c r="XDT9" s="6"/>
      <c r="XDV9" s="6"/>
      <c r="XDX9" s="6"/>
      <c r="XDZ9" s="6"/>
      <c r="XEB9" s="6"/>
      <c r="XED9" s="6"/>
      <c r="XEF9" s="6"/>
      <c r="XEH9" s="6"/>
      <c r="XEJ9" s="6"/>
      <c r="XEL9" s="6"/>
      <c r="XEN9" s="6"/>
      <c r="XEP9" s="6"/>
      <c r="XER9" s="6"/>
      <c r="XET9" s="6"/>
      <c r="XEV9" s="6"/>
      <c r="XEX9" s="6"/>
      <c r="XEZ9" s="6"/>
      <c r="XFB9" s="6"/>
      <c r="XFD9" s="6"/>
    </row>
    <row r="10" spans="1:1024 1026:2048 2050:3072 3074:4096 4098:5120 5122:6144 6146:7168 7170:8192 8194:9216 9218:10240 10242:11264 11266:12288 12290:13312 13314:14336 14338:15360 15362:16384" x14ac:dyDescent="0.25">
      <c r="A10" s="2" t="s">
        <v>85</v>
      </c>
      <c r="B10" s="7">
        <f>INDEX( ComputeThermoProps($B5, $B6, ParametersRange), 1, 12 )</f>
        <v>-6421.1193107019853</v>
      </c>
      <c r="D10" s="6"/>
      <c r="F10" s="6"/>
      <c r="H10" s="6"/>
      <c r="J10" s="6"/>
      <c r="L10" s="6"/>
      <c r="N10" s="6"/>
      <c r="P10" s="6"/>
      <c r="R10" s="6"/>
      <c r="T10" s="6"/>
      <c r="V10" s="6"/>
      <c r="X10" s="6"/>
      <c r="Z10" s="6"/>
      <c r="AB10" s="6"/>
      <c r="AD10" s="6"/>
      <c r="AF10" s="6"/>
      <c r="AH10" s="6"/>
      <c r="AJ10" s="6"/>
      <c r="AL10" s="6"/>
      <c r="AN10" s="6"/>
      <c r="AP10" s="6"/>
      <c r="AR10" s="6"/>
      <c r="AT10" s="6"/>
      <c r="AV10" s="6"/>
      <c r="AX10" s="6"/>
      <c r="AZ10" s="6"/>
      <c r="BB10" s="6"/>
      <c r="BD10" s="6"/>
      <c r="BF10" s="6"/>
      <c r="BH10" s="6"/>
      <c r="BJ10" s="6"/>
      <c r="BL10" s="6"/>
      <c r="BN10" s="6"/>
      <c r="BP10" s="6"/>
      <c r="BR10" s="6"/>
      <c r="BT10" s="6"/>
      <c r="BV10" s="6"/>
      <c r="BX10" s="6"/>
      <c r="BZ10" s="6"/>
      <c r="CB10" s="6"/>
      <c r="CD10" s="6"/>
      <c r="CF10" s="6"/>
      <c r="CH10" s="6"/>
      <c r="CJ10" s="6"/>
      <c r="CL10" s="6"/>
      <c r="CN10" s="6"/>
      <c r="CP10" s="6"/>
      <c r="CR10" s="6"/>
      <c r="CT10" s="6"/>
      <c r="CV10" s="6"/>
      <c r="CX10" s="6"/>
      <c r="CZ10" s="6"/>
      <c r="DB10" s="6"/>
      <c r="DD10" s="6"/>
      <c r="DF10" s="6"/>
      <c r="DH10" s="6"/>
      <c r="DJ10" s="6"/>
      <c r="DL10" s="6"/>
      <c r="DN10" s="6"/>
      <c r="DP10" s="6"/>
      <c r="DR10" s="6"/>
      <c r="DT10" s="6"/>
      <c r="DV10" s="6"/>
      <c r="DX10" s="6"/>
      <c r="DZ10" s="6"/>
      <c r="EB10" s="6"/>
      <c r="ED10" s="6"/>
      <c r="EF10" s="6"/>
      <c r="EH10" s="6"/>
      <c r="EJ10" s="6"/>
      <c r="EL10" s="6"/>
      <c r="EN10" s="6"/>
      <c r="EP10" s="6"/>
      <c r="ER10" s="6"/>
      <c r="ET10" s="6"/>
      <c r="EV10" s="6"/>
      <c r="EX10" s="6"/>
      <c r="EZ10" s="6"/>
      <c r="FB10" s="6"/>
      <c r="FD10" s="6"/>
      <c r="FF10" s="6"/>
      <c r="FH10" s="6"/>
      <c r="FJ10" s="6"/>
      <c r="FL10" s="6"/>
      <c r="FN10" s="6"/>
      <c r="FP10" s="6"/>
      <c r="FR10" s="6"/>
      <c r="FT10" s="6"/>
      <c r="FV10" s="6"/>
      <c r="FX10" s="6"/>
      <c r="FZ10" s="6"/>
      <c r="GB10" s="6"/>
      <c r="GD10" s="6"/>
      <c r="GF10" s="6"/>
      <c r="GH10" s="6"/>
      <c r="GJ10" s="6"/>
      <c r="GL10" s="6"/>
      <c r="GN10" s="6"/>
      <c r="GP10" s="6"/>
      <c r="GR10" s="6"/>
      <c r="GT10" s="6"/>
      <c r="GV10" s="6"/>
      <c r="GX10" s="6"/>
      <c r="GZ10" s="6"/>
      <c r="HB10" s="6"/>
      <c r="HD10" s="6"/>
      <c r="HF10" s="6"/>
      <c r="HH10" s="6"/>
      <c r="HJ10" s="6"/>
      <c r="HL10" s="6"/>
      <c r="HN10" s="6"/>
      <c r="HP10" s="6"/>
      <c r="HR10" s="6"/>
      <c r="HT10" s="6"/>
      <c r="HV10" s="6"/>
      <c r="HX10" s="6"/>
      <c r="HZ10" s="6"/>
      <c r="IB10" s="6"/>
      <c r="ID10" s="6"/>
      <c r="IF10" s="6"/>
      <c r="IH10" s="6"/>
      <c r="IJ10" s="6"/>
      <c r="IL10" s="6"/>
      <c r="IN10" s="6"/>
      <c r="IP10" s="6"/>
      <c r="IR10" s="6"/>
      <c r="IT10" s="6"/>
      <c r="IV10" s="6"/>
      <c r="IX10" s="6"/>
      <c r="IZ10" s="6"/>
      <c r="JB10" s="6"/>
      <c r="JD10" s="6"/>
      <c r="JF10" s="6"/>
      <c r="JH10" s="6"/>
      <c r="JJ10" s="6"/>
      <c r="JL10" s="6"/>
      <c r="JN10" s="6"/>
      <c r="JP10" s="6"/>
      <c r="JR10" s="6"/>
      <c r="JT10" s="6"/>
      <c r="JV10" s="6"/>
      <c r="JX10" s="6"/>
      <c r="JZ10" s="6"/>
      <c r="KB10" s="6"/>
      <c r="KD10" s="6"/>
      <c r="KF10" s="6"/>
      <c r="KH10" s="6"/>
      <c r="KJ10" s="6"/>
      <c r="KL10" s="6"/>
      <c r="KN10" s="6"/>
      <c r="KP10" s="6"/>
      <c r="KR10" s="6"/>
      <c r="KT10" s="6"/>
      <c r="KV10" s="6"/>
      <c r="KX10" s="6"/>
      <c r="KZ10" s="6"/>
      <c r="LB10" s="6"/>
      <c r="LD10" s="6"/>
      <c r="LF10" s="6"/>
      <c r="LH10" s="6"/>
      <c r="LJ10" s="6"/>
      <c r="LL10" s="6"/>
      <c r="LN10" s="6"/>
      <c r="LP10" s="6"/>
      <c r="LR10" s="6"/>
      <c r="LT10" s="6"/>
      <c r="LV10" s="6"/>
      <c r="LX10" s="6"/>
      <c r="LZ10" s="6"/>
      <c r="MB10" s="6"/>
      <c r="MD10" s="6"/>
      <c r="MF10" s="6"/>
      <c r="MH10" s="6"/>
      <c r="MJ10" s="6"/>
      <c r="ML10" s="6"/>
      <c r="MN10" s="6"/>
      <c r="MP10" s="6"/>
      <c r="MR10" s="6"/>
      <c r="MT10" s="6"/>
      <c r="MV10" s="6"/>
      <c r="MX10" s="6"/>
      <c r="MZ10" s="6"/>
      <c r="NB10" s="6"/>
      <c r="ND10" s="6"/>
      <c r="NF10" s="6"/>
      <c r="NH10" s="6"/>
      <c r="NJ10" s="6"/>
      <c r="NL10" s="6"/>
      <c r="NN10" s="6"/>
      <c r="NP10" s="6"/>
      <c r="NR10" s="6"/>
      <c r="NT10" s="6"/>
      <c r="NV10" s="6"/>
      <c r="NX10" s="6"/>
      <c r="NZ10" s="6"/>
      <c r="OB10" s="6"/>
      <c r="OD10" s="6"/>
      <c r="OF10" s="6"/>
      <c r="OH10" s="6"/>
      <c r="OJ10" s="6"/>
      <c r="OL10" s="6"/>
      <c r="ON10" s="6"/>
      <c r="OP10" s="6"/>
      <c r="OR10" s="6"/>
      <c r="OT10" s="6"/>
      <c r="OV10" s="6"/>
      <c r="OX10" s="6"/>
      <c r="OZ10" s="6"/>
      <c r="PB10" s="6"/>
      <c r="PD10" s="6"/>
      <c r="PF10" s="6"/>
      <c r="PH10" s="6"/>
      <c r="PJ10" s="6"/>
      <c r="PL10" s="6"/>
      <c r="PN10" s="6"/>
      <c r="PP10" s="6"/>
      <c r="PR10" s="6"/>
      <c r="PT10" s="6"/>
      <c r="PV10" s="6"/>
      <c r="PX10" s="6"/>
      <c r="PZ10" s="6"/>
      <c r="QB10" s="6"/>
      <c r="QD10" s="6"/>
      <c r="QF10" s="6"/>
      <c r="QH10" s="6"/>
      <c r="QJ10" s="6"/>
      <c r="QL10" s="6"/>
      <c r="QN10" s="6"/>
      <c r="QP10" s="6"/>
      <c r="QR10" s="6"/>
      <c r="QT10" s="6"/>
      <c r="QV10" s="6"/>
      <c r="QX10" s="6"/>
      <c r="QZ10" s="6"/>
      <c r="RB10" s="6"/>
      <c r="RD10" s="6"/>
      <c r="RF10" s="6"/>
      <c r="RH10" s="6"/>
      <c r="RJ10" s="6"/>
      <c r="RL10" s="6"/>
      <c r="RN10" s="6"/>
      <c r="RP10" s="6"/>
      <c r="RR10" s="6"/>
      <c r="RT10" s="6"/>
      <c r="RV10" s="6"/>
      <c r="RX10" s="6"/>
      <c r="RZ10" s="6"/>
      <c r="SB10" s="6"/>
      <c r="SD10" s="6"/>
      <c r="SF10" s="6"/>
      <c r="SH10" s="6"/>
      <c r="SJ10" s="6"/>
      <c r="SL10" s="6"/>
      <c r="SN10" s="6"/>
      <c r="SP10" s="6"/>
      <c r="SR10" s="6"/>
      <c r="ST10" s="6"/>
      <c r="SV10" s="6"/>
      <c r="SX10" s="6"/>
      <c r="SZ10" s="6"/>
      <c r="TB10" s="6"/>
      <c r="TD10" s="6"/>
      <c r="TF10" s="6"/>
      <c r="TH10" s="6"/>
      <c r="TJ10" s="6"/>
      <c r="TL10" s="6"/>
      <c r="TN10" s="6"/>
      <c r="TP10" s="6"/>
      <c r="TR10" s="6"/>
      <c r="TT10" s="6"/>
      <c r="TV10" s="6"/>
      <c r="TX10" s="6"/>
      <c r="TZ10" s="6"/>
      <c r="UB10" s="6"/>
      <c r="UD10" s="6"/>
      <c r="UF10" s="6"/>
      <c r="UH10" s="6"/>
      <c r="UJ10" s="6"/>
      <c r="UL10" s="6"/>
      <c r="UN10" s="6"/>
      <c r="UP10" s="6"/>
      <c r="UR10" s="6"/>
      <c r="UT10" s="6"/>
      <c r="UV10" s="6"/>
      <c r="UX10" s="6"/>
      <c r="UZ10" s="6"/>
      <c r="VB10" s="6"/>
      <c r="VD10" s="6"/>
      <c r="VF10" s="6"/>
      <c r="VH10" s="6"/>
      <c r="VJ10" s="6"/>
      <c r="VL10" s="6"/>
      <c r="VN10" s="6"/>
      <c r="VP10" s="6"/>
      <c r="VR10" s="6"/>
      <c r="VT10" s="6"/>
      <c r="VV10" s="6"/>
      <c r="VX10" s="6"/>
      <c r="VZ10" s="6"/>
      <c r="WB10" s="6"/>
      <c r="WD10" s="6"/>
      <c r="WF10" s="6"/>
      <c r="WH10" s="6"/>
      <c r="WJ10" s="6"/>
      <c r="WL10" s="6"/>
      <c r="WN10" s="6"/>
      <c r="WP10" s="6"/>
      <c r="WR10" s="6"/>
      <c r="WT10" s="6"/>
      <c r="WV10" s="6"/>
      <c r="WX10" s="6"/>
      <c r="WZ10" s="6"/>
      <c r="XB10" s="6"/>
      <c r="XD10" s="6"/>
      <c r="XF10" s="6"/>
      <c r="XH10" s="6"/>
      <c r="XJ10" s="6"/>
      <c r="XL10" s="6"/>
      <c r="XN10" s="6"/>
      <c r="XP10" s="6"/>
      <c r="XR10" s="6"/>
      <c r="XT10" s="6"/>
      <c r="XV10" s="6"/>
      <c r="XX10" s="6"/>
      <c r="XZ10" s="6"/>
      <c r="YB10" s="6"/>
      <c r="YD10" s="6"/>
      <c r="YF10" s="6"/>
      <c r="YH10" s="6"/>
      <c r="YJ10" s="6"/>
      <c r="YL10" s="6"/>
      <c r="YN10" s="6"/>
      <c r="YP10" s="6"/>
      <c r="YR10" s="6"/>
      <c r="YT10" s="6"/>
      <c r="YV10" s="6"/>
      <c r="YX10" s="6"/>
      <c r="YZ10" s="6"/>
      <c r="ZB10" s="6"/>
      <c r="ZD10" s="6"/>
      <c r="ZF10" s="6"/>
      <c r="ZH10" s="6"/>
      <c r="ZJ10" s="6"/>
      <c r="ZL10" s="6"/>
      <c r="ZN10" s="6"/>
      <c r="ZP10" s="6"/>
      <c r="ZR10" s="6"/>
      <c r="ZT10" s="6"/>
      <c r="ZV10" s="6"/>
      <c r="ZX10" s="6"/>
      <c r="ZZ10" s="6"/>
      <c r="AAB10" s="6"/>
      <c r="AAD10" s="6"/>
      <c r="AAF10" s="6"/>
      <c r="AAH10" s="6"/>
      <c r="AAJ10" s="6"/>
      <c r="AAL10" s="6"/>
      <c r="AAN10" s="6"/>
      <c r="AAP10" s="6"/>
      <c r="AAR10" s="6"/>
      <c r="AAT10" s="6"/>
      <c r="AAV10" s="6"/>
      <c r="AAX10" s="6"/>
      <c r="AAZ10" s="6"/>
      <c r="ABB10" s="6"/>
      <c r="ABD10" s="6"/>
      <c r="ABF10" s="6"/>
      <c r="ABH10" s="6"/>
      <c r="ABJ10" s="6"/>
      <c r="ABL10" s="6"/>
      <c r="ABN10" s="6"/>
      <c r="ABP10" s="6"/>
      <c r="ABR10" s="6"/>
      <c r="ABT10" s="6"/>
      <c r="ABV10" s="6"/>
      <c r="ABX10" s="6"/>
      <c r="ABZ10" s="6"/>
      <c r="ACB10" s="6"/>
      <c r="ACD10" s="6"/>
      <c r="ACF10" s="6"/>
      <c r="ACH10" s="6"/>
      <c r="ACJ10" s="6"/>
      <c r="ACL10" s="6"/>
      <c r="ACN10" s="6"/>
      <c r="ACP10" s="6"/>
      <c r="ACR10" s="6"/>
      <c r="ACT10" s="6"/>
      <c r="ACV10" s="6"/>
      <c r="ACX10" s="6"/>
      <c r="ACZ10" s="6"/>
      <c r="ADB10" s="6"/>
      <c r="ADD10" s="6"/>
      <c r="ADF10" s="6"/>
      <c r="ADH10" s="6"/>
      <c r="ADJ10" s="6"/>
      <c r="ADL10" s="6"/>
      <c r="ADN10" s="6"/>
      <c r="ADP10" s="6"/>
      <c r="ADR10" s="6"/>
      <c r="ADT10" s="6"/>
      <c r="ADV10" s="6"/>
      <c r="ADX10" s="6"/>
      <c r="ADZ10" s="6"/>
      <c r="AEB10" s="6"/>
      <c r="AED10" s="6"/>
      <c r="AEF10" s="6"/>
      <c r="AEH10" s="6"/>
      <c r="AEJ10" s="6"/>
      <c r="AEL10" s="6"/>
      <c r="AEN10" s="6"/>
      <c r="AEP10" s="6"/>
      <c r="AER10" s="6"/>
      <c r="AET10" s="6"/>
      <c r="AEV10" s="6"/>
      <c r="AEX10" s="6"/>
      <c r="AEZ10" s="6"/>
      <c r="AFB10" s="6"/>
      <c r="AFD10" s="6"/>
      <c r="AFF10" s="6"/>
      <c r="AFH10" s="6"/>
      <c r="AFJ10" s="6"/>
      <c r="AFL10" s="6"/>
      <c r="AFN10" s="6"/>
      <c r="AFP10" s="6"/>
      <c r="AFR10" s="6"/>
      <c r="AFT10" s="6"/>
      <c r="AFV10" s="6"/>
      <c r="AFX10" s="6"/>
      <c r="AFZ10" s="6"/>
      <c r="AGB10" s="6"/>
      <c r="AGD10" s="6"/>
      <c r="AGF10" s="6"/>
      <c r="AGH10" s="6"/>
      <c r="AGJ10" s="6"/>
      <c r="AGL10" s="6"/>
      <c r="AGN10" s="6"/>
      <c r="AGP10" s="6"/>
      <c r="AGR10" s="6"/>
      <c r="AGT10" s="6"/>
      <c r="AGV10" s="6"/>
      <c r="AGX10" s="6"/>
      <c r="AGZ10" s="6"/>
      <c r="AHB10" s="6"/>
      <c r="AHD10" s="6"/>
      <c r="AHF10" s="6"/>
      <c r="AHH10" s="6"/>
      <c r="AHJ10" s="6"/>
      <c r="AHL10" s="6"/>
      <c r="AHN10" s="6"/>
      <c r="AHP10" s="6"/>
      <c r="AHR10" s="6"/>
      <c r="AHT10" s="6"/>
      <c r="AHV10" s="6"/>
      <c r="AHX10" s="6"/>
      <c r="AHZ10" s="6"/>
      <c r="AIB10" s="6"/>
      <c r="AID10" s="6"/>
      <c r="AIF10" s="6"/>
      <c r="AIH10" s="6"/>
      <c r="AIJ10" s="6"/>
      <c r="AIL10" s="6"/>
      <c r="AIN10" s="6"/>
      <c r="AIP10" s="6"/>
      <c r="AIR10" s="6"/>
      <c r="AIT10" s="6"/>
      <c r="AIV10" s="6"/>
      <c r="AIX10" s="6"/>
      <c r="AIZ10" s="6"/>
      <c r="AJB10" s="6"/>
      <c r="AJD10" s="6"/>
      <c r="AJF10" s="6"/>
      <c r="AJH10" s="6"/>
      <c r="AJJ10" s="6"/>
      <c r="AJL10" s="6"/>
      <c r="AJN10" s="6"/>
      <c r="AJP10" s="6"/>
      <c r="AJR10" s="6"/>
      <c r="AJT10" s="6"/>
      <c r="AJV10" s="6"/>
      <c r="AJX10" s="6"/>
      <c r="AJZ10" s="6"/>
      <c r="AKB10" s="6"/>
      <c r="AKD10" s="6"/>
      <c r="AKF10" s="6"/>
      <c r="AKH10" s="6"/>
      <c r="AKJ10" s="6"/>
      <c r="AKL10" s="6"/>
      <c r="AKN10" s="6"/>
      <c r="AKP10" s="6"/>
      <c r="AKR10" s="6"/>
      <c r="AKT10" s="6"/>
      <c r="AKV10" s="6"/>
      <c r="AKX10" s="6"/>
      <c r="AKZ10" s="6"/>
      <c r="ALB10" s="6"/>
      <c r="ALD10" s="6"/>
      <c r="ALF10" s="6"/>
      <c r="ALH10" s="6"/>
      <c r="ALJ10" s="6"/>
      <c r="ALL10" s="6"/>
      <c r="ALN10" s="6"/>
      <c r="ALP10" s="6"/>
      <c r="ALR10" s="6"/>
      <c r="ALT10" s="6"/>
      <c r="ALV10" s="6"/>
      <c r="ALX10" s="6"/>
      <c r="ALZ10" s="6"/>
      <c r="AMB10" s="6"/>
      <c r="AMD10" s="6"/>
      <c r="AMF10" s="6"/>
      <c r="AMH10" s="6"/>
      <c r="AMJ10" s="6"/>
      <c r="AML10" s="6"/>
      <c r="AMN10" s="6"/>
      <c r="AMP10" s="6"/>
      <c r="AMR10" s="6"/>
      <c r="AMT10" s="6"/>
      <c r="AMV10" s="6"/>
      <c r="AMX10" s="6"/>
      <c r="AMZ10" s="6"/>
      <c r="ANB10" s="6"/>
      <c r="AND10" s="6"/>
      <c r="ANF10" s="6"/>
      <c r="ANH10" s="6"/>
      <c r="ANJ10" s="6"/>
      <c r="ANL10" s="6"/>
      <c r="ANN10" s="6"/>
      <c r="ANP10" s="6"/>
      <c r="ANR10" s="6"/>
      <c r="ANT10" s="6"/>
      <c r="ANV10" s="6"/>
      <c r="ANX10" s="6"/>
      <c r="ANZ10" s="6"/>
      <c r="AOB10" s="6"/>
      <c r="AOD10" s="6"/>
      <c r="AOF10" s="6"/>
      <c r="AOH10" s="6"/>
      <c r="AOJ10" s="6"/>
      <c r="AOL10" s="6"/>
      <c r="AON10" s="6"/>
      <c r="AOP10" s="6"/>
      <c r="AOR10" s="6"/>
      <c r="AOT10" s="6"/>
      <c r="AOV10" s="6"/>
      <c r="AOX10" s="6"/>
      <c r="AOZ10" s="6"/>
      <c r="APB10" s="6"/>
      <c r="APD10" s="6"/>
      <c r="APF10" s="6"/>
      <c r="APH10" s="6"/>
      <c r="APJ10" s="6"/>
      <c r="APL10" s="6"/>
      <c r="APN10" s="6"/>
      <c r="APP10" s="6"/>
      <c r="APR10" s="6"/>
      <c r="APT10" s="6"/>
      <c r="APV10" s="6"/>
      <c r="APX10" s="6"/>
      <c r="APZ10" s="6"/>
      <c r="AQB10" s="6"/>
      <c r="AQD10" s="6"/>
      <c r="AQF10" s="6"/>
      <c r="AQH10" s="6"/>
      <c r="AQJ10" s="6"/>
      <c r="AQL10" s="6"/>
      <c r="AQN10" s="6"/>
      <c r="AQP10" s="6"/>
      <c r="AQR10" s="6"/>
      <c r="AQT10" s="6"/>
      <c r="AQV10" s="6"/>
      <c r="AQX10" s="6"/>
      <c r="AQZ10" s="6"/>
      <c r="ARB10" s="6"/>
      <c r="ARD10" s="6"/>
      <c r="ARF10" s="6"/>
      <c r="ARH10" s="6"/>
      <c r="ARJ10" s="6"/>
      <c r="ARL10" s="6"/>
      <c r="ARN10" s="6"/>
      <c r="ARP10" s="6"/>
      <c r="ARR10" s="6"/>
      <c r="ART10" s="6"/>
      <c r="ARV10" s="6"/>
      <c r="ARX10" s="6"/>
      <c r="ARZ10" s="6"/>
      <c r="ASB10" s="6"/>
      <c r="ASD10" s="6"/>
      <c r="ASF10" s="6"/>
      <c r="ASH10" s="6"/>
      <c r="ASJ10" s="6"/>
      <c r="ASL10" s="6"/>
      <c r="ASN10" s="6"/>
      <c r="ASP10" s="6"/>
      <c r="ASR10" s="6"/>
      <c r="AST10" s="6"/>
      <c r="ASV10" s="6"/>
      <c r="ASX10" s="6"/>
      <c r="ASZ10" s="6"/>
      <c r="ATB10" s="6"/>
      <c r="ATD10" s="6"/>
      <c r="ATF10" s="6"/>
      <c r="ATH10" s="6"/>
      <c r="ATJ10" s="6"/>
      <c r="ATL10" s="6"/>
      <c r="ATN10" s="6"/>
      <c r="ATP10" s="6"/>
      <c r="ATR10" s="6"/>
      <c r="ATT10" s="6"/>
      <c r="ATV10" s="6"/>
      <c r="ATX10" s="6"/>
      <c r="ATZ10" s="6"/>
      <c r="AUB10" s="6"/>
      <c r="AUD10" s="6"/>
      <c r="AUF10" s="6"/>
      <c r="AUH10" s="6"/>
      <c r="AUJ10" s="6"/>
      <c r="AUL10" s="6"/>
      <c r="AUN10" s="6"/>
      <c r="AUP10" s="6"/>
      <c r="AUR10" s="6"/>
      <c r="AUT10" s="6"/>
      <c r="AUV10" s="6"/>
      <c r="AUX10" s="6"/>
      <c r="AUZ10" s="6"/>
      <c r="AVB10" s="6"/>
      <c r="AVD10" s="6"/>
      <c r="AVF10" s="6"/>
      <c r="AVH10" s="6"/>
      <c r="AVJ10" s="6"/>
      <c r="AVL10" s="6"/>
      <c r="AVN10" s="6"/>
      <c r="AVP10" s="6"/>
      <c r="AVR10" s="6"/>
      <c r="AVT10" s="6"/>
      <c r="AVV10" s="6"/>
      <c r="AVX10" s="6"/>
      <c r="AVZ10" s="6"/>
      <c r="AWB10" s="6"/>
      <c r="AWD10" s="6"/>
      <c r="AWF10" s="6"/>
      <c r="AWH10" s="6"/>
      <c r="AWJ10" s="6"/>
      <c r="AWL10" s="6"/>
      <c r="AWN10" s="6"/>
      <c r="AWP10" s="6"/>
      <c r="AWR10" s="6"/>
      <c r="AWT10" s="6"/>
      <c r="AWV10" s="6"/>
      <c r="AWX10" s="6"/>
      <c r="AWZ10" s="6"/>
      <c r="AXB10" s="6"/>
      <c r="AXD10" s="6"/>
      <c r="AXF10" s="6"/>
      <c r="AXH10" s="6"/>
      <c r="AXJ10" s="6"/>
      <c r="AXL10" s="6"/>
      <c r="AXN10" s="6"/>
      <c r="AXP10" s="6"/>
      <c r="AXR10" s="6"/>
      <c r="AXT10" s="6"/>
      <c r="AXV10" s="6"/>
      <c r="AXX10" s="6"/>
      <c r="AXZ10" s="6"/>
      <c r="AYB10" s="6"/>
      <c r="AYD10" s="6"/>
      <c r="AYF10" s="6"/>
      <c r="AYH10" s="6"/>
      <c r="AYJ10" s="6"/>
      <c r="AYL10" s="6"/>
      <c r="AYN10" s="6"/>
      <c r="AYP10" s="6"/>
      <c r="AYR10" s="6"/>
      <c r="AYT10" s="6"/>
      <c r="AYV10" s="6"/>
      <c r="AYX10" s="6"/>
      <c r="AYZ10" s="6"/>
      <c r="AZB10" s="6"/>
      <c r="AZD10" s="6"/>
      <c r="AZF10" s="6"/>
      <c r="AZH10" s="6"/>
      <c r="AZJ10" s="6"/>
      <c r="AZL10" s="6"/>
      <c r="AZN10" s="6"/>
      <c r="AZP10" s="6"/>
      <c r="AZR10" s="6"/>
      <c r="AZT10" s="6"/>
      <c r="AZV10" s="6"/>
      <c r="AZX10" s="6"/>
      <c r="AZZ10" s="6"/>
      <c r="BAB10" s="6"/>
      <c r="BAD10" s="6"/>
      <c r="BAF10" s="6"/>
      <c r="BAH10" s="6"/>
      <c r="BAJ10" s="6"/>
      <c r="BAL10" s="6"/>
      <c r="BAN10" s="6"/>
      <c r="BAP10" s="6"/>
      <c r="BAR10" s="6"/>
      <c r="BAT10" s="6"/>
      <c r="BAV10" s="6"/>
      <c r="BAX10" s="6"/>
      <c r="BAZ10" s="6"/>
      <c r="BBB10" s="6"/>
      <c r="BBD10" s="6"/>
      <c r="BBF10" s="6"/>
      <c r="BBH10" s="6"/>
      <c r="BBJ10" s="6"/>
      <c r="BBL10" s="6"/>
      <c r="BBN10" s="6"/>
      <c r="BBP10" s="6"/>
      <c r="BBR10" s="6"/>
      <c r="BBT10" s="6"/>
      <c r="BBV10" s="6"/>
      <c r="BBX10" s="6"/>
      <c r="BBZ10" s="6"/>
      <c r="BCB10" s="6"/>
      <c r="BCD10" s="6"/>
      <c r="BCF10" s="6"/>
      <c r="BCH10" s="6"/>
      <c r="BCJ10" s="6"/>
      <c r="BCL10" s="6"/>
      <c r="BCN10" s="6"/>
      <c r="BCP10" s="6"/>
      <c r="BCR10" s="6"/>
      <c r="BCT10" s="6"/>
      <c r="BCV10" s="6"/>
      <c r="BCX10" s="6"/>
      <c r="BCZ10" s="6"/>
      <c r="BDB10" s="6"/>
      <c r="BDD10" s="6"/>
      <c r="BDF10" s="6"/>
      <c r="BDH10" s="6"/>
      <c r="BDJ10" s="6"/>
      <c r="BDL10" s="6"/>
      <c r="BDN10" s="6"/>
      <c r="BDP10" s="6"/>
      <c r="BDR10" s="6"/>
      <c r="BDT10" s="6"/>
      <c r="BDV10" s="6"/>
      <c r="BDX10" s="6"/>
      <c r="BDZ10" s="6"/>
      <c r="BEB10" s="6"/>
      <c r="BED10" s="6"/>
      <c r="BEF10" s="6"/>
      <c r="BEH10" s="6"/>
      <c r="BEJ10" s="6"/>
      <c r="BEL10" s="6"/>
      <c r="BEN10" s="6"/>
      <c r="BEP10" s="6"/>
      <c r="BER10" s="6"/>
      <c r="BET10" s="6"/>
      <c r="BEV10" s="6"/>
      <c r="BEX10" s="6"/>
      <c r="BEZ10" s="6"/>
      <c r="BFB10" s="6"/>
      <c r="BFD10" s="6"/>
      <c r="BFF10" s="6"/>
      <c r="BFH10" s="6"/>
      <c r="BFJ10" s="6"/>
      <c r="BFL10" s="6"/>
      <c r="BFN10" s="6"/>
      <c r="BFP10" s="6"/>
      <c r="BFR10" s="6"/>
      <c r="BFT10" s="6"/>
      <c r="BFV10" s="6"/>
      <c r="BFX10" s="6"/>
      <c r="BFZ10" s="6"/>
      <c r="BGB10" s="6"/>
      <c r="BGD10" s="6"/>
      <c r="BGF10" s="6"/>
      <c r="BGH10" s="6"/>
      <c r="BGJ10" s="6"/>
      <c r="BGL10" s="6"/>
      <c r="BGN10" s="6"/>
      <c r="BGP10" s="6"/>
      <c r="BGR10" s="6"/>
      <c r="BGT10" s="6"/>
      <c r="BGV10" s="6"/>
      <c r="BGX10" s="6"/>
      <c r="BGZ10" s="6"/>
      <c r="BHB10" s="6"/>
      <c r="BHD10" s="6"/>
      <c r="BHF10" s="6"/>
      <c r="BHH10" s="6"/>
      <c r="BHJ10" s="6"/>
      <c r="BHL10" s="6"/>
      <c r="BHN10" s="6"/>
      <c r="BHP10" s="6"/>
      <c r="BHR10" s="6"/>
      <c r="BHT10" s="6"/>
      <c r="BHV10" s="6"/>
      <c r="BHX10" s="6"/>
      <c r="BHZ10" s="6"/>
      <c r="BIB10" s="6"/>
      <c r="BID10" s="6"/>
      <c r="BIF10" s="6"/>
      <c r="BIH10" s="6"/>
      <c r="BIJ10" s="6"/>
      <c r="BIL10" s="6"/>
      <c r="BIN10" s="6"/>
      <c r="BIP10" s="6"/>
      <c r="BIR10" s="6"/>
      <c r="BIT10" s="6"/>
      <c r="BIV10" s="6"/>
      <c r="BIX10" s="6"/>
      <c r="BIZ10" s="6"/>
      <c r="BJB10" s="6"/>
      <c r="BJD10" s="6"/>
      <c r="BJF10" s="6"/>
      <c r="BJH10" s="6"/>
      <c r="BJJ10" s="6"/>
      <c r="BJL10" s="6"/>
      <c r="BJN10" s="6"/>
      <c r="BJP10" s="6"/>
      <c r="BJR10" s="6"/>
      <c r="BJT10" s="6"/>
      <c r="BJV10" s="6"/>
      <c r="BJX10" s="6"/>
      <c r="BJZ10" s="6"/>
      <c r="BKB10" s="6"/>
      <c r="BKD10" s="6"/>
      <c r="BKF10" s="6"/>
      <c r="BKH10" s="6"/>
      <c r="BKJ10" s="6"/>
      <c r="BKL10" s="6"/>
      <c r="BKN10" s="6"/>
      <c r="BKP10" s="6"/>
      <c r="BKR10" s="6"/>
      <c r="BKT10" s="6"/>
      <c r="BKV10" s="6"/>
      <c r="BKX10" s="6"/>
      <c r="BKZ10" s="6"/>
      <c r="BLB10" s="6"/>
      <c r="BLD10" s="6"/>
      <c r="BLF10" s="6"/>
      <c r="BLH10" s="6"/>
      <c r="BLJ10" s="6"/>
      <c r="BLL10" s="6"/>
      <c r="BLN10" s="6"/>
      <c r="BLP10" s="6"/>
      <c r="BLR10" s="6"/>
      <c r="BLT10" s="6"/>
      <c r="BLV10" s="6"/>
      <c r="BLX10" s="6"/>
      <c r="BLZ10" s="6"/>
      <c r="BMB10" s="6"/>
      <c r="BMD10" s="6"/>
      <c r="BMF10" s="6"/>
      <c r="BMH10" s="6"/>
      <c r="BMJ10" s="6"/>
      <c r="BML10" s="6"/>
      <c r="BMN10" s="6"/>
      <c r="BMP10" s="6"/>
      <c r="BMR10" s="6"/>
      <c r="BMT10" s="6"/>
      <c r="BMV10" s="6"/>
      <c r="BMX10" s="6"/>
      <c r="BMZ10" s="6"/>
      <c r="BNB10" s="6"/>
      <c r="BND10" s="6"/>
      <c r="BNF10" s="6"/>
      <c r="BNH10" s="6"/>
      <c r="BNJ10" s="6"/>
      <c r="BNL10" s="6"/>
      <c r="BNN10" s="6"/>
      <c r="BNP10" s="6"/>
      <c r="BNR10" s="6"/>
      <c r="BNT10" s="6"/>
      <c r="BNV10" s="6"/>
      <c r="BNX10" s="6"/>
      <c r="BNZ10" s="6"/>
      <c r="BOB10" s="6"/>
      <c r="BOD10" s="6"/>
      <c r="BOF10" s="6"/>
      <c r="BOH10" s="6"/>
      <c r="BOJ10" s="6"/>
      <c r="BOL10" s="6"/>
      <c r="BON10" s="6"/>
      <c r="BOP10" s="6"/>
      <c r="BOR10" s="6"/>
      <c r="BOT10" s="6"/>
      <c r="BOV10" s="6"/>
      <c r="BOX10" s="6"/>
      <c r="BOZ10" s="6"/>
      <c r="BPB10" s="6"/>
      <c r="BPD10" s="6"/>
      <c r="BPF10" s="6"/>
      <c r="BPH10" s="6"/>
      <c r="BPJ10" s="6"/>
      <c r="BPL10" s="6"/>
      <c r="BPN10" s="6"/>
      <c r="BPP10" s="6"/>
      <c r="BPR10" s="6"/>
      <c r="BPT10" s="6"/>
      <c r="BPV10" s="6"/>
      <c r="BPX10" s="6"/>
      <c r="BPZ10" s="6"/>
      <c r="BQB10" s="6"/>
      <c r="BQD10" s="6"/>
      <c r="BQF10" s="6"/>
      <c r="BQH10" s="6"/>
      <c r="BQJ10" s="6"/>
      <c r="BQL10" s="6"/>
      <c r="BQN10" s="6"/>
      <c r="BQP10" s="6"/>
      <c r="BQR10" s="6"/>
      <c r="BQT10" s="6"/>
      <c r="BQV10" s="6"/>
      <c r="BQX10" s="6"/>
      <c r="BQZ10" s="6"/>
      <c r="BRB10" s="6"/>
      <c r="BRD10" s="6"/>
      <c r="BRF10" s="6"/>
      <c r="BRH10" s="6"/>
      <c r="BRJ10" s="6"/>
      <c r="BRL10" s="6"/>
      <c r="BRN10" s="6"/>
      <c r="BRP10" s="6"/>
      <c r="BRR10" s="6"/>
      <c r="BRT10" s="6"/>
      <c r="BRV10" s="6"/>
      <c r="BRX10" s="6"/>
      <c r="BRZ10" s="6"/>
      <c r="BSB10" s="6"/>
      <c r="BSD10" s="6"/>
      <c r="BSF10" s="6"/>
      <c r="BSH10" s="6"/>
      <c r="BSJ10" s="6"/>
      <c r="BSL10" s="6"/>
      <c r="BSN10" s="6"/>
      <c r="BSP10" s="6"/>
      <c r="BSR10" s="6"/>
      <c r="BST10" s="6"/>
      <c r="BSV10" s="6"/>
      <c r="BSX10" s="6"/>
      <c r="BSZ10" s="6"/>
      <c r="BTB10" s="6"/>
      <c r="BTD10" s="6"/>
      <c r="BTF10" s="6"/>
      <c r="BTH10" s="6"/>
      <c r="BTJ10" s="6"/>
      <c r="BTL10" s="6"/>
      <c r="BTN10" s="6"/>
      <c r="BTP10" s="6"/>
      <c r="BTR10" s="6"/>
      <c r="BTT10" s="6"/>
      <c r="BTV10" s="6"/>
      <c r="BTX10" s="6"/>
      <c r="BTZ10" s="6"/>
      <c r="BUB10" s="6"/>
      <c r="BUD10" s="6"/>
      <c r="BUF10" s="6"/>
      <c r="BUH10" s="6"/>
      <c r="BUJ10" s="6"/>
      <c r="BUL10" s="6"/>
      <c r="BUN10" s="6"/>
      <c r="BUP10" s="6"/>
      <c r="BUR10" s="6"/>
      <c r="BUT10" s="6"/>
      <c r="BUV10" s="6"/>
      <c r="BUX10" s="6"/>
      <c r="BUZ10" s="6"/>
      <c r="BVB10" s="6"/>
      <c r="BVD10" s="6"/>
      <c r="BVF10" s="6"/>
      <c r="BVH10" s="6"/>
      <c r="BVJ10" s="6"/>
      <c r="BVL10" s="6"/>
      <c r="BVN10" s="6"/>
      <c r="BVP10" s="6"/>
      <c r="BVR10" s="6"/>
      <c r="BVT10" s="6"/>
      <c r="BVV10" s="6"/>
      <c r="BVX10" s="6"/>
      <c r="BVZ10" s="6"/>
      <c r="BWB10" s="6"/>
      <c r="BWD10" s="6"/>
      <c r="BWF10" s="6"/>
      <c r="BWH10" s="6"/>
      <c r="BWJ10" s="6"/>
      <c r="BWL10" s="6"/>
      <c r="BWN10" s="6"/>
      <c r="BWP10" s="6"/>
      <c r="BWR10" s="6"/>
      <c r="BWT10" s="6"/>
      <c r="BWV10" s="6"/>
      <c r="BWX10" s="6"/>
      <c r="BWZ10" s="6"/>
      <c r="BXB10" s="6"/>
      <c r="BXD10" s="6"/>
      <c r="BXF10" s="6"/>
      <c r="BXH10" s="6"/>
      <c r="BXJ10" s="6"/>
      <c r="BXL10" s="6"/>
      <c r="BXN10" s="6"/>
      <c r="BXP10" s="6"/>
      <c r="BXR10" s="6"/>
      <c r="BXT10" s="6"/>
      <c r="BXV10" s="6"/>
      <c r="BXX10" s="6"/>
      <c r="BXZ10" s="6"/>
      <c r="BYB10" s="6"/>
      <c r="BYD10" s="6"/>
      <c r="BYF10" s="6"/>
      <c r="BYH10" s="6"/>
      <c r="BYJ10" s="6"/>
      <c r="BYL10" s="6"/>
      <c r="BYN10" s="6"/>
      <c r="BYP10" s="6"/>
      <c r="BYR10" s="6"/>
      <c r="BYT10" s="6"/>
      <c r="BYV10" s="6"/>
      <c r="BYX10" s="6"/>
      <c r="BYZ10" s="6"/>
      <c r="BZB10" s="6"/>
      <c r="BZD10" s="6"/>
      <c r="BZF10" s="6"/>
      <c r="BZH10" s="6"/>
      <c r="BZJ10" s="6"/>
      <c r="BZL10" s="6"/>
      <c r="BZN10" s="6"/>
      <c r="BZP10" s="6"/>
      <c r="BZR10" s="6"/>
      <c r="BZT10" s="6"/>
      <c r="BZV10" s="6"/>
      <c r="BZX10" s="6"/>
      <c r="BZZ10" s="6"/>
      <c r="CAB10" s="6"/>
      <c r="CAD10" s="6"/>
      <c r="CAF10" s="6"/>
      <c r="CAH10" s="6"/>
      <c r="CAJ10" s="6"/>
      <c r="CAL10" s="6"/>
      <c r="CAN10" s="6"/>
      <c r="CAP10" s="6"/>
      <c r="CAR10" s="6"/>
      <c r="CAT10" s="6"/>
      <c r="CAV10" s="6"/>
      <c r="CAX10" s="6"/>
      <c r="CAZ10" s="6"/>
      <c r="CBB10" s="6"/>
      <c r="CBD10" s="6"/>
      <c r="CBF10" s="6"/>
      <c r="CBH10" s="6"/>
      <c r="CBJ10" s="6"/>
      <c r="CBL10" s="6"/>
      <c r="CBN10" s="6"/>
      <c r="CBP10" s="6"/>
      <c r="CBR10" s="6"/>
      <c r="CBT10" s="6"/>
      <c r="CBV10" s="6"/>
      <c r="CBX10" s="6"/>
      <c r="CBZ10" s="6"/>
      <c r="CCB10" s="6"/>
      <c r="CCD10" s="6"/>
      <c r="CCF10" s="6"/>
      <c r="CCH10" s="6"/>
      <c r="CCJ10" s="6"/>
      <c r="CCL10" s="6"/>
      <c r="CCN10" s="6"/>
      <c r="CCP10" s="6"/>
      <c r="CCR10" s="6"/>
      <c r="CCT10" s="6"/>
      <c r="CCV10" s="6"/>
      <c r="CCX10" s="6"/>
      <c r="CCZ10" s="6"/>
      <c r="CDB10" s="6"/>
      <c r="CDD10" s="6"/>
      <c r="CDF10" s="6"/>
      <c r="CDH10" s="6"/>
      <c r="CDJ10" s="6"/>
      <c r="CDL10" s="6"/>
      <c r="CDN10" s="6"/>
      <c r="CDP10" s="6"/>
      <c r="CDR10" s="6"/>
      <c r="CDT10" s="6"/>
      <c r="CDV10" s="6"/>
      <c r="CDX10" s="6"/>
      <c r="CDZ10" s="6"/>
      <c r="CEB10" s="6"/>
      <c r="CED10" s="6"/>
      <c r="CEF10" s="6"/>
      <c r="CEH10" s="6"/>
      <c r="CEJ10" s="6"/>
      <c r="CEL10" s="6"/>
      <c r="CEN10" s="6"/>
      <c r="CEP10" s="6"/>
      <c r="CER10" s="6"/>
      <c r="CET10" s="6"/>
      <c r="CEV10" s="6"/>
      <c r="CEX10" s="6"/>
      <c r="CEZ10" s="6"/>
      <c r="CFB10" s="6"/>
      <c r="CFD10" s="6"/>
      <c r="CFF10" s="6"/>
      <c r="CFH10" s="6"/>
      <c r="CFJ10" s="6"/>
      <c r="CFL10" s="6"/>
      <c r="CFN10" s="6"/>
      <c r="CFP10" s="6"/>
      <c r="CFR10" s="6"/>
      <c r="CFT10" s="6"/>
      <c r="CFV10" s="6"/>
      <c r="CFX10" s="6"/>
      <c r="CFZ10" s="6"/>
      <c r="CGB10" s="6"/>
      <c r="CGD10" s="6"/>
      <c r="CGF10" s="6"/>
      <c r="CGH10" s="6"/>
      <c r="CGJ10" s="6"/>
      <c r="CGL10" s="6"/>
      <c r="CGN10" s="6"/>
      <c r="CGP10" s="6"/>
      <c r="CGR10" s="6"/>
      <c r="CGT10" s="6"/>
      <c r="CGV10" s="6"/>
      <c r="CGX10" s="6"/>
      <c r="CGZ10" s="6"/>
      <c r="CHB10" s="6"/>
      <c r="CHD10" s="6"/>
      <c r="CHF10" s="6"/>
      <c r="CHH10" s="6"/>
      <c r="CHJ10" s="6"/>
      <c r="CHL10" s="6"/>
      <c r="CHN10" s="6"/>
      <c r="CHP10" s="6"/>
      <c r="CHR10" s="6"/>
      <c r="CHT10" s="6"/>
      <c r="CHV10" s="6"/>
      <c r="CHX10" s="6"/>
      <c r="CHZ10" s="6"/>
      <c r="CIB10" s="6"/>
      <c r="CID10" s="6"/>
      <c r="CIF10" s="6"/>
      <c r="CIH10" s="6"/>
      <c r="CIJ10" s="6"/>
      <c r="CIL10" s="6"/>
      <c r="CIN10" s="6"/>
      <c r="CIP10" s="6"/>
      <c r="CIR10" s="6"/>
      <c r="CIT10" s="6"/>
      <c r="CIV10" s="6"/>
      <c r="CIX10" s="6"/>
      <c r="CIZ10" s="6"/>
      <c r="CJB10" s="6"/>
      <c r="CJD10" s="6"/>
      <c r="CJF10" s="6"/>
      <c r="CJH10" s="6"/>
      <c r="CJJ10" s="6"/>
      <c r="CJL10" s="6"/>
      <c r="CJN10" s="6"/>
      <c r="CJP10" s="6"/>
      <c r="CJR10" s="6"/>
      <c r="CJT10" s="6"/>
      <c r="CJV10" s="6"/>
      <c r="CJX10" s="6"/>
      <c r="CJZ10" s="6"/>
      <c r="CKB10" s="6"/>
      <c r="CKD10" s="6"/>
      <c r="CKF10" s="6"/>
      <c r="CKH10" s="6"/>
      <c r="CKJ10" s="6"/>
      <c r="CKL10" s="6"/>
      <c r="CKN10" s="6"/>
      <c r="CKP10" s="6"/>
      <c r="CKR10" s="6"/>
      <c r="CKT10" s="6"/>
      <c r="CKV10" s="6"/>
      <c r="CKX10" s="6"/>
      <c r="CKZ10" s="6"/>
      <c r="CLB10" s="6"/>
      <c r="CLD10" s="6"/>
      <c r="CLF10" s="6"/>
      <c r="CLH10" s="6"/>
      <c r="CLJ10" s="6"/>
      <c r="CLL10" s="6"/>
      <c r="CLN10" s="6"/>
      <c r="CLP10" s="6"/>
      <c r="CLR10" s="6"/>
      <c r="CLT10" s="6"/>
      <c r="CLV10" s="6"/>
      <c r="CLX10" s="6"/>
      <c r="CLZ10" s="6"/>
      <c r="CMB10" s="6"/>
      <c r="CMD10" s="6"/>
      <c r="CMF10" s="6"/>
      <c r="CMH10" s="6"/>
      <c r="CMJ10" s="6"/>
      <c r="CML10" s="6"/>
      <c r="CMN10" s="6"/>
      <c r="CMP10" s="6"/>
      <c r="CMR10" s="6"/>
      <c r="CMT10" s="6"/>
      <c r="CMV10" s="6"/>
      <c r="CMX10" s="6"/>
      <c r="CMZ10" s="6"/>
      <c r="CNB10" s="6"/>
      <c r="CND10" s="6"/>
      <c r="CNF10" s="6"/>
      <c r="CNH10" s="6"/>
      <c r="CNJ10" s="6"/>
      <c r="CNL10" s="6"/>
      <c r="CNN10" s="6"/>
      <c r="CNP10" s="6"/>
      <c r="CNR10" s="6"/>
      <c r="CNT10" s="6"/>
      <c r="CNV10" s="6"/>
      <c r="CNX10" s="6"/>
      <c r="CNZ10" s="6"/>
      <c r="COB10" s="6"/>
      <c r="COD10" s="6"/>
      <c r="COF10" s="6"/>
      <c r="COH10" s="6"/>
      <c r="COJ10" s="6"/>
      <c r="COL10" s="6"/>
      <c r="CON10" s="6"/>
      <c r="COP10" s="6"/>
      <c r="COR10" s="6"/>
      <c r="COT10" s="6"/>
      <c r="COV10" s="6"/>
      <c r="COX10" s="6"/>
      <c r="COZ10" s="6"/>
      <c r="CPB10" s="6"/>
      <c r="CPD10" s="6"/>
      <c r="CPF10" s="6"/>
      <c r="CPH10" s="6"/>
      <c r="CPJ10" s="6"/>
      <c r="CPL10" s="6"/>
      <c r="CPN10" s="6"/>
      <c r="CPP10" s="6"/>
      <c r="CPR10" s="6"/>
      <c r="CPT10" s="6"/>
      <c r="CPV10" s="6"/>
      <c r="CPX10" s="6"/>
      <c r="CPZ10" s="6"/>
      <c r="CQB10" s="6"/>
      <c r="CQD10" s="6"/>
      <c r="CQF10" s="6"/>
      <c r="CQH10" s="6"/>
      <c r="CQJ10" s="6"/>
      <c r="CQL10" s="6"/>
      <c r="CQN10" s="6"/>
      <c r="CQP10" s="6"/>
      <c r="CQR10" s="6"/>
      <c r="CQT10" s="6"/>
      <c r="CQV10" s="6"/>
      <c r="CQX10" s="6"/>
      <c r="CQZ10" s="6"/>
      <c r="CRB10" s="6"/>
      <c r="CRD10" s="6"/>
      <c r="CRF10" s="6"/>
      <c r="CRH10" s="6"/>
      <c r="CRJ10" s="6"/>
      <c r="CRL10" s="6"/>
      <c r="CRN10" s="6"/>
      <c r="CRP10" s="6"/>
      <c r="CRR10" s="6"/>
      <c r="CRT10" s="6"/>
      <c r="CRV10" s="6"/>
      <c r="CRX10" s="6"/>
      <c r="CRZ10" s="6"/>
      <c r="CSB10" s="6"/>
      <c r="CSD10" s="6"/>
      <c r="CSF10" s="6"/>
      <c r="CSH10" s="6"/>
      <c r="CSJ10" s="6"/>
      <c r="CSL10" s="6"/>
      <c r="CSN10" s="6"/>
      <c r="CSP10" s="6"/>
      <c r="CSR10" s="6"/>
      <c r="CST10" s="6"/>
      <c r="CSV10" s="6"/>
      <c r="CSX10" s="6"/>
      <c r="CSZ10" s="6"/>
      <c r="CTB10" s="6"/>
      <c r="CTD10" s="6"/>
      <c r="CTF10" s="6"/>
      <c r="CTH10" s="6"/>
      <c r="CTJ10" s="6"/>
      <c r="CTL10" s="6"/>
      <c r="CTN10" s="6"/>
      <c r="CTP10" s="6"/>
      <c r="CTR10" s="6"/>
      <c r="CTT10" s="6"/>
      <c r="CTV10" s="6"/>
      <c r="CTX10" s="6"/>
      <c r="CTZ10" s="6"/>
      <c r="CUB10" s="6"/>
      <c r="CUD10" s="6"/>
      <c r="CUF10" s="6"/>
      <c r="CUH10" s="6"/>
      <c r="CUJ10" s="6"/>
      <c r="CUL10" s="6"/>
      <c r="CUN10" s="6"/>
      <c r="CUP10" s="6"/>
      <c r="CUR10" s="6"/>
      <c r="CUT10" s="6"/>
      <c r="CUV10" s="6"/>
      <c r="CUX10" s="6"/>
      <c r="CUZ10" s="6"/>
      <c r="CVB10" s="6"/>
      <c r="CVD10" s="6"/>
      <c r="CVF10" s="6"/>
      <c r="CVH10" s="6"/>
      <c r="CVJ10" s="6"/>
      <c r="CVL10" s="6"/>
      <c r="CVN10" s="6"/>
      <c r="CVP10" s="6"/>
      <c r="CVR10" s="6"/>
      <c r="CVT10" s="6"/>
      <c r="CVV10" s="6"/>
      <c r="CVX10" s="6"/>
      <c r="CVZ10" s="6"/>
      <c r="CWB10" s="6"/>
      <c r="CWD10" s="6"/>
      <c r="CWF10" s="6"/>
      <c r="CWH10" s="6"/>
      <c r="CWJ10" s="6"/>
      <c r="CWL10" s="6"/>
      <c r="CWN10" s="6"/>
      <c r="CWP10" s="6"/>
      <c r="CWR10" s="6"/>
      <c r="CWT10" s="6"/>
      <c r="CWV10" s="6"/>
      <c r="CWX10" s="6"/>
      <c r="CWZ10" s="6"/>
      <c r="CXB10" s="6"/>
      <c r="CXD10" s="6"/>
      <c r="CXF10" s="6"/>
      <c r="CXH10" s="6"/>
      <c r="CXJ10" s="6"/>
      <c r="CXL10" s="6"/>
      <c r="CXN10" s="6"/>
      <c r="CXP10" s="6"/>
      <c r="CXR10" s="6"/>
      <c r="CXT10" s="6"/>
      <c r="CXV10" s="6"/>
      <c r="CXX10" s="6"/>
      <c r="CXZ10" s="6"/>
      <c r="CYB10" s="6"/>
      <c r="CYD10" s="6"/>
      <c r="CYF10" s="6"/>
      <c r="CYH10" s="6"/>
      <c r="CYJ10" s="6"/>
      <c r="CYL10" s="6"/>
      <c r="CYN10" s="6"/>
      <c r="CYP10" s="6"/>
      <c r="CYR10" s="6"/>
      <c r="CYT10" s="6"/>
      <c r="CYV10" s="6"/>
      <c r="CYX10" s="6"/>
      <c r="CYZ10" s="6"/>
      <c r="CZB10" s="6"/>
      <c r="CZD10" s="6"/>
      <c r="CZF10" s="6"/>
      <c r="CZH10" s="6"/>
      <c r="CZJ10" s="6"/>
      <c r="CZL10" s="6"/>
      <c r="CZN10" s="6"/>
      <c r="CZP10" s="6"/>
      <c r="CZR10" s="6"/>
      <c r="CZT10" s="6"/>
      <c r="CZV10" s="6"/>
      <c r="CZX10" s="6"/>
      <c r="CZZ10" s="6"/>
      <c r="DAB10" s="6"/>
      <c r="DAD10" s="6"/>
      <c r="DAF10" s="6"/>
      <c r="DAH10" s="6"/>
      <c r="DAJ10" s="6"/>
      <c r="DAL10" s="6"/>
      <c r="DAN10" s="6"/>
      <c r="DAP10" s="6"/>
      <c r="DAR10" s="6"/>
      <c r="DAT10" s="6"/>
      <c r="DAV10" s="6"/>
      <c r="DAX10" s="6"/>
      <c r="DAZ10" s="6"/>
      <c r="DBB10" s="6"/>
      <c r="DBD10" s="6"/>
      <c r="DBF10" s="6"/>
      <c r="DBH10" s="6"/>
      <c r="DBJ10" s="6"/>
      <c r="DBL10" s="6"/>
      <c r="DBN10" s="6"/>
      <c r="DBP10" s="6"/>
      <c r="DBR10" s="6"/>
      <c r="DBT10" s="6"/>
      <c r="DBV10" s="6"/>
      <c r="DBX10" s="6"/>
      <c r="DBZ10" s="6"/>
      <c r="DCB10" s="6"/>
      <c r="DCD10" s="6"/>
      <c r="DCF10" s="6"/>
      <c r="DCH10" s="6"/>
      <c r="DCJ10" s="6"/>
      <c r="DCL10" s="6"/>
      <c r="DCN10" s="6"/>
      <c r="DCP10" s="6"/>
      <c r="DCR10" s="6"/>
      <c r="DCT10" s="6"/>
      <c r="DCV10" s="6"/>
      <c r="DCX10" s="6"/>
      <c r="DCZ10" s="6"/>
      <c r="DDB10" s="6"/>
      <c r="DDD10" s="6"/>
      <c r="DDF10" s="6"/>
      <c r="DDH10" s="6"/>
      <c r="DDJ10" s="6"/>
      <c r="DDL10" s="6"/>
      <c r="DDN10" s="6"/>
      <c r="DDP10" s="6"/>
      <c r="DDR10" s="6"/>
      <c r="DDT10" s="6"/>
      <c r="DDV10" s="6"/>
      <c r="DDX10" s="6"/>
      <c r="DDZ10" s="6"/>
      <c r="DEB10" s="6"/>
      <c r="DED10" s="6"/>
      <c r="DEF10" s="6"/>
      <c r="DEH10" s="6"/>
      <c r="DEJ10" s="6"/>
      <c r="DEL10" s="6"/>
      <c r="DEN10" s="6"/>
      <c r="DEP10" s="6"/>
      <c r="DER10" s="6"/>
      <c r="DET10" s="6"/>
      <c r="DEV10" s="6"/>
      <c r="DEX10" s="6"/>
      <c r="DEZ10" s="6"/>
      <c r="DFB10" s="6"/>
      <c r="DFD10" s="6"/>
      <c r="DFF10" s="6"/>
      <c r="DFH10" s="6"/>
      <c r="DFJ10" s="6"/>
      <c r="DFL10" s="6"/>
      <c r="DFN10" s="6"/>
      <c r="DFP10" s="6"/>
      <c r="DFR10" s="6"/>
      <c r="DFT10" s="6"/>
      <c r="DFV10" s="6"/>
      <c r="DFX10" s="6"/>
      <c r="DFZ10" s="6"/>
      <c r="DGB10" s="6"/>
      <c r="DGD10" s="6"/>
      <c r="DGF10" s="6"/>
      <c r="DGH10" s="6"/>
      <c r="DGJ10" s="6"/>
      <c r="DGL10" s="6"/>
      <c r="DGN10" s="6"/>
      <c r="DGP10" s="6"/>
      <c r="DGR10" s="6"/>
      <c r="DGT10" s="6"/>
      <c r="DGV10" s="6"/>
      <c r="DGX10" s="6"/>
      <c r="DGZ10" s="6"/>
      <c r="DHB10" s="6"/>
      <c r="DHD10" s="6"/>
      <c r="DHF10" s="6"/>
      <c r="DHH10" s="6"/>
      <c r="DHJ10" s="6"/>
      <c r="DHL10" s="6"/>
      <c r="DHN10" s="6"/>
      <c r="DHP10" s="6"/>
      <c r="DHR10" s="6"/>
      <c r="DHT10" s="6"/>
      <c r="DHV10" s="6"/>
      <c r="DHX10" s="6"/>
      <c r="DHZ10" s="6"/>
      <c r="DIB10" s="6"/>
      <c r="DID10" s="6"/>
      <c r="DIF10" s="6"/>
      <c r="DIH10" s="6"/>
      <c r="DIJ10" s="6"/>
      <c r="DIL10" s="6"/>
      <c r="DIN10" s="6"/>
      <c r="DIP10" s="6"/>
      <c r="DIR10" s="6"/>
      <c r="DIT10" s="6"/>
      <c r="DIV10" s="6"/>
      <c r="DIX10" s="6"/>
      <c r="DIZ10" s="6"/>
      <c r="DJB10" s="6"/>
      <c r="DJD10" s="6"/>
      <c r="DJF10" s="6"/>
      <c r="DJH10" s="6"/>
      <c r="DJJ10" s="6"/>
      <c r="DJL10" s="6"/>
      <c r="DJN10" s="6"/>
      <c r="DJP10" s="6"/>
      <c r="DJR10" s="6"/>
      <c r="DJT10" s="6"/>
      <c r="DJV10" s="6"/>
      <c r="DJX10" s="6"/>
      <c r="DJZ10" s="6"/>
      <c r="DKB10" s="6"/>
      <c r="DKD10" s="6"/>
      <c r="DKF10" s="6"/>
      <c r="DKH10" s="6"/>
      <c r="DKJ10" s="6"/>
      <c r="DKL10" s="6"/>
      <c r="DKN10" s="6"/>
      <c r="DKP10" s="6"/>
      <c r="DKR10" s="6"/>
      <c r="DKT10" s="6"/>
      <c r="DKV10" s="6"/>
      <c r="DKX10" s="6"/>
      <c r="DKZ10" s="6"/>
      <c r="DLB10" s="6"/>
      <c r="DLD10" s="6"/>
      <c r="DLF10" s="6"/>
      <c r="DLH10" s="6"/>
      <c r="DLJ10" s="6"/>
      <c r="DLL10" s="6"/>
      <c r="DLN10" s="6"/>
      <c r="DLP10" s="6"/>
      <c r="DLR10" s="6"/>
      <c r="DLT10" s="6"/>
      <c r="DLV10" s="6"/>
      <c r="DLX10" s="6"/>
      <c r="DLZ10" s="6"/>
      <c r="DMB10" s="6"/>
      <c r="DMD10" s="6"/>
      <c r="DMF10" s="6"/>
      <c r="DMH10" s="6"/>
      <c r="DMJ10" s="6"/>
      <c r="DML10" s="6"/>
      <c r="DMN10" s="6"/>
      <c r="DMP10" s="6"/>
      <c r="DMR10" s="6"/>
      <c r="DMT10" s="6"/>
      <c r="DMV10" s="6"/>
      <c r="DMX10" s="6"/>
      <c r="DMZ10" s="6"/>
      <c r="DNB10" s="6"/>
      <c r="DND10" s="6"/>
      <c r="DNF10" s="6"/>
      <c r="DNH10" s="6"/>
      <c r="DNJ10" s="6"/>
      <c r="DNL10" s="6"/>
      <c r="DNN10" s="6"/>
      <c r="DNP10" s="6"/>
      <c r="DNR10" s="6"/>
      <c r="DNT10" s="6"/>
      <c r="DNV10" s="6"/>
      <c r="DNX10" s="6"/>
      <c r="DNZ10" s="6"/>
      <c r="DOB10" s="6"/>
      <c r="DOD10" s="6"/>
      <c r="DOF10" s="6"/>
      <c r="DOH10" s="6"/>
      <c r="DOJ10" s="6"/>
      <c r="DOL10" s="6"/>
      <c r="DON10" s="6"/>
      <c r="DOP10" s="6"/>
      <c r="DOR10" s="6"/>
      <c r="DOT10" s="6"/>
      <c r="DOV10" s="6"/>
      <c r="DOX10" s="6"/>
      <c r="DOZ10" s="6"/>
      <c r="DPB10" s="6"/>
      <c r="DPD10" s="6"/>
      <c r="DPF10" s="6"/>
      <c r="DPH10" s="6"/>
      <c r="DPJ10" s="6"/>
      <c r="DPL10" s="6"/>
      <c r="DPN10" s="6"/>
      <c r="DPP10" s="6"/>
      <c r="DPR10" s="6"/>
      <c r="DPT10" s="6"/>
      <c r="DPV10" s="6"/>
      <c r="DPX10" s="6"/>
      <c r="DPZ10" s="6"/>
      <c r="DQB10" s="6"/>
      <c r="DQD10" s="6"/>
      <c r="DQF10" s="6"/>
      <c r="DQH10" s="6"/>
      <c r="DQJ10" s="6"/>
      <c r="DQL10" s="6"/>
      <c r="DQN10" s="6"/>
      <c r="DQP10" s="6"/>
      <c r="DQR10" s="6"/>
      <c r="DQT10" s="6"/>
      <c r="DQV10" s="6"/>
      <c r="DQX10" s="6"/>
      <c r="DQZ10" s="6"/>
      <c r="DRB10" s="6"/>
      <c r="DRD10" s="6"/>
      <c r="DRF10" s="6"/>
      <c r="DRH10" s="6"/>
      <c r="DRJ10" s="6"/>
      <c r="DRL10" s="6"/>
      <c r="DRN10" s="6"/>
      <c r="DRP10" s="6"/>
      <c r="DRR10" s="6"/>
      <c r="DRT10" s="6"/>
      <c r="DRV10" s="6"/>
      <c r="DRX10" s="6"/>
      <c r="DRZ10" s="6"/>
      <c r="DSB10" s="6"/>
      <c r="DSD10" s="6"/>
      <c r="DSF10" s="6"/>
      <c r="DSH10" s="6"/>
      <c r="DSJ10" s="6"/>
      <c r="DSL10" s="6"/>
      <c r="DSN10" s="6"/>
      <c r="DSP10" s="6"/>
      <c r="DSR10" s="6"/>
      <c r="DST10" s="6"/>
      <c r="DSV10" s="6"/>
      <c r="DSX10" s="6"/>
      <c r="DSZ10" s="6"/>
      <c r="DTB10" s="6"/>
      <c r="DTD10" s="6"/>
      <c r="DTF10" s="6"/>
      <c r="DTH10" s="6"/>
      <c r="DTJ10" s="6"/>
      <c r="DTL10" s="6"/>
      <c r="DTN10" s="6"/>
      <c r="DTP10" s="6"/>
      <c r="DTR10" s="6"/>
      <c r="DTT10" s="6"/>
      <c r="DTV10" s="6"/>
      <c r="DTX10" s="6"/>
      <c r="DTZ10" s="6"/>
      <c r="DUB10" s="6"/>
      <c r="DUD10" s="6"/>
      <c r="DUF10" s="6"/>
      <c r="DUH10" s="6"/>
      <c r="DUJ10" s="6"/>
      <c r="DUL10" s="6"/>
      <c r="DUN10" s="6"/>
      <c r="DUP10" s="6"/>
      <c r="DUR10" s="6"/>
      <c r="DUT10" s="6"/>
      <c r="DUV10" s="6"/>
      <c r="DUX10" s="6"/>
      <c r="DUZ10" s="6"/>
      <c r="DVB10" s="6"/>
      <c r="DVD10" s="6"/>
      <c r="DVF10" s="6"/>
      <c r="DVH10" s="6"/>
      <c r="DVJ10" s="6"/>
      <c r="DVL10" s="6"/>
      <c r="DVN10" s="6"/>
      <c r="DVP10" s="6"/>
      <c r="DVR10" s="6"/>
      <c r="DVT10" s="6"/>
      <c r="DVV10" s="6"/>
      <c r="DVX10" s="6"/>
      <c r="DVZ10" s="6"/>
      <c r="DWB10" s="6"/>
      <c r="DWD10" s="6"/>
      <c r="DWF10" s="6"/>
      <c r="DWH10" s="6"/>
      <c r="DWJ10" s="6"/>
      <c r="DWL10" s="6"/>
      <c r="DWN10" s="6"/>
      <c r="DWP10" s="6"/>
      <c r="DWR10" s="6"/>
      <c r="DWT10" s="6"/>
      <c r="DWV10" s="6"/>
      <c r="DWX10" s="6"/>
      <c r="DWZ10" s="6"/>
      <c r="DXB10" s="6"/>
      <c r="DXD10" s="6"/>
      <c r="DXF10" s="6"/>
      <c r="DXH10" s="6"/>
      <c r="DXJ10" s="6"/>
      <c r="DXL10" s="6"/>
      <c r="DXN10" s="6"/>
      <c r="DXP10" s="6"/>
      <c r="DXR10" s="6"/>
      <c r="DXT10" s="6"/>
      <c r="DXV10" s="6"/>
      <c r="DXX10" s="6"/>
      <c r="DXZ10" s="6"/>
      <c r="DYB10" s="6"/>
      <c r="DYD10" s="6"/>
      <c r="DYF10" s="6"/>
      <c r="DYH10" s="6"/>
      <c r="DYJ10" s="6"/>
      <c r="DYL10" s="6"/>
      <c r="DYN10" s="6"/>
      <c r="DYP10" s="6"/>
      <c r="DYR10" s="6"/>
      <c r="DYT10" s="6"/>
      <c r="DYV10" s="6"/>
      <c r="DYX10" s="6"/>
      <c r="DYZ10" s="6"/>
      <c r="DZB10" s="6"/>
      <c r="DZD10" s="6"/>
      <c r="DZF10" s="6"/>
      <c r="DZH10" s="6"/>
      <c r="DZJ10" s="6"/>
      <c r="DZL10" s="6"/>
      <c r="DZN10" s="6"/>
      <c r="DZP10" s="6"/>
      <c r="DZR10" s="6"/>
      <c r="DZT10" s="6"/>
      <c r="DZV10" s="6"/>
      <c r="DZX10" s="6"/>
      <c r="DZZ10" s="6"/>
      <c r="EAB10" s="6"/>
      <c r="EAD10" s="6"/>
      <c r="EAF10" s="6"/>
      <c r="EAH10" s="6"/>
      <c r="EAJ10" s="6"/>
      <c r="EAL10" s="6"/>
      <c r="EAN10" s="6"/>
      <c r="EAP10" s="6"/>
      <c r="EAR10" s="6"/>
      <c r="EAT10" s="6"/>
      <c r="EAV10" s="6"/>
      <c r="EAX10" s="6"/>
      <c r="EAZ10" s="6"/>
      <c r="EBB10" s="6"/>
      <c r="EBD10" s="6"/>
      <c r="EBF10" s="6"/>
      <c r="EBH10" s="6"/>
      <c r="EBJ10" s="6"/>
      <c r="EBL10" s="6"/>
      <c r="EBN10" s="6"/>
      <c r="EBP10" s="6"/>
      <c r="EBR10" s="6"/>
      <c r="EBT10" s="6"/>
      <c r="EBV10" s="6"/>
      <c r="EBX10" s="6"/>
      <c r="EBZ10" s="6"/>
      <c r="ECB10" s="6"/>
      <c r="ECD10" s="6"/>
      <c r="ECF10" s="6"/>
      <c r="ECH10" s="6"/>
      <c r="ECJ10" s="6"/>
      <c r="ECL10" s="6"/>
      <c r="ECN10" s="6"/>
      <c r="ECP10" s="6"/>
      <c r="ECR10" s="6"/>
      <c r="ECT10" s="6"/>
      <c r="ECV10" s="6"/>
      <c r="ECX10" s="6"/>
      <c r="ECZ10" s="6"/>
      <c r="EDB10" s="6"/>
      <c r="EDD10" s="6"/>
      <c r="EDF10" s="6"/>
      <c r="EDH10" s="6"/>
      <c r="EDJ10" s="6"/>
      <c r="EDL10" s="6"/>
      <c r="EDN10" s="6"/>
      <c r="EDP10" s="6"/>
      <c r="EDR10" s="6"/>
      <c r="EDT10" s="6"/>
      <c r="EDV10" s="6"/>
      <c r="EDX10" s="6"/>
      <c r="EDZ10" s="6"/>
      <c r="EEB10" s="6"/>
      <c r="EED10" s="6"/>
      <c r="EEF10" s="6"/>
      <c r="EEH10" s="6"/>
      <c r="EEJ10" s="6"/>
      <c r="EEL10" s="6"/>
      <c r="EEN10" s="6"/>
      <c r="EEP10" s="6"/>
      <c r="EER10" s="6"/>
      <c r="EET10" s="6"/>
      <c r="EEV10" s="6"/>
      <c r="EEX10" s="6"/>
      <c r="EEZ10" s="6"/>
      <c r="EFB10" s="6"/>
      <c r="EFD10" s="6"/>
      <c r="EFF10" s="6"/>
      <c r="EFH10" s="6"/>
      <c r="EFJ10" s="6"/>
      <c r="EFL10" s="6"/>
      <c r="EFN10" s="6"/>
      <c r="EFP10" s="6"/>
      <c r="EFR10" s="6"/>
      <c r="EFT10" s="6"/>
      <c r="EFV10" s="6"/>
      <c r="EFX10" s="6"/>
      <c r="EFZ10" s="6"/>
      <c r="EGB10" s="6"/>
      <c r="EGD10" s="6"/>
      <c r="EGF10" s="6"/>
      <c r="EGH10" s="6"/>
      <c r="EGJ10" s="6"/>
      <c r="EGL10" s="6"/>
      <c r="EGN10" s="6"/>
      <c r="EGP10" s="6"/>
      <c r="EGR10" s="6"/>
      <c r="EGT10" s="6"/>
      <c r="EGV10" s="6"/>
      <c r="EGX10" s="6"/>
      <c r="EGZ10" s="6"/>
      <c r="EHB10" s="6"/>
      <c r="EHD10" s="6"/>
      <c r="EHF10" s="6"/>
      <c r="EHH10" s="6"/>
      <c r="EHJ10" s="6"/>
      <c r="EHL10" s="6"/>
      <c r="EHN10" s="6"/>
      <c r="EHP10" s="6"/>
      <c r="EHR10" s="6"/>
      <c r="EHT10" s="6"/>
      <c r="EHV10" s="6"/>
      <c r="EHX10" s="6"/>
      <c r="EHZ10" s="6"/>
      <c r="EIB10" s="6"/>
      <c r="EID10" s="6"/>
      <c r="EIF10" s="6"/>
      <c r="EIH10" s="6"/>
      <c r="EIJ10" s="6"/>
      <c r="EIL10" s="6"/>
      <c r="EIN10" s="6"/>
      <c r="EIP10" s="6"/>
      <c r="EIR10" s="6"/>
      <c r="EIT10" s="6"/>
      <c r="EIV10" s="6"/>
      <c r="EIX10" s="6"/>
      <c r="EIZ10" s="6"/>
      <c r="EJB10" s="6"/>
      <c r="EJD10" s="6"/>
      <c r="EJF10" s="6"/>
      <c r="EJH10" s="6"/>
      <c r="EJJ10" s="6"/>
      <c r="EJL10" s="6"/>
      <c r="EJN10" s="6"/>
      <c r="EJP10" s="6"/>
      <c r="EJR10" s="6"/>
      <c r="EJT10" s="6"/>
      <c r="EJV10" s="6"/>
      <c r="EJX10" s="6"/>
      <c r="EJZ10" s="6"/>
      <c r="EKB10" s="6"/>
      <c r="EKD10" s="6"/>
      <c r="EKF10" s="6"/>
      <c r="EKH10" s="6"/>
      <c r="EKJ10" s="6"/>
      <c r="EKL10" s="6"/>
      <c r="EKN10" s="6"/>
      <c r="EKP10" s="6"/>
      <c r="EKR10" s="6"/>
      <c r="EKT10" s="6"/>
      <c r="EKV10" s="6"/>
      <c r="EKX10" s="6"/>
      <c r="EKZ10" s="6"/>
      <c r="ELB10" s="6"/>
      <c r="ELD10" s="6"/>
      <c r="ELF10" s="6"/>
      <c r="ELH10" s="6"/>
      <c r="ELJ10" s="6"/>
      <c r="ELL10" s="6"/>
      <c r="ELN10" s="6"/>
      <c r="ELP10" s="6"/>
      <c r="ELR10" s="6"/>
      <c r="ELT10" s="6"/>
      <c r="ELV10" s="6"/>
      <c r="ELX10" s="6"/>
      <c r="ELZ10" s="6"/>
      <c r="EMB10" s="6"/>
      <c r="EMD10" s="6"/>
      <c r="EMF10" s="6"/>
      <c r="EMH10" s="6"/>
      <c r="EMJ10" s="6"/>
      <c r="EML10" s="6"/>
      <c r="EMN10" s="6"/>
      <c r="EMP10" s="6"/>
      <c r="EMR10" s="6"/>
      <c r="EMT10" s="6"/>
      <c r="EMV10" s="6"/>
      <c r="EMX10" s="6"/>
      <c r="EMZ10" s="6"/>
      <c r="ENB10" s="6"/>
      <c r="END10" s="6"/>
      <c r="ENF10" s="6"/>
      <c r="ENH10" s="6"/>
      <c r="ENJ10" s="6"/>
      <c r="ENL10" s="6"/>
      <c r="ENN10" s="6"/>
      <c r="ENP10" s="6"/>
      <c r="ENR10" s="6"/>
      <c r="ENT10" s="6"/>
      <c r="ENV10" s="6"/>
      <c r="ENX10" s="6"/>
      <c r="ENZ10" s="6"/>
      <c r="EOB10" s="6"/>
      <c r="EOD10" s="6"/>
      <c r="EOF10" s="6"/>
      <c r="EOH10" s="6"/>
      <c r="EOJ10" s="6"/>
      <c r="EOL10" s="6"/>
      <c r="EON10" s="6"/>
      <c r="EOP10" s="6"/>
      <c r="EOR10" s="6"/>
      <c r="EOT10" s="6"/>
      <c r="EOV10" s="6"/>
      <c r="EOX10" s="6"/>
      <c r="EOZ10" s="6"/>
      <c r="EPB10" s="6"/>
      <c r="EPD10" s="6"/>
      <c r="EPF10" s="6"/>
      <c r="EPH10" s="6"/>
      <c r="EPJ10" s="6"/>
      <c r="EPL10" s="6"/>
      <c r="EPN10" s="6"/>
      <c r="EPP10" s="6"/>
      <c r="EPR10" s="6"/>
      <c r="EPT10" s="6"/>
      <c r="EPV10" s="6"/>
      <c r="EPX10" s="6"/>
      <c r="EPZ10" s="6"/>
      <c r="EQB10" s="6"/>
      <c r="EQD10" s="6"/>
      <c r="EQF10" s="6"/>
      <c r="EQH10" s="6"/>
      <c r="EQJ10" s="6"/>
      <c r="EQL10" s="6"/>
      <c r="EQN10" s="6"/>
      <c r="EQP10" s="6"/>
      <c r="EQR10" s="6"/>
      <c r="EQT10" s="6"/>
      <c r="EQV10" s="6"/>
      <c r="EQX10" s="6"/>
      <c r="EQZ10" s="6"/>
      <c r="ERB10" s="6"/>
      <c r="ERD10" s="6"/>
      <c r="ERF10" s="6"/>
      <c r="ERH10" s="6"/>
      <c r="ERJ10" s="6"/>
      <c r="ERL10" s="6"/>
      <c r="ERN10" s="6"/>
      <c r="ERP10" s="6"/>
      <c r="ERR10" s="6"/>
      <c r="ERT10" s="6"/>
      <c r="ERV10" s="6"/>
      <c r="ERX10" s="6"/>
      <c r="ERZ10" s="6"/>
      <c r="ESB10" s="6"/>
      <c r="ESD10" s="6"/>
      <c r="ESF10" s="6"/>
      <c r="ESH10" s="6"/>
      <c r="ESJ10" s="6"/>
      <c r="ESL10" s="6"/>
      <c r="ESN10" s="6"/>
      <c r="ESP10" s="6"/>
      <c r="ESR10" s="6"/>
      <c r="EST10" s="6"/>
      <c r="ESV10" s="6"/>
      <c r="ESX10" s="6"/>
      <c r="ESZ10" s="6"/>
      <c r="ETB10" s="6"/>
      <c r="ETD10" s="6"/>
      <c r="ETF10" s="6"/>
      <c r="ETH10" s="6"/>
      <c r="ETJ10" s="6"/>
      <c r="ETL10" s="6"/>
      <c r="ETN10" s="6"/>
      <c r="ETP10" s="6"/>
      <c r="ETR10" s="6"/>
      <c r="ETT10" s="6"/>
      <c r="ETV10" s="6"/>
      <c r="ETX10" s="6"/>
      <c r="ETZ10" s="6"/>
      <c r="EUB10" s="6"/>
      <c r="EUD10" s="6"/>
      <c r="EUF10" s="6"/>
      <c r="EUH10" s="6"/>
      <c r="EUJ10" s="6"/>
      <c r="EUL10" s="6"/>
      <c r="EUN10" s="6"/>
      <c r="EUP10" s="6"/>
      <c r="EUR10" s="6"/>
      <c r="EUT10" s="6"/>
      <c r="EUV10" s="6"/>
      <c r="EUX10" s="6"/>
      <c r="EUZ10" s="6"/>
      <c r="EVB10" s="6"/>
      <c r="EVD10" s="6"/>
      <c r="EVF10" s="6"/>
      <c r="EVH10" s="6"/>
      <c r="EVJ10" s="6"/>
      <c r="EVL10" s="6"/>
      <c r="EVN10" s="6"/>
      <c r="EVP10" s="6"/>
      <c r="EVR10" s="6"/>
      <c r="EVT10" s="6"/>
      <c r="EVV10" s="6"/>
      <c r="EVX10" s="6"/>
      <c r="EVZ10" s="6"/>
      <c r="EWB10" s="6"/>
      <c r="EWD10" s="6"/>
      <c r="EWF10" s="6"/>
      <c r="EWH10" s="6"/>
      <c r="EWJ10" s="6"/>
      <c r="EWL10" s="6"/>
      <c r="EWN10" s="6"/>
      <c r="EWP10" s="6"/>
      <c r="EWR10" s="6"/>
      <c r="EWT10" s="6"/>
      <c r="EWV10" s="6"/>
      <c r="EWX10" s="6"/>
      <c r="EWZ10" s="6"/>
      <c r="EXB10" s="6"/>
      <c r="EXD10" s="6"/>
      <c r="EXF10" s="6"/>
      <c r="EXH10" s="6"/>
      <c r="EXJ10" s="6"/>
      <c r="EXL10" s="6"/>
      <c r="EXN10" s="6"/>
      <c r="EXP10" s="6"/>
      <c r="EXR10" s="6"/>
      <c r="EXT10" s="6"/>
      <c r="EXV10" s="6"/>
      <c r="EXX10" s="6"/>
      <c r="EXZ10" s="6"/>
      <c r="EYB10" s="6"/>
      <c r="EYD10" s="6"/>
      <c r="EYF10" s="6"/>
      <c r="EYH10" s="6"/>
      <c r="EYJ10" s="6"/>
      <c r="EYL10" s="6"/>
      <c r="EYN10" s="6"/>
      <c r="EYP10" s="6"/>
      <c r="EYR10" s="6"/>
      <c r="EYT10" s="6"/>
      <c r="EYV10" s="6"/>
      <c r="EYX10" s="6"/>
      <c r="EYZ10" s="6"/>
      <c r="EZB10" s="6"/>
      <c r="EZD10" s="6"/>
      <c r="EZF10" s="6"/>
      <c r="EZH10" s="6"/>
      <c r="EZJ10" s="6"/>
      <c r="EZL10" s="6"/>
      <c r="EZN10" s="6"/>
      <c r="EZP10" s="6"/>
      <c r="EZR10" s="6"/>
      <c r="EZT10" s="6"/>
      <c r="EZV10" s="6"/>
      <c r="EZX10" s="6"/>
      <c r="EZZ10" s="6"/>
      <c r="FAB10" s="6"/>
      <c r="FAD10" s="6"/>
      <c r="FAF10" s="6"/>
      <c r="FAH10" s="6"/>
      <c r="FAJ10" s="6"/>
      <c r="FAL10" s="6"/>
      <c r="FAN10" s="6"/>
      <c r="FAP10" s="6"/>
      <c r="FAR10" s="6"/>
      <c r="FAT10" s="6"/>
      <c r="FAV10" s="6"/>
      <c r="FAX10" s="6"/>
      <c r="FAZ10" s="6"/>
      <c r="FBB10" s="6"/>
      <c r="FBD10" s="6"/>
      <c r="FBF10" s="6"/>
      <c r="FBH10" s="6"/>
      <c r="FBJ10" s="6"/>
      <c r="FBL10" s="6"/>
      <c r="FBN10" s="6"/>
      <c r="FBP10" s="6"/>
      <c r="FBR10" s="6"/>
      <c r="FBT10" s="6"/>
      <c r="FBV10" s="6"/>
      <c r="FBX10" s="6"/>
      <c r="FBZ10" s="6"/>
      <c r="FCB10" s="6"/>
      <c r="FCD10" s="6"/>
      <c r="FCF10" s="6"/>
      <c r="FCH10" s="6"/>
      <c r="FCJ10" s="6"/>
      <c r="FCL10" s="6"/>
      <c r="FCN10" s="6"/>
      <c r="FCP10" s="6"/>
      <c r="FCR10" s="6"/>
      <c r="FCT10" s="6"/>
      <c r="FCV10" s="6"/>
      <c r="FCX10" s="6"/>
      <c r="FCZ10" s="6"/>
      <c r="FDB10" s="6"/>
      <c r="FDD10" s="6"/>
      <c r="FDF10" s="6"/>
      <c r="FDH10" s="6"/>
      <c r="FDJ10" s="6"/>
      <c r="FDL10" s="6"/>
      <c r="FDN10" s="6"/>
      <c r="FDP10" s="6"/>
      <c r="FDR10" s="6"/>
      <c r="FDT10" s="6"/>
      <c r="FDV10" s="6"/>
      <c r="FDX10" s="6"/>
      <c r="FDZ10" s="6"/>
      <c r="FEB10" s="6"/>
      <c r="FED10" s="6"/>
      <c r="FEF10" s="6"/>
      <c r="FEH10" s="6"/>
      <c r="FEJ10" s="6"/>
      <c r="FEL10" s="6"/>
      <c r="FEN10" s="6"/>
      <c r="FEP10" s="6"/>
      <c r="FER10" s="6"/>
      <c r="FET10" s="6"/>
      <c r="FEV10" s="6"/>
      <c r="FEX10" s="6"/>
      <c r="FEZ10" s="6"/>
      <c r="FFB10" s="6"/>
      <c r="FFD10" s="6"/>
      <c r="FFF10" s="6"/>
      <c r="FFH10" s="6"/>
      <c r="FFJ10" s="6"/>
      <c r="FFL10" s="6"/>
      <c r="FFN10" s="6"/>
      <c r="FFP10" s="6"/>
      <c r="FFR10" s="6"/>
      <c r="FFT10" s="6"/>
      <c r="FFV10" s="6"/>
      <c r="FFX10" s="6"/>
      <c r="FFZ10" s="6"/>
      <c r="FGB10" s="6"/>
      <c r="FGD10" s="6"/>
      <c r="FGF10" s="6"/>
      <c r="FGH10" s="6"/>
      <c r="FGJ10" s="6"/>
      <c r="FGL10" s="6"/>
      <c r="FGN10" s="6"/>
      <c r="FGP10" s="6"/>
      <c r="FGR10" s="6"/>
      <c r="FGT10" s="6"/>
      <c r="FGV10" s="6"/>
      <c r="FGX10" s="6"/>
      <c r="FGZ10" s="6"/>
      <c r="FHB10" s="6"/>
      <c r="FHD10" s="6"/>
      <c r="FHF10" s="6"/>
      <c r="FHH10" s="6"/>
      <c r="FHJ10" s="6"/>
      <c r="FHL10" s="6"/>
      <c r="FHN10" s="6"/>
      <c r="FHP10" s="6"/>
      <c r="FHR10" s="6"/>
      <c r="FHT10" s="6"/>
      <c r="FHV10" s="6"/>
      <c r="FHX10" s="6"/>
      <c r="FHZ10" s="6"/>
      <c r="FIB10" s="6"/>
      <c r="FID10" s="6"/>
      <c r="FIF10" s="6"/>
      <c r="FIH10" s="6"/>
      <c r="FIJ10" s="6"/>
      <c r="FIL10" s="6"/>
      <c r="FIN10" s="6"/>
      <c r="FIP10" s="6"/>
      <c r="FIR10" s="6"/>
      <c r="FIT10" s="6"/>
      <c r="FIV10" s="6"/>
      <c r="FIX10" s="6"/>
      <c r="FIZ10" s="6"/>
      <c r="FJB10" s="6"/>
      <c r="FJD10" s="6"/>
      <c r="FJF10" s="6"/>
      <c r="FJH10" s="6"/>
      <c r="FJJ10" s="6"/>
      <c r="FJL10" s="6"/>
      <c r="FJN10" s="6"/>
      <c r="FJP10" s="6"/>
      <c r="FJR10" s="6"/>
      <c r="FJT10" s="6"/>
      <c r="FJV10" s="6"/>
      <c r="FJX10" s="6"/>
      <c r="FJZ10" s="6"/>
      <c r="FKB10" s="6"/>
      <c r="FKD10" s="6"/>
      <c r="FKF10" s="6"/>
      <c r="FKH10" s="6"/>
      <c r="FKJ10" s="6"/>
      <c r="FKL10" s="6"/>
      <c r="FKN10" s="6"/>
      <c r="FKP10" s="6"/>
      <c r="FKR10" s="6"/>
      <c r="FKT10" s="6"/>
      <c r="FKV10" s="6"/>
      <c r="FKX10" s="6"/>
      <c r="FKZ10" s="6"/>
      <c r="FLB10" s="6"/>
      <c r="FLD10" s="6"/>
      <c r="FLF10" s="6"/>
      <c r="FLH10" s="6"/>
      <c r="FLJ10" s="6"/>
      <c r="FLL10" s="6"/>
      <c r="FLN10" s="6"/>
      <c r="FLP10" s="6"/>
      <c r="FLR10" s="6"/>
      <c r="FLT10" s="6"/>
      <c r="FLV10" s="6"/>
      <c r="FLX10" s="6"/>
      <c r="FLZ10" s="6"/>
      <c r="FMB10" s="6"/>
      <c r="FMD10" s="6"/>
      <c r="FMF10" s="6"/>
      <c r="FMH10" s="6"/>
      <c r="FMJ10" s="6"/>
      <c r="FML10" s="6"/>
      <c r="FMN10" s="6"/>
      <c r="FMP10" s="6"/>
      <c r="FMR10" s="6"/>
      <c r="FMT10" s="6"/>
      <c r="FMV10" s="6"/>
      <c r="FMX10" s="6"/>
      <c r="FMZ10" s="6"/>
      <c r="FNB10" s="6"/>
      <c r="FND10" s="6"/>
      <c r="FNF10" s="6"/>
      <c r="FNH10" s="6"/>
      <c r="FNJ10" s="6"/>
      <c r="FNL10" s="6"/>
      <c r="FNN10" s="6"/>
      <c r="FNP10" s="6"/>
      <c r="FNR10" s="6"/>
      <c r="FNT10" s="6"/>
      <c r="FNV10" s="6"/>
      <c r="FNX10" s="6"/>
      <c r="FNZ10" s="6"/>
      <c r="FOB10" s="6"/>
      <c r="FOD10" s="6"/>
      <c r="FOF10" s="6"/>
      <c r="FOH10" s="6"/>
      <c r="FOJ10" s="6"/>
      <c r="FOL10" s="6"/>
      <c r="FON10" s="6"/>
      <c r="FOP10" s="6"/>
      <c r="FOR10" s="6"/>
      <c r="FOT10" s="6"/>
      <c r="FOV10" s="6"/>
      <c r="FOX10" s="6"/>
      <c r="FOZ10" s="6"/>
      <c r="FPB10" s="6"/>
      <c r="FPD10" s="6"/>
      <c r="FPF10" s="6"/>
      <c r="FPH10" s="6"/>
      <c r="FPJ10" s="6"/>
      <c r="FPL10" s="6"/>
      <c r="FPN10" s="6"/>
      <c r="FPP10" s="6"/>
      <c r="FPR10" s="6"/>
      <c r="FPT10" s="6"/>
      <c r="FPV10" s="6"/>
      <c r="FPX10" s="6"/>
      <c r="FPZ10" s="6"/>
      <c r="FQB10" s="6"/>
      <c r="FQD10" s="6"/>
      <c r="FQF10" s="6"/>
      <c r="FQH10" s="6"/>
      <c r="FQJ10" s="6"/>
      <c r="FQL10" s="6"/>
      <c r="FQN10" s="6"/>
      <c r="FQP10" s="6"/>
      <c r="FQR10" s="6"/>
      <c r="FQT10" s="6"/>
      <c r="FQV10" s="6"/>
      <c r="FQX10" s="6"/>
      <c r="FQZ10" s="6"/>
      <c r="FRB10" s="6"/>
      <c r="FRD10" s="6"/>
      <c r="FRF10" s="6"/>
      <c r="FRH10" s="6"/>
      <c r="FRJ10" s="6"/>
      <c r="FRL10" s="6"/>
      <c r="FRN10" s="6"/>
      <c r="FRP10" s="6"/>
      <c r="FRR10" s="6"/>
      <c r="FRT10" s="6"/>
      <c r="FRV10" s="6"/>
      <c r="FRX10" s="6"/>
      <c r="FRZ10" s="6"/>
      <c r="FSB10" s="6"/>
      <c r="FSD10" s="6"/>
      <c r="FSF10" s="6"/>
      <c r="FSH10" s="6"/>
      <c r="FSJ10" s="6"/>
      <c r="FSL10" s="6"/>
      <c r="FSN10" s="6"/>
      <c r="FSP10" s="6"/>
      <c r="FSR10" s="6"/>
      <c r="FST10" s="6"/>
      <c r="FSV10" s="6"/>
      <c r="FSX10" s="6"/>
      <c r="FSZ10" s="6"/>
      <c r="FTB10" s="6"/>
      <c r="FTD10" s="6"/>
      <c r="FTF10" s="6"/>
      <c r="FTH10" s="6"/>
      <c r="FTJ10" s="6"/>
      <c r="FTL10" s="6"/>
      <c r="FTN10" s="6"/>
      <c r="FTP10" s="6"/>
      <c r="FTR10" s="6"/>
      <c r="FTT10" s="6"/>
      <c r="FTV10" s="6"/>
      <c r="FTX10" s="6"/>
      <c r="FTZ10" s="6"/>
      <c r="FUB10" s="6"/>
      <c r="FUD10" s="6"/>
      <c r="FUF10" s="6"/>
      <c r="FUH10" s="6"/>
      <c r="FUJ10" s="6"/>
      <c r="FUL10" s="6"/>
      <c r="FUN10" s="6"/>
      <c r="FUP10" s="6"/>
      <c r="FUR10" s="6"/>
      <c r="FUT10" s="6"/>
      <c r="FUV10" s="6"/>
      <c r="FUX10" s="6"/>
      <c r="FUZ10" s="6"/>
      <c r="FVB10" s="6"/>
      <c r="FVD10" s="6"/>
      <c r="FVF10" s="6"/>
      <c r="FVH10" s="6"/>
      <c r="FVJ10" s="6"/>
      <c r="FVL10" s="6"/>
      <c r="FVN10" s="6"/>
      <c r="FVP10" s="6"/>
      <c r="FVR10" s="6"/>
      <c r="FVT10" s="6"/>
      <c r="FVV10" s="6"/>
      <c r="FVX10" s="6"/>
      <c r="FVZ10" s="6"/>
      <c r="FWB10" s="6"/>
      <c r="FWD10" s="6"/>
      <c r="FWF10" s="6"/>
      <c r="FWH10" s="6"/>
      <c r="FWJ10" s="6"/>
      <c r="FWL10" s="6"/>
      <c r="FWN10" s="6"/>
      <c r="FWP10" s="6"/>
      <c r="FWR10" s="6"/>
      <c r="FWT10" s="6"/>
      <c r="FWV10" s="6"/>
      <c r="FWX10" s="6"/>
      <c r="FWZ10" s="6"/>
      <c r="FXB10" s="6"/>
      <c r="FXD10" s="6"/>
      <c r="FXF10" s="6"/>
      <c r="FXH10" s="6"/>
      <c r="FXJ10" s="6"/>
      <c r="FXL10" s="6"/>
      <c r="FXN10" s="6"/>
      <c r="FXP10" s="6"/>
      <c r="FXR10" s="6"/>
      <c r="FXT10" s="6"/>
      <c r="FXV10" s="6"/>
      <c r="FXX10" s="6"/>
      <c r="FXZ10" s="6"/>
      <c r="FYB10" s="6"/>
      <c r="FYD10" s="6"/>
      <c r="FYF10" s="6"/>
      <c r="FYH10" s="6"/>
      <c r="FYJ10" s="6"/>
      <c r="FYL10" s="6"/>
      <c r="FYN10" s="6"/>
      <c r="FYP10" s="6"/>
      <c r="FYR10" s="6"/>
      <c r="FYT10" s="6"/>
      <c r="FYV10" s="6"/>
      <c r="FYX10" s="6"/>
      <c r="FYZ10" s="6"/>
      <c r="FZB10" s="6"/>
      <c r="FZD10" s="6"/>
      <c r="FZF10" s="6"/>
      <c r="FZH10" s="6"/>
      <c r="FZJ10" s="6"/>
      <c r="FZL10" s="6"/>
      <c r="FZN10" s="6"/>
      <c r="FZP10" s="6"/>
      <c r="FZR10" s="6"/>
      <c r="FZT10" s="6"/>
      <c r="FZV10" s="6"/>
      <c r="FZX10" s="6"/>
      <c r="FZZ10" s="6"/>
      <c r="GAB10" s="6"/>
      <c r="GAD10" s="6"/>
      <c r="GAF10" s="6"/>
      <c r="GAH10" s="6"/>
      <c r="GAJ10" s="6"/>
      <c r="GAL10" s="6"/>
      <c r="GAN10" s="6"/>
      <c r="GAP10" s="6"/>
      <c r="GAR10" s="6"/>
      <c r="GAT10" s="6"/>
      <c r="GAV10" s="6"/>
      <c r="GAX10" s="6"/>
      <c r="GAZ10" s="6"/>
      <c r="GBB10" s="6"/>
      <c r="GBD10" s="6"/>
      <c r="GBF10" s="6"/>
      <c r="GBH10" s="6"/>
      <c r="GBJ10" s="6"/>
      <c r="GBL10" s="6"/>
      <c r="GBN10" s="6"/>
      <c r="GBP10" s="6"/>
      <c r="GBR10" s="6"/>
      <c r="GBT10" s="6"/>
      <c r="GBV10" s="6"/>
      <c r="GBX10" s="6"/>
      <c r="GBZ10" s="6"/>
      <c r="GCB10" s="6"/>
      <c r="GCD10" s="6"/>
      <c r="GCF10" s="6"/>
      <c r="GCH10" s="6"/>
      <c r="GCJ10" s="6"/>
      <c r="GCL10" s="6"/>
      <c r="GCN10" s="6"/>
      <c r="GCP10" s="6"/>
      <c r="GCR10" s="6"/>
      <c r="GCT10" s="6"/>
      <c r="GCV10" s="6"/>
      <c r="GCX10" s="6"/>
      <c r="GCZ10" s="6"/>
      <c r="GDB10" s="6"/>
      <c r="GDD10" s="6"/>
      <c r="GDF10" s="6"/>
      <c r="GDH10" s="6"/>
      <c r="GDJ10" s="6"/>
      <c r="GDL10" s="6"/>
      <c r="GDN10" s="6"/>
      <c r="GDP10" s="6"/>
      <c r="GDR10" s="6"/>
      <c r="GDT10" s="6"/>
      <c r="GDV10" s="6"/>
      <c r="GDX10" s="6"/>
      <c r="GDZ10" s="6"/>
      <c r="GEB10" s="6"/>
      <c r="GED10" s="6"/>
      <c r="GEF10" s="6"/>
      <c r="GEH10" s="6"/>
      <c r="GEJ10" s="6"/>
      <c r="GEL10" s="6"/>
      <c r="GEN10" s="6"/>
      <c r="GEP10" s="6"/>
      <c r="GER10" s="6"/>
      <c r="GET10" s="6"/>
      <c r="GEV10" s="6"/>
      <c r="GEX10" s="6"/>
      <c r="GEZ10" s="6"/>
      <c r="GFB10" s="6"/>
      <c r="GFD10" s="6"/>
      <c r="GFF10" s="6"/>
      <c r="GFH10" s="6"/>
      <c r="GFJ10" s="6"/>
      <c r="GFL10" s="6"/>
      <c r="GFN10" s="6"/>
      <c r="GFP10" s="6"/>
      <c r="GFR10" s="6"/>
      <c r="GFT10" s="6"/>
      <c r="GFV10" s="6"/>
      <c r="GFX10" s="6"/>
      <c r="GFZ10" s="6"/>
      <c r="GGB10" s="6"/>
      <c r="GGD10" s="6"/>
      <c r="GGF10" s="6"/>
      <c r="GGH10" s="6"/>
      <c r="GGJ10" s="6"/>
      <c r="GGL10" s="6"/>
      <c r="GGN10" s="6"/>
      <c r="GGP10" s="6"/>
      <c r="GGR10" s="6"/>
      <c r="GGT10" s="6"/>
      <c r="GGV10" s="6"/>
      <c r="GGX10" s="6"/>
      <c r="GGZ10" s="6"/>
      <c r="GHB10" s="6"/>
      <c r="GHD10" s="6"/>
      <c r="GHF10" s="6"/>
      <c r="GHH10" s="6"/>
      <c r="GHJ10" s="6"/>
      <c r="GHL10" s="6"/>
      <c r="GHN10" s="6"/>
      <c r="GHP10" s="6"/>
      <c r="GHR10" s="6"/>
      <c r="GHT10" s="6"/>
      <c r="GHV10" s="6"/>
      <c r="GHX10" s="6"/>
      <c r="GHZ10" s="6"/>
      <c r="GIB10" s="6"/>
      <c r="GID10" s="6"/>
      <c r="GIF10" s="6"/>
      <c r="GIH10" s="6"/>
      <c r="GIJ10" s="6"/>
      <c r="GIL10" s="6"/>
      <c r="GIN10" s="6"/>
      <c r="GIP10" s="6"/>
      <c r="GIR10" s="6"/>
      <c r="GIT10" s="6"/>
      <c r="GIV10" s="6"/>
      <c r="GIX10" s="6"/>
      <c r="GIZ10" s="6"/>
      <c r="GJB10" s="6"/>
      <c r="GJD10" s="6"/>
      <c r="GJF10" s="6"/>
      <c r="GJH10" s="6"/>
      <c r="GJJ10" s="6"/>
      <c r="GJL10" s="6"/>
      <c r="GJN10" s="6"/>
      <c r="GJP10" s="6"/>
      <c r="GJR10" s="6"/>
      <c r="GJT10" s="6"/>
      <c r="GJV10" s="6"/>
      <c r="GJX10" s="6"/>
      <c r="GJZ10" s="6"/>
      <c r="GKB10" s="6"/>
      <c r="GKD10" s="6"/>
      <c r="GKF10" s="6"/>
      <c r="GKH10" s="6"/>
      <c r="GKJ10" s="6"/>
      <c r="GKL10" s="6"/>
      <c r="GKN10" s="6"/>
      <c r="GKP10" s="6"/>
      <c r="GKR10" s="6"/>
      <c r="GKT10" s="6"/>
      <c r="GKV10" s="6"/>
      <c r="GKX10" s="6"/>
      <c r="GKZ10" s="6"/>
      <c r="GLB10" s="6"/>
      <c r="GLD10" s="6"/>
      <c r="GLF10" s="6"/>
      <c r="GLH10" s="6"/>
      <c r="GLJ10" s="6"/>
      <c r="GLL10" s="6"/>
      <c r="GLN10" s="6"/>
      <c r="GLP10" s="6"/>
      <c r="GLR10" s="6"/>
      <c r="GLT10" s="6"/>
      <c r="GLV10" s="6"/>
      <c r="GLX10" s="6"/>
      <c r="GLZ10" s="6"/>
      <c r="GMB10" s="6"/>
      <c r="GMD10" s="6"/>
      <c r="GMF10" s="6"/>
      <c r="GMH10" s="6"/>
      <c r="GMJ10" s="6"/>
      <c r="GML10" s="6"/>
      <c r="GMN10" s="6"/>
      <c r="GMP10" s="6"/>
      <c r="GMR10" s="6"/>
      <c r="GMT10" s="6"/>
      <c r="GMV10" s="6"/>
      <c r="GMX10" s="6"/>
      <c r="GMZ10" s="6"/>
      <c r="GNB10" s="6"/>
      <c r="GND10" s="6"/>
      <c r="GNF10" s="6"/>
      <c r="GNH10" s="6"/>
      <c r="GNJ10" s="6"/>
      <c r="GNL10" s="6"/>
      <c r="GNN10" s="6"/>
      <c r="GNP10" s="6"/>
      <c r="GNR10" s="6"/>
      <c r="GNT10" s="6"/>
      <c r="GNV10" s="6"/>
      <c r="GNX10" s="6"/>
      <c r="GNZ10" s="6"/>
      <c r="GOB10" s="6"/>
      <c r="GOD10" s="6"/>
      <c r="GOF10" s="6"/>
      <c r="GOH10" s="6"/>
      <c r="GOJ10" s="6"/>
      <c r="GOL10" s="6"/>
      <c r="GON10" s="6"/>
      <c r="GOP10" s="6"/>
      <c r="GOR10" s="6"/>
      <c r="GOT10" s="6"/>
      <c r="GOV10" s="6"/>
      <c r="GOX10" s="6"/>
      <c r="GOZ10" s="6"/>
      <c r="GPB10" s="6"/>
      <c r="GPD10" s="6"/>
      <c r="GPF10" s="6"/>
      <c r="GPH10" s="6"/>
      <c r="GPJ10" s="6"/>
      <c r="GPL10" s="6"/>
      <c r="GPN10" s="6"/>
      <c r="GPP10" s="6"/>
      <c r="GPR10" s="6"/>
      <c r="GPT10" s="6"/>
      <c r="GPV10" s="6"/>
      <c r="GPX10" s="6"/>
      <c r="GPZ10" s="6"/>
      <c r="GQB10" s="6"/>
      <c r="GQD10" s="6"/>
      <c r="GQF10" s="6"/>
      <c r="GQH10" s="6"/>
      <c r="GQJ10" s="6"/>
      <c r="GQL10" s="6"/>
      <c r="GQN10" s="6"/>
      <c r="GQP10" s="6"/>
      <c r="GQR10" s="6"/>
      <c r="GQT10" s="6"/>
      <c r="GQV10" s="6"/>
      <c r="GQX10" s="6"/>
      <c r="GQZ10" s="6"/>
      <c r="GRB10" s="6"/>
      <c r="GRD10" s="6"/>
      <c r="GRF10" s="6"/>
      <c r="GRH10" s="6"/>
      <c r="GRJ10" s="6"/>
      <c r="GRL10" s="6"/>
      <c r="GRN10" s="6"/>
      <c r="GRP10" s="6"/>
      <c r="GRR10" s="6"/>
      <c r="GRT10" s="6"/>
      <c r="GRV10" s="6"/>
      <c r="GRX10" s="6"/>
      <c r="GRZ10" s="6"/>
      <c r="GSB10" s="6"/>
      <c r="GSD10" s="6"/>
      <c r="GSF10" s="6"/>
      <c r="GSH10" s="6"/>
      <c r="GSJ10" s="6"/>
      <c r="GSL10" s="6"/>
      <c r="GSN10" s="6"/>
      <c r="GSP10" s="6"/>
      <c r="GSR10" s="6"/>
      <c r="GST10" s="6"/>
      <c r="GSV10" s="6"/>
      <c r="GSX10" s="6"/>
      <c r="GSZ10" s="6"/>
      <c r="GTB10" s="6"/>
      <c r="GTD10" s="6"/>
      <c r="GTF10" s="6"/>
      <c r="GTH10" s="6"/>
      <c r="GTJ10" s="6"/>
      <c r="GTL10" s="6"/>
      <c r="GTN10" s="6"/>
      <c r="GTP10" s="6"/>
      <c r="GTR10" s="6"/>
      <c r="GTT10" s="6"/>
      <c r="GTV10" s="6"/>
      <c r="GTX10" s="6"/>
      <c r="GTZ10" s="6"/>
      <c r="GUB10" s="6"/>
      <c r="GUD10" s="6"/>
      <c r="GUF10" s="6"/>
      <c r="GUH10" s="6"/>
      <c r="GUJ10" s="6"/>
      <c r="GUL10" s="6"/>
      <c r="GUN10" s="6"/>
      <c r="GUP10" s="6"/>
      <c r="GUR10" s="6"/>
      <c r="GUT10" s="6"/>
      <c r="GUV10" s="6"/>
      <c r="GUX10" s="6"/>
      <c r="GUZ10" s="6"/>
      <c r="GVB10" s="6"/>
      <c r="GVD10" s="6"/>
      <c r="GVF10" s="6"/>
      <c r="GVH10" s="6"/>
      <c r="GVJ10" s="6"/>
      <c r="GVL10" s="6"/>
      <c r="GVN10" s="6"/>
      <c r="GVP10" s="6"/>
      <c r="GVR10" s="6"/>
      <c r="GVT10" s="6"/>
      <c r="GVV10" s="6"/>
      <c r="GVX10" s="6"/>
      <c r="GVZ10" s="6"/>
      <c r="GWB10" s="6"/>
      <c r="GWD10" s="6"/>
      <c r="GWF10" s="6"/>
      <c r="GWH10" s="6"/>
      <c r="GWJ10" s="6"/>
      <c r="GWL10" s="6"/>
      <c r="GWN10" s="6"/>
      <c r="GWP10" s="6"/>
      <c r="GWR10" s="6"/>
      <c r="GWT10" s="6"/>
      <c r="GWV10" s="6"/>
      <c r="GWX10" s="6"/>
      <c r="GWZ10" s="6"/>
      <c r="GXB10" s="6"/>
      <c r="GXD10" s="6"/>
      <c r="GXF10" s="6"/>
      <c r="GXH10" s="6"/>
      <c r="GXJ10" s="6"/>
      <c r="GXL10" s="6"/>
      <c r="GXN10" s="6"/>
      <c r="GXP10" s="6"/>
      <c r="GXR10" s="6"/>
      <c r="GXT10" s="6"/>
      <c r="GXV10" s="6"/>
      <c r="GXX10" s="6"/>
      <c r="GXZ10" s="6"/>
      <c r="GYB10" s="6"/>
      <c r="GYD10" s="6"/>
      <c r="GYF10" s="6"/>
      <c r="GYH10" s="6"/>
      <c r="GYJ10" s="6"/>
      <c r="GYL10" s="6"/>
      <c r="GYN10" s="6"/>
      <c r="GYP10" s="6"/>
      <c r="GYR10" s="6"/>
      <c r="GYT10" s="6"/>
      <c r="GYV10" s="6"/>
      <c r="GYX10" s="6"/>
      <c r="GYZ10" s="6"/>
      <c r="GZB10" s="6"/>
      <c r="GZD10" s="6"/>
      <c r="GZF10" s="6"/>
      <c r="GZH10" s="6"/>
      <c r="GZJ10" s="6"/>
      <c r="GZL10" s="6"/>
      <c r="GZN10" s="6"/>
      <c r="GZP10" s="6"/>
      <c r="GZR10" s="6"/>
      <c r="GZT10" s="6"/>
      <c r="GZV10" s="6"/>
      <c r="GZX10" s="6"/>
      <c r="GZZ10" s="6"/>
      <c r="HAB10" s="6"/>
      <c r="HAD10" s="6"/>
      <c r="HAF10" s="6"/>
      <c r="HAH10" s="6"/>
      <c r="HAJ10" s="6"/>
      <c r="HAL10" s="6"/>
      <c r="HAN10" s="6"/>
      <c r="HAP10" s="6"/>
      <c r="HAR10" s="6"/>
      <c r="HAT10" s="6"/>
      <c r="HAV10" s="6"/>
      <c r="HAX10" s="6"/>
      <c r="HAZ10" s="6"/>
      <c r="HBB10" s="6"/>
      <c r="HBD10" s="6"/>
      <c r="HBF10" s="6"/>
      <c r="HBH10" s="6"/>
      <c r="HBJ10" s="6"/>
      <c r="HBL10" s="6"/>
      <c r="HBN10" s="6"/>
      <c r="HBP10" s="6"/>
      <c r="HBR10" s="6"/>
      <c r="HBT10" s="6"/>
      <c r="HBV10" s="6"/>
      <c r="HBX10" s="6"/>
      <c r="HBZ10" s="6"/>
      <c r="HCB10" s="6"/>
      <c r="HCD10" s="6"/>
      <c r="HCF10" s="6"/>
      <c r="HCH10" s="6"/>
      <c r="HCJ10" s="6"/>
      <c r="HCL10" s="6"/>
      <c r="HCN10" s="6"/>
      <c r="HCP10" s="6"/>
      <c r="HCR10" s="6"/>
      <c r="HCT10" s="6"/>
      <c r="HCV10" s="6"/>
      <c r="HCX10" s="6"/>
      <c r="HCZ10" s="6"/>
      <c r="HDB10" s="6"/>
      <c r="HDD10" s="6"/>
      <c r="HDF10" s="6"/>
      <c r="HDH10" s="6"/>
      <c r="HDJ10" s="6"/>
      <c r="HDL10" s="6"/>
      <c r="HDN10" s="6"/>
      <c r="HDP10" s="6"/>
      <c r="HDR10" s="6"/>
      <c r="HDT10" s="6"/>
      <c r="HDV10" s="6"/>
      <c r="HDX10" s="6"/>
      <c r="HDZ10" s="6"/>
      <c r="HEB10" s="6"/>
      <c r="HED10" s="6"/>
      <c r="HEF10" s="6"/>
      <c r="HEH10" s="6"/>
      <c r="HEJ10" s="6"/>
      <c r="HEL10" s="6"/>
      <c r="HEN10" s="6"/>
      <c r="HEP10" s="6"/>
      <c r="HER10" s="6"/>
      <c r="HET10" s="6"/>
      <c r="HEV10" s="6"/>
      <c r="HEX10" s="6"/>
      <c r="HEZ10" s="6"/>
      <c r="HFB10" s="6"/>
      <c r="HFD10" s="6"/>
      <c r="HFF10" s="6"/>
      <c r="HFH10" s="6"/>
      <c r="HFJ10" s="6"/>
      <c r="HFL10" s="6"/>
      <c r="HFN10" s="6"/>
      <c r="HFP10" s="6"/>
      <c r="HFR10" s="6"/>
      <c r="HFT10" s="6"/>
      <c r="HFV10" s="6"/>
      <c r="HFX10" s="6"/>
      <c r="HFZ10" s="6"/>
      <c r="HGB10" s="6"/>
      <c r="HGD10" s="6"/>
      <c r="HGF10" s="6"/>
      <c r="HGH10" s="6"/>
      <c r="HGJ10" s="6"/>
      <c r="HGL10" s="6"/>
      <c r="HGN10" s="6"/>
      <c r="HGP10" s="6"/>
      <c r="HGR10" s="6"/>
      <c r="HGT10" s="6"/>
      <c r="HGV10" s="6"/>
      <c r="HGX10" s="6"/>
      <c r="HGZ10" s="6"/>
      <c r="HHB10" s="6"/>
      <c r="HHD10" s="6"/>
      <c r="HHF10" s="6"/>
      <c r="HHH10" s="6"/>
      <c r="HHJ10" s="6"/>
      <c r="HHL10" s="6"/>
      <c r="HHN10" s="6"/>
      <c r="HHP10" s="6"/>
      <c r="HHR10" s="6"/>
      <c r="HHT10" s="6"/>
      <c r="HHV10" s="6"/>
      <c r="HHX10" s="6"/>
      <c r="HHZ10" s="6"/>
      <c r="HIB10" s="6"/>
      <c r="HID10" s="6"/>
      <c r="HIF10" s="6"/>
      <c r="HIH10" s="6"/>
      <c r="HIJ10" s="6"/>
      <c r="HIL10" s="6"/>
      <c r="HIN10" s="6"/>
      <c r="HIP10" s="6"/>
      <c r="HIR10" s="6"/>
      <c r="HIT10" s="6"/>
      <c r="HIV10" s="6"/>
      <c r="HIX10" s="6"/>
      <c r="HIZ10" s="6"/>
      <c r="HJB10" s="6"/>
      <c r="HJD10" s="6"/>
      <c r="HJF10" s="6"/>
      <c r="HJH10" s="6"/>
      <c r="HJJ10" s="6"/>
      <c r="HJL10" s="6"/>
      <c r="HJN10" s="6"/>
      <c r="HJP10" s="6"/>
      <c r="HJR10" s="6"/>
      <c r="HJT10" s="6"/>
      <c r="HJV10" s="6"/>
      <c r="HJX10" s="6"/>
      <c r="HJZ10" s="6"/>
      <c r="HKB10" s="6"/>
      <c r="HKD10" s="6"/>
      <c r="HKF10" s="6"/>
      <c r="HKH10" s="6"/>
      <c r="HKJ10" s="6"/>
      <c r="HKL10" s="6"/>
      <c r="HKN10" s="6"/>
      <c r="HKP10" s="6"/>
      <c r="HKR10" s="6"/>
      <c r="HKT10" s="6"/>
      <c r="HKV10" s="6"/>
      <c r="HKX10" s="6"/>
      <c r="HKZ10" s="6"/>
      <c r="HLB10" s="6"/>
      <c r="HLD10" s="6"/>
      <c r="HLF10" s="6"/>
      <c r="HLH10" s="6"/>
      <c r="HLJ10" s="6"/>
      <c r="HLL10" s="6"/>
      <c r="HLN10" s="6"/>
      <c r="HLP10" s="6"/>
      <c r="HLR10" s="6"/>
      <c r="HLT10" s="6"/>
      <c r="HLV10" s="6"/>
      <c r="HLX10" s="6"/>
      <c r="HLZ10" s="6"/>
      <c r="HMB10" s="6"/>
      <c r="HMD10" s="6"/>
      <c r="HMF10" s="6"/>
      <c r="HMH10" s="6"/>
      <c r="HMJ10" s="6"/>
      <c r="HML10" s="6"/>
      <c r="HMN10" s="6"/>
      <c r="HMP10" s="6"/>
      <c r="HMR10" s="6"/>
      <c r="HMT10" s="6"/>
      <c r="HMV10" s="6"/>
      <c r="HMX10" s="6"/>
      <c r="HMZ10" s="6"/>
      <c r="HNB10" s="6"/>
      <c r="HND10" s="6"/>
      <c r="HNF10" s="6"/>
      <c r="HNH10" s="6"/>
      <c r="HNJ10" s="6"/>
      <c r="HNL10" s="6"/>
      <c r="HNN10" s="6"/>
      <c r="HNP10" s="6"/>
      <c r="HNR10" s="6"/>
      <c r="HNT10" s="6"/>
      <c r="HNV10" s="6"/>
      <c r="HNX10" s="6"/>
      <c r="HNZ10" s="6"/>
      <c r="HOB10" s="6"/>
      <c r="HOD10" s="6"/>
      <c r="HOF10" s="6"/>
      <c r="HOH10" s="6"/>
      <c r="HOJ10" s="6"/>
      <c r="HOL10" s="6"/>
      <c r="HON10" s="6"/>
      <c r="HOP10" s="6"/>
      <c r="HOR10" s="6"/>
      <c r="HOT10" s="6"/>
      <c r="HOV10" s="6"/>
      <c r="HOX10" s="6"/>
      <c r="HOZ10" s="6"/>
      <c r="HPB10" s="6"/>
      <c r="HPD10" s="6"/>
      <c r="HPF10" s="6"/>
      <c r="HPH10" s="6"/>
      <c r="HPJ10" s="6"/>
      <c r="HPL10" s="6"/>
      <c r="HPN10" s="6"/>
      <c r="HPP10" s="6"/>
      <c r="HPR10" s="6"/>
      <c r="HPT10" s="6"/>
      <c r="HPV10" s="6"/>
      <c r="HPX10" s="6"/>
      <c r="HPZ10" s="6"/>
      <c r="HQB10" s="6"/>
      <c r="HQD10" s="6"/>
      <c r="HQF10" s="6"/>
      <c r="HQH10" s="6"/>
      <c r="HQJ10" s="6"/>
      <c r="HQL10" s="6"/>
      <c r="HQN10" s="6"/>
      <c r="HQP10" s="6"/>
      <c r="HQR10" s="6"/>
      <c r="HQT10" s="6"/>
      <c r="HQV10" s="6"/>
      <c r="HQX10" s="6"/>
      <c r="HQZ10" s="6"/>
      <c r="HRB10" s="6"/>
      <c r="HRD10" s="6"/>
      <c r="HRF10" s="6"/>
      <c r="HRH10" s="6"/>
      <c r="HRJ10" s="6"/>
      <c r="HRL10" s="6"/>
      <c r="HRN10" s="6"/>
      <c r="HRP10" s="6"/>
      <c r="HRR10" s="6"/>
      <c r="HRT10" s="6"/>
      <c r="HRV10" s="6"/>
      <c r="HRX10" s="6"/>
      <c r="HRZ10" s="6"/>
      <c r="HSB10" s="6"/>
      <c r="HSD10" s="6"/>
      <c r="HSF10" s="6"/>
      <c r="HSH10" s="6"/>
      <c r="HSJ10" s="6"/>
      <c r="HSL10" s="6"/>
      <c r="HSN10" s="6"/>
      <c r="HSP10" s="6"/>
      <c r="HSR10" s="6"/>
      <c r="HST10" s="6"/>
      <c r="HSV10" s="6"/>
      <c r="HSX10" s="6"/>
      <c r="HSZ10" s="6"/>
      <c r="HTB10" s="6"/>
      <c r="HTD10" s="6"/>
      <c r="HTF10" s="6"/>
      <c r="HTH10" s="6"/>
      <c r="HTJ10" s="6"/>
      <c r="HTL10" s="6"/>
      <c r="HTN10" s="6"/>
      <c r="HTP10" s="6"/>
      <c r="HTR10" s="6"/>
      <c r="HTT10" s="6"/>
      <c r="HTV10" s="6"/>
      <c r="HTX10" s="6"/>
      <c r="HTZ10" s="6"/>
      <c r="HUB10" s="6"/>
      <c r="HUD10" s="6"/>
      <c r="HUF10" s="6"/>
      <c r="HUH10" s="6"/>
      <c r="HUJ10" s="6"/>
      <c r="HUL10" s="6"/>
      <c r="HUN10" s="6"/>
      <c r="HUP10" s="6"/>
      <c r="HUR10" s="6"/>
      <c r="HUT10" s="6"/>
      <c r="HUV10" s="6"/>
      <c r="HUX10" s="6"/>
      <c r="HUZ10" s="6"/>
      <c r="HVB10" s="6"/>
      <c r="HVD10" s="6"/>
      <c r="HVF10" s="6"/>
      <c r="HVH10" s="6"/>
      <c r="HVJ10" s="6"/>
      <c r="HVL10" s="6"/>
      <c r="HVN10" s="6"/>
      <c r="HVP10" s="6"/>
      <c r="HVR10" s="6"/>
      <c r="HVT10" s="6"/>
      <c r="HVV10" s="6"/>
      <c r="HVX10" s="6"/>
      <c r="HVZ10" s="6"/>
      <c r="HWB10" s="6"/>
      <c r="HWD10" s="6"/>
      <c r="HWF10" s="6"/>
      <c r="HWH10" s="6"/>
      <c r="HWJ10" s="6"/>
      <c r="HWL10" s="6"/>
      <c r="HWN10" s="6"/>
      <c r="HWP10" s="6"/>
      <c r="HWR10" s="6"/>
      <c r="HWT10" s="6"/>
      <c r="HWV10" s="6"/>
      <c r="HWX10" s="6"/>
      <c r="HWZ10" s="6"/>
      <c r="HXB10" s="6"/>
      <c r="HXD10" s="6"/>
      <c r="HXF10" s="6"/>
      <c r="HXH10" s="6"/>
      <c r="HXJ10" s="6"/>
      <c r="HXL10" s="6"/>
      <c r="HXN10" s="6"/>
      <c r="HXP10" s="6"/>
      <c r="HXR10" s="6"/>
      <c r="HXT10" s="6"/>
      <c r="HXV10" s="6"/>
      <c r="HXX10" s="6"/>
      <c r="HXZ10" s="6"/>
      <c r="HYB10" s="6"/>
      <c r="HYD10" s="6"/>
      <c r="HYF10" s="6"/>
      <c r="HYH10" s="6"/>
      <c r="HYJ10" s="6"/>
      <c r="HYL10" s="6"/>
      <c r="HYN10" s="6"/>
      <c r="HYP10" s="6"/>
      <c r="HYR10" s="6"/>
      <c r="HYT10" s="6"/>
      <c r="HYV10" s="6"/>
      <c r="HYX10" s="6"/>
      <c r="HYZ10" s="6"/>
      <c r="HZB10" s="6"/>
      <c r="HZD10" s="6"/>
      <c r="HZF10" s="6"/>
      <c r="HZH10" s="6"/>
      <c r="HZJ10" s="6"/>
      <c r="HZL10" s="6"/>
      <c r="HZN10" s="6"/>
      <c r="HZP10" s="6"/>
      <c r="HZR10" s="6"/>
      <c r="HZT10" s="6"/>
      <c r="HZV10" s="6"/>
      <c r="HZX10" s="6"/>
      <c r="HZZ10" s="6"/>
      <c r="IAB10" s="6"/>
      <c r="IAD10" s="6"/>
      <c r="IAF10" s="6"/>
      <c r="IAH10" s="6"/>
      <c r="IAJ10" s="6"/>
      <c r="IAL10" s="6"/>
      <c r="IAN10" s="6"/>
      <c r="IAP10" s="6"/>
      <c r="IAR10" s="6"/>
      <c r="IAT10" s="6"/>
      <c r="IAV10" s="6"/>
      <c r="IAX10" s="6"/>
      <c r="IAZ10" s="6"/>
      <c r="IBB10" s="6"/>
      <c r="IBD10" s="6"/>
      <c r="IBF10" s="6"/>
      <c r="IBH10" s="6"/>
      <c r="IBJ10" s="6"/>
      <c r="IBL10" s="6"/>
      <c r="IBN10" s="6"/>
      <c r="IBP10" s="6"/>
      <c r="IBR10" s="6"/>
      <c r="IBT10" s="6"/>
      <c r="IBV10" s="6"/>
      <c r="IBX10" s="6"/>
      <c r="IBZ10" s="6"/>
      <c r="ICB10" s="6"/>
      <c r="ICD10" s="6"/>
      <c r="ICF10" s="6"/>
      <c r="ICH10" s="6"/>
      <c r="ICJ10" s="6"/>
      <c r="ICL10" s="6"/>
      <c r="ICN10" s="6"/>
      <c r="ICP10" s="6"/>
      <c r="ICR10" s="6"/>
      <c r="ICT10" s="6"/>
      <c r="ICV10" s="6"/>
      <c r="ICX10" s="6"/>
      <c r="ICZ10" s="6"/>
      <c r="IDB10" s="6"/>
      <c r="IDD10" s="6"/>
      <c r="IDF10" s="6"/>
      <c r="IDH10" s="6"/>
      <c r="IDJ10" s="6"/>
      <c r="IDL10" s="6"/>
      <c r="IDN10" s="6"/>
      <c r="IDP10" s="6"/>
      <c r="IDR10" s="6"/>
      <c r="IDT10" s="6"/>
      <c r="IDV10" s="6"/>
      <c r="IDX10" s="6"/>
      <c r="IDZ10" s="6"/>
      <c r="IEB10" s="6"/>
      <c r="IED10" s="6"/>
      <c r="IEF10" s="6"/>
      <c r="IEH10" s="6"/>
      <c r="IEJ10" s="6"/>
      <c r="IEL10" s="6"/>
      <c r="IEN10" s="6"/>
      <c r="IEP10" s="6"/>
      <c r="IER10" s="6"/>
      <c r="IET10" s="6"/>
      <c r="IEV10" s="6"/>
      <c r="IEX10" s="6"/>
      <c r="IEZ10" s="6"/>
      <c r="IFB10" s="6"/>
      <c r="IFD10" s="6"/>
      <c r="IFF10" s="6"/>
      <c r="IFH10" s="6"/>
      <c r="IFJ10" s="6"/>
      <c r="IFL10" s="6"/>
      <c r="IFN10" s="6"/>
      <c r="IFP10" s="6"/>
      <c r="IFR10" s="6"/>
      <c r="IFT10" s="6"/>
      <c r="IFV10" s="6"/>
      <c r="IFX10" s="6"/>
      <c r="IFZ10" s="6"/>
      <c r="IGB10" s="6"/>
      <c r="IGD10" s="6"/>
      <c r="IGF10" s="6"/>
      <c r="IGH10" s="6"/>
      <c r="IGJ10" s="6"/>
      <c r="IGL10" s="6"/>
      <c r="IGN10" s="6"/>
      <c r="IGP10" s="6"/>
      <c r="IGR10" s="6"/>
      <c r="IGT10" s="6"/>
      <c r="IGV10" s="6"/>
      <c r="IGX10" s="6"/>
      <c r="IGZ10" s="6"/>
      <c r="IHB10" s="6"/>
      <c r="IHD10" s="6"/>
      <c r="IHF10" s="6"/>
      <c r="IHH10" s="6"/>
      <c r="IHJ10" s="6"/>
      <c r="IHL10" s="6"/>
      <c r="IHN10" s="6"/>
      <c r="IHP10" s="6"/>
      <c r="IHR10" s="6"/>
      <c r="IHT10" s="6"/>
      <c r="IHV10" s="6"/>
      <c r="IHX10" s="6"/>
      <c r="IHZ10" s="6"/>
      <c r="IIB10" s="6"/>
      <c r="IID10" s="6"/>
      <c r="IIF10" s="6"/>
      <c r="IIH10" s="6"/>
      <c r="IIJ10" s="6"/>
      <c r="IIL10" s="6"/>
      <c r="IIN10" s="6"/>
      <c r="IIP10" s="6"/>
      <c r="IIR10" s="6"/>
      <c r="IIT10" s="6"/>
      <c r="IIV10" s="6"/>
      <c r="IIX10" s="6"/>
      <c r="IIZ10" s="6"/>
      <c r="IJB10" s="6"/>
      <c r="IJD10" s="6"/>
      <c r="IJF10" s="6"/>
      <c r="IJH10" s="6"/>
      <c r="IJJ10" s="6"/>
      <c r="IJL10" s="6"/>
      <c r="IJN10" s="6"/>
      <c r="IJP10" s="6"/>
      <c r="IJR10" s="6"/>
      <c r="IJT10" s="6"/>
      <c r="IJV10" s="6"/>
      <c r="IJX10" s="6"/>
      <c r="IJZ10" s="6"/>
      <c r="IKB10" s="6"/>
      <c r="IKD10" s="6"/>
      <c r="IKF10" s="6"/>
      <c r="IKH10" s="6"/>
      <c r="IKJ10" s="6"/>
      <c r="IKL10" s="6"/>
      <c r="IKN10" s="6"/>
      <c r="IKP10" s="6"/>
      <c r="IKR10" s="6"/>
      <c r="IKT10" s="6"/>
      <c r="IKV10" s="6"/>
      <c r="IKX10" s="6"/>
      <c r="IKZ10" s="6"/>
      <c r="ILB10" s="6"/>
      <c r="ILD10" s="6"/>
      <c r="ILF10" s="6"/>
      <c r="ILH10" s="6"/>
      <c r="ILJ10" s="6"/>
      <c r="ILL10" s="6"/>
      <c r="ILN10" s="6"/>
      <c r="ILP10" s="6"/>
      <c r="ILR10" s="6"/>
      <c r="ILT10" s="6"/>
      <c r="ILV10" s="6"/>
      <c r="ILX10" s="6"/>
      <c r="ILZ10" s="6"/>
      <c r="IMB10" s="6"/>
      <c r="IMD10" s="6"/>
      <c r="IMF10" s="6"/>
      <c r="IMH10" s="6"/>
      <c r="IMJ10" s="6"/>
      <c r="IML10" s="6"/>
      <c r="IMN10" s="6"/>
      <c r="IMP10" s="6"/>
      <c r="IMR10" s="6"/>
      <c r="IMT10" s="6"/>
      <c r="IMV10" s="6"/>
      <c r="IMX10" s="6"/>
      <c r="IMZ10" s="6"/>
      <c r="INB10" s="6"/>
      <c r="IND10" s="6"/>
      <c r="INF10" s="6"/>
      <c r="INH10" s="6"/>
      <c r="INJ10" s="6"/>
      <c r="INL10" s="6"/>
      <c r="INN10" s="6"/>
      <c r="INP10" s="6"/>
      <c r="INR10" s="6"/>
      <c r="INT10" s="6"/>
      <c r="INV10" s="6"/>
      <c r="INX10" s="6"/>
      <c r="INZ10" s="6"/>
      <c r="IOB10" s="6"/>
      <c r="IOD10" s="6"/>
      <c r="IOF10" s="6"/>
      <c r="IOH10" s="6"/>
      <c r="IOJ10" s="6"/>
      <c r="IOL10" s="6"/>
      <c r="ION10" s="6"/>
      <c r="IOP10" s="6"/>
      <c r="IOR10" s="6"/>
      <c r="IOT10" s="6"/>
      <c r="IOV10" s="6"/>
      <c r="IOX10" s="6"/>
      <c r="IOZ10" s="6"/>
      <c r="IPB10" s="6"/>
      <c r="IPD10" s="6"/>
      <c r="IPF10" s="6"/>
      <c r="IPH10" s="6"/>
      <c r="IPJ10" s="6"/>
      <c r="IPL10" s="6"/>
      <c r="IPN10" s="6"/>
      <c r="IPP10" s="6"/>
      <c r="IPR10" s="6"/>
      <c r="IPT10" s="6"/>
      <c r="IPV10" s="6"/>
      <c r="IPX10" s="6"/>
      <c r="IPZ10" s="6"/>
      <c r="IQB10" s="6"/>
      <c r="IQD10" s="6"/>
      <c r="IQF10" s="6"/>
      <c r="IQH10" s="6"/>
      <c r="IQJ10" s="6"/>
      <c r="IQL10" s="6"/>
      <c r="IQN10" s="6"/>
      <c r="IQP10" s="6"/>
      <c r="IQR10" s="6"/>
      <c r="IQT10" s="6"/>
      <c r="IQV10" s="6"/>
      <c r="IQX10" s="6"/>
      <c r="IQZ10" s="6"/>
      <c r="IRB10" s="6"/>
      <c r="IRD10" s="6"/>
      <c r="IRF10" s="6"/>
      <c r="IRH10" s="6"/>
      <c r="IRJ10" s="6"/>
      <c r="IRL10" s="6"/>
      <c r="IRN10" s="6"/>
      <c r="IRP10" s="6"/>
      <c r="IRR10" s="6"/>
      <c r="IRT10" s="6"/>
      <c r="IRV10" s="6"/>
      <c r="IRX10" s="6"/>
      <c r="IRZ10" s="6"/>
      <c r="ISB10" s="6"/>
      <c r="ISD10" s="6"/>
      <c r="ISF10" s="6"/>
      <c r="ISH10" s="6"/>
      <c r="ISJ10" s="6"/>
      <c r="ISL10" s="6"/>
      <c r="ISN10" s="6"/>
      <c r="ISP10" s="6"/>
      <c r="ISR10" s="6"/>
      <c r="IST10" s="6"/>
      <c r="ISV10" s="6"/>
      <c r="ISX10" s="6"/>
      <c r="ISZ10" s="6"/>
      <c r="ITB10" s="6"/>
      <c r="ITD10" s="6"/>
      <c r="ITF10" s="6"/>
      <c r="ITH10" s="6"/>
      <c r="ITJ10" s="6"/>
      <c r="ITL10" s="6"/>
      <c r="ITN10" s="6"/>
      <c r="ITP10" s="6"/>
      <c r="ITR10" s="6"/>
      <c r="ITT10" s="6"/>
      <c r="ITV10" s="6"/>
      <c r="ITX10" s="6"/>
      <c r="ITZ10" s="6"/>
      <c r="IUB10" s="6"/>
      <c r="IUD10" s="6"/>
      <c r="IUF10" s="6"/>
      <c r="IUH10" s="6"/>
      <c r="IUJ10" s="6"/>
      <c r="IUL10" s="6"/>
      <c r="IUN10" s="6"/>
      <c r="IUP10" s="6"/>
      <c r="IUR10" s="6"/>
      <c r="IUT10" s="6"/>
      <c r="IUV10" s="6"/>
      <c r="IUX10" s="6"/>
      <c r="IUZ10" s="6"/>
      <c r="IVB10" s="6"/>
      <c r="IVD10" s="6"/>
      <c r="IVF10" s="6"/>
      <c r="IVH10" s="6"/>
      <c r="IVJ10" s="6"/>
      <c r="IVL10" s="6"/>
      <c r="IVN10" s="6"/>
      <c r="IVP10" s="6"/>
      <c r="IVR10" s="6"/>
      <c r="IVT10" s="6"/>
      <c r="IVV10" s="6"/>
      <c r="IVX10" s="6"/>
      <c r="IVZ10" s="6"/>
      <c r="IWB10" s="6"/>
      <c r="IWD10" s="6"/>
      <c r="IWF10" s="6"/>
      <c r="IWH10" s="6"/>
      <c r="IWJ10" s="6"/>
      <c r="IWL10" s="6"/>
      <c r="IWN10" s="6"/>
      <c r="IWP10" s="6"/>
      <c r="IWR10" s="6"/>
      <c r="IWT10" s="6"/>
      <c r="IWV10" s="6"/>
      <c r="IWX10" s="6"/>
      <c r="IWZ10" s="6"/>
      <c r="IXB10" s="6"/>
      <c r="IXD10" s="6"/>
      <c r="IXF10" s="6"/>
      <c r="IXH10" s="6"/>
      <c r="IXJ10" s="6"/>
      <c r="IXL10" s="6"/>
      <c r="IXN10" s="6"/>
      <c r="IXP10" s="6"/>
      <c r="IXR10" s="6"/>
      <c r="IXT10" s="6"/>
      <c r="IXV10" s="6"/>
      <c r="IXX10" s="6"/>
      <c r="IXZ10" s="6"/>
      <c r="IYB10" s="6"/>
      <c r="IYD10" s="6"/>
      <c r="IYF10" s="6"/>
      <c r="IYH10" s="6"/>
      <c r="IYJ10" s="6"/>
      <c r="IYL10" s="6"/>
      <c r="IYN10" s="6"/>
      <c r="IYP10" s="6"/>
      <c r="IYR10" s="6"/>
      <c r="IYT10" s="6"/>
      <c r="IYV10" s="6"/>
      <c r="IYX10" s="6"/>
      <c r="IYZ10" s="6"/>
      <c r="IZB10" s="6"/>
      <c r="IZD10" s="6"/>
      <c r="IZF10" s="6"/>
      <c r="IZH10" s="6"/>
      <c r="IZJ10" s="6"/>
      <c r="IZL10" s="6"/>
      <c r="IZN10" s="6"/>
      <c r="IZP10" s="6"/>
      <c r="IZR10" s="6"/>
      <c r="IZT10" s="6"/>
      <c r="IZV10" s="6"/>
      <c r="IZX10" s="6"/>
      <c r="IZZ10" s="6"/>
      <c r="JAB10" s="6"/>
      <c r="JAD10" s="6"/>
      <c r="JAF10" s="6"/>
      <c r="JAH10" s="6"/>
      <c r="JAJ10" s="6"/>
      <c r="JAL10" s="6"/>
      <c r="JAN10" s="6"/>
      <c r="JAP10" s="6"/>
      <c r="JAR10" s="6"/>
      <c r="JAT10" s="6"/>
      <c r="JAV10" s="6"/>
      <c r="JAX10" s="6"/>
      <c r="JAZ10" s="6"/>
      <c r="JBB10" s="6"/>
      <c r="JBD10" s="6"/>
      <c r="JBF10" s="6"/>
      <c r="JBH10" s="6"/>
      <c r="JBJ10" s="6"/>
      <c r="JBL10" s="6"/>
      <c r="JBN10" s="6"/>
      <c r="JBP10" s="6"/>
      <c r="JBR10" s="6"/>
      <c r="JBT10" s="6"/>
      <c r="JBV10" s="6"/>
      <c r="JBX10" s="6"/>
      <c r="JBZ10" s="6"/>
      <c r="JCB10" s="6"/>
      <c r="JCD10" s="6"/>
      <c r="JCF10" s="6"/>
      <c r="JCH10" s="6"/>
      <c r="JCJ10" s="6"/>
      <c r="JCL10" s="6"/>
      <c r="JCN10" s="6"/>
      <c r="JCP10" s="6"/>
      <c r="JCR10" s="6"/>
      <c r="JCT10" s="6"/>
      <c r="JCV10" s="6"/>
      <c r="JCX10" s="6"/>
      <c r="JCZ10" s="6"/>
      <c r="JDB10" s="6"/>
      <c r="JDD10" s="6"/>
      <c r="JDF10" s="6"/>
      <c r="JDH10" s="6"/>
      <c r="JDJ10" s="6"/>
      <c r="JDL10" s="6"/>
      <c r="JDN10" s="6"/>
      <c r="JDP10" s="6"/>
      <c r="JDR10" s="6"/>
      <c r="JDT10" s="6"/>
      <c r="JDV10" s="6"/>
      <c r="JDX10" s="6"/>
      <c r="JDZ10" s="6"/>
      <c r="JEB10" s="6"/>
      <c r="JED10" s="6"/>
      <c r="JEF10" s="6"/>
      <c r="JEH10" s="6"/>
      <c r="JEJ10" s="6"/>
      <c r="JEL10" s="6"/>
      <c r="JEN10" s="6"/>
      <c r="JEP10" s="6"/>
      <c r="JER10" s="6"/>
      <c r="JET10" s="6"/>
      <c r="JEV10" s="6"/>
      <c r="JEX10" s="6"/>
      <c r="JEZ10" s="6"/>
      <c r="JFB10" s="6"/>
      <c r="JFD10" s="6"/>
      <c r="JFF10" s="6"/>
      <c r="JFH10" s="6"/>
      <c r="JFJ10" s="6"/>
      <c r="JFL10" s="6"/>
      <c r="JFN10" s="6"/>
      <c r="JFP10" s="6"/>
      <c r="JFR10" s="6"/>
      <c r="JFT10" s="6"/>
      <c r="JFV10" s="6"/>
      <c r="JFX10" s="6"/>
      <c r="JFZ10" s="6"/>
      <c r="JGB10" s="6"/>
      <c r="JGD10" s="6"/>
      <c r="JGF10" s="6"/>
      <c r="JGH10" s="6"/>
      <c r="JGJ10" s="6"/>
      <c r="JGL10" s="6"/>
      <c r="JGN10" s="6"/>
      <c r="JGP10" s="6"/>
      <c r="JGR10" s="6"/>
      <c r="JGT10" s="6"/>
      <c r="JGV10" s="6"/>
      <c r="JGX10" s="6"/>
      <c r="JGZ10" s="6"/>
      <c r="JHB10" s="6"/>
      <c r="JHD10" s="6"/>
      <c r="JHF10" s="6"/>
      <c r="JHH10" s="6"/>
      <c r="JHJ10" s="6"/>
      <c r="JHL10" s="6"/>
      <c r="JHN10" s="6"/>
      <c r="JHP10" s="6"/>
      <c r="JHR10" s="6"/>
      <c r="JHT10" s="6"/>
      <c r="JHV10" s="6"/>
      <c r="JHX10" s="6"/>
      <c r="JHZ10" s="6"/>
      <c r="JIB10" s="6"/>
      <c r="JID10" s="6"/>
      <c r="JIF10" s="6"/>
      <c r="JIH10" s="6"/>
      <c r="JIJ10" s="6"/>
      <c r="JIL10" s="6"/>
      <c r="JIN10" s="6"/>
      <c r="JIP10" s="6"/>
      <c r="JIR10" s="6"/>
      <c r="JIT10" s="6"/>
      <c r="JIV10" s="6"/>
      <c r="JIX10" s="6"/>
      <c r="JIZ10" s="6"/>
      <c r="JJB10" s="6"/>
      <c r="JJD10" s="6"/>
      <c r="JJF10" s="6"/>
      <c r="JJH10" s="6"/>
      <c r="JJJ10" s="6"/>
      <c r="JJL10" s="6"/>
      <c r="JJN10" s="6"/>
      <c r="JJP10" s="6"/>
      <c r="JJR10" s="6"/>
      <c r="JJT10" s="6"/>
      <c r="JJV10" s="6"/>
      <c r="JJX10" s="6"/>
      <c r="JJZ10" s="6"/>
      <c r="JKB10" s="6"/>
      <c r="JKD10" s="6"/>
      <c r="JKF10" s="6"/>
      <c r="JKH10" s="6"/>
      <c r="JKJ10" s="6"/>
      <c r="JKL10" s="6"/>
      <c r="JKN10" s="6"/>
      <c r="JKP10" s="6"/>
      <c r="JKR10" s="6"/>
      <c r="JKT10" s="6"/>
      <c r="JKV10" s="6"/>
      <c r="JKX10" s="6"/>
      <c r="JKZ10" s="6"/>
      <c r="JLB10" s="6"/>
      <c r="JLD10" s="6"/>
      <c r="JLF10" s="6"/>
      <c r="JLH10" s="6"/>
      <c r="JLJ10" s="6"/>
      <c r="JLL10" s="6"/>
      <c r="JLN10" s="6"/>
      <c r="JLP10" s="6"/>
      <c r="JLR10" s="6"/>
      <c r="JLT10" s="6"/>
      <c r="JLV10" s="6"/>
      <c r="JLX10" s="6"/>
      <c r="JLZ10" s="6"/>
      <c r="JMB10" s="6"/>
      <c r="JMD10" s="6"/>
      <c r="JMF10" s="6"/>
      <c r="JMH10" s="6"/>
      <c r="JMJ10" s="6"/>
      <c r="JML10" s="6"/>
      <c r="JMN10" s="6"/>
      <c r="JMP10" s="6"/>
      <c r="JMR10" s="6"/>
      <c r="JMT10" s="6"/>
      <c r="JMV10" s="6"/>
      <c r="JMX10" s="6"/>
      <c r="JMZ10" s="6"/>
      <c r="JNB10" s="6"/>
      <c r="JND10" s="6"/>
      <c r="JNF10" s="6"/>
      <c r="JNH10" s="6"/>
      <c r="JNJ10" s="6"/>
      <c r="JNL10" s="6"/>
      <c r="JNN10" s="6"/>
      <c r="JNP10" s="6"/>
      <c r="JNR10" s="6"/>
      <c r="JNT10" s="6"/>
      <c r="JNV10" s="6"/>
      <c r="JNX10" s="6"/>
      <c r="JNZ10" s="6"/>
      <c r="JOB10" s="6"/>
      <c r="JOD10" s="6"/>
      <c r="JOF10" s="6"/>
      <c r="JOH10" s="6"/>
      <c r="JOJ10" s="6"/>
      <c r="JOL10" s="6"/>
      <c r="JON10" s="6"/>
      <c r="JOP10" s="6"/>
      <c r="JOR10" s="6"/>
      <c r="JOT10" s="6"/>
      <c r="JOV10" s="6"/>
      <c r="JOX10" s="6"/>
      <c r="JOZ10" s="6"/>
      <c r="JPB10" s="6"/>
      <c r="JPD10" s="6"/>
      <c r="JPF10" s="6"/>
      <c r="JPH10" s="6"/>
      <c r="JPJ10" s="6"/>
      <c r="JPL10" s="6"/>
      <c r="JPN10" s="6"/>
      <c r="JPP10" s="6"/>
      <c r="JPR10" s="6"/>
      <c r="JPT10" s="6"/>
      <c r="JPV10" s="6"/>
      <c r="JPX10" s="6"/>
      <c r="JPZ10" s="6"/>
      <c r="JQB10" s="6"/>
      <c r="JQD10" s="6"/>
      <c r="JQF10" s="6"/>
      <c r="JQH10" s="6"/>
      <c r="JQJ10" s="6"/>
      <c r="JQL10" s="6"/>
      <c r="JQN10" s="6"/>
      <c r="JQP10" s="6"/>
      <c r="JQR10" s="6"/>
      <c r="JQT10" s="6"/>
      <c r="JQV10" s="6"/>
      <c r="JQX10" s="6"/>
      <c r="JQZ10" s="6"/>
      <c r="JRB10" s="6"/>
      <c r="JRD10" s="6"/>
      <c r="JRF10" s="6"/>
      <c r="JRH10" s="6"/>
      <c r="JRJ10" s="6"/>
      <c r="JRL10" s="6"/>
      <c r="JRN10" s="6"/>
      <c r="JRP10" s="6"/>
      <c r="JRR10" s="6"/>
      <c r="JRT10" s="6"/>
      <c r="JRV10" s="6"/>
      <c r="JRX10" s="6"/>
      <c r="JRZ10" s="6"/>
      <c r="JSB10" s="6"/>
      <c r="JSD10" s="6"/>
      <c r="JSF10" s="6"/>
      <c r="JSH10" s="6"/>
      <c r="JSJ10" s="6"/>
      <c r="JSL10" s="6"/>
      <c r="JSN10" s="6"/>
      <c r="JSP10" s="6"/>
      <c r="JSR10" s="6"/>
      <c r="JST10" s="6"/>
      <c r="JSV10" s="6"/>
      <c r="JSX10" s="6"/>
      <c r="JSZ10" s="6"/>
      <c r="JTB10" s="6"/>
      <c r="JTD10" s="6"/>
      <c r="JTF10" s="6"/>
      <c r="JTH10" s="6"/>
      <c r="JTJ10" s="6"/>
      <c r="JTL10" s="6"/>
      <c r="JTN10" s="6"/>
      <c r="JTP10" s="6"/>
      <c r="JTR10" s="6"/>
      <c r="JTT10" s="6"/>
      <c r="JTV10" s="6"/>
      <c r="JTX10" s="6"/>
      <c r="JTZ10" s="6"/>
      <c r="JUB10" s="6"/>
      <c r="JUD10" s="6"/>
      <c r="JUF10" s="6"/>
      <c r="JUH10" s="6"/>
      <c r="JUJ10" s="6"/>
      <c r="JUL10" s="6"/>
      <c r="JUN10" s="6"/>
      <c r="JUP10" s="6"/>
      <c r="JUR10" s="6"/>
      <c r="JUT10" s="6"/>
      <c r="JUV10" s="6"/>
      <c r="JUX10" s="6"/>
      <c r="JUZ10" s="6"/>
      <c r="JVB10" s="6"/>
      <c r="JVD10" s="6"/>
      <c r="JVF10" s="6"/>
      <c r="JVH10" s="6"/>
      <c r="JVJ10" s="6"/>
      <c r="JVL10" s="6"/>
      <c r="JVN10" s="6"/>
      <c r="JVP10" s="6"/>
      <c r="JVR10" s="6"/>
      <c r="JVT10" s="6"/>
      <c r="JVV10" s="6"/>
      <c r="JVX10" s="6"/>
      <c r="JVZ10" s="6"/>
      <c r="JWB10" s="6"/>
      <c r="JWD10" s="6"/>
      <c r="JWF10" s="6"/>
      <c r="JWH10" s="6"/>
      <c r="JWJ10" s="6"/>
      <c r="JWL10" s="6"/>
      <c r="JWN10" s="6"/>
      <c r="JWP10" s="6"/>
      <c r="JWR10" s="6"/>
      <c r="JWT10" s="6"/>
      <c r="JWV10" s="6"/>
      <c r="JWX10" s="6"/>
      <c r="JWZ10" s="6"/>
      <c r="JXB10" s="6"/>
      <c r="JXD10" s="6"/>
      <c r="JXF10" s="6"/>
      <c r="JXH10" s="6"/>
      <c r="JXJ10" s="6"/>
      <c r="JXL10" s="6"/>
      <c r="JXN10" s="6"/>
      <c r="JXP10" s="6"/>
      <c r="JXR10" s="6"/>
      <c r="JXT10" s="6"/>
      <c r="JXV10" s="6"/>
      <c r="JXX10" s="6"/>
      <c r="JXZ10" s="6"/>
      <c r="JYB10" s="6"/>
      <c r="JYD10" s="6"/>
      <c r="JYF10" s="6"/>
      <c r="JYH10" s="6"/>
      <c r="JYJ10" s="6"/>
      <c r="JYL10" s="6"/>
      <c r="JYN10" s="6"/>
      <c r="JYP10" s="6"/>
      <c r="JYR10" s="6"/>
      <c r="JYT10" s="6"/>
      <c r="JYV10" s="6"/>
      <c r="JYX10" s="6"/>
      <c r="JYZ10" s="6"/>
      <c r="JZB10" s="6"/>
      <c r="JZD10" s="6"/>
      <c r="JZF10" s="6"/>
      <c r="JZH10" s="6"/>
      <c r="JZJ10" s="6"/>
      <c r="JZL10" s="6"/>
      <c r="JZN10" s="6"/>
      <c r="JZP10" s="6"/>
      <c r="JZR10" s="6"/>
      <c r="JZT10" s="6"/>
      <c r="JZV10" s="6"/>
      <c r="JZX10" s="6"/>
      <c r="JZZ10" s="6"/>
      <c r="KAB10" s="6"/>
      <c r="KAD10" s="6"/>
      <c r="KAF10" s="6"/>
      <c r="KAH10" s="6"/>
      <c r="KAJ10" s="6"/>
      <c r="KAL10" s="6"/>
      <c r="KAN10" s="6"/>
      <c r="KAP10" s="6"/>
      <c r="KAR10" s="6"/>
      <c r="KAT10" s="6"/>
      <c r="KAV10" s="6"/>
      <c r="KAX10" s="6"/>
      <c r="KAZ10" s="6"/>
      <c r="KBB10" s="6"/>
      <c r="KBD10" s="6"/>
      <c r="KBF10" s="6"/>
      <c r="KBH10" s="6"/>
      <c r="KBJ10" s="6"/>
      <c r="KBL10" s="6"/>
      <c r="KBN10" s="6"/>
      <c r="KBP10" s="6"/>
      <c r="KBR10" s="6"/>
      <c r="KBT10" s="6"/>
      <c r="KBV10" s="6"/>
      <c r="KBX10" s="6"/>
      <c r="KBZ10" s="6"/>
      <c r="KCB10" s="6"/>
      <c r="KCD10" s="6"/>
      <c r="KCF10" s="6"/>
      <c r="KCH10" s="6"/>
      <c r="KCJ10" s="6"/>
      <c r="KCL10" s="6"/>
      <c r="KCN10" s="6"/>
      <c r="KCP10" s="6"/>
      <c r="KCR10" s="6"/>
      <c r="KCT10" s="6"/>
      <c r="KCV10" s="6"/>
      <c r="KCX10" s="6"/>
      <c r="KCZ10" s="6"/>
      <c r="KDB10" s="6"/>
      <c r="KDD10" s="6"/>
      <c r="KDF10" s="6"/>
      <c r="KDH10" s="6"/>
      <c r="KDJ10" s="6"/>
      <c r="KDL10" s="6"/>
      <c r="KDN10" s="6"/>
      <c r="KDP10" s="6"/>
      <c r="KDR10" s="6"/>
      <c r="KDT10" s="6"/>
      <c r="KDV10" s="6"/>
      <c r="KDX10" s="6"/>
      <c r="KDZ10" s="6"/>
      <c r="KEB10" s="6"/>
      <c r="KED10" s="6"/>
      <c r="KEF10" s="6"/>
      <c r="KEH10" s="6"/>
      <c r="KEJ10" s="6"/>
      <c r="KEL10" s="6"/>
      <c r="KEN10" s="6"/>
      <c r="KEP10" s="6"/>
      <c r="KER10" s="6"/>
      <c r="KET10" s="6"/>
      <c r="KEV10" s="6"/>
      <c r="KEX10" s="6"/>
      <c r="KEZ10" s="6"/>
      <c r="KFB10" s="6"/>
      <c r="KFD10" s="6"/>
      <c r="KFF10" s="6"/>
      <c r="KFH10" s="6"/>
      <c r="KFJ10" s="6"/>
      <c r="KFL10" s="6"/>
      <c r="KFN10" s="6"/>
      <c r="KFP10" s="6"/>
      <c r="KFR10" s="6"/>
      <c r="KFT10" s="6"/>
      <c r="KFV10" s="6"/>
      <c r="KFX10" s="6"/>
      <c r="KFZ10" s="6"/>
      <c r="KGB10" s="6"/>
      <c r="KGD10" s="6"/>
      <c r="KGF10" s="6"/>
      <c r="KGH10" s="6"/>
      <c r="KGJ10" s="6"/>
      <c r="KGL10" s="6"/>
      <c r="KGN10" s="6"/>
      <c r="KGP10" s="6"/>
      <c r="KGR10" s="6"/>
      <c r="KGT10" s="6"/>
      <c r="KGV10" s="6"/>
      <c r="KGX10" s="6"/>
      <c r="KGZ10" s="6"/>
      <c r="KHB10" s="6"/>
      <c r="KHD10" s="6"/>
      <c r="KHF10" s="6"/>
      <c r="KHH10" s="6"/>
      <c r="KHJ10" s="6"/>
      <c r="KHL10" s="6"/>
      <c r="KHN10" s="6"/>
      <c r="KHP10" s="6"/>
      <c r="KHR10" s="6"/>
      <c r="KHT10" s="6"/>
      <c r="KHV10" s="6"/>
      <c r="KHX10" s="6"/>
      <c r="KHZ10" s="6"/>
      <c r="KIB10" s="6"/>
      <c r="KID10" s="6"/>
      <c r="KIF10" s="6"/>
      <c r="KIH10" s="6"/>
      <c r="KIJ10" s="6"/>
      <c r="KIL10" s="6"/>
      <c r="KIN10" s="6"/>
      <c r="KIP10" s="6"/>
      <c r="KIR10" s="6"/>
      <c r="KIT10" s="6"/>
      <c r="KIV10" s="6"/>
      <c r="KIX10" s="6"/>
      <c r="KIZ10" s="6"/>
      <c r="KJB10" s="6"/>
      <c r="KJD10" s="6"/>
      <c r="KJF10" s="6"/>
      <c r="KJH10" s="6"/>
      <c r="KJJ10" s="6"/>
      <c r="KJL10" s="6"/>
      <c r="KJN10" s="6"/>
      <c r="KJP10" s="6"/>
      <c r="KJR10" s="6"/>
      <c r="KJT10" s="6"/>
      <c r="KJV10" s="6"/>
      <c r="KJX10" s="6"/>
      <c r="KJZ10" s="6"/>
      <c r="KKB10" s="6"/>
      <c r="KKD10" s="6"/>
      <c r="KKF10" s="6"/>
      <c r="KKH10" s="6"/>
      <c r="KKJ10" s="6"/>
      <c r="KKL10" s="6"/>
      <c r="KKN10" s="6"/>
      <c r="KKP10" s="6"/>
      <c r="KKR10" s="6"/>
      <c r="KKT10" s="6"/>
      <c r="KKV10" s="6"/>
      <c r="KKX10" s="6"/>
      <c r="KKZ10" s="6"/>
      <c r="KLB10" s="6"/>
      <c r="KLD10" s="6"/>
      <c r="KLF10" s="6"/>
      <c r="KLH10" s="6"/>
      <c r="KLJ10" s="6"/>
      <c r="KLL10" s="6"/>
      <c r="KLN10" s="6"/>
      <c r="KLP10" s="6"/>
      <c r="KLR10" s="6"/>
      <c r="KLT10" s="6"/>
      <c r="KLV10" s="6"/>
      <c r="KLX10" s="6"/>
      <c r="KLZ10" s="6"/>
      <c r="KMB10" s="6"/>
      <c r="KMD10" s="6"/>
      <c r="KMF10" s="6"/>
      <c r="KMH10" s="6"/>
      <c r="KMJ10" s="6"/>
      <c r="KML10" s="6"/>
      <c r="KMN10" s="6"/>
      <c r="KMP10" s="6"/>
      <c r="KMR10" s="6"/>
      <c r="KMT10" s="6"/>
      <c r="KMV10" s="6"/>
      <c r="KMX10" s="6"/>
      <c r="KMZ10" s="6"/>
      <c r="KNB10" s="6"/>
      <c r="KND10" s="6"/>
      <c r="KNF10" s="6"/>
      <c r="KNH10" s="6"/>
      <c r="KNJ10" s="6"/>
      <c r="KNL10" s="6"/>
      <c r="KNN10" s="6"/>
      <c r="KNP10" s="6"/>
      <c r="KNR10" s="6"/>
      <c r="KNT10" s="6"/>
      <c r="KNV10" s="6"/>
      <c r="KNX10" s="6"/>
      <c r="KNZ10" s="6"/>
      <c r="KOB10" s="6"/>
      <c r="KOD10" s="6"/>
      <c r="KOF10" s="6"/>
      <c r="KOH10" s="6"/>
      <c r="KOJ10" s="6"/>
      <c r="KOL10" s="6"/>
      <c r="KON10" s="6"/>
      <c r="KOP10" s="6"/>
      <c r="KOR10" s="6"/>
      <c r="KOT10" s="6"/>
      <c r="KOV10" s="6"/>
      <c r="KOX10" s="6"/>
      <c r="KOZ10" s="6"/>
      <c r="KPB10" s="6"/>
      <c r="KPD10" s="6"/>
      <c r="KPF10" s="6"/>
      <c r="KPH10" s="6"/>
      <c r="KPJ10" s="6"/>
      <c r="KPL10" s="6"/>
      <c r="KPN10" s="6"/>
      <c r="KPP10" s="6"/>
      <c r="KPR10" s="6"/>
      <c r="KPT10" s="6"/>
      <c r="KPV10" s="6"/>
      <c r="KPX10" s="6"/>
      <c r="KPZ10" s="6"/>
      <c r="KQB10" s="6"/>
      <c r="KQD10" s="6"/>
      <c r="KQF10" s="6"/>
      <c r="KQH10" s="6"/>
      <c r="KQJ10" s="6"/>
      <c r="KQL10" s="6"/>
      <c r="KQN10" s="6"/>
      <c r="KQP10" s="6"/>
      <c r="KQR10" s="6"/>
      <c r="KQT10" s="6"/>
      <c r="KQV10" s="6"/>
      <c r="KQX10" s="6"/>
      <c r="KQZ10" s="6"/>
      <c r="KRB10" s="6"/>
      <c r="KRD10" s="6"/>
      <c r="KRF10" s="6"/>
      <c r="KRH10" s="6"/>
      <c r="KRJ10" s="6"/>
      <c r="KRL10" s="6"/>
      <c r="KRN10" s="6"/>
      <c r="KRP10" s="6"/>
      <c r="KRR10" s="6"/>
      <c r="KRT10" s="6"/>
      <c r="KRV10" s="6"/>
      <c r="KRX10" s="6"/>
      <c r="KRZ10" s="6"/>
      <c r="KSB10" s="6"/>
      <c r="KSD10" s="6"/>
      <c r="KSF10" s="6"/>
      <c r="KSH10" s="6"/>
      <c r="KSJ10" s="6"/>
      <c r="KSL10" s="6"/>
      <c r="KSN10" s="6"/>
      <c r="KSP10" s="6"/>
      <c r="KSR10" s="6"/>
      <c r="KST10" s="6"/>
      <c r="KSV10" s="6"/>
      <c r="KSX10" s="6"/>
      <c r="KSZ10" s="6"/>
      <c r="KTB10" s="6"/>
      <c r="KTD10" s="6"/>
      <c r="KTF10" s="6"/>
      <c r="KTH10" s="6"/>
      <c r="KTJ10" s="6"/>
      <c r="KTL10" s="6"/>
      <c r="KTN10" s="6"/>
      <c r="KTP10" s="6"/>
      <c r="KTR10" s="6"/>
      <c r="KTT10" s="6"/>
      <c r="KTV10" s="6"/>
      <c r="KTX10" s="6"/>
      <c r="KTZ10" s="6"/>
      <c r="KUB10" s="6"/>
      <c r="KUD10" s="6"/>
      <c r="KUF10" s="6"/>
      <c r="KUH10" s="6"/>
      <c r="KUJ10" s="6"/>
      <c r="KUL10" s="6"/>
      <c r="KUN10" s="6"/>
      <c r="KUP10" s="6"/>
      <c r="KUR10" s="6"/>
      <c r="KUT10" s="6"/>
      <c r="KUV10" s="6"/>
      <c r="KUX10" s="6"/>
      <c r="KUZ10" s="6"/>
      <c r="KVB10" s="6"/>
      <c r="KVD10" s="6"/>
      <c r="KVF10" s="6"/>
      <c r="KVH10" s="6"/>
      <c r="KVJ10" s="6"/>
      <c r="KVL10" s="6"/>
      <c r="KVN10" s="6"/>
      <c r="KVP10" s="6"/>
      <c r="KVR10" s="6"/>
      <c r="KVT10" s="6"/>
      <c r="KVV10" s="6"/>
      <c r="KVX10" s="6"/>
      <c r="KVZ10" s="6"/>
      <c r="KWB10" s="6"/>
      <c r="KWD10" s="6"/>
      <c r="KWF10" s="6"/>
      <c r="KWH10" s="6"/>
      <c r="KWJ10" s="6"/>
      <c r="KWL10" s="6"/>
      <c r="KWN10" s="6"/>
      <c r="KWP10" s="6"/>
      <c r="KWR10" s="6"/>
      <c r="KWT10" s="6"/>
      <c r="KWV10" s="6"/>
      <c r="KWX10" s="6"/>
      <c r="KWZ10" s="6"/>
      <c r="KXB10" s="6"/>
      <c r="KXD10" s="6"/>
      <c r="KXF10" s="6"/>
      <c r="KXH10" s="6"/>
      <c r="KXJ10" s="6"/>
      <c r="KXL10" s="6"/>
      <c r="KXN10" s="6"/>
      <c r="KXP10" s="6"/>
      <c r="KXR10" s="6"/>
      <c r="KXT10" s="6"/>
      <c r="KXV10" s="6"/>
      <c r="KXX10" s="6"/>
      <c r="KXZ10" s="6"/>
      <c r="KYB10" s="6"/>
      <c r="KYD10" s="6"/>
      <c r="KYF10" s="6"/>
      <c r="KYH10" s="6"/>
      <c r="KYJ10" s="6"/>
      <c r="KYL10" s="6"/>
      <c r="KYN10" s="6"/>
      <c r="KYP10" s="6"/>
      <c r="KYR10" s="6"/>
      <c r="KYT10" s="6"/>
      <c r="KYV10" s="6"/>
      <c r="KYX10" s="6"/>
      <c r="KYZ10" s="6"/>
      <c r="KZB10" s="6"/>
      <c r="KZD10" s="6"/>
      <c r="KZF10" s="6"/>
      <c r="KZH10" s="6"/>
      <c r="KZJ10" s="6"/>
      <c r="KZL10" s="6"/>
      <c r="KZN10" s="6"/>
      <c r="KZP10" s="6"/>
      <c r="KZR10" s="6"/>
      <c r="KZT10" s="6"/>
      <c r="KZV10" s="6"/>
      <c r="KZX10" s="6"/>
      <c r="KZZ10" s="6"/>
      <c r="LAB10" s="6"/>
      <c r="LAD10" s="6"/>
      <c r="LAF10" s="6"/>
      <c r="LAH10" s="6"/>
      <c r="LAJ10" s="6"/>
      <c r="LAL10" s="6"/>
      <c r="LAN10" s="6"/>
      <c r="LAP10" s="6"/>
      <c r="LAR10" s="6"/>
      <c r="LAT10" s="6"/>
      <c r="LAV10" s="6"/>
      <c r="LAX10" s="6"/>
      <c r="LAZ10" s="6"/>
      <c r="LBB10" s="6"/>
      <c r="LBD10" s="6"/>
      <c r="LBF10" s="6"/>
      <c r="LBH10" s="6"/>
      <c r="LBJ10" s="6"/>
      <c r="LBL10" s="6"/>
      <c r="LBN10" s="6"/>
      <c r="LBP10" s="6"/>
      <c r="LBR10" s="6"/>
      <c r="LBT10" s="6"/>
      <c r="LBV10" s="6"/>
      <c r="LBX10" s="6"/>
      <c r="LBZ10" s="6"/>
      <c r="LCB10" s="6"/>
      <c r="LCD10" s="6"/>
      <c r="LCF10" s="6"/>
      <c r="LCH10" s="6"/>
      <c r="LCJ10" s="6"/>
      <c r="LCL10" s="6"/>
      <c r="LCN10" s="6"/>
      <c r="LCP10" s="6"/>
      <c r="LCR10" s="6"/>
      <c r="LCT10" s="6"/>
      <c r="LCV10" s="6"/>
      <c r="LCX10" s="6"/>
      <c r="LCZ10" s="6"/>
      <c r="LDB10" s="6"/>
      <c r="LDD10" s="6"/>
      <c r="LDF10" s="6"/>
      <c r="LDH10" s="6"/>
      <c r="LDJ10" s="6"/>
      <c r="LDL10" s="6"/>
      <c r="LDN10" s="6"/>
      <c r="LDP10" s="6"/>
      <c r="LDR10" s="6"/>
      <c r="LDT10" s="6"/>
      <c r="LDV10" s="6"/>
      <c r="LDX10" s="6"/>
      <c r="LDZ10" s="6"/>
      <c r="LEB10" s="6"/>
      <c r="LED10" s="6"/>
      <c r="LEF10" s="6"/>
      <c r="LEH10" s="6"/>
      <c r="LEJ10" s="6"/>
      <c r="LEL10" s="6"/>
      <c r="LEN10" s="6"/>
      <c r="LEP10" s="6"/>
      <c r="LER10" s="6"/>
      <c r="LET10" s="6"/>
      <c r="LEV10" s="6"/>
      <c r="LEX10" s="6"/>
      <c r="LEZ10" s="6"/>
      <c r="LFB10" s="6"/>
      <c r="LFD10" s="6"/>
      <c r="LFF10" s="6"/>
      <c r="LFH10" s="6"/>
      <c r="LFJ10" s="6"/>
      <c r="LFL10" s="6"/>
      <c r="LFN10" s="6"/>
      <c r="LFP10" s="6"/>
      <c r="LFR10" s="6"/>
      <c r="LFT10" s="6"/>
      <c r="LFV10" s="6"/>
      <c r="LFX10" s="6"/>
      <c r="LFZ10" s="6"/>
      <c r="LGB10" s="6"/>
      <c r="LGD10" s="6"/>
      <c r="LGF10" s="6"/>
      <c r="LGH10" s="6"/>
      <c r="LGJ10" s="6"/>
      <c r="LGL10" s="6"/>
      <c r="LGN10" s="6"/>
      <c r="LGP10" s="6"/>
      <c r="LGR10" s="6"/>
      <c r="LGT10" s="6"/>
      <c r="LGV10" s="6"/>
      <c r="LGX10" s="6"/>
      <c r="LGZ10" s="6"/>
      <c r="LHB10" s="6"/>
      <c r="LHD10" s="6"/>
      <c r="LHF10" s="6"/>
      <c r="LHH10" s="6"/>
      <c r="LHJ10" s="6"/>
      <c r="LHL10" s="6"/>
      <c r="LHN10" s="6"/>
      <c r="LHP10" s="6"/>
      <c r="LHR10" s="6"/>
      <c r="LHT10" s="6"/>
      <c r="LHV10" s="6"/>
      <c r="LHX10" s="6"/>
      <c r="LHZ10" s="6"/>
      <c r="LIB10" s="6"/>
      <c r="LID10" s="6"/>
      <c r="LIF10" s="6"/>
      <c r="LIH10" s="6"/>
      <c r="LIJ10" s="6"/>
      <c r="LIL10" s="6"/>
      <c r="LIN10" s="6"/>
      <c r="LIP10" s="6"/>
      <c r="LIR10" s="6"/>
      <c r="LIT10" s="6"/>
      <c r="LIV10" s="6"/>
      <c r="LIX10" s="6"/>
      <c r="LIZ10" s="6"/>
      <c r="LJB10" s="6"/>
      <c r="LJD10" s="6"/>
      <c r="LJF10" s="6"/>
      <c r="LJH10" s="6"/>
      <c r="LJJ10" s="6"/>
      <c r="LJL10" s="6"/>
      <c r="LJN10" s="6"/>
      <c r="LJP10" s="6"/>
      <c r="LJR10" s="6"/>
      <c r="LJT10" s="6"/>
      <c r="LJV10" s="6"/>
      <c r="LJX10" s="6"/>
      <c r="LJZ10" s="6"/>
      <c r="LKB10" s="6"/>
      <c r="LKD10" s="6"/>
      <c r="LKF10" s="6"/>
      <c r="LKH10" s="6"/>
      <c r="LKJ10" s="6"/>
      <c r="LKL10" s="6"/>
      <c r="LKN10" s="6"/>
      <c r="LKP10" s="6"/>
      <c r="LKR10" s="6"/>
      <c r="LKT10" s="6"/>
      <c r="LKV10" s="6"/>
      <c r="LKX10" s="6"/>
      <c r="LKZ10" s="6"/>
      <c r="LLB10" s="6"/>
      <c r="LLD10" s="6"/>
      <c r="LLF10" s="6"/>
      <c r="LLH10" s="6"/>
      <c r="LLJ10" s="6"/>
      <c r="LLL10" s="6"/>
      <c r="LLN10" s="6"/>
      <c r="LLP10" s="6"/>
      <c r="LLR10" s="6"/>
      <c r="LLT10" s="6"/>
      <c r="LLV10" s="6"/>
      <c r="LLX10" s="6"/>
      <c r="LLZ10" s="6"/>
      <c r="LMB10" s="6"/>
      <c r="LMD10" s="6"/>
      <c r="LMF10" s="6"/>
      <c r="LMH10" s="6"/>
      <c r="LMJ10" s="6"/>
      <c r="LML10" s="6"/>
      <c r="LMN10" s="6"/>
      <c r="LMP10" s="6"/>
      <c r="LMR10" s="6"/>
      <c r="LMT10" s="6"/>
      <c r="LMV10" s="6"/>
      <c r="LMX10" s="6"/>
      <c r="LMZ10" s="6"/>
      <c r="LNB10" s="6"/>
      <c r="LND10" s="6"/>
      <c r="LNF10" s="6"/>
      <c r="LNH10" s="6"/>
      <c r="LNJ10" s="6"/>
      <c r="LNL10" s="6"/>
      <c r="LNN10" s="6"/>
      <c r="LNP10" s="6"/>
      <c r="LNR10" s="6"/>
      <c r="LNT10" s="6"/>
      <c r="LNV10" s="6"/>
      <c r="LNX10" s="6"/>
      <c r="LNZ10" s="6"/>
      <c r="LOB10" s="6"/>
      <c r="LOD10" s="6"/>
      <c r="LOF10" s="6"/>
      <c r="LOH10" s="6"/>
      <c r="LOJ10" s="6"/>
      <c r="LOL10" s="6"/>
      <c r="LON10" s="6"/>
      <c r="LOP10" s="6"/>
      <c r="LOR10" s="6"/>
      <c r="LOT10" s="6"/>
      <c r="LOV10" s="6"/>
      <c r="LOX10" s="6"/>
      <c r="LOZ10" s="6"/>
      <c r="LPB10" s="6"/>
      <c r="LPD10" s="6"/>
      <c r="LPF10" s="6"/>
      <c r="LPH10" s="6"/>
      <c r="LPJ10" s="6"/>
      <c r="LPL10" s="6"/>
      <c r="LPN10" s="6"/>
      <c r="LPP10" s="6"/>
      <c r="LPR10" s="6"/>
      <c r="LPT10" s="6"/>
      <c r="LPV10" s="6"/>
      <c r="LPX10" s="6"/>
      <c r="LPZ10" s="6"/>
      <c r="LQB10" s="6"/>
      <c r="LQD10" s="6"/>
      <c r="LQF10" s="6"/>
      <c r="LQH10" s="6"/>
      <c r="LQJ10" s="6"/>
      <c r="LQL10" s="6"/>
      <c r="LQN10" s="6"/>
      <c r="LQP10" s="6"/>
      <c r="LQR10" s="6"/>
      <c r="LQT10" s="6"/>
      <c r="LQV10" s="6"/>
      <c r="LQX10" s="6"/>
      <c r="LQZ10" s="6"/>
      <c r="LRB10" s="6"/>
      <c r="LRD10" s="6"/>
      <c r="LRF10" s="6"/>
      <c r="LRH10" s="6"/>
      <c r="LRJ10" s="6"/>
      <c r="LRL10" s="6"/>
      <c r="LRN10" s="6"/>
      <c r="LRP10" s="6"/>
      <c r="LRR10" s="6"/>
      <c r="LRT10" s="6"/>
      <c r="LRV10" s="6"/>
      <c r="LRX10" s="6"/>
      <c r="LRZ10" s="6"/>
      <c r="LSB10" s="6"/>
      <c r="LSD10" s="6"/>
      <c r="LSF10" s="6"/>
      <c r="LSH10" s="6"/>
      <c r="LSJ10" s="6"/>
      <c r="LSL10" s="6"/>
      <c r="LSN10" s="6"/>
      <c r="LSP10" s="6"/>
      <c r="LSR10" s="6"/>
      <c r="LST10" s="6"/>
      <c r="LSV10" s="6"/>
      <c r="LSX10" s="6"/>
      <c r="LSZ10" s="6"/>
      <c r="LTB10" s="6"/>
      <c r="LTD10" s="6"/>
      <c r="LTF10" s="6"/>
      <c r="LTH10" s="6"/>
      <c r="LTJ10" s="6"/>
      <c r="LTL10" s="6"/>
      <c r="LTN10" s="6"/>
      <c r="LTP10" s="6"/>
      <c r="LTR10" s="6"/>
      <c r="LTT10" s="6"/>
      <c r="LTV10" s="6"/>
      <c r="LTX10" s="6"/>
      <c r="LTZ10" s="6"/>
      <c r="LUB10" s="6"/>
      <c r="LUD10" s="6"/>
      <c r="LUF10" s="6"/>
      <c r="LUH10" s="6"/>
      <c r="LUJ10" s="6"/>
      <c r="LUL10" s="6"/>
      <c r="LUN10" s="6"/>
      <c r="LUP10" s="6"/>
      <c r="LUR10" s="6"/>
      <c r="LUT10" s="6"/>
      <c r="LUV10" s="6"/>
      <c r="LUX10" s="6"/>
      <c r="LUZ10" s="6"/>
      <c r="LVB10" s="6"/>
      <c r="LVD10" s="6"/>
      <c r="LVF10" s="6"/>
      <c r="LVH10" s="6"/>
      <c r="LVJ10" s="6"/>
      <c r="LVL10" s="6"/>
      <c r="LVN10" s="6"/>
      <c r="LVP10" s="6"/>
      <c r="LVR10" s="6"/>
      <c r="LVT10" s="6"/>
      <c r="LVV10" s="6"/>
      <c r="LVX10" s="6"/>
      <c r="LVZ10" s="6"/>
      <c r="LWB10" s="6"/>
      <c r="LWD10" s="6"/>
      <c r="LWF10" s="6"/>
      <c r="LWH10" s="6"/>
      <c r="LWJ10" s="6"/>
      <c r="LWL10" s="6"/>
      <c r="LWN10" s="6"/>
      <c r="LWP10" s="6"/>
      <c r="LWR10" s="6"/>
      <c r="LWT10" s="6"/>
      <c r="LWV10" s="6"/>
      <c r="LWX10" s="6"/>
      <c r="LWZ10" s="6"/>
      <c r="LXB10" s="6"/>
      <c r="LXD10" s="6"/>
      <c r="LXF10" s="6"/>
      <c r="LXH10" s="6"/>
      <c r="LXJ10" s="6"/>
      <c r="LXL10" s="6"/>
      <c r="LXN10" s="6"/>
      <c r="LXP10" s="6"/>
      <c r="LXR10" s="6"/>
      <c r="LXT10" s="6"/>
      <c r="LXV10" s="6"/>
      <c r="LXX10" s="6"/>
      <c r="LXZ10" s="6"/>
      <c r="LYB10" s="6"/>
      <c r="LYD10" s="6"/>
      <c r="LYF10" s="6"/>
      <c r="LYH10" s="6"/>
      <c r="LYJ10" s="6"/>
      <c r="LYL10" s="6"/>
      <c r="LYN10" s="6"/>
      <c r="LYP10" s="6"/>
      <c r="LYR10" s="6"/>
      <c r="LYT10" s="6"/>
      <c r="LYV10" s="6"/>
      <c r="LYX10" s="6"/>
      <c r="LYZ10" s="6"/>
      <c r="LZB10" s="6"/>
      <c r="LZD10" s="6"/>
      <c r="LZF10" s="6"/>
      <c r="LZH10" s="6"/>
      <c r="LZJ10" s="6"/>
      <c r="LZL10" s="6"/>
      <c r="LZN10" s="6"/>
      <c r="LZP10" s="6"/>
      <c r="LZR10" s="6"/>
      <c r="LZT10" s="6"/>
      <c r="LZV10" s="6"/>
      <c r="LZX10" s="6"/>
      <c r="LZZ10" s="6"/>
      <c r="MAB10" s="6"/>
      <c r="MAD10" s="6"/>
      <c r="MAF10" s="6"/>
      <c r="MAH10" s="6"/>
      <c r="MAJ10" s="6"/>
      <c r="MAL10" s="6"/>
      <c r="MAN10" s="6"/>
      <c r="MAP10" s="6"/>
      <c r="MAR10" s="6"/>
      <c r="MAT10" s="6"/>
      <c r="MAV10" s="6"/>
      <c r="MAX10" s="6"/>
      <c r="MAZ10" s="6"/>
      <c r="MBB10" s="6"/>
      <c r="MBD10" s="6"/>
      <c r="MBF10" s="6"/>
      <c r="MBH10" s="6"/>
      <c r="MBJ10" s="6"/>
      <c r="MBL10" s="6"/>
      <c r="MBN10" s="6"/>
      <c r="MBP10" s="6"/>
      <c r="MBR10" s="6"/>
      <c r="MBT10" s="6"/>
      <c r="MBV10" s="6"/>
      <c r="MBX10" s="6"/>
      <c r="MBZ10" s="6"/>
      <c r="MCB10" s="6"/>
      <c r="MCD10" s="6"/>
      <c r="MCF10" s="6"/>
      <c r="MCH10" s="6"/>
      <c r="MCJ10" s="6"/>
      <c r="MCL10" s="6"/>
      <c r="MCN10" s="6"/>
      <c r="MCP10" s="6"/>
      <c r="MCR10" s="6"/>
      <c r="MCT10" s="6"/>
      <c r="MCV10" s="6"/>
      <c r="MCX10" s="6"/>
      <c r="MCZ10" s="6"/>
      <c r="MDB10" s="6"/>
      <c r="MDD10" s="6"/>
      <c r="MDF10" s="6"/>
      <c r="MDH10" s="6"/>
      <c r="MDJ10" s="6"/>
      <c r="MDL10" s="6"/>
      <c r="MDN10" s="6"/>
      <c r="MDP10" s="6"/>
      <c r="MDR10" s="6"/>
      <c r="MDT10" s="6"/>
      <c r="MDV10" s="6"/>
      <c r="MDX10" s="6"/>
      <c r="MDZ10" s="6"/>
      <c r="MEB10" s="6"/>
      <c r="MED10" s="6"/>
      <c r="MEF10" s="6"/>
      <c r="MEH10" s="6"/>
      <c r="MEJ10" s="6"/>
      <c r="MEL10" s="6"/>
      <c r="MEN10" s="6"/>
      <c r="MEP10" s="6"/>
      <c r="MER10" s="6"/>
      <c r="MET10" s="6"/>
      <c r="MEV10" s="6"/>
      <c r="MEX10" s="6"/>
      <c r="MEZ10" s="6"/>
      <c r="MFB10" s="6"/>
      <c r="MFD10" s="6"/>
      <c r="MFF10" s="6"/>
      <c r="MFH10" s="6"/>
      <c r="MFJ10" s="6"/>
      <c r="MFL10" s="6"/>
      <c r="MFN10" s="6"/>
      <c r="MFP10" s="6"/>
      <c r="MFR10" s="6"/>
      <c r="MFT10" s="6"/>
      <c r="MFV10" s="6"/>
      <c r="MFX10" s="6"/>
      <c r="MFZ10" s="6"/>
      <c r="MGB10" s="6"/>
      <c r="MGD10" s="6"/>
      <c r="MGF10" s="6"/>
      <c r="MGH10" s="6"/>
      <c r="MGJ10" s="6"/>
      <c r="MGL10" s="6"/>
      <c r="MGN10" s="6"/>
      <c r="MGP10" s="6"/>
      <c r="MGR10" s="6"/>
      <c r="MGT10" s="6"/>
      <c r="MGV10" s="6"/>
      <c r="MGX10" s="6"/>
      <c r="MGZ10" s="6"/>
      <c r="MHB10" s="6"/>
      <c r="MHD10" s="6"/>
      <c r="MHF10" s="6"/>
      <c r="MHH10" s="6"/>
      <c r="MHJ10" s="6"/>
      <c r="MHL10" s="6"/>
      <c r="MHN10" s="6"/>
      <c r="MHP10" s="6"/>
      <c r="MHR10" s="6"/>
      <c r="MHT10" s="6"/>
      <c r="MHV10" s="6"/>
      <c r="MHX10" s="6"/>
      <c r="MHZ10" s="6"/>
      <c r="MIB10" s="6"/>
      <c r="MID10" s="6"/>
      <c r="MIF10" s="6"/>
      <c r="MIH10" s="6"/>
      <c r="MIJ10" s="6"/>
      <c r="MIL10" s="6"/>
      <c r="MIN10" s="6"/>
      <c r="MIP10" s="6"/>
      <c r="MIR10" s="6"/>
      <c r="MIT10" s="6"/>
      <c r="MIV10" s="6"/>
      <c r="MIX10" s="6"/>
      <c r="MIZ10" s="6"/>
      <c r="MJB10" s="6"/>
      <c r="MJD10" s="6"/>
      <c r="MJF10" s="6"/>
      <c r="MJH10" s="6"/>
      <c r="MJJ10" s="6"/>
      <c r="MJL10" s="6"/>
      <c r="MJN10" s="6"/>
      <c r="MJP10" s="6"/>
      <c r="MJR10" s="6"/>
      <c r="MJT10" s="6"/>
      <c r="MJV10" s="6"/>
      <c r="MJX10" s="6"/>
      <c r="MJZ10" s="6"/>
      <c r="MKB10" s="6"/>
      <c r="MKD10" s="6"/>
      <c r="MKF10" s="6"/>
      <c r="MKH10" s="6"/>
      <c r="MKJ10" s="6"/>
      <c r="MKL10" s="6"/>
      <c r="MKN10" s="6"/>
      <c r="MKP10" s="6"/>
      <c r="MKR10" s="6"/>
      <c r="MKT10" s="6"/>
      <c r="MKV10" s="6"/>
      <c r="MKX10" s="6"/>
      <c r="MKZ10" s="6"/>
      <c r="MLB10" s="6"/>
      <c r="MLD10" s="6"/>
      <c r="MLF10" s="6"/>
      <c r="MLH10" s="6"/>
      <c r="MLJ10" s="6"/>
      <c r="MLL10" s="6"/>
      <c r="MLN10" s="6"/>
      <c r="MLP10" s="6"/>
      <c r="MLR10" s="6"/>
      <c r="MLT10" s="6"/>
      <c r="MLV10" s="6"/>
      <c r="MLX10" s="6"/>
      <c r="MLZ10" s="6"/>
      <c r="MMB10" s="6"/>
      <c r="MMD10" s="6"/>
      <c r="MMF10" s="6"/>
      <c r="MMH10" s="6"/>
      <c r="MMJ10" s="6"/>
      <c r="MML10" s="6"/>
      <c r="MMN10" s="6"/>
      <c r="MMP10" s="6"/>
      <c r="MMR10" s="6"/>
      <c r="MMT10" s="6"/>
      <c r="MMV10" s="6"/>
      <c r="MMX10" s="6"/>
      <c r="MMZ10" s="6"/>
      <c r="MNB10" s="6"/>
      <c r="MND10" s="6"/>
      <c r="MNF10" s="6"/>
      <c r="MNH10" s="6"/>
      <c r="MNJ10" s="6"/>
      <c r="MNL10" s="6"/>
      <c r="MNN10" s="6"/>
      <c r="MNP10" s="6"/>
      <c r="MNR10" s="6"/>
      <c r="MNT10" s="6"/>
      <c r="MNV10" s="6"/>
      <c r="MNX10" s="6"/>
      <c r="MNZ10" s="6"/>
      <c r="MOB10" s="6"/>
      <c r="MOD10" s="6"/>
      <c r="MOF10" s="6"/>
      <c r="MOH10" s="6"/>
      <c r="MOJ10" s="6"/>
      <c r="MOL10" s="6"/>
      <c r="MON10" s="6"/>
      <c r="MOP10" s="6"/>
      <c r="MOR10" s="6"/>
      <c r="MOT10" s="6"/>
      <c r="MOV10" s="6"/>
      <c r="MOX10" s="6"/>
      <c r="MOZ10" s="6"/>
      <c r="MPB10" s="6"/>
      <c r="MPD10" s="6"/>
      <c r="MPF10" s="6"/>
      <c r="MPH10" s="6"/>
      <c r="MPJ10" s="6"/>
      <c r="MPL10" s="6"/>
      <c r="MPN10" s="6"/>
      <c r="MPP10" s="6"/>
      <c r="MPR10" s="6"/>
      <c r="MPT10" s="6"/>
      <c r="MPV10" s="6"/>
      <c r="MPX10" s="6"/>
      <c r="MPZ10" s="6"/>
      <c r="MQB10" s="6"/>
      <c r="MQD10" s="6"/>
      <c r="MQF10" s="6"/>
      <c r="MQH10" s="6"/>
      <c r="MQJ10" s="6"/>
      <c r="MQL10" s="6"/>
      <c r="MQN10" s="6"/>
      <c r="MQP10" s="6"/>
      <c r="MQR10" s="6"/>
      <c r="MQT10" s="6"/>
      <c r="MQV10" s="6"/>
      <c r="MQX10" s="6"/>
      <c r="MQZ10" s="6"/>
      <c r="MRB10" s="6"/>
      <c r="MRD10" s="6"/>
      <c r="MRF10" s="6"/>
      <c r="MRH10" s="6"/>
      <c r="MRJ10" s="6"/>
      <c r="MRL10" s="6"/>
      <c r="MRN10" s="6"/>
      <c r="MRP10" s="6"/>
      <c r="MRR10" s="6"/>
      <c r="MRT10" s="6"/>
      <c r="MRV10" s="6"/>
      <c r="MRX10" s="6"/>
      <c r="MRZ10" s="6"/>
      <c r="MSB10" s="6"/>
      <c r="MSD10" s="6"/>
      <c r="MSF10" s="6"/>
      <c r="MSH10" s="6"/>
      <c r="MSJ10" s="6"/>
      <c r="MSL10" s="6"/>
      <c r="MSN10" s="6"/>
      <c r="MSP10" s="6"/>
      <c r="MSR10" s="6"/>
      <c r="MST10" s="6"/>
      <c r="MSV10" s="6"/>
      <c r="MSX10" s="6"/>
      <c r="MSZ10" s="6"/>
      <c r="MTB10" s="6"/>
      <c r="MTD10" s="6"/>
      <c r="MTF10" s="6"/>
      <c r="MTH10" s="6"/>
      <c r="MTJ10" s="6"/>
      <c r="MTL10" s="6"/>
      <c r="MTN10" s="6"/>
      <c r="MTP10" s="6"/>
      <c r="MTR10" s="6"/>
      <c r="MTT10" s="6"/>
      <c r="MTV10" s="6"/>
      <c r="MTX10" s="6"/>
      <c r="MTZ10" s="6"/>
      <c r="MUB10" s="6"/>
      <c r="MUD10" s="6"/>
      <c r="MUF10" s="6"/>
      <c r="MUH10" s="6"/>
      <c r="MUJ10" s="6"/>
      <c r="MUL10" s="6"/>
      <c r="MUN10" s="6"/>
      <c r="MUP10" s="6"/>
      <c r="MUR10" s="6"/>
      <c r="MUT10" s="6"/>
      <c r="MUV10" s="6"/>
      <c r="MUX10" s="6"/>
      <c r="MUZ10" s="6"/>
      <c r="MVB10" s="6"/>
      <c r="MVD10" s="6"/>
      <c r="MVF10" s="6"/>
      <c r="MVH10" s="6"/>
      <c r="MVJ10" s="6"/>
      <c r="MVL10" s="6"/>
      <c r="MVN10" s="6"/>
      <c r="MVP10" s="6"/>
      <c r="MVR10" s="6"/>
      <c r="MVT10" s="6"/>
      <c r="MVV10" s="6"/>
      <c r="MVX10" s="6"/>
      <c r="MVZ10" s="6"/>
      <c r="MWB10" s="6"/>
      <c r="MWD10" s="6"/>
      <c r="MWF10" s="6"/>
      <c r="MWH10" s="6"/>
      <c r="MWJ10" s="6"/>
      <c r="MWL10" s="6"/>
      <c r="MWN10" s="6"/>
      <c r="MWP10" s="6"/>
      <c r="MWR10" s="6"/>
      <c r="MWT10" s="6"/>
      <c r="MWV10" s="6"/>
      <c r="MWX10" s="6"/>
      <c r="MWZ10" s="6"/>
      <c r="MXB10" s="6"/>
      <c r="MXD10" s="6"/>
      <c r="MXF10" s="6"/>
      <c r="MXH10" s="6"/>
      <c r="MXJ10" s="6"/>
      <c r="MXL10" s="6"/>
      <c r="MXN10" s="6"/>
      <c r="MXP10" s="6"/>
      <c r="MXR10" s="6"/>
      <c r="MXT10" s="6"/>
      <c r="MXV10" s="6"/>
      <c r="MXX10" s="6"/>
      <c r="MXZ10" s="6"/>
      <c r="MYB10" s="6"/>
      <c r="MYD10" s="6"/>
      <c r="MYF10" s="6"/>
      <c r="MYH10" s="6"/>
      <c r="MYJ10" s="6"/>
      <c r="MYL10" s="6"/>
      <c r="MYN10" s="6"/>
      <c r="MYP10" s="6"/>
      <c r="MYR10" s="6"/>
      <c r="MYT10" s="6"/>
      <c r="MYV10" s="6"/>
      <c r="MYX10" s="6"/>
      <c r="MYZ10" s="6"/>
      <c r="MZB10" s="6"/>
      <c r="MZD10" s="6"/>
      <c r="MZF10" s="6"/>
      <c r="MZH10" s="6"/>
      <c r="MZJ10" s="6"/>
      <c r="MZL10" s="6"/>
      <c r="MZN10" s="6"/>
      <c r="MZP10" s="6"/>
      <c r="MZR10" s="6"/>
      <c r="MZT10" s="6"/>
      <c r="MZV10" s="6"/>
      <c r="MZX10" s="6"/>
      <c r="MZZ10" s="6"/>
      <c r="NAB10" s="6"/>
      <c r="NAD10" s="6"/>
      <c r="NAF10" s="6"/>
      <c r="NAH10" s="6"/>
      <c r="NAJ10" s="6"/>
      <c r="NAL10" s="6"/>
      <c r="NAN10" s="6"/>
      <c r="NAP10" s="6"/>
      <c r="NAR10" s="6"/>
      <c r="NAT10" s="6"/>
      <c r="NAV10" s="6"/>
      <c r="NAX10" s="6"/>
      <c r="NAZ10" s="6"/>
      <c r="NBB10" s="6"/>
      <c r="NBD10" s="6"/>
      <c r="NBF10" s="6"/>
      <c r="NBH10" s="6"/>
      <c r="NBJ10" s="6"/>
      <c r="NBL10" s="6"/>
      <c r="NBN10" s="6"/>
      <c r="NBP10" s="6"/>
      <c r="NBR10" s="6"/>
      <c r="NBT10" s="6"/>
      <c r="NBV10" s="6"/>
      <c r="NBX10" s="6"/>
      <c r="NBZ10" s="6"/>
      <c r="NCB10" s="6"/>
      <c r="NCD10" s="6"/>
      <c r="NCF10" s="6"/>
      <c r="NCH10" s="6"/>
      <c r="NCJ10" s="6"/>
      <c r="NCL10" s="6"/>
      <c r="NCN10" s="6"/>
      <c r="NCP10" s="6"/>
      <c r="NCR10" s="6"/>
      <c r="NCT10" s="6"/>
      <c r="NCV10" s="6"/>
      <c r="NCX10" s="6"/>
      <c r="NCZ10" s="6"/>
      <c r="NDB10" s="6"/>
      <c r="NDD10" s="6"/>
      <c r="NDF10" s="6"/>
      <c r="NDH10" s="6"/>
      <c r="NDJ10" s="6"/>
      <c r="NDL10" s="6"/>
      <c r="NDN10" s="6"/>
      <c r="NDP10" s="6"/>
      <c r="NDR10" s="6"/>
      <c r="NDT10" s="6"/>
      <c r="NDV10" s="6"/>
      <c r="NDX10" s="6"/>
      <c r="NDZ10" s="6"/>
      <c r="NEB10" s="6"/>
      <c r="NED10" s="6"/>
      <c r="NEF10" s="6"/>
      <c r="NEH10" s="6"/>
      <c r="NEJ10" s="6"/>
      <c r="NEL10" s="6"/>
      <c r="NEN10" s="6"/>
      <c r="NEP10" s="6"/>
      <c r="NER10" s="6"/>
      <c r="NET10" s="6"/>
      <c r="NEV10" s="6"/>
      <c r="NEX10" s="6"/>
      <c r="NEZ10" s="6"/>
      <c r="NFB10" s="6"/>
      <c r="NFD10" s="6"/>
      <c r="NFF10" s="6"/>
      <c r="NFH10" s="6"/>
      <c r="NFJ10" s="6"/>
      <c r="NFL10" s="6"/>
      <c r="NFN10" s="6"/>
      <c r="NFP10" s="6"/>
      <c r="NFR10" s="6"/>
      <c r="NFT10" s="6"/>
      <c r="NFV10" s="6"/>
      <c r="NFX10" s="6"/>
      <c r="NFZ10" s="6"/>
      <c r="NGB10" s="6"/>
      <c r="NGD10" s="6"/>
      <c r="NGF10" s="6"/>
      <c r="NGH10" s="6"/>
      <c r="NGJ10" s="6"/>
      <c r="NGL10" s="6"/>
      <c r="NGN10" s="6"/>
      <c r="NGP10" s="6"/>
      <c r="NGR10" s="6"/>
      <c r="NGT10" s="6"/>
      <c r="NGV10" s="6"/>
      <c r="NGX10" s="6"/>
      <c r="NGZ10" s="6"/>
      <c r="NHB10" s="6"/>
      <c r="NHD10" s="6"/>
      <c r="NHF10" s="6"/>
      <c r="NHH10" s="6"/>
      <c r="NHJ10" s="6"/>
      <c r="NHL10" s="6"/>
      <c r="NHN10" s="6"/>
      <c r="NHP10" s="6"/>
      <c r="NHR10" s="6"/>
      <c r="NHT10" s="6"/>
      <c r="NHV10" s="6"/>
      <c r="NHX10" s="6"/>
      <c r="NHZ10" s="6"/>
      <c r="NIB10" s="6"/>
      <c r="NID10" s="6"/>
      <c r="NIF10" s="6"/>
      <c r="NIH10" s="6"/>
      <c r="NIJ10" s="6"/>
      <c r="NIL10" s="6"/>
      <c r="NIN10" s="6"/>
      <c r="NIP10" s="6"/>
      <c r="NIR10" s="6"/>
      <c r="NIT10" s="6"/>
      <c r="NIV10" s="6"/>
      <c r="NIX10" s="6"/>
      <c r="NIZ10" s="6"/>
      <c r="NJB10" s="6"/>
      <c r="NJD10" s="6"/>
      <c r="NJF10" s="6"/>
      <c r="NJH10" s="6"/>
      <c r="NJJ10" s="6"/>
      <c r="NJL10" s="6"/>
      <c r="NJN10" s="6"/>
      <c r="NJP10" s="6"/>
      <c r="NJR10" s="6"/>
      <c r="NJT10" s="6"/>
      <c r="NJV10" s="6"/>
      <c r="NJX10" s="6"/>
      <c r="NJZ10" s="6"/>
      <c r="NKB10" s="6"/>
      <c r="NKD10" s="6"/>
      <c r="NKF10" s="6"/>
      <c r="NKH10" s="6"/>
      <c r="NKJ10" s="6"/>
      <c r="NKL10" s="6"/>
      <c r="NKN10" s="6"/>
      <c r="NKP10" s="6"/>
      <c r="NKR10" s="6"/>
      <c r="NKT10" s="6"/>
      <c r="NKV10" s="6"/>
      <c r="NKX10" s="6"/>
      <c r="NKZ10" s="6"/>
      <c r="NLB10" s="6"/>
      <c r="NLD10" s="6"/>
      <c r="NLF10" s="6"/>
      <c r="NLH10" s="6"/>
      <c r="NLJ10" s="6"/>
      <c r="NLL10" s="6"/>
      <c r="NLN10" s="6"/>
      <c r="NLP10" s="6"/>
      <c r="NLR10" s="6"/>
      <c r="NLT10" s="6"/>
      <c r="NLV10" s="6"/>
      <c r="NLX10" s="6"/>
      <c r="NLZ10" s="6"/>
      <c r="NMB10" s="6"/>
      <c r="NMD10" s="6"/>
      <c r="NMF10" s="6"/>
      <c r="NMH10" s="6"/>
      <c r="NMJ10" s="6"/>
      <c r="NML10" s="6"/>
      <c r="NMN10" s="6"/>
      <c r="NMP10" s="6"/>
      <c r="NMR10" s="6"/>
      <c r="NMT10" s="6"/>
      <c r="NMV10" s="6"/>
      <c r="NMX10" s="6"/>
      <c r="NMZ10" s="6"/>
      <c r="NNB10" s="6"/>
      <c r="NND10" s="6"/>
      <c r="NNF10" s="6"/>
      <c r="NNH10" s="6"/>
      <c r="NNJ10" s="6"/>
      <c r="NNL10" s="6"/>
      <c r="NNN10" s="6"/>
      <c r="NNP10" s="6"/>
      <c r="NNR10" s="6"/>
      <c r="NNT10" s="6"/>
      <c r="NNV10" s="6"/>
      <c r="NNX10" s="6"/>
      <c r="NNZ10" s="6"/>
      <c r="NOB10" s="6"/>
      <c r="NOD10" s="6"/>
      <c r="NOF10" s="6"/>
      <c r="NOH10" s="6"/>
      <c r="NOJ10" s="6"/>
      <c r="NOL10" s="6"/>
      <c r="NON10" s="6"/>
      <c r="NOP10" s="6"/>
      <c r="NOR10" s="6"/>
      <c r="NOT10" s="6"/>
      <c r="NOV10" s="6"/>
      <c r="NOX10" s="6"/>
      <c r="NOZ10" s="6"/>
      <c r="NPB10" s="6"/>
      <c r="NPD10" s="6"/>
      <c r="NPF10" s="6"/>
      <c r="NPH10" s="6"/>
      <c r="NPJ10" s="6"/>
      <c r="NPL10" s="6"/>
      <c r="NPN10" s="6"/>
      <c r="NPP10" s="6"/>
      <c r="NPR10" s="6"/>
      <c r="NPT10" s="6"/>
      <c r="NPV10" s="6"/>
      <c r="NPX10" s="6"/>
      <c r="NPZ10" s="6"/>
      <c r="NQB10" s="6"/>
      <c r="NQD10" s="6"/>
      <c r="NQF10" s="6"/>
      <c r="NQH10" s="6"/>
      <c r="NQJ10" s="6"/>
      <c r="NQL10" s="6"/>
      <c r="NQN10" s="6"/>
      <c r="NQP10" s="6"/>
      <c r="NQR10" s="6"/>
      <c r="NQT10" s="6"/>
      <c r="NQV10" s="6"/>
      <c r="NQX10" s="6"/>
      <c r="NQZ10" s="6"/>
      <c r="NRB10" s="6"/>
      <c r="NRD10" s="6"/>
      <c r="NRF10" s="6"/>
      <c r="NRH10" s="6"/>
      <c r="NRJ10" s="6"/>
      <c r="NRL10" s="6"/>
      <c r="NRN10" s="6"/>
      <c r="NRP10" s="6"/>
      <c r="NRR10" s="6"/>
      <c r="NRT10" s="6"/>
      <c r="NRV10" s="6"/>
      <c r="NRX10" s="6"/>
      <c r="NRZ10" s="6"/>
      <c r="NSB10" s="6"/>
      <c r="NSD10" s="6"/>
      <c r="NSF10" s="6"/>
      <c r="NSH10" s="6"/>
      <c r="NSJ10" s="6"/>
      <c r="NSL10" s="6"/>
      <c r="NSN10" s="6"/>
      <c r="NSP10" s="6"/>
      <c r="NSR10" s="6"/>
      <c r="NST10" s="6"/>
      <c r="NSV10" s="6"/>
      <c r="NSX10" s="6"/>
      <c r="NSZ10" s="6"/>
      <c r="NTB10" s="6"/>
      <c r="NTD10" s="6"/>
      <c r="NTF10" s="6"/>
      <c r="NTH10" s="6"/>
      <c r="NTJ10" s="6"/>
      <c r="NTL10" s="6"/>
      <c r="NTN10" s="6"/>
      <c r="NTP10" s="6"/>
      <c r="NTR10" s="6"/>
      <c r="NTT10" s="6"/>
      <c r="NTV10" s="6"/>
      <c r="NTX10" s="6"/>
      <c r="NTZ10" s="6"/>
      <c r="NUB10" s="6"/>
      <c r="NUD10" s="6"/>
      <c r="NUF10" s="6"/>
      <c r="NUH10" s="6"/>
      <c r="NUJ10" s="6"/>
      <c r="NUL10" s="6"/>
      <c r="NUN10" s="6"/>
      <c r="NUP10" s="6"/>
      <c r="NUR10" s="6"/>
      <c r="NUT10" s="6"/>
      <c r="NUV10" s="6"/>
      <c r="NUX10" s="6"/>
      <c r="NUZ10" s="6"/>
      <c r="NVB10" s="6"/>
      <c r="NVD10" s="6"/>
      <c r="NVF10" s="6"/>
      <c r="NVH10" s="6"/>
      <c r="NVJ10" s="6"/>
      <c r="NVL10" s="6"/>
      <c r="NVN10" s="6"/>
      <c r="NVP10" s="6"/>
      <c r="NVR10" s="6"/>
      <c r="NVT10" s="6"/>
      <c r="NVV10" s="6"/>
      <c r="NVX10" s="6"/>
      <c r="NVZ10" s="6"/>
      <c r="NWB10" s="6"/>
      <c r="NWD10" s="6"/>
      <c r="NWF10" s="6"/>
      <c r="NWH10" s="6"/>
      <c r="NWJ10" s="6"/>
      <c r="NWL10" s="6"/>
      <c r="NWN10" s="6"/>
      <c r="NWP10" s="6"/>
      <c r="NWR10" s="6"/>
      <c r="NWT10" s="6"/>
      <c r="NWV10" s="6"/>
      <c r="NWX10" s="6"/>
      <c r="NWZ10" s="6"/>
      <c r="NXB10" s="6"/>
      <c r="NXD10" s="6"/>
      <c r="NXF10" s="6"/>
      <c r="NXH10" s="6"/>
      <c r="NXJ10" s="6"/>
      <c r="NXL10" s="6"/>
      <c r="NXN10" s="6"/>
      <c r="NXP10" s="6"/>
      <c r="NXR10" s="6"/>
      <c r="NXT10" s="6"/>
      <c r="NXV10" s="6"/>
      <c r="NXX10" s="6"/>
      <c r="NXZ10" s="6"/>
      <c r="NYB10" s="6"/>
      <c r="NYD10" s="6"/>
      <c r="NYF10" s="6"/>
      <c r="NYH10" s="6"/>
      <c r="NYJ10" s="6"/>
      <c r="NYL10" s="6"/>
      <c r="NYN10" s="6"/>
      <c r="NYP10" s="6"/>
      <c r="NYR10" s="6"/>
      <c r="NYT10" s="6"/>
      <c r="NYV10" s="6"/>
      <c r="NYX10" s="6"/>
      <c r="NYZ10" s="6"/>
      <c r="NZB10" s="6"/>
      <c r="NZD10" s="6"/>
      <c r="NZF10" s="6"/>
      <c r="NZH10" s="6"/>
      <c r="NZJ10" s="6"/>
      <c r="NZL10" s="6"/>
      <c r="NZN10" s="6"/>
      <c r="NZP10" s="6"/>
      <c r="NZR10" s="6"/>
      <c r="NZT10" s="6"/>
      <c r="NZV10" s="6"/>
      <c r="NZX10" s="6"/>
      <c r="NZZ10" s="6"/>
      <c r="OAB10" s="6"/>
      <c r="OAD10" s="6"/>
      <c r="OAF10" s="6"/>
      <c r="OAH10" s="6"/>
      <c r="OAJ10" s="6"/>
      <c r="OAL10" s="6"/>
      <c r="OAN10" s="6"/>
      <c r="OAP10" s="6"/>
      <c r="OAR10" s="6"/>
      <c r="OAT10" s="6"/>
      <c r="OAV10" s="6"/>
      <c r="OAX10" s="6"/>
      <c r="OAZ10" s="6"/>
      <c r="OBB10" s="6"/>
      <c r="OBD10" s="6"/>
      <c r="OBF10" s="6"/>
      <c r="OBH10" s="6"/>
      <c r="OBJ10" s="6"/>
      <c r="OBL10" s="6"/>
      <c r="OBN10" s="6"/>
      <c r="OBP10" s="6"/>
      <c r="OBR10" s="6"/>
      <c r="OBT10" s="6"/>
      <c r="OBV10" s="6"/>
      <c r="OBX10" s="6"/>
      <c r="OBZ10" s="6"/>
      <c r="OCB10" s="6"/>
      <c r="OCD10" s="6"/>
      <c r="OCF10" s="6"/>
      <c r="OCH10" s="6"/>
      <c r="OCJ10" s="6"/>
      <c r="OCL10" s="6"/>
      <c r="OCN10" s="6"/>
      <c r="OCP10" s="6"/>
      <c r="OCR10" s="6"/>
      <c r="OCT10" s="6"/>
      <c r="OCV10" s="6"/>
      <c r="OCX10" s="6"/>
      <c r="OCZ10" s="6"/>
      <c r="ODB10" s="6"/>
      <c r="ODD10" s="6"/>
      <c r="ODF10" s="6"/>
      <c r="ODH10" s="6"/>
      <c r="ODJ10" s="6"/>
      <c r="ODL10" s="6"/>
      <c r="ODN10" s="6"/>
      <c r="ODP10" s="6"/>
      <c r="ODR10" s="6"/>
      <c r="ODT10" s="6"/>
      <c r="ODV10" s="6"/>
      <c r="ODX10" s="6"/>
      <c r="ODZ10" s="6"/>
      <c r="OEB10" s="6"/>
      <c r="OED10" s="6"/>
      <c r="OEF10" s="6"/>
      <c r="OEH10" s="6"/>
      <c r="OEJ10" s="6"/>
      <c r="OEL10" s="6"/>
      <c r="OEN10" s="6"/>
      <c r="OEP10" s="6"/>
      <c r="OER10" s="6"/>
      <c r="OET10" s="6"/>
      <c r="OEV10" s="6"/>
      <c r="OEX10" s="6"/>
      <c r="OEZ10" s="6"/>
      <c r="OFB10" s="6"/>
      <c r="OFD10" s="6"/>
      <c r="OFF10" s="6"/>
      <c r="OFH10" s="6"/>
      <c r="OFJ10" s="6"/>
      <c r="OFL10" s="6"/>
      <c r="OFN10" s="6"/>
      <c r="OFP10" s="6"/>
      <c r="OFR10" s="6"/>
      <c r="OFT10" s="6"/>
      <c r="OFV10" s="6"/>
      <c r="OFX10" s="6"/>
      <c r="OFZ10" s="6"/>
      <c r="OGB10" s="6"/>
      <c r="OGD10" s="6"/>
      <c r="OGF10" s="6"/>
      <c r="OGH10" s="6"/>
      <c r="OGJ10" s="6"/>
      <c r="OGL10" s="6"/>
      <c r="OGN10" s="6"/>
      <c r="OGP10" s="6"/>
      <c r="OGR10" s="6"/>
      <c r="OGT10" s="6"/>
      <c r="OGV10" s="6"/>
      <c r="OGX10" s="6"/>
      <c r="OGZ10" s="6"/>
      <c r="OHB10" s="6"/>
      <c r="OHD10" s="6"/>
      <c r="OHF10" s="6"/>
      <c r="OHH10" s="6"/>
      <c r="OHJ10" s="6"/>
      <c r="OHL10" s="6"/>
      <c r="OHN10" s="6"/>
      <c r="OHP10" s="6"/>
      <c r="OHR10" s="6"/>
      <c r="OHT10" s="6"/>
      <c r="OHV10" s="6"/>
      <c r="OHX10" s="6"/>
      <c r="OHZ10" s="6"/>
      <c r="OIB10" s="6"/>
      <c r="OID10" s="6"/>
      <c r="OIF10" s="6"/>
      <c r="OIH10" s="6"/>
      <c r="OIJ10" s="6"/>
      <c r="OIL10" s="6"/>
      <c r="OIN10" s="6"/>
      <c r="OIP10" s="6"/>
      <c r="OIR10" s="6"/>
      <c r="OIT10" s="6"/>
      <c r="OIV10" s="6"/>
      <c r="OIX10" s="6"/>
      <c r="OIZ10" s="6"/>
      <c r="OJB10" s="6"/>
      <c r="OJD10" s="6"/>
      <c r="OJF10" s="6"/>
      <c r="OJH10" s="6"/>
      <c r="OJJ10" s="6"/>
      <c r="OJL10" s="6"/>
      <c r="OJN10" s="6"/>
      <c r="OJP10" s="6"/>
      <c r="OJR10" s="6"/>
      <c r="OJT10" s="6"/>
      <c r="OJV10" s="6"/>
      <c r="OJX10" s="6"/>
      <c r="OJZ10" s="6"/>
      <c r="OKB10" s="6"/>
      <c r="OKD10" s="6"/>
      <c r="OKF10" s="6"/>
      <c r="OKH10" s="6"/>
      <c r="OKJ10" s="6"/>
      <c r="OKL10" s="6"/>
      <c r="OKN10" s="6"/>
      <c r="OKP10" s="6"/>
      <c r="OKR10" s="6"/>
      <c r="OKT10" s="6"/>
      <c r="OKV10" s="6"/>
      <c r="OKX10" s="6"/>
      <c r="OKZ10" s="6"/>
      <c r="OLB10" s="6"/>
      <c r="OLD10" s="6"/>
      <c r="OLF10" s="6"/>
      <c r="OLH10" s="6"/>
      <c r="OLJ10" s="6"/>
      <c r="OLL10" s="6"/>
      <c r="OLN10" s="6"/>
      <c r="OLP10" s="6"/>
      <c r="OLR10" s="6"/>
      <c r="OLT10" s="6"/>
      <c r="OLV10" s="6"/>
      <c r="OLX10" s="6"/>
      <c r="OLZ10" s="6"/>
      <c r="OMB10" s="6"/>
      <c r="OMD10" s="6"/>
      <c r="OMF10" s="6"/>
      <c r="OMH10" s="6"/>
      <c r="OMJ10" s="6"/>
      <c r="OML10" s="6"/>
      <c r="OMN10" s="6"/>
      <c r="OMP10" s="6"/>
      <c r="OMR10" s="6"/>
      <c r="OMT10" s="6"/>
      <c r="OMV10" s="6"/>
      <c r="OMX10" s="6"/>
      <c r="OMZ10" s="6"/>
      <c r="ONB10" s="6"/>
      <c r="OND10" s="6"/>
      <c r="ONF10" s="6"/>
      <c r="ONH10" s="6"/>
      <c r="ONJ10" s="6"/>
      <c r="ONL10" s="6"/>
      <c r="ONN10" s="6"/>
      <c r="ONP10" s="6"/>
      <c r="ONR10" s="6"/>
      <c r="ONT10" s="6"/>
      <c r="ONV10" s="6"/>
      <c r="ONX10" s="6"/>
      <c r="ONZ10" s="6"/>
      <c r="OOB10" s="6"/>
      <c r="OOD10" s="6"/>
      <c r="OOF10" s="6"/>
      <c r="OOH10" s="6"/>
      <c r="OOJ10" s="6"/>
      <c r="OOL10" s="6"/>
      <c r="OON10" s="6"/>
      <c r="OOP10" s="6"/>
      <c r="OOR10" s="6"/>
      <c r="OOT10" s="6"/>
      <c r="OOV10" s="6"/>
      <c r="OOX10" s="6"/>
      <c r="OOZ10" s="6"/>
      <c r="OPB10" s="6"/>
      <c r="OPD10" s="6"/>
      <c r="OPF10" s="6"/>
      <c r="OPH10" s="6"/>
      <c r="OPJ10" s="6"/>
      <c r="OPL10" s="6"/>
      <c r="OPN10" s="6"/>
      <c r="OPP10" s="6"/>
      <c r="OPR10" s="6"/>
      <c r="OPT10" s="6"/>
      <c r="OPV10" s="6"/>
      <c r="OPX10" s="6"/>
      <c r="OPZ10" s="6"/>
      <c r="OQB10" s="6"/>
      <c r="OQD10" s="6"/>
      <c r="OQF10" s="6"/>
      <c r="OQH10" s="6"/>
      <c r="OQJ10" s="6"/>
      <c r="OQL10" s="6"/>
      <c r="OQN10" s="6"/>
      <c r="OQP10" s="6"/>
      <c r="OQR10" s="6"/>
      <c r="OQT10" s="6"/>
      <c r="OQV10" s="6"/>
      <c r="OQX10" s="6"/>
      <c r="OQZ10" s="6"/>
      <c r="ORB10" s="6"/>
      <c r="ORD10" s="6"/>
      <c r="ORF10" s="6"/>
      <c r="ORH10" s="6"/>
      <c r="ORJ10" s="6"/>
      <c r="ORL10" s="6"/>
      <c r="ORN10" s="6"/>
      <c r="ORP10" s="6"/>
      <c r="ORR10" s="6"/>
      <c r="ORT10" s="6"/>
      <c r="ORV10" s="6"/>
      <c r="ORX10" s="6"/>
      <c r="ORZ10" s="6"/>
      <c r="OSB10" s="6"/>
      <c r="OSD10" s="6"/>
      <c r="OSF10" s="6"/>
      <c r="OSH10" s="6"/>
      <c r="OSJ10" s="6"/>
      <c r="OSL10" s="6"/>
      <c r="OSN10" s="6"/>
      <c r="OSP10" s="6"/>
      <c r="OSR10" s="6"/>
      <c r="OST10" s="6"/>
      <c r="OSV10" s="6"/>
      <c r="OSX10" s="6"/>
      <c r="OSZ10" s="6"/>
      <c r="OTB10" s="6"/>
      <c r="OTD10" s="6"/>
      <c r="OTF10" s="6"/>
      <c r="OTH10" s="6"/>
      <c r="OTJ10" s="6"/>
      <c r="OTL10" s="6"/>
      <c r="OTN10" s="6"/>
      <c r="OTP10" s="6"/>
      <c r="OTR10" s="6"/>
      <c r="OTT10" s="6"/>
      <c r="OTV10" s="6"/>
      <c r="OTX10" s="6"/>
      <c r="OTZ10" s="6"/>
      <c r="OUB10" s="6"/>
      <c r="OUD10" s="6"/>
      <c r="OUF10" s="6"/>
      <c r="OUH10" s="6"/>
      <c r="OUJ10" s="6"/>
      <c r="OUL10" s="6"/>
      <c r="OUN10" s="6"/>
      <c r="OUP10" s="6"/>
      <c r="OUR10" s="6"/>
      <c r="OUT10" s="6"/>
      <c r="OUV10" s="6"/>
      <c r="OUX10" s="6"/>
      <c r="OUZ10" s="6"/>
      <c r="OVB10" s="6"/>
      <c r="OVD10" s="6"/>
      <c r="OVF10" s="6"/>
      <c r="OVH10" s="6"/>
      <c r="OVJ10" s="6"/>
      <c r="OVL10" s="6"/>
      <c r="OVN10" s="6"/>
      <c r="OVP10" s="6"/>
      <c r="OVR10" s="6"/>
      <c r="OVT10" s="6"/>
      <c r="OVV10" s="6"/>
      <c r="OVX10" s="6"/>
      <c r="OVZ10" s="6"/>
      <c r="OWB10" s="6"/>
      <c r="OWD10" s="6"/>
      <c r="OWF10" s="6"/>
      <c r="OWH10" s="6"/>
      <c r="OWJ10" s="6"/>
      <c r="OWL10" s="6"/>
      <c r="OWN10" s="6"/>
      <c r="OWP10" s="6"/>
      <c r="OWR10" s="6"/>
      <c r="OWT10" s="6"/>
      <c r="OWV10" s="6"/>
      <c r="OWX10" s="6"/>
      <c r="OWZ10" s="6"/>
      <c r="OXB10" s="6"/>
      <c r="OXD10" s="6"/>
      <c r="OXF10" s="6"/>
      <c r="OXH10" s="6"/>
      <c r="OXJ10" s="6"/>
      <c r="OXL10" s="6"/>
      <c r="OXN10" s="6"/>
      <c r="OXP10" s="6"/>
      <c r="OXR10" s="6"/>
      <c r="OXT10" s="6"/>
      <c r="OXV10" s="6"/>
      <c r="OXX10" s="6"/>
      <c r="OXZ10" s="6"/>
      <c r="OYB10" s="6"/>
      <c r="OYD10" s="6"/>
      <c r="OYF10" s="6"/>
      <c r="OYH10" s="6"/>
      <c r="OYJ10" s="6"/>
      <c r="OYL10" s="6"/>
      <c r="OYN10" s="6"/>
      <c r="OYP10" s="6"/>
      <c r="OYR10" s="6"/>
      <c r="OYT10" s="6"/>
      <c r="OYV10" s="6"/>
      <c r="OYX10" s="6"/>
      <c r="OYZ10" s="6"/>
      <c r="OZB10" s="6"/>
      <c r="OZD10" s="6"/>
      <c r="OZF10" s="6"/>
      <c r="OZH10" s="6"/>
      <c r="OZJ10" s="6"/>
      <c r="OZL10" s="6"/>
      <c r="OZN10" s="6"/>
      <c r="OZP10" s="6"/>
      <c r="OZR10" s="6"/>
      <c r="OZT10" s="6"/>
      <c r="OZV10" s="6"/>
      <c r="OZX10" s="6"/>
      <c r="OZZ10" s="6"/>
      <c r="PAB10" s="6"/>
      <c r="PAD10" s="6"/>
      <c r="PAF10" s="6"/>
      <c r="PAH10" s="6"/>
      <c r="PAJ10" s="6"/>
      <c r="PAL10" s="6"/>
      <c r="PAN10" s="6"/>
      <c r="PAP10" s="6"/>
      <c r="PAR10" s="6"/>
      <c r="PAT10" s="6"/>
      <c r="PAV10" s="6"/>
      <c r="PAX10" s="6"/>
      <c r="PAZ10" s="6"/>
      <c r="PBB10" s="6"/>
      <c r="PBD10" s="6"/>
      <c r="PBF10" s="6"/>
      <c r="PBH10" s="6"/>
      <c r="PBJ10" s="6"/>
      <c r="PBL10" s="6"/>
      <c r="PBN10" s="6"/>
      <c r="PBP10" s="6"/>
      <c r="PBR10" s="6"/>
      <c r="PBT10" s="6"/>
      <c r="PBV10" s="6"/>
      <c r="PBX10" s="6"/>
      <c r="PBZ10" s="6"/>
      <c r="PCB10" s="6"/>
      <c r="PCD10" s="6"/>
      <c r="PCF10" s="6"/>
      <c r="PCH10" s="6"/>
      <c r="PCJ10" s="6"/>
      <c r="PCL10" s="6"/>
      <c r="PCN10" s="6"/>
      <c r="PCP10" s="6"/>
      <c r="PCR10" s="6"/>
      <c r="PCT10" s="6"/>
      <c r="PCV10" s="6"/>
      <c r="PCX10" s="6"/>
      <c r="PCZ10" s="6"/>
      <c r="PDB10" s="6"/>
      <c r="PDD10" s="6"/>
      <c r="PDF10" s="6"/>
      <c r="PDH10" s="6"/>
      <c r="PDJ10" s="6"/>
      <c r="PDL10" s="6"/>
      <c r="PDN10" s="6"/>
      <c r="PDP10" s="6"/>
      <c r="PDR10" s="6"/>
      <c r="PDT10" s="6"/>
      <c r="PDV10" s="6"/>
      <c r="PDX10" s="6"/>
      <c r="PDZ10" s="6"/>
      <c r="PEB10" s="6"/>
      <c r="PED10" s="6"/>
      <c r="PEF10" s="6"/>
      <c r="PEH10" s="6"/>
      <c r="PEJ10" s="6"/>
      <c r="PEL10" s="6"/>
      <c r="PEN10" s="6"/>
      <c r="PEP10" s="6"/>
      <c r="PER10" s="6"/>
      <c r="PET10" s="6"/>
      <c r="PEV10" s="6"/>
      <c r="PEX10" s="6"/>
      <c r="PEZ10" s="6"/>
      <c r="PFB10" s="6"/>
      <c r="PFD10" s="6"/>
      <c r="PFF10" s="6"/>
      <c r="PFH10" s="6"/>
      <c r="PFJ10" s="6"/>
      <c r="PFL10" s="6"/>
      <c r="PFN10" s="6"/>
      <c r="PFP10" s="6"/>
      <c r="PFR10" s="6"/>
      <c r="PFT10" s="6"/>
      <c r="PFV10" s="6"/>
      <c r="PFX10" s="6"/>
      <c r="PFZ10" s="6"/>
      <c r="PGB10" s="6"/>
      <c r="PGD10" s="6"/>
      <c r="PGF10" s="6"/>
      <c r="PGH10" s="6"/>
      <c r="PGJ10" s="6"/>
      <c r="PGL10" s="6"/>
      <c r="PGN10" s="6"/>
      <c r="PGP10" s="6"/>
      <c r="PGR10" s="6"/>
      <c r="PGT10" s="6"/>
      <c r="PGV10" s="6"/>
      <c r="PGX10" s="6"/>
      <c r="PGZ10" s="6"/>
      <c r="PHB10" s="6"/>
      <c r="PHD10" s="6"/>
      <c r="PHF10" s="6"/>
      <c r="PHH10" s="6"/>
      <c r="PHJ10" s="6"/>
      <c r="PHL10" s="6"/>
      <c r="PHN10" s="6"/>
      <c r="PHP10" s="6"/>
      <c r="PHR10" s="6"/>
      <c r="PHT10" s="6"/>
      <c r="PHV10" s="6"/>
      <c r="PHX10" s="6"/>
      <c r="PHZ10" s="6"/>
      <c r="PIB10" s="6"/>
      <c r="PID10" s="6"/>
      <c r="PIF10" s="6"/>
      <c r="PIH10" s="6"/>
      <c r="PIJ10" s="6"/>
      <c r="PIL10" s="6"/>
      <c r="PIN10" s="6"/>
      <c r="PIP10" s="6"/>
      <c r="PIR10" s="6"/>
      <c r="PIT10" s="6"/>
      <c r="PIV10" s="6"/>
      <c r="PIX10" s="6"/>
      <c r="PIZ10" s="6"/>
      <c r="PJB10" s="6"/>
      <c r="PJD10" s="6"/>
      <c r="PJF10" s="6"/>
      <c r="PJH10" s="6"/>
      <c r="PJJ10" s="6"/>
      <c r="PJL10" s="6"/>
      <c r="PJN10" s="6"/>
      <c r="PJP10" s="6"/>
      <c r="PJR10" s="6"/>
      <c r="PJT10" s="6"/>
      <c r="PJV10" s="6"/>
      <c r="PJX10" s="6"/>
      <c r="PJZ10" s="6"/>
      <c r="PKB10" s="6"/>
      <c r="PKD10" s="6"/>
      <c r="PKF10" s="6"/>
      <c r="PKH10" s="6"/>
      <c r="PKJ10" s="6"/>
      <c r="PKL10" s="6"/>
      <c r="PKN10" s="6"/>
      <c r="PKP10" s="6"/>
      <c r="PKR10" s="6"/>
      <c r="PKT10" s="6"/>
      <c r="PKV10" s="6"/>
      <c r="PKX10" s="6"/>
      <c r="PKZ10" s="6"/>
      <c r="PLB10" s="6"/>
      <c r="PLD10" s="6"/>
      <c r="PLF10" s="6"/>
      <c r="PLH10" s="6"/>
      <c r="PLJ10" s="6"/>
      <c r="PLL10" s="6"/>
      <c r="PLN10" s="6"/>
      <c r="PLP10" s="6"/>
      <c r="PLR10" s="6"/>
      <c r="PLT10" s="6"/>
      <c r="PLV10" s="6"/>
      <c r="PLX10" s="6"/>
      <c r="PLZ10" s="6"/>
      <c r="PMB10" s="6"/>
      <c r="PMD10" s="6"/>
      <c r="PMF10" s="6"/>
      <c r="PMH10" s="6"/>
      <c r="PMJ10" s="6"/>
      <c r="PML10" s="6"/>
      <c r="PMN10" s="6"/>
      <c r="PMP10" s="6"/>
      <c r="PMR10" s="6"/>
      <c r="PMT10" s="6"/>
      <c r="PMV10" s="6"/>
      <c r="PMX10" s="6"/>
      <c r="PMZ10" s="6"/>
      <c r="PNB10" s="6"/>
      <c r="PND10" s="6"/>
      <c r="PNF10" s="6"/>
      <c r="PNH10" s="6"/>
      <c r="PNJ10" s="6"/>
      <c r="PNL10" s="6"/>
      <c r="PNN10" s="6"/>
      <c r="PNP10" s="6"/>
      <c r="PNR10" s="6"/>
      <c r="PNT10" s="6"/>
      <c r="PNV10" s="6"/>
      <c r="PNX10" s="6"/>
      <c r="PNZ10" s="6"/>
      <c r="POB10" s="6"/>
      <c r="POD10" s="6"/>
      <c r="POF10" s="6"/>
      <c r="POH10" s="6"/>
      <c r="POJ10" s="6"/>
      <c r="POL10" s="6"/>
      <c r="PON10" s="6"/>
      <c r="POP10" s="6"/>
      <c r="POR10" s="6"/>
      <c r="POT10" s="6"/>
      <c r="POV10" s="6"/>
      <c r="POX10" s="6"/>
      <c r="POZ10" s="6"/>
      <c r="PPB10" s="6"/>
      <c r="PPD10" s="6"/>
      <c r="PPF10" s="6"/>
      <c r="PPH10" s="6"/>
      <c r="PPJ10" s="6"/>
      <c r="PPL10" s="6"/>
      <c r="PPN10" s="6"/>
      <c r="PPP10" s="6"/>
      <c r="PPR10" s="6"/>
      <c r="PPT10" s="6"/>
      <c r="PPV10" s="6"/>
      <c r="PPX10" s="6"/>
      <c r="PPZ10" s="6"/>
      <c r="PQB10" s="6"/>
      <c r="PQD10" s="6"/>
      <c r="PQF10" s="6"/>
      <c r="PQH10" s="6"/>
      <c r="PQJ10" s="6"/>
      <c r="PQL10" s="6"/>
      <c r="PQN10" s="6"/>
      <c r="PQP10" s="6"/>
      <c r="PQR10" s="6"/>
      <c r="PQT10" s="6"/>
      <c r="PQV10" s="6"/>
      <c r="PQX10" s="6"/>
      <c r="PQZ10" s="6"/>
      <c r="PRB10" s="6"/>
      <c r="PRD10" s="6"/>
      <c r="PRF10" s="6"/>
      <c r="PRH10" s="6"/>
      <c r="PRJ10" s="6"/>
      <c r="PRL10" s="6"/>
      <c r="PRN10" s="6"/>
      <c r="PRP10" s="6"/>
      <c r="PRR10" s="6"/>
      <c r="PRT10" s="6"/>
      <c r="PRV10" s="6"/>
      <c r="PRX10" s="6"/>
      <c r="PRZ10" s="6"/>
      <c r="PSB10" s="6"/>
      <c r="PSD10" s="6"/>
      <c r="PSF10" s="6"/>
      <c r="PSH10" s="6"/>
      <c r="PSJ10" s="6"/>
      <c r="PSL10" s="6"/>
      <c r="PSN10" s="6"/>
      <c r="PSP10" s="6"/>
      <c r="PSR10" s="6"/>
      <c r="PST10" s="6"/>
      <c r="PSV10" s="6"/>
      <c r="PSX10" s="6"/>
      <c r="PSZ10" s="6"/>
      <c r="PTB10" s="6"/>
      <c r="PTD10" s="6"/>
      <c r="PTF10" s="6"/>
      <c r="PTH10" s="6"/>
      <c r="PTJ10" s="6"/>
      <c r="PTL10" s="6"/>
      <c r="PTN10" s="6"/>
      <c r="PTP10" s="6"/>
      <c r="PTR10" s="6"/>
      <c r="PTT10" s="6"/>
      <c r="PTV10" s="6"/>
      <c r="PTX10" s="6"/>
      <c r="PTZ10" s="6"/>
      <c r="PUB10" s="6"/>
      <c r="PUD10" s="6"/>
      <c r="PUF10" s="6"/>
      <c r="PUH10" s="6"/>
      <c r="PUJ10" s="6"/>
      <c r="PUL10" s="6"/>
      <c r="PUN10" s="6"/>
      <c r="PUP10" s="6"/>
      <c r="PUR10" s="6"/>
      <c r="PUT10" s="6"/>
      <c r="PUV10" s="6"/>
      <c r="PUX10" s="6"/>
      <c r="PUZ10" s="6"/>
      <c r="PVB10" s="6"/>
      <c r="PVD10" s="6"/>
      <c r="PVF10" s="6"/>
      <c r="PVH10" s="6"/>
      <c r="PVJ10" s="6"/>
      <c r="PVL10" s="6"/>
      <c r="PVN10" s="6"/>
      <c r="PVP10" s="6"/>
      <c r="PVR10" s="6"/>
      <c r="PVT10" s="6"/>
      <c r="PVV10" s="6"/>
      <c r="PVX10" s="6"/>
      <c r="PVZ10" s="6"/>
      <c r="PWB10" s="6"/>
      <c r="PWD10" s="6"/>
      <c r="PWF10" s="6"/>
      <c r="PWH10" s="6"/>
      <c r="PWJ10" s="6"/>
      <c r="PWL10" s="6"/>
      <c r="PWN10" s="6"/>
      <c r="PWP10" s="6"/>
      <c r="PWR10" s="6"/>
      <c r="PWT10" s="6"/>
      <c r="PWV10" s="6"/>
      <c r="PWX10" s="6"/>
      <c r="PWZ10" s="6"/>
      <c r="PXB10" s="6"/>
      <c r="PXD10" s="6"/>
      <c r="PXF10" s="6"/>
      <c r="PXH10" s="6"/>
      <c r="PXJ10" s="6"/>
      <c r="PXL10" s="6"/>
      <c r="PXN10" s="6"/>
      <c r="PXP10" s="6"/>
      <c r="PXR10" s="6"/>
      <c r="PXT10" s="6"/>
      <c r="PXV10" s="6"/>
      <c r="PXX10" s="6"/>
      <c r="PXZ10" s="6"/>
      <c r="PYB10" s="6"/>
      <c r="PYD10" s="6"/>
      <c r="PYF10" s="6"/>
      <c r="PYH10" s="6"/>
      <c r="PYJ10" s="6"/>
      <c r="PYL10" s="6"/>
      <c r="PYN10" s="6"/>
      <c r="PYP10" s="6"/>
      <c r="PYR10" s="6"/>
      <c r="PYT10" s="6"/>
      <c r="PYV10" s="6"/>
      <c r="PYX10" s="6"/>
      <c r="PYZ10" s="6"/>
      <c r="PZB10" s="6"/>
      <c r="PZD10" s="6"/>
      <c r="PZF10" s="6"/>
      <c r="PZH10" s="6"/>
      <c r="PZJ10" s="6"/>
      <c r="PZL10" s="6"/>
      <c r="PZN10" s="6"/>
      <c r="PZP10" s="6"/>
      <c r="PZR10" s="6"/>
      <c r="PZT10" s="6"/>
      <c r="PZV10" s="6"/>
      <c r="PZX10" s="6"/>
      <c r="PZZ10" s="6"/>
      <c r="QAB10" s="6"/>
      <c r="QAD10" s="6"/>
      <c r="QAF10" s="6"/>
      <c r="QAH10" s="6"/>
      <c r="QAJ10" s="6"/>
      <c r="QAL10" s="6"/>
      <c r="QAN10" s="6"/>
      <c r="QAP10" s="6"/>
      <c r="QAR10" s="6"/>
      <c r="QAT10" s="6"/>
      <c r="QAV10" s="6"/>
      <c r="QAX10" s="6"/>
      <c r="QAZ10" s="6"/>
      <c r="QBB10" s="6"/>
      <c r="QBD10" s="6"/>
      <c r="QBF10" s="6"/>
      <c r="QBH10" s="6"/>
      <c r="QBJ10" s="6"/>
      <c r="QBL10" s="6"/>
      <c r="QBN10" s="6"/>
      <c r="QBP10" s="6"/>
      <c r="QBR10" s="6"/>
      <c r="QBT10" s="6"/>
      <c r="QBV10" s="6"/>
      <c r="QBX10" s="6"/>
      <c r="QBZ10" s="6"/>
      <c r="QCB10" s="6"/>
      <c r="QCD10" s="6"/>
      <c r="QCF10" s="6"/>
      <c r="QCH10" s="6"/>
      <c r="QCJ10" s="6"/>
      <c r="QCL10" s="6"/>
      <c r="QCN10" s="6"/>
      <c r="QCP10" s="6"/>
      <c r="QCR10" s="6"/>
      <c r="QCT10" s="6"/>
      <c r="QCV10" s="6"/>
      <c r="QCX10" s="6"/>
      <c r="QCZ10" s="6"/>
      <c r="QDB10" s="6"/>
      <c r="QDD10" s="6"/>
      <c r="QDF10" s="6"/>
      <c r="QDH10" s="6"/>
      <c r="QDJ10" s="6"/>
      <c r="QDL10" s="6"/>
      <c r="QDN10" s="6"/>
      <c r="QDP10" s="6"/>
      <c r="QDR10" s="6"/>
      <c r="QDT10" s="6"/>
      <c r="QDV10" s="6"/>
      <c r="QDX10" s="6"/>
      <c r="QDZ10" s="6"/>
      <c r="QEB10" s="6"/>
      <c r="QED10" s="6"/>
      <c r="QEF10" s="6"/>
      <c r="QEH10" s="6"/>
      <c r="QEJ10" s="6"/>
      <c r="QEL10" s="6"/>
      <c r="QEN10" s="6"/>
      <c r="QEP10" s="6"/>
      <c r="QER10" s="6"/>
      <c r="QET10" s="6"/>
      <c r="QEV10" s="6"/>
      <c r="QEX10" s="6"/>
      <c r="QEZ10" s="6"/>
      <c r="QFB10" s="6"/>
      <c r="QFD10" s="6"/>
      <c r="QFF10" s="6"/>
      <c r="QFH10" s="6"/>
      <c r="QFJ10" s="6"/>
      <c r="QFL10" s="6"/>
      <c r="QFN10" s="6"/>
      <c r="QFP10" s="6"/>
      <c r="QFR10" s="6"/>
      <c r="QFT10" s="6"/>
      <c r="QFV10" s="6"/>
      <c r="QFX10" s="6"/>
      <c r="QFZ10" s="6"/>
      <c r="QGB10" s="6"/>
      <c r="QGD10" s="6"/>
      <c r="QGF10" s="6"/>
      <c r="QGH10" s="6"/>
      <c r="QGJ10" s="6"/>
      <c r="QGL10" s="6"/>
      <c r="QGN10" s="6"/>
      <c r="QGP10" s="6"/>
      <c r="QGR10" s="6"/>
      <c r="QGT10" s="6"/>
      <c r="QGV10" s="6"/>
      <c r="QGX10" s="6"/>
      <c r="QGZ10" s="6"/>
      <c r="QHB10" s="6"/>
      <c r="QHD10" s="6"/>
      <c r="QHF10" s="6"/>
      <c r="QHH10" s="6"/>
      <c r="QHJ10" s="6"/>
      <c r="QHL10" s="6"/>
      <c r="QHN10" s="6"/>
      <c r="QHP10" s="6"/>
      <c r="QHR10" s="6"/>
      <c r="QHT10" s="6"/>
      <c r="QHV10" s="6"/>
      <c r="QHX10" s="6"/>
      <c r="QHZ10" s="6"/>
      <c r="QIB10" s="6"/>
      <c r="QID10" s="6"/>
      <c r="QIF10" s="6"/>
      <c r="QIH10" s="6"/>
      <c r="QIJ10" s="6"/>
      <c r="QIL10" s="6"/>
      <c r="QIN10" s="6"/>
      <c r="QIP10" s="6"/>
      <c r="QIR10" s="6"/>
      <c r="QIT10" s="6"/>
      <c r="QIV10" s="6"/>
      <c r="QIX10" s="6"/>
      <c r="QIZ10" s="6"/>
      <c r="QJB10" s="6"/>
      <c r="QJD10" s="6"/>
      <c r="QJF10" s="6"/>
      <c r="QJH10" s="6"/>
      <c r="QJJ10" s="6"/>
      <c r="QJL10" s="6"/>
      <c r="QJN10" s="6"/>
      <c r="QJP10" s="6"/>
      <c r="QJR10" s="6"/>
      <c r="QJT10" s="6"/>
      <c r="QJV10" s="6"/>
      <c r="QJX10" s="6"/>
      <c r="QJZ10" s="6"/>
      <c r="QKB10" s="6"/>
      <c r="QKD10" s="6"/>
      <c r="QKF10" s="6"/>
      <c r="QKH10" s="6"/>
      <c r="QKJ10" s="6"/>
      <c r="QKL10" s="6"/>
      <c r="QKN10" s="6"/>
      <c r="QKP10" s="6"/>
      <c r="QKR10" s="6"/>
      <c r="QKT10" s="6"/>
      <c r="QKV10" s="6"/>
      <c r="QKX10" s="6"/>
      <c r="QKZ10" s="6"/>
      <c r="QLB10" s="6"/>
      <c r="QLD10" s="6"/>
      <c r="QLF10" s="6"/>
      <c r="QLH10" s="6"/>
      <c r="QLJ10" s="6"/>
      <c r="QLL10" s="6"/>
      <c r="QLN10" s="6"/>
      <c r="QLP10" s="6"/>
      <c r="QLR10" s="6"/>
      <c r="QLT10" s="6"/>
      <c r="QLV10" s="6"/>
      <c r="QLX10" s="6"/>
      <c r="QLZ10" s="6"/>
      <c r="QMB10" s="6"/>
      <c r="QMD10" s="6"/>
      <c r="QMF10" s="6"/>
      <c r="QMH10" s="6"/>
      <c r="QMJ10" s="6"/>
      <c r="QML10" s="6"/>
      <c r="QMN10" s="6"/>
      <c r="QMP10" s="6"/>
      <c r="QMR10" s="6"/>
      <c r="QMT10" s="6"/>
      <c r="QMV10" s="6"/>
      <c r="QMX10" s="6"/>
      <c r="QMZ10" s="6"/>
      <c r="QNB10" s="6"/>
      <c r="QND10" s="6"/>
      <c r="QNF10" s="6"/>
      <c r="QNH10" s="6"/>
      <c r="QNJ10" s="6"/>
      <c r="QNL10" s="6"/>
      <c r="QNN10" s="6"/>
      <c r="QNP10" s="6"/>
      <c r="QNR10" s="6"/>
      <c r="QNT10" s="6"/>
      <c r="QNV10" s="6"/>
      <c r="QNX10" s="6"/>
      <c r="QNZ10" s="6"/>
      <c r="QOB10" s="6"/>
      <c r="QOD10" s="6"/>
      <c r="QOF10" s="6"/>
      <c r="QOH10" s="6"/>
      <c r="QOJ10" s="6"/>
      <c r="QOL10" s="6"/>
      <c r="QON10" s="6"/>
      <c r="QOP10" s="6"/>
      <c r="QOR10" s="6"/>
      <c r="QOT10" s="6"/>
      <c r="QOV10" s="6"/>
      <c r="QOX10" s="6"/>
      <c r="QOZ10" s="6"/>
      <c r="QPB10" s="6"/>
      <c r="QPD10" s="6"/>
      <c r="QPF10" s="6"/>
      <c r="QPH10" s="6"/>
      <c r="QPJ10" s="6"/>
      <c r="QPL10" s="6"/>
      <c r="QPN10" s="6"/>
      <c r="QPP10" s="6"/>
      <c r="QPR10" s="6"/>
      <c r="QPT10" s="6"/>
      <c r="QPV10" s="6"/>
      <c r="QPX10" s="6"/>
      <c r="QPZ10" s="6"/>
      <c r="QQB10" s="6"/>
      <c r="QQD10" s="6"/>
      <c r="QQF10" s="6"/>
      <c r="QQH10" s="6"/>
      <c r="QQJ10" s="6"/>
      <c r="QQL10" s="6"/>
      <c r="QQN10" s="6"/>
      <c r="QQP10" s="6"/>
      <c r="QQR10" s="6"/>
      <c r="QQT10" s="6"/>
      <c r="QQV10" s="6"/>
      <c r="QQX10" s="6"/>
      <c r="QQZ10" s="6"/>
      <c r="QRB10" s="6"/>
      <c r="QRD10" s="6"/>
      <c r="QRF10" s="6"/>
      <c r="QRH10" s="6"/>
      <c r="QRJ10" s="6"/>
      <c r="QRL10" s="6"/>
      <c r="QRN10" s="6"/>
      <c r="QRP10" s="6"/>
      <c r="QRR10" s="6"/>
      <c r="QRT10" s="6"/>
      <c r="QRV10" s="6"/>
      <c r="QRX10" s="6"/>
      <c r="QRZ10" s="6"/>
      <c r="QSB10" s="6"/>
      <c r="QSD10" s="6"/>
      <c r="QSF10" s="6"/>
      <c r="QSH10" s="6"/>
      <c r="QSJ10" s="6"/>
      <c r="QSL10" s="6"/>
      <c r="QSN10" s="6"/>
      <c r="QSP10" s="6"/>
      <c r="QSR10" s="6"/>
      <c r="QST10" s="6"/>
      <c r="QSV10" s="6"/>
      <c r="QSX10" s="6"/>
      <c r="QSZ10" s="6"/>
      <c r="QTB10" s="6"/>
      <c r="QTD10" s="6"/>
      <c r="QTF10" s="6"/>
      <c r="QTH10" s="6"/>
      <c r="QTJ10" s="6"/>
      <c r="QTL10" s="6"/>
      <c r="QTN10" s="6"/>
      <c r="QTP10" s="6"/>
      <c r="QTR10" s="6"/>
      <c r="QTT10" s="6"/>
      <c r="QTV10" s="6"/>
      <c r="QTX10" s="6"/>
      <c r="QTZ10" s="6"/>
      <c r="QUB10" s="6"/>
      <c r="QUD10" s="6"/>
      <c r="QUF10" s="6"/>
      <c r="QUH10" s="6"/>
      <c r="QUJ10" s="6"/>
      <c r="QUL10" s="6"/>
      <c r="QUN10" s="6"/>
      <c r="QUP10" s="6"/>
      <c r="QUR10" s="6"/>
      <c r="QUT10" s="6"/>
      <c r="QUV10" s="6"/>
      <c r="QUX10" s="6"/>
      <c r="QUZ10" s="6"/>
      <c r="QVB10" s="6"/>
      <c r="QVD10" s="6"/>
      <c r="QVF10" s="6"/>
      <c r="QVH10" s="6"/>
      <c r="QVJ10" s="6"/>
      <c r="QVL10" s="6"/>
      <c r="QVN10" s="6"/>
      <c r="QVP10" s="6"/>
      <c r="QVR10" s="6"/>
      <c r="QVT10" s="6"/>
      <c r="QVV10" s="6"/>
      <c r="QVX10" s="6"/>
      <c r="QVZ10" s="6"/>
      <c r="QWB10" s="6"/>
      <c r="QWD10" s="6"/>
      <c r="QWF10" s="6"/>
      <c r="QWH10" s="6"/>
      <c r="QWJ10" s="6"/>
      <c r="QWL10" s="6"/>
      <c r="QWN10" s="6"/>
      <c r="QWP10" s="6"/>
      <c r="QWR10" s="6"/>
      <c r="QWT10" s="6"/>
      <c r="QWV10" s="6"/>
      <c r="QWX10" s="6"/>
      <c r="QWZ10" s="6"/>
      <c r="QXB10" s="6"/>
      <c r="QXD10" s="6"/>
      <c r="QXF10" s="6"/>
      <c r="QXH10" s="6"/>
      <c r="QXJ10" s="6"/>
      <c r="QXL10" s="6"/>
      <c r="QXN10" s="6"/>
      <c r="QXP10" s="6"/>
      <c r="QXR10" s="6"/>
      <c r="QXT10" s="6"/>
      <c r="QXV10" s="6"/>
      <c r="QXX10" s="6"/>
      <c r="QXZ10" s="6"/>
      <c r="QYB10" s="6"/>
      <c r="QYD10" s="6"/>
      <c r="QYF10" s="6"/>
      <c r="QYH10" s="6"/>
      <c r="QYJ10" s="6"/>
      <c r="QYL10" s="6"/>
      <c r="QYN10" s="6"/>
      <c r="QYP10" s="6"/>
      <c r="QYR10" s="6"/>
      <c r="QYT10" s="6"/>
      <c r="QYV10" s="6"/>
      <c r="QYX10" s="6"/>
      <c r="QYZ10" s="6"/>
      <c r="QZB10" s="6"/>
      <c r="QZD10" s="6"/>
      <c r="QZF10" s="6"/>
      <c r="QZH10" s="6"/>
      <c r="QZJ10" s="6"/>
      <c r="QZL10" s="6"/>
      <c r="QZN10" s="6"/>
      <c r="QZP10" s="6"/>
      <c r="QZR10" s="6"/>
      <c r="QZT10" s="6"/>
      <c r="QZV10" s="6"/>
      <c r="QZX10" s="6"/>
      <c r="QZZ10" s="6"/>
      <c r="RAB10" s="6"/>
      <c r="RAD10" s="6"/>
      <c r="RAF10" s="6"/>
      <c r="RAH10" s="6"/>
      <c r="RAJ10" s="6"/>
      <c r="RAL10" s="6"/>
      <c r="RAN10" s="6"/>
      <c r="RAP10" s="6"/>
      <c r="RAR10" s="6"/>
      <c r="RAT10" s="6"/>
      <c r="RAV10" s="6"/>
      <c r="RAX10" s="6"/>
      <c r="RAZ10" s="6"/>
      <c r="RBB10" s="6"/>
      <c r="RBD10" s="6"/>
      <c r="RBF10" s="6"/>
      <c r="RBH10" s="6"/>
      <c r="RBJ10" s="6"/>
      <c r="RBL10" s="6"/>
      <c r="RBN10" s="6"/>
      <c r="RBP10" s="6"/>
      <c r="RBR10" s="6"/>
      <c r="RBT10" s="6"/>
      <c r="RBV10" s="6"/>
      <c r="RBX10" s="6"/>
      <c r="RBZ10" s="6"/>
      <c r="RCB10" s="6"/>
      <c r="RCD10" s="6"/>
      <c r="RCF10" s="6"/>
      <c r="RCH10" s="6"/>
      <c r="RCJ10" s="6"/>
      <c r="RCL10" s="6"/>
      <c r="RCN10" s="6"/>
      <c r="RCP10" s="6"/>
      <c r="RCR10" s="6"/>
      <c r="RCT10" s="6"/>
      <c r="RCV10" s="6"/>
      <c r="RCX10" s="6"/>
      <c r="RCZ10" s="6"/>
      <c r="RDB10" s="6"/>
      <c r="RDD10" s="6"/>
      <c r="RDF10" s="6"/>
      <c r="RDH10" s="6"/>
      <c r="RDJ10" s="6"/>
      <c r="RDL10" s="6"/>
      <c r="RDN10" s="6"/>
      <c r="RDP10" s="6"/>
      <c r="RDR10" s="6"/>
      <c r="RDT10" s="6"/>
      <c r="RDV10" s="6"/>
      <c r="RDX10" s="6"/>
      <c r="RDZ10" s="6"/>
      <c r="REB10" s="6"/>
      <c r="RED10" s="6"/>
      <c r="REF10" s="6"/>
      <c r="REH10" s="6"/>
      <c r="REJ10" s="6"/>
      <c r="REL10" s="6"/>
      <c r="REN10" s="6"/>
      <c r="REP10" s="6"/>
      <c r="RER10" s="6"/>
      <c r="RET10" s="6"/>
      <c r="REV10" s="6"/>
      <c r="REX10" s="6"/>
      <c r="REZ10" s="6"/>
      <c r="RFB10" s="6"/>
      <c r="RFD10" s="6"/>
      <c r="RFF10" s="6"/>
      <c r="RFH10" s="6"/>
      <c r="RFJ10" s="6"/>
      <c r="RFL10" s="6"/>
      <c r="RFN10" s="6"/>
      <c r="RFP10" s="6"/>
      <c r="RFR10" s="6"/>
      <c r="RFT10" s="6"/>
      <c r="RFV10" s="6"/>
      <c r="RFX10" s="6"/>
      <c r="RFZ10" s="6"/>
      <c r="RGB10" s="6"/>
      <c r="RGD10" s="6"/>
      <c r="RGF10" s="6"/>
      <c r="RGH10" s="6"/>
      <c r="RGJ10" s="6"/>
      <c r="RGL10" s="6"/>
      <c r="RGN10" s="6"/>
      <c r="RGP10" s="6"/>
      <c r="RGR10" s="6"/>
      <c r="RGT10" s="6"/>
      <c r="RGV10" s="6"/>
      <c r="RGX10" s="6"/>
      <c r="RGZ10" s="6"/>
      <c r="RHB10" s="6"/>
      <c r="RHD10" s="6"/>
      <c r="RHF10" s="6"/>
      <c r="RHH10" s="6"/>
      <c r="RHJ10" s="6"/>
      <c r="RHL10" s="6"/>
      <c r="RHN10" s="6"/>
      <c r="RHP10" s="6"/>
      <c r="RHR10" s="6"/>
      <c r="RHT10" s="6"/>
      <c r="RHV10" s="6"/>
      <c r="RHX10" s="6"/>
      <c r="RHZ10" s="6"/>
      <c r="RIB10" s="6"/>
      <c r="RID10" s="6"/>
      <c r="RIF10" s="6"/>
      <c r="RIH10" s="6"/>
      <c r="RIJ10" s="6"/>
      <c r="RIL10" s="6"/>
      <c r="RIN10" s="6"/>
      <c r="RIP10" s="6"/>
      <c r="RIR10" s="6"/>
      <c r="RIT10" s="6"/>
      <c r="RIV10" s="6"/>
      <c r="RIX10" s="6"/>
      <c r="RIZ10" s="6"/>
      <c r="RJB10" s="6"/>
      <c r="RJD10" s="6"/>
      <c r="RJF10" s="6"/>
      <c r="RJH10" s="6"/>
      <c r="RJJ10" s="6"/>
      <c r="RJL10" s="6"/>
      <c r="RJN10" s="6"/>
      <c r="RJP10" s="6"/>
      <c r="RJR10" s="6"/>
      <c r="RJT10" s="6"/>
      <c r="RJV10" s="6"/>
      <c r="RJX10" s="6"/>
      <c r="RJZ10" s="6"/>
      <c r="RKB10" s="6"/>
      <c r="RKD10" s="6"/>
      <c r="RKF10" s="6"/>
      <c r="RKH10" s="6"/>
      <c r="RKJ10" s="6"/>
      <c r="RKL10" s="6"/>
      <c r="RKN10" s="6"/>
      <c r="RKP10" s="6"/>
      <c r="RKR10" s="6"/>
      <c r="RKT10" s="6"/>
      <c r="RKV10" s="6"/>
      <c r="RKX10" s="6"/>
      <c r="RKZ10" s="6"/>
      <c r="RLB10" s="6"/>
      <c r="RLD10" s="6"/>
      <c r="RLF10" s="6"/>
      <c r="RLH10" s="6"/>
      <c r="RLJ10" s="6"/>
      <c r="RLL10" s="6"/>
      <c r="RLN10" s="6"/>
      <c r="RLP10" s="6"/>
      <c r="RLR10" s="6"/>
      <c r="RLT10" s="6"/>
      <c r="RLV10" s="6"/>
      <c r="RLX10" s="6"/>
      <c r="RLZ10" s="6"/>
      <c r="RMB10" s="6"/>
      <c r="RMD10" s="6"/>
      <c r="RMF10" s="6"/>
      <c r="RMH10" s="6"/>
      <c r="RMJ10" s="6"/>
      <c r="RML10" s="6"/>
      <c r="RMN10" s="6"/>
      <c r="RMP10" s="6"/>
      <c r="RMR10" s="6"/>
      <c r="RMT10" s="6"/>
      <c r="RMV10" s="6"/>
      <c r="RMX10" s="6"/>
      <c r="RMZ10" s="6"/>
      <c r="RNB10" s="6"/>
      <c r="RND10" s="6"/>
      <c r="RNF10" s="6"/>
      <c r="RNH10" s="6"/>
      <c r="RNJ10" s="6"/>
      <c r="RNL10" s="6"/>
      <c r="RNN10" s="6"/>
      <c r="RNP10" s="6"/>
      <c r="RNR10" s="6"/>
      <c r="RNT10" s="6"/>
      <c r="RNV10" s="6"/>
      <c r="RNX10" s="6"/>
      <c r="RNZ10" s="6"/>
      <c r="ROB10" s="6"/>
      <c r="ROD10" s="6"/>
      <c r="ROF10" s="6"/>
      <c r="ROH10" s="6"/>
      <c r="ROJ10" s="6"/>
      <c r="ROL10" s="6"/>
      <c r="RON10" s="6"/>
      <c r="ROP10" s="6"/>
      <c r="ROR10" s="6"/>
      <c r="ROT10" s="6"/>
      <c r="ROV10" s="6"/>
      <c r="ROX10" s="6"/>
      <c r="ROZ10" s="6"/>
      <c r="RPB10" s="6"/>
      <c r="RPD10" s="6"/>
      <c r="RPF10" s="6"/>
      <c r="RPH10" s="6"/>
      <c r="RPJ10" s="6"/>
      <c r="RPL10" s="6"/>
      <c r="RPN10" s="6"/>
      <c r="RPP10" s="6"/>
      <c r="RPR10" s="6"/>
      <c r="RPT10" s="6"/>
      <c r="RPV10" s="6"/>
      <c r="RPX10" s="6"/>
      <c r="RPZ10" s="6"/>
      <c r="RQB10" s="6"/>
      <c r="RQD10" s="6"/>
      <c r="RQF10" s="6"/>
      <c r="RQH10" s="6"/>
      <c r="RQJ10" s="6"/>
      <c r="RQL10" s="6"/>
      <c r="RQN10" s="6"/>
      <c r="RQP10" s="6"/>
      <c r="RQR10" s="6"/>
      <c r="RQT10" s="6"/>
      <c r="RQV10" s="6"/>
      <c r="RQX10" s="6"/>
      <c r="RQZ10" s="6"/>
      <c r="RRB10" s="6"/>
      <c r="RRD10" s="6"/>
      <c r="RRF10" s="6"/>
      <c r="RRH10" s="6"/>
      <c r="RRJ10" s="6"/>
      <c r="RRL10" s="6"/>
      <c r="RRN10" s="6"/>
      <c r="RRP10" s="6"/>
      <c r="RRR10" s="6"/>
      <c r="RRT10" s="6"/>
      <c r="RRV10" s="6"/>
      <c r="RRX10" s="6"/>
      <c r="RRZ10" s="6"/>
      <c r="RSB10" s="6"/>
      <c r="RSD10" s="6"/>
      <c r="RSF10" s="6"/>
      <c r="RSH10" s="6"/>
      <c r="RSJ10" s="6"/>
      <c r="RSL10" s="6"/>
      <c r="RSN10" s="6"/>
      <c r="RSP10" s="6"/>
      <c r="RSR10" s="6"/>
      <c r="RST10" s="6"/>
      <c r="RSV10" s="6"/>
      <c r="RSX10" s="6"/>
      <c r="RSZ10" s="6"/>
      <c r="RTB10" s="6"/>
      <c r="RTD10" s="6"/>
      <c r="RTF10" s="6"/>
      <c r="RTH10" s="6"/>
      <c r="RTJ10" s="6"/>
      <c r="RTL10" s="6"/>
      <c r="RTN10" s="6"/>
      <c r="RTP10" s="6"/>
      <c r="RTR10" s="6"/>
      <c r="RTT10" s="6"/>
      <c r="RTV10" s="6"/>
      <c r="RTX10" s="6"/>
      <c r="RTZ10" s="6"/>
      <c r="RUB10" s="6"/>
      <c r="RUD10" s="6"/>
      <c r="RUF10" s="6"/>
      <c r="RUH10" s="6"/>
      <c r="RUJ10" s="6"/>
      <c r="RUL10" s="6"/>
      <c r="RUN10" s="6"/>
      <c r="RUP10" s="6"/>
      <c r="RUR10" s="6"/>
      <c r="RUT10" s="6"/>
      <c r="RUV10" s="6"/>
      <c r="RUX10" s="6"/>
      <c r="RUZ10" s="6"/>
      <c r="RVB10" s="6"/>
      <c r="RVD10" s="6"/>
      <c r="RVF10" s="6"/>
      <c r="RVH10" s="6"/>
      <c r="RVJ10" s="6"/>
      <c r="RVL10" s="6"/>
      <c r="RVN10" s="6"/>
      <c r="RVP10" s="6"/>
      <c r="RVR10" s="6"/>
      <c r="RVT10" s="6"/>
      <c r="RVV10" s="6"/>
      <c r="RVX10" s="6"/>
      <c r="RVZ10" s="6"/>
      <c r="RWB10" s="6"/>
      <c r="RWD10" s="6"/>
      <c r="RWF10" s="6"/>
      <c r="RWH10" s="6"/>
      <c r="RWJ10" s="6"/>
      <c r="RWL10" s="6"/>
      <c r="RWN10" s="6"/>
      <c r="RWP10" s="6"/>
      <c r="RWR10" s="6"/>
      <c r="RWT10" s="6"/>
      <c r="RWV10" s="6"/>
      <c r="RWX10" s="6"/>
      <c r="RWZ10" s="6"/>
      <c r="RXB10" s="6"/>
      <c r="RXD10" s="6"/>
      <c r="RXF10" s="6"/>
      <c r="RXH10" s="6"/>
      <c r="RXJ10" s="6"/>
      <c r="RXL10" s="6"/>
      <c r="RXN10" s="6"/>
      <c r="RXP10" s="6"/>
      <c r="RXR10" s="6"/>
      <c r="RXT10" s="6"/>
      <c r="RXV10" s="6"/>
      <c r="RXX10" s="6"/>
      <c r="RXZ10" s="6"/>
      <c r="RYB10" s="6"/>
      <c r="RYD10" s="6"/>
      <c r="RYF10" s="6"/>
      <c r="RYH10" s="6"/>
      <c r="RYJ10" s="6"/>
      <c r="RYL10" s="6"/>
      <c r="RYN10" s="6"/>
      <c r="RYP10" s="6"/>
      <c r="RYR10" s="6"/>
      <c r="RYT10" s="6"/>
      <c r="RYV10" s="6"/>
      <c r="RYX10" s="6"/>
      <c r="RYZ10" s="6"/>
      <c r="RZB10" s="6"/>
      <c r="RZD10" s="6"/>
      <c r="RZF10" s="6"/>
      <c r="RZH10" s="6"/>
      <c r="RZJ10" s="6"/>
      <c r="RZL10" s="6"/>
      <c r="RZN10" s="6"/>
      <c r="RZP10" s="6"/>
      <c r="RZR10" s="6"/>
      <c r="RZT10" s="6"/>
      <c r="RZV10" s="6"/>
      <c r="RZX10" s="6"/>
      <c r="RZZ10" s="6"/>
      <c r="SAB10" s="6"/>
      <c r="SAD10" s="6"/>
      <c r="SAF10" s="6"/>
      <c r="SAH10" s="6"/>
      <c r="SAJ10" s="6"/>
      <c r="SAL10" s="6"/>
      <c r="SAN10" s="6"/>
      <c r="SAP10" s="6"/>
      <c r="SAR10" s="6"/>
      <c r="SAT10" s="6"/>
      <c r="SAV10" s="6"/>
      <c r="SAX10" s="6"/>
      <c r="SAZ10" s="6"/>
      <c r="SBB10" s="6"/>
      <c r="SBD10" s="6"/>
      <c r="SBF10" s="6"/>
      <c r="SBH10" s="6"/>
      <c r="SBJ10" s="6"/>
      <c r="SBL10" s="6"/>
      <c r="SBN10" s="6"/>
      <c r="SBP10" s="6"/>
      <c r="SBR10" s="6"/>
      <c r="SBT10" s="6"/>
      <c r="SBV10" s="6"/>
      <c r="SBX10" s="6"/>
      <c r="SBZ10" s="6"/>
      <c r="SCB10" s="6"/>
      <c r="SCD10" s="6"/>
      <c r="SCF10" s="6"/>
      <c r="SCH10" s="6"/>
      <c r="SCJ10" s="6"/>
      <c r="SCL10" s="6"/>
      <c r="SCN10" s="6"/>
      <c r="SCP10" s="6"/>
      <c r="SCR10" s="6"/>
      <c r="SCT10" s="6"/>
      <c r="SCV10" s="6"/>
      <c r="SCX10" s="6"/>
      <c r="SCZ10" s="6"/>
      <c r="SDB10" s="6"/>
      <c r="SDD10" s="6"/>
      <c r="SDF10" s="6"/>
      <c r="SDH10" s="6"/>
      <c r="SDJ10" s="6"/>
      <c r="SDL10" s="6"/>
      <c r="SDN10" s="6"/>
      <c r="SDP10" s="6"/>
      <c r="SDR10" s="6"/>
      <c r="SDT10" s="6"/>
      <c r="SDV10" s="6"/>
      <c r="SDX10" s="6"/>
      <c r="SDZ10" s="6"/>
      <c r="SEB10" s="6"/>
      <c r="SED10" s="6"/>
      <c r="SEF10" s="6"/>
      <c r="SEH10" s="6"/>
      <c r="SEJ10" s="6"/>
      <c r="SEL10" s="6"/>
      <c r="SEN10" s="6"/>
      <c r="SEP10" s="6"/>
      <c r="SER10" s="6"/>
      <c r="SET10" s="6"/>
      <c r="SEV10" s="6"/>
      <c r="SEX10" s="6"/>
      <c r="SEZ10" s="6"/>
      <c r="SFB10" s="6"/>
      <c r="SFD10" s="6"/>
      <c r="SFF10" s="6"/>
      <c r="SFH10" s="6"/>
      <c r="SFJ10" s="6"/>
      <c r="SFL10" s="6"/>
      <c r="SFN10" s="6"/>
      <c r="SFP10" s="6"/>
      <c r="SFR10" s="6"/>
      <c r="SFT10" s="6"/>
      <c r="SFV10" s="6"/>
      <c r="SFX10" s="6"/>
      <c r="SFZ10" s="6"/>
      <c r="SGB10" s="6"/>
      <c r="SGD10" s="6"/>
      <c r="SGF10" s="6"/>
      <c r="SGH10" s="6"/>
      <c r="SGJ10" s="6"/>
      <c r="SGL10" s="6"/>
      <c r="SGN10" s="6"/>
      <c r="SGP10" s="6"/>
      <c r="SGR10" s="6"/>
      <c r="SGT10" s="6"/>
      <c r="SGV10" s="6"/>
      <c r="SGX10" s="6"/>
      <c r="SGZ10" s="6"/>
      <c r="SHB10" s="6"/>
      <c r="SHD10" s="6"/>
      <c r="SHF10" s="6"/>
      <c r="SHH10" s="6"/>
      <c r="SHJ10" s="6"/>
      <c r="SHL10" s="6"/>
      <c r="SHN10" s="6"/>
      <c r="SHP10" s="6"/>
      <c r="SHR10" s="6"/>
      <c r="SHT10" s="6"/>
      <c r="SHV10" s="6"/>
      <c r="SHX10" s="6"/>
      <c r="SHZ10" s="6"/>
      <c r="SIB10" s="6"/>
      <c r="SID10" s="6"/>
      <c r="SIF10" s="6"/>
      <c r="SIH10" s="6"/>
      <c r="SIJ10" s="6"/>
      <c r="SIL10" s="6"/>
      <c r="SIN10" s="6"/>
      <c r="SIP10" s="6"/>
      <c r="SIR10" s="6"/>
      <c r="SIT10" s="6"/>
      <c r="SIV10" s="6"/>
      <c r="SIX10" s="6"/>
      <c r="SIZ10" s="6"/>
      <c r="SJB10" s="6"/>
      <c r="SJD10" s="6"/>
      <c r="SJF10" s="6"/>
      <c r="SJH10" s="6"/>
      <c r="SJJ10" s="6"/>
      <c r="SJL10" s="6"/>
      <c r="SJN10" s="6"/>
      <c r="SJP10" s="6"/>
      <c r="SJR10" s="6"/>
      <c r="SJT10" s="6"/>
      <c r="SJV10" s="6"/>
      <c r="SJX10" s="6"/>
      <c r="SJZ10" s="6"/>
      <c r="SKB10" s="6"/>
      <c r="SKD10" s="6"/>
      <c r="SKF10" s="6"/>
      <c r="SKH10" s="6"/>
      <c r="SKJ10" s="6"/>
      <c r="SKL10" s="6"/>
      <c r="SKN10" s="6"/>
      <c r="SKP10" s="6"/>
      <c r="SKR10" s="6"/>
      <c r="SKT10" s="6"/>
      <c r="SKV10" s="6"/>
      <c r="SKX10" s="6"/>
      <c r="SKZ10" s="6"/>
      <c r="SLB10" s="6"/>
      <c r="SLD10" s="6"/>
      <c r="SLF10" s="6"/>
      <c r="SLH10" s="6"/>
      <c r="SLJ10" s="6"/>
      <c r="SLL10" s="6"/>
      <c r="SLN10" s="6"/>
      <c r="SLP10" s="6"/>
      <c r="SLR10" s="6"/>
      <c r="SLT10" s="6"/>
      <c r="SLV10" s="6"/>
      <c r="SLX10" s="6"/>
      <c r="SLZ10" s="6"/>
      <c r="SMB10" s="6"/>
      <c r="SMD10" s="6"/>
      <c r="SMF10" s="6"/>
      <c r="SMH10" s="6"/>
      <c r="SMJ10" s="6"/>
      <c r="SML10" s="6"/>
      <c r="SMN10" s="6"/>
      <c r="SMP10" s="6"/>
      <c r="SMR10" s="6"/>
      <c r="SMT10" s="6"/>
      <c r="SMV10" s="6"/>
      <c r="SMX10" s="6"/>
      <c r="SMZ10" s="6"/>
      <c r="SNB10" s="6"/>
      <c r="SND10" s="6"/>
      <c r="SNF10" s="6"/>
      <c r="SNH10" s="6"/>
      <c r="SNJ10" s="6"/>
      <c r="SNL10" s="6"/>
      <c r="SNN10" s="6"/>
      <c r="SNP10" s="6"/>
      <c r="SNR10" s="6"/>
      <c r="SNT10" s="6"/>
      <c r="SNV10" s="6"/>
      <c r="SNX10" s="6"/>
      <c r="SNZ10" s="6"/>
      <c r="SOB10" s="6"/>
      <c r="SOD10" s="6"/>
      <c r="SOF10" s="6"/>
      <c r="SOH10" s="6"/>
      <c r="SOJ10" s="6"/>
      <c r="SOL10" s="6"/>
      <c r="SON10" s="6"/>
      <c r="SOP10" s="6"/>
      <c r="SOR10" s="6"/>
      <c r="SOT10" s="6"/>
      <c r="SOV10" s="6"/>
      <c r="SOX10" s="6"/>
      <c r="SOZ10" s="6"/>
      <c r="SPB10" s="6"/>
      <c r="SPD10" s="6"/>
      <c r="SPF10" s="6"/>
      <c r="SPH10" s="6"/>
      <c r="SPJ10" s="6"/>
      <c r="SPL10" s="6"/>
      <c r="SPN10" s="6"/>
      <c r="SPP10" s="6"/>
      <c r="SPR10" s="6"/>
      <c r="SPT10" s="6"/>
      <c r="SPV10" s="6"/>
      <c r="SPX10" s="6"/>
      <c r="SPZ10" s="6"/>
      <c r="SQB10" s="6"/>
      <c r="SQD10" s="6"/>
      <c r="SQF10" s="6"/>
      <c r="SQH10" s="6"/>
      <c r="SQJ10" s="6"/>
      <c r="SQL10" s="6"/>
      <c r="SQN10" s="6"/>
      <c r="SQP10" s="6"/>
      <c r="SQR10" s="6"/>
      <c r="SQT10" s="6"/>
      <c r="SQV10" s="6"/>
      <c r="SQX10" s="6"/>
      <c r="SQZ10" s="6"/>
      <c r="SRB10" s="6"/>
      <c r="SRD10" s="6"/>
      <c r="SRF10" s="6"/>
      <c r="SRH10" s="6"/>
      <c r="SRJ10" s="6"/>
      <c r="SRL10" s="6"/>
      <c r="SRN10" s="6"/>
      <c r="SRP10" s="6"/>
      <c r="SRR10" s="6"/>
      <c r="SRT10" s="6"/>
      <c r="SRV10" s="6"/>
      <c r="SRX10" s="6"/>
      <c r="SRZ10" s="6"/>
      <c r="SSB10" s="6"/>
      <c r="SSD10" s="6"/>
      <c r="SSF10" s="6"/>
      <c r="SSH10" s="6"/>
      <c r="SSJ10" s="6"/>
      <c r="SSL10" s="6"/>
      <c r="SSN10" s="6"/>
      <c r="SSP10" s="6"/>
      <c r="SSR10" s="6"/>
      <c r="SST10" s="6"/>
      <c r="SSV10" s="6"/>
      <c r="SSX10" s="6"/>
      <c r="SSZ10" s="6"/>
      <c r="STB10" s="6"/>
      <c r="STD10" s="6"/>
      <c r="STF10" s="6"/>
      <c r="STH10" s="6"/>
      <c r="STJ10" s="6"/>
      <c r="STL10" s="6"/>
      <c r="STN10" s="6"/>
      <c r="STP10" s="6"/>
      <c r="STR10" s="6"/>
      <c r="STT10" s="6"/>
      <c r="STV10" s="6"/>
      <c r="STX10" s="6"/>
      <c r="STZ10" s="6"/>
      <c r="SUB10" s="6"/>
      <c r="SUD10" s="6"/>
      <c r="SUF10" s="6"/>
      <c r="SUH10" s="6"/>
      <c r="SUJ10" s="6"/>
      <c r="SUL10" s="6"/>
      <c r="SUN10" s="6"/>
      <c r="SUP10" s="6"/>
      <c r="SUR10" s="6"/>
      <c r="SUT10" s="6"/>
      <c r="SUV10" s="6"/>
      <c r="SUX10" s="6"/>
      <c r="SUZ10" s="6"/>
      <c r="SVB10" s="6"/>
      <c r="SVD10" s="6"/>
      <c r="SVF10" s="6"/>
      <c r="SVH10" s="6"/>
      <c r="SVJ10" s="6"/>
      <c r="SVL10" s="6"/>
      <c r="SVN10" s="6"/>
      <c r="SVP10" s="6"/>
      <c r="SVR10" s="6"/>
      <c r="SVT10" s="6"/>
      <c r="SVV10" s="6"/>
      <c r="SVX10" s="6"/>
      <c r="SVZ10" s="6"/>
      <c r="SWB10" s="6"/>
      <c r="SWD10" s="6"/>
      <c r="SWF10" s="6"/>
      <c r="SWH10" s="6"/>
      <c r="SWJ10" s="6"/>
      <c r="SWL10" s="6"/>
      <c r="SWN10" s="6"/>
      <c r="SWP10" s="6"/>
      <c r="SWR10" s="6"/>
      <c r="SWT10" s="6"/>
      <c r="SWV10" s="6"/>
      <c r="SWX10" s="6"/>
      <c r="SWZ10" s="6"/>
      <c r="SXB10" s="6"/>
      <c r="SXD10" s="6"/>
      <c r="SXF10" s="6"/>
      <c r="SXH10" s="6"/>
      <c r="SXJ10" s="6"/>
      <c r="SXL10" s="6"/>
      <c r="SXN10" s="6"/>
      <c r="SXP10" s="6"/>
      <c r="SXR10" s="6"/>
      <c r="SXT10" s="6"/>
      <c r="SXV10" s="6"/>
      <c r="SXX10" s="6"/>
      <c r="SXZ10" s="6"/>
      <c r="SYB10" s="6"/>
      <c r="SYD10" s="6"/>
      <c r="SYF10" s="6"/>
      <c r="SYH10" s="6"/>
      <c r="SYJ10" s="6"/>
      <c r="SYL10" s="6"/>
      <c r="SYN10" s="6"/>
      <c r="SYP10" s="6"/>
      <c r="SYR10" s="6"/>
      <c r="SYT10" s="6"/>
      <c r="SYV10" s="6"/>
      <c r="SYX10" s="6"/>
      <c r="SYZ10" s="6"/>
      <c r="SZB10" s="6"/>
      <c r="SZD10" s="6"/>
      <c r="SZF10" s="6"/>
      <c r="SZH10" s="6"/>
      <c r="SZJ10" s="6"/>
      <c r="SZL10" s="6"/>
      <c r="SZN10" s="6"/>
      <c r="SZP10" s="6"/>
      <c r="SZR10" s="6"/>
      <c r="SZT10" s="6"/>
      <c r="SZV10" s="6"/>
      <c r="SZX10" s="6"/>
      <c r="SZZ10" s="6"/>
      <c r="TAB10" s="6"/>
      <c r="TAD10" s="6"/>
      <c r="TAF10" s="6"/>
      <c r="TAH10" s="6"/>
      <c r="TAJ10" s="6"/>
      <c r="TAL10" s="6"/>
      <c r="TAN10" s="6"/>
      <c r="TAP10" s="6"/>
      <c r="TAR10" s="6"/>
      <c r="TAT10" s="6"/>
      <c r="TAV10" s="6"/>
      <c r="TAX10" s="6"/>
      <c r="TAZ10" s="6"/>
      <c r="TBB10" s="6"/>
      <c r="TBD10" s="6"/>
      <c r="TBF10" s="6"/>
      <c r="TBH10" s="6"/>
      <c r="TBJ10" s="6"/>
      <c r="TBL10" s="6"/>
      <c r="TBN10" s="6"/>
      <c r="TBP10" s="6"/>
      <c r="TBR10" s="6"/>
      <c r="TBT10" s="6"/>
      <c r="TBV10" s="6"/>
      <c r="TBX10" s="6"/>
      <c r="TBZ10" s="6"/>
      <c r="TCB10" s="6"/>
      <c r="TCD10" s="6"/>
      <c r="TCF10" s="6"/>
      <c r="TCH10" s="6"/>
      <c r="TCJ10" s="6"/>
      <c r="TCL10" s="6"/>
      <c r="TCN10" s="6"/>
      <c r="TCP10" s="6"/>
      <c r="TCR10" s="6"/>
      <c r="TCT10" s="6"/>
      <c r="TCV10" s="6"/>
      <c r="TCX10" s="6"/>
      <c r="TCZ10" s="6"/>
      <c r="TDB10" s="6"/>
      <c r="TDD10" s="6"/>
      <c r="TDF10" s="6"/>
      <c r="TDH10" s="6"/>
      <c r="TDJ10" s="6"/>
      <c r="TDL10" s="6"/>
      <c r="TDN10" s="6"/>
      <c r="TDP10" s="6"/>
      <c r="TDR10" s="6"/>
      <c r="TDT10" s="6"/>
      <c r="TDV10" s="6"/>
      <c r="TDX10" s="6"/>
      <c r="TDZ10" s="6"/>
      <c r="TEB10" s="6"/>
      <c r="TED10" s="6"/>
      <c r="TEF10" s="6"/>
      <c r="TEH10" s="6"/>
      <c r="TEJ10" s="6"/>
      <c r="TEL10" s="6"/>
      <c r="TEN10" s="6"/>
      <c r="TEP10" s="6"/>
      <c r="TER10" s="6"/>
      <c r="TET10" s="6"/>
      <c r="TEV10" s="6"/>
      <c r="TEX10" s="6"/>
      <c r="TEZ10" s="6"/>
      <c r="TFB10" s="6"/>
      <c r="TFD10" s="6"/>
      <c r="TFF10" s="6"/>
      <c r="TFH10" s="6"/>
      <c r="TFJ10" s="6"/>
      <c r="TFL10" s="6"/>
      <c r="TFN10" s="6"/>
      <c r="TFP10" s="6"/>
      <c r="TFR10" s="6"/>
      <c r="TFT10" s="6"/>
      <c r="TFV10" s="6"/>
      <c r="TFX10" s="6"/>
      <c r="TFZ10" s="6"/>
      <c r="TGB10" s="6"/>
      <c r="TGD10" s="6"/>
      <c r="TGF10" s="6"/>
      <c r="TGH10" s="6"/>
      <c r="TGJ10" s="6"/>
      <c r="TGL10" s="6"/>
      <c r="TGN10" s="6"/>
      <c r="TGP10" s="6"/>
      <c r="TGR10" s="6"/>
      <c r="TGT10" s="6"/>
      <c r="TGV10" s="6"/>
      <c r="TGX10" s="6"/>
      <c r="TGZ10" s="6"/>
      <c r="THB10" s="6"/>
      <c r="THD10" s="6"/>
      <c r="THF10" s="6"/>
      <c r="THH10" s="6"/>
      <c r="THJ10" s="6"/>
      <c r="THL10" s="6"/>
      <c r="THN10" s="6"/>
      <c r="THP10" s="6"/>
      <c r="THR10" s="6"/>
      <c r="THT10" s="6"/>
      <c r="THV10" s="6"/>
      <c r="THX10" s="6"/>
      <c r="THZ10" s="6"/>
      <c r="TIB10" s="6"/>
      <c r="TID10" s="6"/>
      <c r="TIF10" s="6"/>
      <c r="TIH10" s="6"/>
      <c r="TIJ10" s="6"/>
      <c r="TIL10" s="6"/>
      <c r="TIN10" s="6"/>
      <c r="TIP10" s="6"/>
      <c r="TIR10" s="6"/>
      <c r="TIT10" s="6"/>
      <c r="TIV10" s="6"/>
      <c r="TIX10" s="6"/>
      <c r="TIZ10" s="6"/>
      <c r="TJB10" s="6"/>
      <c r="TJD10" s="6"/>
      <c r="TJF10" s="6"/>
      <c r="TJH10" s="6"/>
      <c r="TJJ10" s="6"/>
      <c r="TJL10" s="6"/>
      <c r="TJN10" s="6"/>
      <c r="TJP10" s="6"/>
      <c r="TJR10" s="6"/>
      <c r="TJT10" s="6"/>
      <c r="TJV10" s="6"/>
      <c r="TJX10" s="6"/>
      <c r="TJZ10" s="6"/>
      <c r="TKB10" s="6"/>
      <c r="TKD10" s="6"/>
      <c r="TKF10" s="6"/>
      <c r="TKH10" s="6"/>
      <c r="TKJ10" s="6"/>
      <c r="TKL10" s="6"/>
      <c r="TKN10" s="6"/>
      <c r="TKP10" s="6"/>
      <c r="TKR10" s="6"/>
      <c r="TKT10" s="6"/>
      <c r="TKV10" s="6"/>
      <c r="TKX10" s="6"/>
      <c r="TKZ10" s="6"/>
      <c r="TLB10" s="6"/>
      <c r="TLD10" s="6"/>
      <c r="TLF10" s="6"/>
      <c r="TLH10" s="6"/>
      <c r="TLJ10" s="6"/>
      <c r="TLL10" s="6"/>
      <c r="TLN10" s="6"/>
      <c r="TLP10" s="6"/>
      <c r="TLR10" s="6"/>
      <c r="TLT10" s="6"/>
      <c r="TLV10" s="6"/>
      <c r="TLX10" s="6"/>
      <c r="TLZ10" s="6"/>
      <c r="TMB10" s="6"/>
      <c r="TMD10" s="6"/>
      <c r="TMF10" s="6"/>
      <c r="TMH10" s="6"/>
      <c r="TMJ10" s="6"/>
      <c r="TML10" s="6"/>
      <c r="TMN10" s="6"/>
      <c r="TMP10" s="6"/>
      <c r="TMR10" s="6"/>
      <c r="TMT10" s="6"/>
      <c r="TMV10" s="6"/>
      <c r="TMX10" s="6"/>
      <c r="TMZ10" s="6"/>
      <c r="TNB10" s="6"/>
      <c r="TND10" s="6"/>
      <c r="TNF10" s="6"/>
      <c r="TNH10" s="6"/>
      <c r="TNJ10" s="6"/>
      <c r="TNL10" s="6"/>
      <c r="TNN10" s="6"/>
      <c r="TNP10" s="6"/>
      <c r="TNR10" s="6"/>
      <c r="TNT10" s="6"/>
      <c r="TNV10" s="6"/>
      <c r="TNX10" s="6"/>
      <c r="TNZ10" s="6"/>
      <c r="TOB10" s="6"/>
      <c r="TOD10" s="6"/>
      <c r="TOF10" s="6"/>
      <c r="TOH10" s="6"/>
      <c r="TOJ10" s="6"/>
      <c r="TOL10" s="6"/>
      <c r="TON10" s="6"/>
      <c r="TOP10" s="6"/>
      <c r="TOR10" s="6"/>
      <c r="TOT10" s="6"/>
      <c r="TOV10" s="6"/>
      <c r="TOX10" s="6"/>
      <c r="TOZ10" s="6"/>
      <c r="TPB10" s="6"/>
      <c r="TPD10" s="6"/>
      <c r="TPF10" s="6"/>
      <c r="TPH10" s="6"/>
      <c r="TPJ10" s="6"/>
      <c r="TPL10" s="6"/>
      <c r="TPN10" s="6"/>
      <c r="TPP10" s="6"/>
      <c r="TPR10" s="6"/>
      <c r="TPT10" s="6"/>
      <c r="TPV10" s="6"/>
      <c r="TPX10" s="6"/>
      <c r="TPZ10" s="6"/>
      <c r="TQB10" s="6"/>
      <c r="TQD10" s="6"/>
      <c r="TQF10" s="6"/>
      <c r="TQH10" s="6"/>
      <c r="TQJ10" s="6"/>
      <c r="TQL10" s="6"/>
      <c r="TQN10" s="6"/>
      <c r="TQP10" s="6"/>
      <c r="TQR10" s="6"/>
      <c r="TQT10" s="6"/>
      <c r="TQV10" s="6"/>
      <c r="TQX10" s="6"/>
      <c r="TQZ10" s="6"/>
      <c r="TRB10" s="6"/>
      <c r="TRD10" s="6"/>
      <c r="TRF10" s="6"/>
      <c r="TRH10" s="6"/>
      <c r="TRJ10" s="6"/>
      <c r="TRL10" s="6"/>
      <c r="TRN10" s="6"/>
      <c r="TRP10" s="6"/>
      <c r="TRR10" s="6"/>
      <c r="TRT10" s="6"/>
      <c r="TRV10" s="6"/>
      <c r="TRX10" s="6"/>
      <c r="TRZ10" s="6"/>
      <c r="TSB10" s="6"/>
      <c r="TSD10" s="6"/>
      <c r="TSF10" s="6"/>
      <c r="TSH10" s="6"/>
      <c r="TSJ10" s="6"/>
      <c r="TSL10" s="6"/>
      <c r="TSN10" s="6"/>
      <c r="TSP10" s="6"/>
      <c r="TSR10" s="6"/>
      <c r="TST10" s="6"/>
      <c r="TSV10" s="6"/>
      <c r="TSX10" s="6"/>
      <c r="TSZ10" s="6"/>
      <c r="TTB10" s="6"/>
      <c r="TTD10" s="6"/>
      <c r="TTF10" s="6"/>
      <c r="TTH10" s="6"/>
      <c r="TTJ10" s="6"/>
      <c r="TTL10" s="6"/>
      <c r="TTN10" s="6"/>
      <c r="TTP10" s="6"/>
      <c r="TTR10" s="6"/>
      <c r="TTT10" s="6"/>
      <c r="TTV10" s="6"/>
      <c r="TTX10" s="6"/>
      <c r="TTZ10" s="6"/>
      <c r="TUB10" s="6"/>
      <c r="TUD10" s="6"/>
      <c r="TUF10" s="6"/>
      <c r="TUH10" s="6"/>
      <c r="TUJ10" s="6"/>
      <c r="TUL10" s="6"/>
      <c r="TUN10" s="6"/>
      <c r="TUP10" s="6"/>
      <c r="TUR10" s="6"/>
      <c r="TUT10" s="6"/>
      <c r="TUV10" s="6"/>
      <c r="TUX10" s="6"/>
      <c r="TUZ10" s="6"/>
      <c r="TVB10" s="6"/>
      <c r="TVD10" s="6"/>
      <c r="TVF10" s="6"/>
      <c r="TVH10" s="6"/>
      <c r="TVJ10" s="6"/>
      <c r="TVL10" s="6"/>
      <c r="TVN10" s="6"/>
      <c r="TVP10" s="6"/>
      <c r="TVR10" s="6"/>
      <c r="TVT10" s="6"/>
      <c r="TVV10" s="6"/>
      <c r="TVX10" s="6"/>
      <c r="TVZ10" s="6"/>
      <c r="TWB10" s="6"/>
      <c r="TWD10" s="6"/>
      <c r="TWF10" s="6"/>
      <c r="TWH10" s="6"/>
      <c r="TWJ10" s="6"/>
      <c r="TWL10" s="6"/>
      <c r="TWN10" s="6"/>
      <c r="TWP10" s="6"/>
      <c r="TWR10" s="6"/>
      <c r="TWT10" s="6"/>
      <c r="TWV10" s="6"/>
      <c r="TWX10" s="6"/>
      <c r="TWZ10" s="6"/>
      <c r="TXB10" s="6"/>
      <c r="TXD10" s="6"/>
      <c r="TXF10" s="6"/>
      <c r="TXH10" s="6"/>
      <c r="TXJ10" s="6"/>
      <c r="TXL10" s="6"/>
      <c r="TXN10" s="6"/>
      <c r="TXP10" s="6"/>
      <c r="TXR10" s="6"/>
      <c r="TXT10" s="6"/>
      <c r="TXV10" s="6"/>
      <c r="TXX10" s="6"/>
      <c r="TXZ10" s="6"/>
      <c r="TYB10" s="6"/>
      <c r="TYD10" s="6"/>
      <c r="TYF10" s="6"/>
      <c r="TYH10" s="6"/>
      <c r="TYJ10" s="6"/>
      <c r="TYL10" s="6"/>
      <c r="TYN10" s="6"/>
      <c r="TYP10" s="6"/>
      <c r="TYR10" s="6"/>
      <c r="TYT10" s="6"/>
      <c r="TYV10" s="6"/>
      <c r="TYX10" s="6"/>
      <c r="TYZ10" s="6"/>
      <c r="TZB10" s="6"/>
      <c r="TZD10" s="6"/>
      <c r="TZF10" s="6"/>
      <c r="TZH10" s="6"/>
      <c r="TZJ10" s="6"/>
      <c r="TZL10" s="6"/>
      <c r="TZN10" s="6"/>
      <c r="TZP10" s="6"/>
      <c r="TZR10" s="6"/>
      <c r="TZT10" s="6"/>
      <c r="TZV10" s="6"/>
      <c r="TZX10" s="6"/>
      <c r="TZZ10" s="6"/>
      <c r="UAB10" s="6"/>
      <c r="UAD10" s="6"/>
      <c r="UAF10" s="6"/>
      <c r="UAH10" s="6"/>
      <c r="UAJ10" s="6"/>
      <c r="UAL10" s="6"/>
      <c r="UAN10" s="6"/>
      <c r="UAP10" s="6"/>
      <c r="UAR10" s="6"/>
      <c r="UAT10" s="6"/>
      <c r="UAV10" s="6"/>
      <c r="UAX10" s="6"/>
      <c r="UAZ10" s="6"/>
      <c r="UBB10" s="6"/>
      <c r="UBD10" s="6"/>
      <c r="UBF10" s="6"/>
      <c r="UBH10" s="6"/>
      <c r="UBJ10" s="6"/>
      <c r="UBL10" s="6"/>
      <c r="UBN10" s="6"/>
      <c r="UBP10" s="6"/>
      <c r="UBR10" s="6"/>
      <c r="UBT10" s="6"/>
      <c r="UBV10" s="6"/>
      <c r="UBX10" s="6"/>
      <c r="UBZ10" s="6"/>
      <c r="UCB10" s="6"/>
      <c r="UCD10" s="6"/>
      <c r="UCF10" s="6"/>
      <c r="UCH10" s="6"/>
      <c r="UCJ10" s="6"/>
      <c r="UCL10" s="6"/>
      <c r="UCN10" s="6"/>
      <c r="UCP10" s="6"/>
      <c r="UCR10" s="6"/>
      <c r="UCT10" s="6"/>
      <c r="UCV10" s="6"/>
      <c r="UCX10" s="6"/>
      <c r="UCZ10" s="6"/>
      <c r="UDB10" s="6"/>
      <c r="UDD10" s="6"/>
      <c r="UDF10" s="6"/>
      <c r="UDH10" s="6"/>
      <c r="UDJ10" s="6"/>
      <c r="UDL10" s="6"/>
      <c r="UDN10" s="6"/>
      <c r="UDP10" s="6"/>
      <c r="UDR10" s="6"/>
      <c r="UDT10" s="6"/>
      <c r="UDV10" s="6"/>
      <c r="UDX10" s="6"/>
      <c r="UDZ10" s="6"/>
      <c r="UEB10" s="6"/>
      <c r="UED10" s="6"/>
      <c r="UEF10" s="6"/>
      <c r="UEH10" s="6"/>
      <c r="UEJ10" s="6"/>
      <c r="UEL10" s="6"/>
      <c r="UEN10" s="6"/>
      <c r="UEP10" s="6"/>
      <c r="UER10" s="6"/>
      <c r="UET10" s="6"/>
      <c r="UEV10" s="6"/>
      <c r="UEX10" s="6"/>
      <c r="UEZ10" s="6"/>
      <c r="UFB10" s="6"/>
      <c r="UFD10" s="6"/>
      <c r="UFF10" s="6"/>
      <c r="UFH10" s="6"/>
      <c r="UFJ10" s="6"/>
      <c r="UFL10" s="6"/>
      <c r="UFN10" s="6"/>
      <c r="UFP10" s="6"/>
      <c r="UFR10" s="6"/>
      <c r="UFT10" s="6"/>
      <c r="UFV10" s="6"/>
      <c r="UFX10" s="6"/>
      <c r="UFZ10" s="6"/>
      <c r="UGB10" s="6"/>
      <c r="UGD10" s="6"/>
      <c r="UGF10" s="6"/>
      <c r="UGH10" s="6"/>
      <c r="UGJ10" s="6"/>
      <c r="UGL10" s="6"/>
      <c r="UGN10" s="6"/>
      <c r="UGP10" s="6"/>
      <c r="UGR10" s="6"/>
      <c r="UGT10" s="6"/>
      <c r="UGV10" s="6"/>
      <c r="UGX10" s="6"/>
      <c r="UGZ10" s="6"/>
      <c r="UHB10" s="6"/>
      <c r="UHD10" s="6"/>
      <c r="UHF10" s="6"/>
      <c r="UHH10" s="6"/>
      <c r="UHJ10" s="6"/>
      <c r="UHL10" s="6"/>
      <c r="UHN10" s="6"/>
      <c r="UHP10" s="6"/>
      <c r="UHR10" s="6"/>
      <c r="UHT10" s="6"/>
      <c r="UHV10" s="6"/>
      <c r="UHX10" s="6"/>
      <c r="UHZ10" s="6"/>
      <c r="UIB10" s="6"/>
      <c r="UID10" s="6"/>
      <c r="UIF10" s="6"/>
      <c r="UIH10" s="6"/>
      <c r="UIJ10" s="6"/>
      <c r="UIL10" s="6"/>
      <c r="UIN10" s="6"/>
      <c r="UIP10" s="6"/>
      <c r="UIR10" s="6"/>
      <c r="UIT10" s="6"/>
      <c r="UIV10" s="6"/>
      <c r="UIX10" s="6"/>
      <c r="UIZ10" s="6"/>
      <c r="UJB10" s="6"/>
      <c r="UJD10" s="6"/>
      <c r="UJF10" s="6"/>
      <c r="UJH10" s="6"/>
      <c r="UJJ10" s="6"/>
      <c r="UJL10" s="6"/>
      <c r="UJN10" s="6"/>
      <c r="UJP10" s="6"/>
      <c r="UJR10" s="6"/>
      <c r="UJT10" s="6"/>
      <c r="UJV10" s="6"/>
      <c r="UJX10" s="6"/>
      <c r="UJZ10" s="6"/>
      <c r="UKB10" s="6"/>
      <c r="UKD10" s="6"/>
      <c r="UKF10" s="6"/>
      <c r="UKH10" s="6"/>
      <c r="UKJ10" s="6"/>
      <c r="UKL10" s="6"/>
      <c r="UKN10" s="6"/>
      <c r="UKP10" s="6"/>
      <c r="UKR10" s="6"/>
      <c r="UKT10" s="6"/>
      <c r="UKV10" s="6"/>
      <c r="UKX10" s="6"/>
      <c r="UKZ10" s="6"/>
      <c r="ULB10" s="6"/>
      <c r="ULD10" s="6"/>
      <c r="ULF10" s="6"/>
      <c r="ULH10" s="6"/>
      <c r="ULJ10" s="6"/>
      <c r="ULL10" s="6"/>
      <c r="ULN10" s="6"/>
      <c r="ULP10" s="6"/>
      <c r="ULR10" s="6"/>
      <c r="ULT10" s="6"/>
      <c r="ULV10" s="6"/>
      <c r="ULX10" s="6"/>
      <c r="ULZ10" s="6"/>
      <c r="UMB10" s="6"/>
      <c r="UMD10" s="6"/>
      <c r="UMF10" s="6"/>
      <c r="UMH10" s="6"/>
      <c r="UMJ10" s="6"/>
      <c r="UML10" s="6"/>
      <c r="UMN10" s="6"/>
      <c r="UMP10" s="6"/>
      <c r="UMR10" s="6"/>
      <c r="UMT10" s="6"/>
      <c r="UMV10" s="6"/>
      <c r="UMX10" s="6"/>
      <c r="UMZ10" s="6"/>
      <c r="UNB10" s="6"/>
      <c r="UND10" s="6"/>
      <c r="UNF10" s="6"/>
      <c r="UNH10" s="6"/>
      <c r="UNJ10" s="6"/>
      <c r="UNL10" s="6"/>
      <c r="UNN10" s="6"/>
      <c r="UNP10" s="6"/>
      <c r="UNR10" s="6"/>
      <c r="UNT10" s="6"/>
      <c r="UNV10" s="6"/>
      <c r="UNX10" s="6"/>
      <c r="UNZ10" s="6"/>
      <c r="UOB10" s="6"/>
      <c r="UOD10" s="6"/>
      <c r="UOF10" s="6"/>
      <c r="UOH10" s="6"/>
      <c r="UOJ10" s="6"/>
      <c r="UOL10" s="6"/>
      <c r="UON10" s="6"/>
      <c r="UOP10" s="6"/>
      <c r="UOR10" s="6"/>
      <c r="UOT10" s="6"/>
      <c r="UOV10" s="6"/>
      <c r="UOX10" s="6"/>
      <c r="UOZ10" s="6"/>
      <c r="UPB10" s="6"/>
      <c r="UPD10" s="6"/>
      <c r="UPF10" s="6"/>
      <c r="UPH10" s="6"/>
      <c r="UPJ10" s="6"/>
      <c r="UPL10" s="6"/>
      <c r="UPN10" s="6"/>
      <c r="UPP10" s="6"/>
      <c r="UPR10" s="6"/>
      <c r="UPT10" s="6"/>
      <c r="UPV10" s="6"/>
      <c r="UPX10" s="6"/>
      <c r="UPZ10" s="6"/>
      <c r="UQB10" s="6"/>
      <c r="UQD10" s="6"/>
      <c r="UQF10" s="6"/>
      <c r="UQH10" s="6"/>
      <c r="UQJ10" s="6"/>
      <c r="UQL10" s="6"/>
      <c r="UQN10" s="6"/>
      <c r="UQP10" s="6"/>
      <c r="UQR10" s="6"/>
      <c r="UQT10" s="6"/>
      <c r="UQV10" s="6"/>
      <c r="UQX10" s="6"/>
      <c r="UQZ10" s="6"/>
      <c r="URB10" s="6"/>
      <c r="URD10" s="6"/>
      <c r="URF10" s="6"/>
      <c r="URH10" s="6"/>
      <c r="URJ10" s="6"/>
      <c r="URL10" s="6"/>
      <c r="URN10" s="6"/>
      <c r="URP10" s="6"/>
      <c r="URR10" s="6"/>
      <c r="URT10" s="6"/>
      <c r="URV10" s="6"/>
      <c r="URX10" s="6"/>
      <c r="URZ10" s="6"/>
      <c r="USB10" s="6"/>
      <c r="USD10" s="6"/>
      <c r="USF10" s="6"/>
      <c r="USH10" s="6"/>
      <c r="USJ10" s="6"/>
      <c r="USL10" s="6"/>
      <c r="USN10" s="6"/>
      <c r="USP10" s="6"/>
      <c r="USR10" s="6"/>
      <c r="UST10" s="6"/>
      <c r="USV10" s="6"/>
      <c r="USX10" s="6"/>
      <c r="USZ10" s="6"/>
      <c r="UTB10" s="6"/>
      <c r="UTD10" s="6"/>
      <c r="UTF10" s="6"/>
      <c r="UTH10" s="6"/>
      <c r="UTJ10" s="6"/>
      <c r="UTL10" s="6"/>
      <c r="UTN10" s="6"/>
      <c r="UTP10" s="6"/>
      <c r="UTR10" s="6"/>
      <c r="UTT10" s="6"/>
      <c r="UTV10" s="6"/>
      <c r="UTX10" s="6"/>
      <c r="UTZ10" s="6"/>
      <c r="UUB10" s="6"/>
      <c r="UUD10" s="6"/>
      <c r="UUF10" s="6"/>
      <c r="UUH10" s="6"/>
      <c r="UUJ10" s="6"/>
      <c r="UUL10" s="6"/>
      <c r="UUN10" s="6"/>
      <c r="UUP10" s="6"/>
      <c r="UUR10" s="6"/>
      <c r="UUT10" s="6"/>
      <c r="UUV10" s="6"/>
      <c r="UUX10" s="6"/>
      <c r="UUZ10" s="6"/>
      <c r="UVB10" s="6"/>
      <c r="UVD10" s="6"/>
      <c r="UVF10" s="6"/>
      <c r="UVH10" s="6"/>
      <c r="UVJ10" s="6"/>
      <c r="UVL10" s="6"/>
      <c r="UVN10" s="6"/>
      <c r="UVP10" s="6"/>
      <c r="UVR10" s="6"/>
      <c r="UVT10" s="6"/>
      <c r="UVV10" s="6"/>
      <c r="UVX10" s="6"/>
      <c r="UVZ10" s="6"/>
      <c r="UWB10" s="6"/>
      <c r="UWD10" s="6"/>
      <c r="UWF10" s="6"/>
      <c r="UWH10" s="6"/>
      <c r="UWJ10" s="6"/>
      <c r="UWL10" s="6"/>
      <c r="UWN10" s="6"/>
      <c r="UWP10" s="6"/>
      <c r="UWR10" s="6"/>
      <c r="UWT10" s="6"/>
      <c r="UWV10" s="6"/>
      <c r="UWX10" s="6"/>
      <c r="UWZ10" s="6"/>
      <c r="UXB10" s="6"/>
      <c r="UXD10" s="6"/>
      <c r="UXF10" s="6"/>
      <c r="UXH10" s="6"/>
      <c r="UXJ10" s="6"/>
      <c r="UXL10" s="6"/>
      <c r="UXN10" s="6"/>
      <c r="UXP10" s="6"/>
      <c r="UXR10" s="6"/>
      <c r="UXT10" s="6"/>
      <c r="UXV10" s="6"/>
      <c r="UXX10" s="6"/>
      <c r="UXZ10" s="6"/>
      <c r="UYB10" s="6"/>
      <c r="UYD10" s="6"/>
      <c r="UYF10" s="6"/>
      <c r="UYH10" s="6"/>
      <c r="UYJ10" s="6"/>
      <c r="UYL10" s="6"/>
      <c r="UYN10" s="6"/>
      <c r="UYP10" s="6"/>
      <c r="UYR10" s="6"/>
      <c r="UYT10" s="6"/>
      <c r="UYV10" s="6"/>
      <c r="UYX10" s="6"/>
      <c r="UYZ10" s="6"/>
      <c r="UZB10" s="6"/>
      <c r="UZD10" s="6"/>
      <c r="UZF10" s="6"/>
      <c r="UZH10" s="6"/>
      <c r="UZJ10" s="6"/>
      <c r="UZL10" s="6"/>
      <c r="UZN10" s="6"/>
      <c r="UZP10" s="6"/>
      <c r="UZR10" s="6"/>
      <c r="UZT10" s="6"/>
      <c r="UZV10" s="6"/>
      <c r="UZX10" s="6"/>
      <c r="UZZ10" s="6"/>
      <c r="VAB10" s="6"/>
      <c r="VAD10" s="6"/>
      <c r="VAF10" s="6"/>
      <c r="VAH10" s="6"/>
      <c r="VAJ10" s="6"/>
      <c r="VAL10" s="6"/>
      <c r="VAN10" s="6"/>
      <c r="VAP10" s="6"/>
      <c r="VAR10" s="6"/>
      <c r="VAT10" s="6"/>
      <c r="VAV10" s="6"/>
      <c r="VAX10" s="6"/>
      <c r="VAZ10" s="6"/>
      <c r="VBB10" s="6"/>
      <c r="VBD10" s="6"/>
      <c r="VBF10" s="6"/>
      <c r="VBH10" s="6"/>
      <c r="VBJ10" s="6"/>
      <c r="VBL10" s="6"/>
      <c r="VBN10" s="6"/>
      <c r="VBP10" s="6"/>
      <c r="VBR10" s="6"/>
      <c r="VBT10" s="6"/>
      <c r="VBV10" s="6"/>
      <c r="VBX10" s="6"/>
      <c r="VBZ10" s="6"/>
      <c r="VCB10" s="6"/>
      <c r="VCD10" s="6"/>
      <c r="VCF10" s="6"/>
      <c r="VCH10" s="6"/>
      <c r="VCJ10" s="6"/>
      <c r="VCL10" s="6"/>
      <c r="VCN10" s="6"/>
      <c r="VCP10" s="6"/>
      <c r="VCR10" s="6"/>
      <c r="VCT10" s="6"/>
      <c r="VCV10" s="6"/>
      <c r="VCX10" s="6"/>
      <c r="VCZ10" s="6"/>
      <c r="VDB10" s="6"/>
      <c r="VDD10" s="6"/>
      <c r="VDF10" s="6"/>
      <c r="VDH10" s="6"/>
      <c r="VDJ10" s="6"/>
      <c r="VDL10" s="6"/>
      <c r="VDN10" s="6"/>
      <c r="VDP10" s="6"/>
      <c r="VDR10" s="6"/>
      <c r="VDT10" s="6"/>
      <c r="VDV10" s="6"/>
      <c r="VDX10" s="6"/>
      <c r="VDZ10" s="6"/>
      <c r="VEB10" s="6"/>
      <c r="VED10" s="6"/>
      <c r="VEF10" s="6"/>
      <c r="VEH10" s="6"/>
      <c r="VEJ10" s="6"/>
      <c r="VEL10" s="6"/>
      <c r="VEN10" s="6"/>
      <c r="VEP10" s="6"/>
      <c r="VER10" s="6"/>
      <c r="VET10" s="6"/>
      <c r="VEV10" s="6"/>
      <c r="VEX10" s="6"/>
      <c r="VEZ10" s="6"/>
      <c r="VFB10" s="6"/>
      <c r="VFD10" s="6"/>
      <c r="VFF10" s="6"/>
      <c r="VFH10" s="6"/>
      <c r="VFJ10" s="6"/>
      <c r="VFL10" s="6"/>
      <c r="VFN10" s="6"/>
      <c r="VFP10" s="6"/>
      <c r="VFR10" s="6"/>
      <c r="VFT10" s="6"/>
      <c r="VFV10" s="6"/>
      <c r="VFX10" s="6"/>
      <c r="VFZ10" s="6"/>
      <c r="VGB10" s="6"/>
      <c r="VGD10" s="6"/>
      <c r="VGF10" s="6"/>
      <c r="VGH10" s="6"/>
      <c r="VGJ10" s="6"/>
      <c r="VGL10" s="6"/>
      <c r="VGN10" s="6"/>
      <c r="VGP10" s="6"/>
      <c r="VGR10" s="6"/>
      <c r="VGT10" s="6"/>
      <c r="VGV10" s="6"/>
      <c r="VGX10" s="6"/>
      <c r="VGZ10" s="6"/>
      <c r="VHB10" s="6"/>
      <c r="VHD10" s="6"/>
      <c r="VHF10" s="6"/>
      <c r="VHH10" s="6"/>
      <c r="VHJ10" s="6"/>
      <c r="VHL10" s="6"/>
      <c r="VHN10" s="6"/>
      <c r="VHP10" s="6"/>
      <c r="VHR10" s="6"/>
      <c r="VHT10" s="6"/>
      <c r="VHV10" s="6"/>
      <c r="VHX10" s="6"/>
      <c r="VHZ10" s="6"/>
      <c r="VIB10" s="6"/>
      <c r="VID10" s="6"/>
      <c r="VIF10" s="6"/>
      <c r="VIH10" s="6"/>
      <c r="VIJ10" s="6"/>
      <c r="VIL10" s="6"/>
      <c r="VIN10" s="6"/>
      <c r="VIP10" s="6"/>
      <c r="VIR10" s="6"/>
      <c r="VIT10" s="6"/>
      <c r="VIV10" s="6"/>
      <c r="VIX10" s="6"/>
      <c r="VIZ10" s="6"/>
      <c r="VJB10" s="6"/>
      <c r="VJD10" s="6"/>
      <c r="VJF10" s="6"/>
      <c r="VJH10" s="6"/>
      <c r="VJJ10" s="6"/>
      <c r="VJL10" s="6"/>
      <c r="VJN10" s="6"/>
      <c r="VJP10" s="6"/>
      <c r="VJR10" s="6"/>
      <c r="VJT10" s="6"/>
      <c r="VJV10" s="6"/>
      <c r="VJX10" s="6"/>
      <c r="VJZ10" s="6"/>
      <c r="VKB10" s="6"/>
      <c r="VKD10" s="6"/>
      <c r="VKF10" s="6"/>
      <c r="VKH10" s="6"/>
      <c r="VKJ10" s="6"/>
      <c r="VKL10" s="6"/>
      <c r="VKN10" s="6"/>
      <c r="VKP10" s="6"/>
      <c r="VKR10" s="6"/>
      <c r="VKT10" s="6"/>
      <c r="VKV10" s="6"/>
      <c r="VKX10" s="6"/>
      <c r="VKZ10" s="6"/>
      <c r="VLB10" s="6"/>
      <c r="VLD10" s="6"/>
      <c r="VLF10" s="6"/>
      <c r="VLH10" s="6"/>
      <c r="VLJ10" s="6"/>
      <c r="VLL10" s="6"/>
      <c r="VLN10" s="6"/>
      <c r="VLP10" s="6"/>
      <c r="VLR10" s="6"/>
      <c r="VLT10" s="6"/>
      <c r="VLV10" s="6"/>
      <c r="VLX10" s="6"/>
      <c r="VLZ10" s="6"/>
      <c r="VMB10" s="6"/>
      <c r="VMD10" s="6"/>
      <c r="VMF10" s="6"/>
      <c r="VMH10" s="6"/>
      <c r="VMJ10" s="6"/>
      <c r="VML10" s="6"/>
      <c r="VMN10" s="6"/>
      <c r="VMP10" s="6"/>
      <c r="VMR10" s="6"/>
      <c r="VMT10" s="6"/>
      <c r="VMV10" s="6"/>
      <c r="VMX10" s="6"/>
      <c r="VMZ10" s="6"/>
      <c r="VNB10" s="6"/>
      <c r="VND10" s="6"/>
      <c r="VNF10" s="6"/>
      <c r="VNH10" s="6"/>
      <c r="VNJ10" s="6"/>
      <c r="VNL10" s="6"/>
      <c r="VNN10" s="6"/>
      <c r="VNP10" s="6"/>
      <c r="VNR10" s="6"/>
      <c r="VNT10" s="6"/>
      <c r="VNV10" s="6"/>
      <c r="VNX10" s="6"/>
      <c r="VNZ10" s="6"/>
      <c r="VOB10" s="6"/>
      <c r="VOD10" s="6"/>
      <c r="VOF10" s="6"/>
      <c r="VOH10" s="6"/>
      <c r="VOJ10" s="6"/>
      <c r="VOL10" s="6"/>
      <c r="VON10" s="6"/>
      <c r="VOP10" s="6"/>
      <c r="VOR10" s="6"/>
      <c r="VOT10" s="6"/>
      <c r="VOV10" s="6"/>
      <c r="VOX10" s="6"/>
      <c r="VOZ10" s="6"/>
      <c r="VPB10" s="6"/>
      <c r="VPD10" s="6"/>
      <c r="VPF10" s="6"/>
      <c r="VPH10" s="6"/>
      <c r="VPJ10" s="6"/>
      <c r="VPL10" s="6"/>
      <c r="VPN10" s="6"/>
      <c r="VPP10" s="6"/>
      <c r="VPR10" s="6"/>
      <c r="VPT10" s="6"/>
      <c r="VPV10" s="6"/>
      <c r="VPX10" s="6"/>
      <c r="VPZ10" s="6"/>
      <c r="VQB10" s="6"/>
      <c r="VQD10" s="6"/>
      <c r="VQF10" s="6"/>
      <c r="VQH10" s="6"/>
      <c r="VQJ10" s="6"/>
      <c r="VQL10" s="6"/>
      <c r="VQN10" s="6"/>
      <c r="VQP10" s="6"/>
      <c r="VQR10" s="6"/>
      <c r="VQT10" s="6"/>
      <c r="VQV10" s="6"/>
      <c r="VQX10" s="6"/>
      <c r="VQZ10" s="6"/>
      <c r="VRB10" s="6"/>
      <c r="VRD10" s="6"/>
      <c r="VRF10" s="6"/>
      <c r="VRH10" s="6"/>
      <c r="VRJ10" s="6"/>
      <c r="VRL10" s="6"/>
      <c r="VRN10" s="6"/>
      <c r="VRP10" s="6"/>
      <c r="VRR10" s="6"/>
      <c r="VRT10" s="6"/>
      <c r="VRV10" s="6"/>
      <c r="VRX10" s="6"/>
      <c r="VRZ10" s="6"/>
      <c r="VSB10" s="6"/>
      <c r="VSD10" s="6"/>
      <c r="VSF10" s="6"/>
      <c r="VSH10" s="6"/>
      <c r="VSJ10" s="6"/>
      <c r="VSL10" s="6"/>
      <c r="VSN10" s="6"/>
      <c r="VSP10" s="6"/>
      <c r="VSR10" s="6"/>
      <c r="VST10" s="6"/>
      <c r="VSV10" s="6"/>
      <c r="VSX10" s="6"/>
      <c r="VSZ10" s="6"/>
      <c r="VTB10" s="6"/>
      <c r="VTD10" s="6"/>
      <c r="VTF10" s="6"/>
      <c r="VTH10" s="6"/>
      <c r="VTJ10" s="6"/>
      <c r="VTL10" s="6"/>
      <c r="VTN10" s="6"/>
      <c r="VTP10" s="6"/>
      <c r="VTR10" s="6"/>
      <c r="VTT10" s="6"/>
      <c r="VTV10" s="6"/>
      <c r="VTX10" s="6"/>
      <c r="VTZ10" s="6"/>
      <c r="VUB10" s="6"/>
      <c r="VUD10" s="6"/>
      <c r="VUF10" s="6"/>
      <c r="VUH10" s="6"/>
      <c r="VUJ10" s="6"/>
      <c r="VUL10" s="6"/>
      <c r="VUN10" s="6"/>
      <c r="VUP10" s="6"/>
      <c r="VUR10" s="6"/>
      <c r="VUT10" s="6"/>
      <c r="VUV10" s="6"/>
      <c r="VUX10" s="6"/>
      <c r="VUZ10" s="6"/>
      <c r="VVB10" s="6"/>
      <c r="VVD10" s="6"/>
      <c r="VVF10" s="6"/>
      <c r="VVH10" s="6"/>
      <c r="VVJ10" s="6"/>
      <c r="VVL10" s="6"/>
      <c r="VVN10" s="6"/>
      <c r="VVP10" s="6"/>
      <c r="VVR10" s="6"/>
      <c r="VVT10" s="6"/>
      <c r="VVV10" s="6"/>
      <c r="VVX10" s="6"/>
      <c r="VVZ10" s="6"/>
      <c r="VWB10" s="6"/>
      <c r="VWD10" s="6"/>
      <c r="VWF10" s="6"/>
      <c r="VWH10" s="6"/>
      <c r="VWJ10" s="6"/>
      <c r="VWL10" s="6"/>
      <c r="VWN10" s="6"/>
      <c r="VWP10" s="6"/>
      <c r="VWR10" s="6"/>
      <c r="VWT10" s="6"/>
      <c r="VWV10" s="6"/>
      <c r="VWX10" s="6"/>
      <c r="VWZ10" s="6"/>
      <c r="VXB10" s="6"/>
      <c r="VXD10" s="6"/>
      <c r="VXF10" s="6"/>
      <c r="VXH10" s="6"/>
      <c r="VXJ10" s="6"/>
      <c r="VXL10" s="6"/>
      <c r="VXN10" s="6"/>
      <c r="VXP10" s="6"/>
      <c r="VXR10" s="6"/>
      <c r="VXT10" s="6"/>
      <c r="VXV10" s="6"/>
      <c r="VXX10" s="6"/>
      <c r="VXZ10" s="6"/>
      <c r="VYB10" s="6"/>
      <c r="VYD10" s="6"/>
      <c r="VYF10" s="6"/>
      <c r="VYH10" s="6"/>
      <c r="VYJ10" s="6"/>
      <c r="VYL10" s="6"/>
      <c r="VYN10" s="6"/>
      <c r="VYP10" s="6"/>
      <c r="VYR10" s="6"/>
      <c r="VYT10" s="6"/>
      <c r="VYV10" s="6"/>
      <c r="VYX10" s="6"/>
      <c r="VYZ10" s="6"/>
      <c r="VZB10" s="6"/>
      <c r="VZD10" s="6"/>
      <c r="VZF10" s="6"/>
      <c r="VZH10" s="6"/>
      <c r="VZJ10" s="6"/>
      <c r="VZL10" s="6"/>
      <c r="VZN10" s="6"/>
      <c r="VZP10" s="6"/>
      <c r="VZR10" s="6"/>
      <c r="VZT10" s="6"/>
      <c r="VZV10" s="6"/>
      <c r="VZX10" s="6"/>
      <c r="VZZ10" s="6"/>
      <c r="WAB10" s="6"/>
      <c r="WAD10" s="6"/>
      <c r="WAF10" s="6"/>
      <c r="WAH10" s="6"/>
      <c r="WAJ10" s="6"/>
      <c r="WAL10" s="6"/>
      <c r="WAN10" s="6"/>
      <c r="WAP10" s="6"/>
      <c r="WAR10" s="6"/>
      <c r="WAT10" s="6"/>
      <c r="WAV10" s="6"/>
      <c r="WAX10" s="6"/>
      <c r="WAZ10" s="6"/>
      <c r="WBB10" s="6"/>
      <c r="WBD10" s="6"/>
      <c r="WBF10" s="6"/>
      <c r="WBH10" s="6"/>
      <c r="WBJ10" s="6"/>
      <c r="WBL10" s="6"/>
      <c r="WBN10" s="6"/>
      <c r="WBP10" s="6"/>
      <c r="WBR10" s="6"/>
      <c r="WBT10" s="6"/>
      <c r="WBV10" s="6"/>
      <c r="WBX10" s="6"/>
      <c r="WBZ10" s="6"/>
      <c r="WCB10" s="6"/>
      <c r="WCD10" s="6"/>
      <c r="WCF10" s="6"/>
      <c r="WCH10" s="6"/>
      <c r="WCJ10" s="6"/>
      <c r="WCL10" s="6"/>
      <c r="WCN10" s="6"/>
      <c r="WCP10" s="6"/>
      <c r="WCR10" s="6"/>
      <c r="WCT10" s="6"/>
      <c r="WCV10" s="6"/>
      <c r="WCX10" s="6"/>
      <c r="WCZ10" s="6"/>
      <c r="WDB10" s="6"/>
      <c r="WDD10" s="6"/>
      <c r="WDF10" s="6"/>
      <c r="WDH10" s="6"/>
      <c r="WDJ10" s="6"/>
      <c r="WDL10" s="6"/>
      <c r="WDN10" s="6"/>
      <c r="WDP10" s="6"/>
      <c r="WDR10" s="6"/>
      <c r="WDT10" s="6"/>
      <c r="WDV10" s="6"/>
      <c r="WDX10" s="6"/>
      <c r="WDZ10" s="6"/>
      <c r="WEB10" s="6"/>
      <c r="WED10" s="6"/>
      <c r="WEF10" s="6"/>
      <c r="WEH10" s="6"/>
      <c r="WEJ10" s="6"/>
      <c r="WEL10" s="6"/>
      <c r="WEN10" s="6"/>
      <c r="WEP10" s="6"/>
      <c r="WER10" s="6"/>
      <c r="WET10" s="6"/>
      <c r="WEV10" s="6"/>
      <c r="WEX10" s="6"/>
      <c r="WEZ10" s="6"/>
      <c r="WFB10" s="6"/>
      <c r="WFD10" s="6"/>
      <c r="WFF10" s="6"/>
      <c r="WFH10" s="6"/>
      <c r="WFJ10" s="6"/>
      <c r="WFL10" s="6"/>
      <c r="WFN10" s="6"/>
      <c r="WFP10" s="6"/>
      <c r="WFR10" s="6"/>
      <c r="WFT10" s="6"/>
      <c r="WFV10" s="6"/>
      <c r="WFX10" s="6"/>
      <c r="WFZ10" s="6"/>
      <c r="WGB10" s="6"/>
      <c r="WGD10" s="6"/>
      <c r="WGF10" s="6"/>
      <c r="WGH10" s="6"/>
      <c r="WGJ10" s="6"/>
      <c r="WGL10" s="6"/>
      <c r="WGN10" s="6"/>
      <c r="WGP10" s="6"/>
      <c r="WGR10" s="6"/>
      <c r="WGT10" s="6"/>
      <c r="WGV10" s="6"/>
      <c r="WGX10" s="6"/>
      <c r="WGZ10" s="6"/>
      <c r="WHB10" s="6"/>
      <c r="WHD10" s="6"/>
      <c r="WHF10" s="6"/>
      <c r="WHH10" s="6"/>
      <c r="WHJ10" s="6"/>
      <c r="WHL10" s="6"/>
      <c r="WHN10" s="6"/>
      <c r="WHP10" s="6"/>
      <c r="WHR10" s="6"/>
      <c r="WHT10" s="6"/>
      <c r="WHV10" s="6"/>
      <c r="WHX10" s="6"/>
      <c r="WHZ10" s="6"/>
      <c r="WIB10" s="6"/>
      <c r="WID10" s="6"/>
      <c r="WIF10" s="6"/>
      <c r="WIH10" s="6"/>
      <c r="WIJ10" s="6"/>
      <c r="WIL10" s="6"/>
      <c r="WIN10" s="6"/>
      <c r="WIP10" s="6"/>
      <c r="WIR10" s="6"/>
      <c r="WIT10" s="6"/>
      <c r="WIV10" s="6"/>
      <c r="WIX10" s="6"/>
      <c r="WIZ10" s="6"/>
      <c r="WJB10" s="6"/>
      <c r="WJD10" s="6"/>
      <c r="WJF10" s="6"/>
      <c r="WJH10" s="6"/>
      <c r="WJJ10" s="6"/>
      <c r="WJL10" s="6"/>
      <c r="WJN10" s="6"/>
      <c r="WJP10" s="6"/>
      <c r="WJR10" s="6"/>
      <c r="WJT10" s="6"/>
      <c r="WJV10" s="6"/>
      <c r="WJX10" s="6"/>
      <c r="WJZ10" s="6"/>
      <c r="WKB10" s="6"/>
      <c r="WKD10" s="6"/>
      <c r="WKF10" s="6"/>
      <c r="WKH10" s="6"/>
      <c r="WKJ10" s="6"/>
      <c r="WKL10" s="6"/>
      <c r="WKN10" s="6"/>
      <c r="WKP10" s="6"/>
      <c r="WKR10" s="6"/>
      <c r="WKT10" s="6"/>
      <c r="WKV10" s="6"/>
      <c r="WKX10" s="6"/>
      <c r="WKZ10" s="6"/>
      <c r="WLB10" s="6"/>
      <c r="WLD10" s="6"/>
      <c r="WLF10" s="6"/>
      <c r="WLH10" s="6"/>
      <c r="WLJ10" s="6"/>
      <c r="WLL10" s="6"/>
      <c r="WLN10" s="6"/>
      <c r="WLP10" s="6"/>
      <c r="WLR10" s="6"/>
      <c r="WLT10" s="6"/>
      <c r="WLV10" s="6"/>
      <c r="WLX10" s="6"/>
      <c r="WLZ10" s="6"/>
      <c r="WMB10" s="6"/>
      <c r="WMD10" s="6"/>
      <c r="WMF10" s="6"/>
      <c r="WMH10" s="6"/>
      <c r="WMJ10" s="6"/>
      <c r="WML10" s="6"/>
      <c r="WMN10" s="6"/>
      <c r="WMP10" s="6"/>
      <c r="WMR10" s="6"/>
      <c r="WMT10" s="6"/>
      <c r="WMV10" s="6"/>
      <c r="WMX10" s="6"/>
      <c r="WMZ10" s="6"/>
      <c r="WNB10" s="6"/>
      <c r="WND10" s="6"/>
      <c r="WNF10" s="6"/>
      <c r="WNH10" s="6"/>
      <c r="WNJ10" s="6"/>
      <c r="WNL10" s="6"/>
      <c r="WNN10" s="6"/>
      <c r="WNP10" s="6"/>
      <c r="WNR10" s="6"/>
      <c r="WNT10" s="6"/>
      <c r="WNV10" s="6"/>
      <c r="WNX10" s="6"/>
      <c r="WNZ10" s="6"/>
      <c r="WOB10" s="6"/>
      <c r="WOD10" s="6"/>
      <c r="WOF10" s="6"/>
      <c r="WOH10" s="6"/>
      <c r="WOJ10" s="6"/>
      <c r="WOL10" s="6"/>
      <c r="WON10" s="6"/>
      <c r="WOP10" s="6"/>
      <c r="WOR10" s="6"/>
      <c r="WOT10" s="6"/>
      <c r="WOV10" s="6"/>
      <c r="WOX10" s="6"/>
      <c r="WOZ10" s="6"/>
      <c r="WPB10" s="6"/>
      <c r="WPD10" s="6"/>
      <c r="WPF10" s="6"/>
      <c r="WPH10" s="6"/>
      <c r="WPJ10" s="6"/>
      <c r="WPL10" s="6"/>
      <c r="WPN10" s="6"/>
      <c r="WPP10" s="6"/>
      <c r="WPR10" s="6"/>
      <c r="WPT10" s="6"/>
      <c r="WPV10" s="6"/>
      <c r="WPX10" s="6"/>
      <c r="WPZ10" s="6"/>
      <c r="WQB10" s="6"/>
      <c r="WQD10" s="6"/>
      <c r="WQF10" s="6"/>
      <c r="WQH10" s="6"/>
      <c r="WQJ10" s="6"/>
      <c r="WQL10" s="6"/>
      <c r="WQN10" s="6"/>
      <c r="WQP10" s="6"/>
      <c r="WQR10" s="6"/>
      <c r="WQT10" s="6"/>
      <c r="WQV10" s="6"/>
      <c r="WQX10" s="6"/>
      <c r="WQZ10" s="6"/>
      <c r="WRB10" s="6"/>
      <c r="WRD10" s="6"/>
      <c r="WRF10" s="6"/>
      <c r="WRH10" s="6"/>
      <c r="WRJ10" s="6"/>
      <c r="WRL10" s="6"/>
      <c r="WRN10" s="6"/>
      <c r="WRP10" s="6"/>
      <c r="WRR10" s="6"/>
      <c r="WRT10" s="6"/>
      <c r="WRV10" s="6"/>
      <c r="WRX10" s="6"/>
      <c r="WRZ10" s="6"/>
      <c r="WSB10" s="6"/>
      <c r="WSD10" s="6"/>
      <c r="WSF10" s="6"/>
      <c r="WSH10" s="6"/>
      <c r="WSJ10" s="6"/>
      <c r="WSL10" s="6"/>
      <c r="WSN10" s="6"/>
      <c r="WSP10" s="6"/>
      <c r="WSR10" s="6"/>
      <c r="WST10" s="6"/>
      <c r="WSV10" s="6"/>
      <c r="WSX10" s="6"/>
      <c r="WSZ10" s="6"/>
      <c r="WTB10" s="6"/>
      <c r="WTD10" s="6"/>
      <c r="WTF10" s="6"/>
      <c r="WTH10" s="6"/>
      <c r="WTJ10" s="6"/>
      <c r="WTL10" s="6"/>
      <c r="WTN10" s="6"/>
      <c r="WTP10" s="6"/>
      <c r="WTR10" s="6"/>
      <c r="WTT10" s="6"/>
      <c r="WTV10" s="6"/>
      <c r="WTX10" s="6"/>
      <c r="WTZ10" s="6"/>
      <c r="WUB10" s="6"/>
      <c r="WUD10" s="6"/>
      <c r="WUF10" s="6"/>
      <c r="WUH10" s="6"/>
      <c r="WUJ10" s="6"/>
      <c r="WUL10" s="6"/>
      <c r="WUN10" s="6"/>
      <c r="WUP10" s="6"/>
      <c r="WUR10" s="6"/>
      <c r="WUT10" s="6"/>
      <c r="WUV10" s="6"/>
      <c r="WUX10" s="6"/>
      <c r="WUZ10" s="6"/>
      <c r="WVB10" s="6"/>
      <c r="WVD10" s="6"/>
      <c r="WVF10" s="6"/>
      <c r="WVH10" s="6"/>
      <c r="WVJ10" s="6"/>
      <c r="WVL10" s="6"/>
      <c r="WVN10" s="6"/>
      <c r="WVP10" s="6"/>
      <c r="WVR10" s="6"/>
      <c r="WVT10" s="6"/>
      <c r="WVV10" s="6"/>
      <c r="WVX10" s="6"/>
      <c r="WVZ10" s="6"/>
      <c r="WWB10" s="6"/>
      <c r="WWD10" s="6"/>
      <c r="WWF10" s="6"/>
      <c r="WWH10" s="6"/>
      <c r="WWJ10" s="6"/>
      <c r="WWL10" s="6"/>
      <c r="WWN10" s="6"/>
      <c r="WWP10" s="6"/>
      <c r="WWR10" s="6"/>
      <c r="WWT10" s="6"/>
      <c r="WWV10" s="6"/>
      <c r="WWX10" s="6"/>
      <c r="WWZ10" s="6"/>
      <c r="WXB10" s="6"/>
      <c r="WXD10" s="6"/>
      <c r="WXF10" s="6"/>
      <c r="WXH10" s="6"/>
      <c r="WXJ10" s="6"/>
      <c r="WXL10" s="6"/>
      <c r="WXN10" s="6"/>
      <c r="WXP10" s="6"/>
      <c r="WXR10" s="6"/>
      <c r="WXT10" s="6"/>
      <c r="WXV10" s="6"/>
      <c r="WXX10" s="6"/>
      <c r="WXZ10" s="6"/>
      <c r="WYB10" s="6"/>
      <c r="WYD10" s="6"/>
      <c r="WYF10" s="6"/>
      <c r="WYH10" s="6"/>
      <c r="WYJ10" s="6"/>
      <c r="WYL10" s="6"/>
      <c r="WYN10" s="6"/>
      <c r="WYP10" s="6"/>
      <c r="WYR10" s="6"/>
      <c r="WYT10" s="6"/>
      <c r="WYV10" s="6"/>
      <c r="WYX10" s="6"/>
      <c r="WYZ10" s="6"/>
      <c r="WZB10" s="6"/>
      <c r="WZD10" s="6"/>
      <c r="WZF10" s="6"/>
      <c r="WZH10" s="6"/>
      <c r="WZJ10" s="6"/>
      <c r="WZL10" s="6"/>
      <c r="WZN10" s="6"/>
      <c r="WZP10" s="6"/>
      <c r="WZR10" s="6"/>
      <c r="WZT10" s="6"/>
      <c r="WZV10" s="6"/>
      <c r="WZX10" s="6"/>
      <c r="WZZ10" s="6"/>
      <c r="XAB10" s="6"/>
      <c r="XAD10" s="6"/>
      <c r="XAF10" s="6"/>
      <c r="XAH10" s="6"/>
      <c r="XAJ10" s="6"/>
      <c r="XAL10" s="6"/>
      <c r="XAN10" s="6"/>
      <c r="XAP10" s="6"/>
      <c r="XAR10" s="6"/>
      <c r="XAT10" s="6"/>
      <c r="XAV10" s="6"/>
      <c r="XAX10" s="6"/>
      <c r="XAZ10" s="6"/>
      <c r="XBB10" s="6"/>
      <c r="XBD10" s="6"/>
      <c r="XBF10" s="6"/>
      <c r="XBH10" s="6"/>
      <c r="XBJ10" s="6"/>
      <c r="XBL10" s="6"/>
      <c r="XBN10" s="6"/>
      <c r="XBP10" s="6"/>
      <c r="XBR10" s="6"/>
      <c r="XBT10" s="6"/>
      <c r="XBV10" s="6"/>
      <c r="XBX10" s="6"/>
      <c r="XBZ10" s="6"/>
      <c r="XCB10" s="6"/>
      <c r="XCD10" s="6"/>
      <c r="XCF10" s="6"/>
      <c r="XCH10" s="6"/>
      <c r="XCJ10" s="6"/>
      <c r="XCL10" s="6"/>
      <c r="XCN10" s="6"/>
      <c r="XCP10" s="6"/>
      <c r="XCR10" s="6"/>
      <c r="XCT10" s="6"/>
      <c r="XCV10" s="6"/>
      <c r="XCX10" s="6"/>
      <c r="XCZ10" s="6"/>
      <c r="XDB10" s="6"/>
      <c r="XDD10" s="6"/>
      <c r="XDF10" s="6"/>
      <c r="XDH10" s="6"/>
      <c r="XDJ10" s="6"/>
      <c r="XDL10" s="6"/>
      <c r="XDN10" s="6"/>
      <c r="XDP10" s="6"/>
      <c r="XDR10" s="6"/>
      <c r="XDT10" s="6"/>
      <c r="XDV10" s="6"/>
      <c r="XDX10" s="6"/>
      <c r="XDZ10" s="6"/>
      <c r="XEB10" s="6"/>
      <c r="XED10" s="6"/>
      <c r="XEF10" s="6"/>
      <c r="XEH10" s="6"/>
      <c r="XEJ10" s="6"/>
      <c r="XEL10" s="6"/>
      <c r="XEN10" s="6"/>
      <c r="XEP10" s="6"/>
      <c r="XER10" s="6"/>
      <c r="XET10" s="6"/>
      <c r="XEV10" s="6"/>
      <c r="XEX10" s="6"/>
      <c r="XEZ10" s="6"/>
      <c r="XFB10" s="6"/>
      <c r="XFD10" s="6"/>
    </row>
    <row r="11" spans="1:1024 1026:2048 2050:3072 3074:4096 4098:5120 5122:6144 6146:7168 7170:8192 8194:9216 9218:10240 10242:11264 11266:12288 12290:13312 13314:14336 14338:15360 15362:16384" x14ac:dyDescent="0.25">
      <c r="A11" s="2" t="s">
        <v>86</v>
      </c>
      <c r="B11" s="7">
        <f>(B10+Tt_REF*Parameters!B32)-Ht_REFPROP</f>
        <v>6756.3100008229148</v>
      </c>
      <c r="D11" s="6"/>
      <c r="F11" s="6"/>
      <c r="H11" s="6"/>
      <c r="J11" s="6"/>
      <c r="L11" s="6"/>
      <c r="N11" s="6"/>
      <c r="P11" s="6"/>
      <c r="R11" s="6"/>
      <c r="T11" s="6"/>
      <c r="V11" s="6"/>
      <c r="X11" s="6"/>
      <c r="Z11" s="6"/>
      <c r="AB11" s="6"/>
      <c r="AD11" s="6"/>
      <c r="AF11" s="6"/>
      <c r="AH11" s="6"/>
      <c r="AJ11" s="6"/>
      <c r="AL11" s="6"/>
      <c r="AN11" s="6"/>
      <c r="AP11" s="6"/>
      <c r="AR11" s="6"/>
      <c r="AT11" s="6"/>
      <c r="AV11" s="6"/>
      <c r="AX11" s="6"/>
      <c r="AZ11" s="6"/>
      <c r="BB11" s="6"/>
      <c r="BD11" s="6"/>
      <c r="BF11" s="6"/>
      <c r="BH11" s="6"/>
      <c r="BJ11" s="6"/>
      <c r="BL11" s="6"/>
      <c r="BN11" s="6"/>
      <c r="BP11" s="6"/>
      <c r="BR11" s="6"/>
      <c r="BT11" s="6"/>
      <c r="BV11" s="6"/>
      <c r="BX11" s="6"/>
      <c r="BZ11" s="6"/>
      <c r="CB11" s="6"/>
      <c r="CD11" s="6"/>
      <c r="CF11" s="6"/>
      <c r="CH11" s="6"/>
      <c r="CJ11" s="6"/>
      <c r="CL11" s="6"/>
      <c r="CN11" s="6"/>
      <c r="CP11" s="6"/>
      <c r="CR11" s="6"/>
      <c r="CT11" s="6"/>
      <c r="CV11" s="6"/>
      <c r="CX11" s="6"/>
      <c r="CZ11" s="6"/>
      <c r="DB11" s="6"/>
      <c r="DD11" s="6"/>
      <c r="DF11" s="6"/>
      <c r="DH11" s="6"/>
      <c r="DJ11" s="6"/>
      <c r="DL11" s="6"/>
      <c r="DN11" s="6"/>
      <c r="DP11" s="6"/>
      <c r="DR11" s="6"/>
      <c r="DT11" s="6"/>
      <c r="DV11" s="6"/>
      <c r="DX11" s="6"/>
      <c r="DZ11" s="6"/>
      <c r="EB11" s="6"/>
      <c r="ED11" s="6"/>
      <c r="EF11" s="6"/>
      <c r="EH11" s="6"/>
      <c r="EJ11" s="6"/>
      <c r="EL11" s="6"/>
      <c r="EN11" s="6"/>
      <c r="EP11" s="6"/>
      <c r="ER11" s="6"/>
      <c r="ET11" s="6"/>
      <c r="EV11" s="6"/>
      <c r="EX11" s="6"/>
      <c r="EZ11" s="6"/>
      <c r="FB11" s="6"/>
      <c r="FD11" s="6"/>
      <c r="FF11" s="6"/>
      <c r="FH11" s="6"/>
      <c r="FJ11" s="6"/>
      <c r="FL11" s="6"/>
      <c r="FN11" s="6"/>
      <c r="FP11" s="6"/>
      <c r="FR11" s="6"/>
      <c r="FT11" s="6"/>
      <c r="FV11" s="6"/>
      <c r="FX11" s="6"/>
      <c r="FZ11" s="6"/>
      <c r="GB11" s="6"/>
      <c r="GD11" s="6"/>
      <c r="GF11" s="6"/>
      <c r="GH11" s="6"/>
      <c r="GJ11" s="6"/>
      <c r="GL11" s="6"/>
      <c r="GN11" s="6"/>
      <c r="GP11" s="6"/>
      <c r="GR11" s="6"/>
      <c r="GT11" s="6"/>
      <c r="GV11" s="6"/>
      <c r="GX11" s="6"/>
      <c r="GZ11" s="6"/>
      <c r="HB11" s="6"/>
      <c r="HD11" s="6"/>
      <c r="HF11" s="6"/>
      <c r="HH11" s="6"/>
      <c r="HJ11" s="6"/>
      <c r="HL11" s="6"/>
      <c r="HN11" s="6"/>
      <c r="HP11" s="6"/>
      <c r="HR11" s="6"/>
      <c r="HT11" s="6"/>
      <c r="HV11" s="6"/>
      <c r="HX11" s="6"/>
      <c r="HZ11" s="6"/>
      <c r="IB11" s="6"/>
      <c r="ID11" s="6"/>
      <c r="IF11" s="6"/>
      <c r="IH11" s="6"/>
      <c r="IJ11" s="6"/>
      <c r="IL11" s="6"/>
      <c r="IN11" s="6"/>
      <c r="IP11" s="6"/>
      <c r="IR11" s="6"/>
      <c r="IT11" s="6"/>
      <c r="IV11" s="6"/>
      <c r="IX11" s="6"/>
      <c r="IZ11" s="6"/>
      <c r="JB11" s="6"/>
      <c r="JD11" s="6"/>
      <c r="JF11" s="6"/>
      <c r="JH11" s="6"/>
      <c r="JJ11" s="6"/>
      <c r="JL11" s="6"/>
      <c r="JN11" s="6"/>
      <c r="JP11" s="6"/>
      <c r="JR11" s="6"/>
      <c r="JT11" s="6"/>
      <c r="JV11" s="6"/>
      <c r="JX11" s="6"/>
      <c r="JZ11" s="6"/>
      <c r="KB11" s="6"/>
      <c r="KD11" s="6"/>
      <c r="KF11" s="6"/>
      <c r="KH11" s="6"/>
      <c r="KJ11" s="6"/>
      <c r="KL11" s="6"/>
      <c r="KN11" s="6"/>
      <c r="KP11" s="6"/>
      <c r="KR11" s="6"/>
      <c r="KT11" s="6"/>
      <c r="KV11" s="6"/>
      <c r="KX11" s="6"/>
      <c r="KZ11" s="6"/>
      <c r="LB11" s="6"/>
      <c r="LD11" s="6"/>
      <c r="LF11" s="6"/>
      <c r="LH11" s="6"/>
      <c r="LJ11" s="6"/>
      <c r="LL11" s="6"/>
      <c r="LN11" s="6"/>
      <c r="LP11" s="6"/>
      <c r="LR11" s="6"/>
      <c r="LT11" s="6"/>
      <c r="LV11" s="6"/>
      <c r="LX11" s="6"/>
      <c r="LZ11" s="6"/>
      <c r="MB11" s="6"/>
      <c r="MD11" s="6"/>
      <c r="MF11" s="6"/>
      <c r="MH11" s="6"/>
      <c r="MJ11" s="6"/>
      <c r="ML11" s="6"/>
      <c r="MN11" s="6"/>
      <c r="MP11" s="6"/>
      <c r="MR11" s="6"/>
      <c r="MT11" s="6"/>
      <c r="MV11" s="6"/>
      <c r="MX11" s="6"/>
      <c r="MZ11" s="6"/>
      <c r="NB11" s="6"/>
      <c r="ND11" s="6"/>
      <c r="NF11" s="6"/>
      <c r="NH11" s="6"/>
      <c r="NJ11" s="6"/>
      <c r="NL11" s="6"/>
      <c r="NN11" s="6"/>
      <c r="NP11" s="6"/>
      <c r="NR11" s="6"/>
      <c r="NT11" s="6"/>
      <c r="NV11" s="6"/>
      <c r="NX11" s="6"/>
      <c r="NZ11" s="6"/>
      <c r="OB11" s="6"/>
      <c r="OD11" s="6"/>
      <c r="OF11" s="6"/>
      <c r="OH11" s="6"/>
      <c r="OJ11" s="6"/>
      <c r="OL11" s="6"/>
      <c r="ON11" s="6"/>
      <c r="OP11" s="6"/>
      <c r="OR11" s="6"/>
      <c r="OT11" s="6"/>
      <c r="OV11" s="6"/>
      <c r="OX11" s="6"/>
      <c r="OZ11" s="6"/>
      <c r="PB11" s="6"/>
      <c r="PD11" s="6"/>
      <c r="PF11" s="6"/>
      <c r="PH11" s="6"/>
      <c r="PJ11" s="6"/>
      <c r="PL11" s="6"/>
      <c r="PN11" s="6"/>
      <c r="PP11" s="6"/>
      <c r="PR11" s="6"/>
      <c r="PT11" s="6"/>
      <c r="PV11" s="6"/>
      <c r="PX11" s="6"/>
      <c r="PZ11" s="6"/>
      <c r="QB11" s="6"/>
      <c r="QD11" s="6"/>
      <c r="QF11" s="6"/>
      <c r="QH11" s="6"/>
      <c r="QJ11" s="6"/>
      <c r="QL11" s="6"/>
      <c r="QN11" s="6"/>
      <c r="QP11" s="6"/>
      <c r="QR11" s="6"/>
      <c r="QT11" s="6"/>
      <c r="QV11" s="6"/>
      <c r="QX11" s="6"/>
      <c r="QZ11" s="6"/>
      <c r="RB11" s="6"/>
      <c r="RD11" s="6"/>
      <c r="RF11" s="6"/>
      <c r="RH11" s="6"/>
      <c r="RJ11" s="6"/>
      <c r="RL11" s="6"/>
      <c r="RN11" s="6"/>
      <c r="RP11" s="6"/>
      <c r="RR11" s="6"/>
      <c r="RT11" s="6"/>
      <c r="RV11" s="6"/>
      <c r="RX11" s="6"/>
      <c r="RZ11" s="6"/>
      <c r="SB11" s="6"/>
      <c r="SD11" s="6"/>
      <c r="SF11" s="6"/>
      <c r="SH11" s="6"/>
      <c r="SJ11" s="6"/>
      <c r="SL11" s="6"/>
      <c r="SN11" s="6"/>
      <c r="SP11" s="6"/>
      <c r="SR11" s="6"/>
      <c r="ST11" s="6"/>
      <c r="SV11" s="6"/>
      <c r="SX11" s="6"/>
      <c r="SZ11" s="6"/>
      <c r="TB11" s="6"/>
      <c r="TD11" s="6"/>
      <c r="TF11" s="6"/>
      <c r="TH11" s="6"/>
      <c r="TJ11" s="6"/>
      <c r="TL11" s="6"/>
      <c r="TN11" s="6"/>
      <c r="TP11" s="6"/>
      <c r="TR11" s="6"/>
      <c r="TT11" s="6"/>
      <c r="TV11" s="6"/>
      <c r="TX11" s="6"/>
      <c r="TZ11" s="6"/>
      <c r="UB11" s="6"/>
      <c r="UD11" s="6"/>
      <c r="UF11" s="6"/>
      <c r="UH11" s="6"/>
      <c r="UJ11" s="6"/>
      <c r="UL11" s="6"/>
      <c r="UN11" s="6"/>
      <c r="UP11" s="6"/>
      <c r="UR11" s="6"/>
      <c r="UT11" s="6"/>
      <c r="UV11" s="6"/>
      <c r="UX11" s="6"/>
      <c r="UZ11" s="6"/>
      <c r="VB11" s="6"/>
      <c r="VD11" s="6"/>
      <c r="VF11" s="6"/>
      <c r="VH11" s="6"/>
      <c r="VJ11" s="6"/>
      <c r="VL11" s="6"/>
      <c r="VN11" s="6"/>
      <c r="VP11" s="6"/>
      <c r="VR11" s="6"/>
      <c r="VT11" s="6"/>
      <c r="VV11" s="6"/>
      <c r="VX11" s="6"/>
      <c r="VZ11" s="6"/>
      <c r="WB11" s="6"/>
      <c r="WD11" s="6"/>
      <c r="WF11" s="6"/>
      <c r="WH11" s="6"/>
      <c r="WJ11" s="6"/>
      <c r="WL11" s="6"/>
      <c r="WN11" s="6"/>
      <c r="WP11" s="6"/>
      <c r="WR11" s="6"/>
      <c r="WT11" s="6"/>
      <c r="WV11" s="6"/>
      <c r="WX11" s="6"/>
      <c r="WZ11" s="6"/>
      <c r="XB11" s="6"/>
      <c r="XD11" s="6"/>
      <c r="XF11" s="6"/>
      <c r="XH11" s="6"/>
      <c r="XJ11" s="6"/>
      <c r="XL11" s="6"/>
      <c r="XN11" s="6"/>
      <c r="XP11" s="6"/>
      <c r="XR11" s="6"/>
      <c r="XT11" s="6"/>
      <c r="XV11" s="6"/>
      <c r="XX11" s="6"/>
      <c r="XZ11" s="6"/>
      <c r="YB11" s="6"/>
      <c r="YD11" s="6"/>
      <c r="YF11" s="6"/>
      <c r="YH11" s="6"/>
      <c r="YJ11" s="6"/>
      <c r="YL11" s="6"/>
      <c r="YN11" s="6"/>
      <c r="YP11" s="6"/>
      <c r="YR11" s="6"/>
      <c r="YT11" s="6"/>
      <c r="YV11" s="6"/>
      <c r="YX11" s="6"/>
      <c r="YZ11" s="6"/>
      <c r="ZB11" s="6"/>
      <c r="ZD11" s="6"/>
      <c r="ZF11" s="6"/>
      <c r="ZH11" s="6"/>
      <c r="ZJ11" s="6"/>
      <c r="ZL11" s="6"/>
      <c r="ZN11" s="6"/>
      <c r="ZP11" s="6"/>
      <c r="ZR11" s="6"/>
      <c r="ZT11" s="6"/>
      <c r="ZV11" s="6"/>
      <c r="ZX11" s="6"/>
      <c r="ZZ11" s="6"/>
      <c r="AAB11" s="6"/>
      <c r="AAD11" s="6"/>
      <c r="AAF11" s="6"/>
      <c r="AAH11" s="6"/>
      <c r="AAJ11" s="6"/>
      <c r="AAL11" s="6"/>
      <c r="AAN11" s="6"/>
      <c r="AAP11" s="6"/>
      <c r="AAR11" s="6"/>
      <c r="AAT11" s="6"/>
      <c r="AAV11" s="6"/>
      <c r="AAX11" s="6"/>
      <c r="AAZ11" s="6"/>
      <c r="ABB11" s="6"/>
      <c r="ABD11" s="6"/>
      <c r="ABF11" s="6"/>
      <c r="ABH11" s="6"/>
      <c r="ABJ11" s="6"/>
      <c r="ABL11" s="6"/>
      <c r="ABN11" s="6"/>
      <c r="ABP11" s="6"/>
      <c r="ABR11" s="6"/>
      <c r="ABT11" s="6"/>
      <c r="ABV11" s="6"/>
      <c r="ABX11" s="6"/>
      <c r="ABZ11" s="6"/>
      <c r="ACB11" s="6"/>
      <c r="ACD11" s="6"/>
      <c r="ACF11" s="6"/>
      <c r="ACH11" s="6"/>
      <c r="ACJ11" s="6"/>
      <c r="ACL11" s="6"/>
      <c r="ACN11" s="6"/>
      <c r="ACP11" s="6"/>
      <c r="ACR11" s="6"/>
      <c r="ACT11" s="6"/>
      <c r="ACV11" s="6"/>
      <c r="ACX11" s="6"/>
      <c r="ACZ11" s="6"/>
      <c r="ADB11" s="6"/>
      <c r="ADD11" s="6"/>
      <c r="ADF11" s="6"/>
      <c r="ADH11" s="6"/>
      <c r="ADJ11" s="6"/>
      <c r="ADL11" s="6"/>
      <c r="ADN11" s="6"/>
      <c r="ADP11" s="6"/>
      <c r="ADR11" s="6"/>
      <c r="ADT11" s="6"/>
      <c r="ADV11" s="6"/>
      <c r="ADX11" s="6"/>
      <c r="ADZ11" s="6"/>
      <c r="AEB11" s="6"/>
      <c r="AED11" s="6"/>
      <c r="AEF11" s="6"/>
      <c r="AEH11" s="6"/>
      <c r="AEJ11" s="6"/>
      <c r="AEL11" s="6"/>
      <c r="AEN11" s="6"/>
      <c r="AEP11" s="6"/>
      <c r="AER11" s="6"/>
      <c r="AET11" s="6"/>
      <c r="AEV11" s="6"/>
      <c r="AEX11" s="6"/>
      <c r="AEZ11" s="6"/>
      <c r="AFB11" s="6"/>
      <c r="AFD11" s="6"/>
      <c r="AFF11" s="6"/>
      <c r="AFH11" s="6"/>
      <c r="AFJ11" s="6"/>
      <c r="AFL11" s="6"/>
      <c r="AFN11" s="6"/>
      <c r="AFP11" s="6"/>
      <c r="AFR11" s="6"/>
      <c r="AFT11" s="6"/>
      <c r="AFV11" s="6"/>
      <c r="AFX11" s="6"/>
      <c r="AFZ11" s="6"/>
      <c r="AGB11" s="6"/>
      <c r="AGD11" s="6"/>
      <c r="AGF11" s="6"/>
      <c r="AGH11" s="6"/>
      <c r="AGJ11" s="6"/>
      <c r="AGL11" s="6"/>
      <c r="AGN11" s="6"/>
      <c r="AGP11" s="6"/>
      <c r="AGR11" s="6"/>
      <c r="AGT11" s="6"/>
      <c r="AGV11" s="6"/>
      <c r="AGX11" s="6"/>
      <c r="AGZ11" s="6"/>
      <c r="AHB11" s="6"/>
      <c r="AHD11" s="6"/>
      <c r="AHF11" s="6"/>
      <c r="AHH11" s="6"/>
      <c r="AHJ11" s="6"/>
      <c r="AHL11" s="6"/>
      <c r="AHN11" s="6"/>
      <c r="AHP11" s="6"/>
      <c r="AHR11" s="6"/>
      <c r="AHT11" s="6"/>
      <c r="AHV11" s="6"/>
      <c r="AHX11" s="6"/>
      <c r="AHZ11" s="6"/>
      <c r="AIB11" s="6"/>
      <c r="AID11" s="6"/>
      <c r="AIF11" s="6"/>
      <c r="AIH11" s="6"/>
      <c r="AIJ11" s="6"/>
      <c r="AIL11" s="6"/>
      <c r="AIN11" s="6"/>
      <c r="AIP11" s="6"/>
      <c r="AIR11" s="6"/>
      <c r="AIT11" s="6"/>
      <c r="AIV11" s="6"/>
      <c r="AIX11" s="6"/>
      <c r="AIZ11" s="6"/>
      <c r="AJB11" s="6"/>
      <c r="AJD11" s="6"/>
      <c r="AJF11" s="6"/>
      <c r="AJH11" s="6"/>
      <c r="AJJ11" s="6"/>
      <c r="AJL11" s="6"/>
      <c r="AJN11" s="6"/>
      <c r="AJP11" s="6"/>
      <c r="AJR11" s="6"/>
      <c r="AJT11" s="6"/>
      <c r="AJV11" s="6"/>
      <c r="AJX11" s="6"/>
      <c r="AJZ11" s="6"/>
      <c r="AKB11" s="6"/>
      <c r="AKD11" s="6"/>
      <c r="AKF11" s="6"/>
      <c r="AKH11" s="6"/>
      <c r="AKJ11" s="6"/>
      <c r="AKL11" s="6"/>
      <c r="AKN11" s="6"/>
      <c r="AKP11" s="6"/>
      <c r="AKR11" s="6"/>
      <c r="AKT11" s="6"/>
      <c r="AKV11" s="6"/>
      <c r="AKX11" s="6"/>
      <c r="AKZ11" s="6"/>
      <c r="ALB11" s="6"/>
      <c r="ALD11" s="6"/>
      <c r="ALF11" s="6"/>
      <c r="ALH11" s="6"/>
      <c r="ALJ11" s="6"/>
      <c r="ALL11" s="6"/>
      <c r="ALN11" s="6"/>
      <c r="ALP11" s="6"/>
      <c r="ALR11" s="6"/>
      <c r="ALT11" s="6"/>
      <c r="ALV11" s="6"/>
      <c r="ALX11" s="6"/>
      <c r="ALZ11" s="6"/>
      <c r="AMB11" s="6"/>
      <c r="AMD11" s="6"/>
      <c r="AMF11" s="6"/>
      <c r="AMH11" s="6"/>
      <c r="AMJ11" s="6"/>
      <c r="AML11" s="6"/>
      <c r="AMN11" s="6"/>
      <c r="AMP11" s="6"/>
      <c r="AMR11" s="6"/>
      <c r="AMT11" s="6"/>
      <c r="AMV11" s="6"/>
      <c r="AMX11" s="6"/>
      <c r="AMZ11" s="6"/>
      <c r="ANB11" s="6"/>
      <c r="AND11" s="6"/>
      <c r="ANF11" s="6"/>
      <c r="ANH11" s="6"/>
      <c r="ANJ11" s="6"/>
      <c r="ANL11" s="6"/>
      <c r="ANN11" s="6"/>
      <c r="ANP11" s="6"/>
      <c r="ANR11" s="6"/>
      <c r="ANT11" s="6"/>
      <c r="ANV11" s="6"/>
      <c r="ANX11" s="6"/>
      <c r="ANZ11" s="6"/>
      <c r="AOB11" s="6"/>
      <c r="AOD11" s="6"/>
      <c r="AOF11" s="6"/>
      <c r="AOH11" s="6"/>
      <c r="AOJ11" s="6"/>
      <c r="AOL11" s="6"/>
      <c r="AON11" s="6"/>
      <c r="AOP11" s="6"/>
      <c r="AOR11" s="6"/>
      <c r="AOT11" s="6"/>
      <c r="AOV11" s="6"/>
      <c r="AOX11" s="6"/>
      <c r="AOZ11" s="6"/>
      <c r="APB11" s="6"/>
      <c r="APD11" s="6"/>
      <c r="APF11" s="6"/>
      <c r="APH11" s="6"/>
      <c r="APJ11" s="6"/>
      <c r="APL11" s="6"/>
      <c r="APN11" s="6"/>
      <c r="APP11" s="6"/>
      <c r="APR11" s="6"/>
      <c r="APT11" s="6"/>
      <c r="APV11" s="6"/>
      <c r="APX11" s="6"/>
      <c r="APZ11" s="6"/>
      <c r="AQB11" s="6"/>
      <c r="AQD11" s="6"/>
      <c r="AQF11" s="6"/>
      <c r="AQH11" s="6"/>
      <c r="AQJ11" s="6"/>
      <c r="AQL11" s="6"/>
      <c r="AQN11" s="6"/>
      <c r="AQP11" s="6"/>
      <c r="AQR11" s="6"/>
      <c r="AQT11" s="6"/>
      <c r="AQV11" s="6"/>
      <c r="AQX11" s="6"/>
      <c r="AQZ11" s="6"/>
      <c r="ARB11" s="6"/>
      <c r="ARD11" s="6"/>
      <c r="ARF11" s="6"/>
      <c r="ARH11" s="6"/>
      <c r="ARJ11" s="6"/>
      <c r="ARL11" s="6"/>
      <c r="ARN11" s="6"/>
      <c r="ARP11" s="6"/>
      <c r="ARR11" s="6"/>
      <c r="ART11" s="6"/>
      <c r="ARV11" s="6"/>
      <c r="ARX11" s="6"/>
      <c r="ARZ11" s="6"/>
      <c r="ASB11" s="6"/>
      <c r="ASD11" s="6"/>
      <c r="ASF11" s="6"/>
      <c r="ASH11" s="6"/>
      <c r="ASJ11" s="6"/>
      <c r="ASL11" s="6"/>
      <c r="ASN11" s="6"/>
      <c r="ASP11" s="6"/>
      <c r="ASR11" s="6"/>
      <c r="AST11" s="6"/>
      <c r="ASV11" s="6"/>
      <c r="ASX11" s="6"/>
      <c r="ASZ11" s="6"/>
      <c r="ATB11" s="6"/>
      <c r="ATD11" s="6"/>
      <c r="ATF11" s="6"/>
      <c r="ATH11" s="6"/>
      <c r="ATJ11" s="6"/>
      <c r="ATL11" s="6"/>
      <c r="ATN11" s="6"/>
      <c r="ATP11" s="6"/>
      <c r="ATR11" s="6"/>
      <c r="ATT11" s="6"/>
      <c r="ATV11" s="6"/>
      <c r="ATX11" s="6"/>
      <c r="ATZ11" s="6"/>
      <c r="AUB11" s="6"/>
      <c r="AUD11" s="6"/>
      <c r="AUF11" s="6"/>
      <c r="AUH11" s="6"/>
      <c r="AUJ11" s="6"/>
      <c r="AUL11" s="6"/>
      <c r="AUN11" s="6"/>
      <c r="AUP11" s="6"/>
      <c r="AUR11" s="6"/>
      <c r="AUT11" s="6"/>
      <c r="AUV11" s="6"/>
      <c r="AUX11" s="6"/>
      <c r="AUZ11" s="6"/>
      <c r="AVB11" s="6"/>
      <c r="AVD11" s="6"/>
      <c r="AVF11" s="6"/>
      <c r="AVH11" s="6"/>
      <c r="AVJ11" s="6"/>
      <c r="AVL11" s="6"/>
      <c r="AVN11" s="6"/>
      <c r="AVP11" s="6"/>
      <c r="AVR11" s="6"/>
      <c r="AVT11" s="6"/>
      <c r="AVV11" s="6"/>
      <c r="AVX11" s="6"/>
      <c r="AVZ11" s="6"/>
      <c r="AWB11" s="6"/>
      <c r="AWD11" s="6"/>
      <c r="AWF11" s="6"/>
      <c r="AWH11" s="6"/>
      <c r="AWJ11" s="6"/>
      <c r="AWL11" s="6"/>
      <c r="AWN11" s="6"/>
      <c r="AWP11" s="6"/>
      <c r="AWR11" s="6"/>
      <c r="AWT11" s="6"/>
      <c r="AWV11" s="6"/>
      <c r="AWX11" s="6"/>
      <c r="AWZ11" s="6"/>
      <c r="AXB11" s="6"/>
      <c r="AXD11" s="6"/>
      <c r="AXF11" s="6"/>
      <c r="AXH11" s="6"/>
      <c r="AXJ11" s="6"/>
      <c r="AXL11" s="6"/>
      <c r="AXN11" s="6"/>
      <c r="AXP11" s="6"/>
      <c r="AXR11" s="6"/>
      <c r="AXT11" s="6"/>
      <c r="AXV11" s="6"/>
      <c r="AXX11" s="6"/>
      <c r="AXZ11" s="6"/>
      <c r="AYB11" s="6"/>
      <c r="AYD11" s="6"/>
      <c r="AYF11" s="6"/>
      <c r="AYH11" s="6"/>
      <c r="AYJ11" s="6"/>
      <c r="AYL11" s="6"/>
      <c r="AYN11" s="6"/>
      <c r="AYP11" s="6"/>
      <c r="AYR11" s="6"/>
      <c r="AYT11" s="6"/>
      <c r="AYV11" s="6"/>
      <c r="AYX11" s="6"/>
      <c r="AYZ11" s="6"/>
      <c r="AZB11" s="6"/>
      <c r="AZD11" s="6"/>
      <c r="AZF11" s="6"/>
      <c r="AZH11" s="6"/>
      <c r="AZJ11" s="6"/>
      <c r="AZL11" s="6"/>
      <c r="AZN11" s="6"/>
      <c r="AZP11" s="6"/>
      <c r="AZR11" s="6"/>
      <c r="AZT11" s="6"/>
      <c r="AZV11" s="6"/>
      <c r="AZX11" s="6"/>
      <c r="AZZ11" s="6"/>
      <c r="BAB11" s="6"/>
      <c r="BAD11" s="6"/>
      <c r="BAF11" s="6"/>
      <c r="BAH11" s="6"/>
      <c r="BAJ11" s="6"/>
      <c r="BAL11" s="6"/>
      <c r="BAN11" s="6"/>
      <c r="BAP11" s="6"/>
      <c r="BAR11" s="6"/>
      <c r="BAT11" s="6"/>
      <c r="BAV11" s="6"/>
      <c r="BAX11" s="6"/>
      <c r="BAZ11" s="6"/>
      <c r="BBB11" s="6"/>
      <c r="BBD11" s="6"/>
      <c r="BBF11" s="6"/>
      <c r="BBH11" s="6"/>
      <c r="BBJ11" s="6"/>
      <c r="BBL11" s="6"/>
      <c r="BBN11" s="6"/>
      <c r="BBP11" s="6"/>
      <c r="BBR11" s="6"/>
      <c r="BBT11" s="6"/>
      <c r="BBV11" s="6"/>
      <c r="BBX11" s="6"/>
      <c r="BBZ11" s="6"/>
      <c r="BCB11" s="6"/>
      <c r="BCD11" s="6"/>
      <c r="BCF11" s="6"/>
      <c r="BCH11" s="6"/>
      <c r="BCJ11" s="6"/>
      <c r="BCL11" s="6"/>
      <c r="BCN11" s="6"/>
      <c r="BCP11" s="6"/>
      <c r="BCR11" s="6"/>
      <c r="BCT11" s="6"/>
      <c r="BCV11" s="6"/>
      <c r="BCX11" s="6"/>
      <c r="BCZ11" s="6"/>
      <c r="BDB11" s="6"/>
      <c r="BDD11" s="6"/>
      <c r="BDF11" s="6"/>
      <c r="BDH11" s="6"/>
      <c r="BDJ11" s="6"/>
      <c r="BDL11" s="6"/>
      <c r="BDN11" s="6"/>
      <c r="BDP11" s="6"/>
      <c r="BDR11" s="6"/>
      <c r="BDT11" s="6"/>
      <c r="BDV11" s="6"/>
      <c r="BDX11" s="6"/>
      <c r="BDZ11" s="6"/>
      <c r="BEB11" s="6"/>
      <c r="BED11" s="6"/>
      <c r="BEF11" s="6"/>
      <c r="BEH11" s="6"/>
      <c r="BEJ11" s="6"/>
      <c r="BEL11" s="6"/>
      <c r="BEN11" s="6"/>
      <c r="BEP11" s="6"/>
      <c r="BER11" s="6"/>
      <c r="BET11" s="6"/>
      <c r="BEV11" s="6"/>
      <c r="BEX11" s="6"/>
      <c r="BEZ11" s="6"/>
      <c r="BFB11" s="6"/>
      <c r="BFD11" s="6"/>
      <c r="BFF11" s="6"/>
      <c r="BFH11" s="6"/>
      <c r="BFJ11" s="6"/>
      <c r="BFL11" s="6"/>
      <c r="BFN11" s="6"/>
      <c r="BFP11" s="6"/>
      <c r="BFR11" s="6"/>
      <c r="BFT11" s="6"/>
      <c r="BFV11" s="6"/>
      <c r="BFX11" s="6"/>
      <c r="BFZ11" s="6"/>
      <c r="BGB11" s="6"/>
      <c r="BGD11" s="6"/>
      <c r="BGF11" s="6"/>
      <c r="BGH11" s="6"/>
      <c r="BGJ11" s="6"/>
      <c r="BGL11" s="6"/>
      <c r="BGN11" s="6"/>
      <c r="BGP11" s="6"/>
      <c r="BGR11" s="6"/>
      <c r="BGT11" s="6"/>
      <c r="BGV11" s="6"/>
      <c r="BGX11" s="6"/>
      <c r="BGZ11" s="6"/>
      <c r="BHB11" s="6"/>
      <c r="BHD11" s="6"/>
      <c r="BHF11" s="6"/>
      <c r="BHH11" s="6"/>
      <c r="BHJ11" s="6"/>
      <c r="BHL11" s="6"/>
      <c r="BHN11" s="6"/>
      <c r="BHP11" s="6"/>
      <c r="BHR11" s="6"/>
      <c r="BHT11" s="6"/>
      <c r="BHV11" s="6"/>
      <c r="BHX11" s="6"/>
      <c r="BHZ11" s="6"/>
      <c r="BIB11" s="6"/>
      <c r="BID11" s="6"/>
      <c r="BIF11" s="6"/>
      <c r="BIH11" s="6"/>
      <c r="BIJ11" s="6"/>
      <c r="BIL11" s="6"/>
      <c r="BIN11" s="6"/>
      <c r="BIP11" s="6"/>
      <c r="BIR11" s="6"/>
      <c r="BIT11" s="6"/>
      <c r="BIV11" s="6"/>
      <c r="BIX11" s="6"/>
      <c r="BIZ11" s="6"/>
      <c r="BJB11" s="6"/>
      <c r="BJD11" s="6"/>
      <c r="BJF11" s="6"/>
      <c r="BJH11" s="6"/>
      <c r="BJJ11" s="6"/>
      <c r="BJL11" s="6"/>
      <c r="BJN11" s="6"/>
      <c r="BJP11" s="6"/>
      <c r="BJR11" s="6"/>
      <c r="BJT11" s="6"/>
      <c r="BJV11" s="6"/>
      <c r="BJX11" s="6"/>
      <c r="BJZ11" s="6"/>
      <c r="BKB11" s="6"/>
      <c r="BKD11" s="6"/>
      <c r="BKF11" s="6"/>
      <c r="BKH11" s="6"/>
      <c r="BKJ11" s="6"/>
      <c r="BKL11" s="6"/>
      <c r="BKN11" s="6"/>
      <c r="BKP11" s="6"/>
      <c r="BKR11" s="6"/>
      <c r="BKT11" s="6"/>
      <c r="BKV11" s="6"/>
      <c r="BKX11" s="6"/>
      <c r="BKZ11" s="6"/>
      <c r="BLB11" s="6"/>
      <c r="BLD11" s="6"/>
      <c r="BLF11" s="6"/>
      <c r="BLH11" s="6"/>
      <c r="BLJ11" s="6"/>
      <c r="BLL11" s="6"/>
      <c r="BLN11" s="6"/>
      <c r="BLP11" s="6"/>
      <c r="BLR11" s="6"/>
      <c r="BLT11" s="6"/>
      <c r="BLV11" s="6"/>
      <c r="BLX11" s="6"/>
      <c r="BLZ11" s="6"/>
      <c r="BMB11" s="6"/>
      <c r="BMD11" s="6"/>
      <c r="BMF11" s="6"/>
      <c r="BMH11" s="6"/>
      <c r="BMJ11" s="6"/>
      <c r="BML11" s="6"/>
      <c r="BMN11" s="6"/>
      <c r="BMP11" s="6"/>
      <c r="BMR11" s="6"/>
      <c r="BMT11" s="6"/>
      <c r="BMV11" s="6"/>
      <c r="BMX11" s="6"/>
      <c r="BMZ11" s="6"/>
      <c r="BNB11" s="6"/>
      <c r="BND11" s="6"/>
      <c r="BNF11" s="6"/>
      <c r="BNH11" s="6"/>
      <c r="BNJ11" s="6"/>
      <c r="BNL11" s="6"/>
      <c r="BNN11" s="6"/>
      <c r="BNP11" s="6"/>
      <c r="BNR11" s="6"/>
      <c r="BNT11" s="6"/>
      <c r="BNV11" s="6"/>
      <c r="BNX11" s="6"/>
      <c r="BNZ11" s="6"/>
      <c r="BOB11" s="6"/>
      <c r="BOD11" s="6"/>
      <c r="BOF11" s="6"/>
      <c r="BOH11" s="6"/>
      <c r="BOJ11" s="6"/>
      <c r="BOL11" s="6"/>
      <c r="BON11" s="6"/>
      <c r="BOP11" s="6"/>
      <c r="BOR11" s="6"/>
      <c r="BOT11" s="6"/>
      <c r="BOV11" s="6"/>
      <c r="BOX11" s="6"/>
      <c r="BOZ11" s="6"/>
      <c r="BPB11" s="6"/>
      <c r="BPD11" s="6"/>
      <c r="BPF11" s="6"/>
      <c r="BPH11" s="6"/>
      <c r="BPJ11" s="6"/>
      <c r="BPL11" s="6"/>
      <c r="BPN11" s="6"/>
      <c r="BPP11" s="6"/>
      <c r="BPR11" s="6"/>
      <c r="BPT11" s="6"/>
      <c r="BPV11" s="6"/>
      <c r="BPX11" s="6"/>
      <c r="BPZ11" s="6"/>
      <c r="BQB11" s="6"/>
      <c r="BQD11" s="6"/>
      <c r="BQF11" s="6"/>
      <c r="BQH11" s="6"/>
      <c r="BQJ11" s="6"/>
      <c r="BQL11" s="6"/>
      <c r="BQN11" s="6"/>
      <c r="BQP11" s="6"/>
      <c r="BQR11" s="6"/>
      <c r="BQT11" s="6"/>
      <c r="BQV11" s="6"/>
      <c r="BQX11" s="6"/>
      <c r="BQZ11" s="6"/>
      <c r="BRB11" s="6"/>
      <c r="BRD11" s="6"/>
      <c r="BRF11" s="6"/>
      <c r="BRH11" s="6"/>
      <c r="BRJ11" s="6"/>
      <c r="BRL11" s="6"/>
      <c r="BRN11" s="6"/>
      <c r="BRP11" s="6"/>
      <c r="BRR11" s="6"/>
      <c r="BRT11" s="6"/>
      <c r="BRV11" s="6"/>
      <c r="BRX11" s="6"/>
      <c r="BRZ11" s="6"/>
      <c r="BSB11" s="6"/>
      <c r="BSD11" s="6"/>
      <c r="BSF11" s="6"/>
      <c r="BSH11" s="6"/>
      <c r="BSJ11" s="6"/>
      <c r="BSL11" s="6"/>
      <c r="BSN11" s="6"/>
      <c r="BSP11" s="6"/>
      <c r="BSR11" s="6"/>
      <c r="BST11" s="6"/>
      <c r="BSV11" s="6"/>
      <c r="BSX11" s="6"/>
      <c r="BSZ11" s="6"/>
      <c r="BTB11" s="6"/>
      <c r="BTD11" s="6"/>
      <c r="BTF11" s="6"/>
      <c r="BTH11" s="6"/>
      <c r="BTJ11" s="6"/>
      <c r="BTL11" s="6"/>
      <c r="BTN11" s="6"/>
      <c r="BTP11" s="6"/>
      <c r="BTR11" s="6"/>
      <c r="BTT11" s="6"/>
      <c r="BTV11" s="6"/>
      <c r="BTX11" s="6"/>
      <c r="BTZ11" s="6"/>
      <c r="BUB11" s="6"/>
      <c r="BUD11" s="6"/>
      <c r="BUF11" s="6"/>
      <c r="BUH11" s="6"/>
      <c r="BUJ11" s="6"/>
      <c r="BUL11" s="6"/>
      <c r="BUN11" s="6"/>
      <c r="BUP11" s="6"/>
      <c r="BUR11" s="6"/>
      <c r="BUT11" s="6"/>
      <c r="BUV11" s="6"/>
      <c r="BUX11" s="6"/>
      <c r="BUZ11" s="6"/>
      <c r="BVB11" s="6"/>
      <c r="BVD11" s="6"/>
      <c r="BVF11" s="6"/>
      <c r="BVH11" s="6"/>
      <c r="BVJ11" s="6"/>
      <c r="BVL11" s="6"/>
      <c r="BVN11" s="6"/>
      <c r="BVP11" s="6"/>
      <c r="BVR11" s="6"/>
      <c r="BVT11" s="6"/>
      <c r="BVV11" s="6"/>
      <c r="BVX11" s="6"/>
      <c r="BVZ11" s="6"/>
      <c r="BWB11" s="6"/>
      <c r="BWD11" s="6"/>
      <c r="BWF11" s="6"/>
      <c r="BWH11" s="6"/>
      <c r="BWJ11" s="6"/>
      <c r="BWL11" s="6"/>
      <c r="BWN11" s="6"/>
      <c r="BWP11" s="6"/>
      <c r="BWR11" s="6"/>
      <c r="BWT11" s="6"/>
      <c r="BWV11" s="6"/>
      <c r="BWX11" s="6"/>
      <c r="BWZ11" s="6"/>
      <c r="BXB11" s="6"/>
      <c r="BXD11" s="6"/>
      <c r="BXF11" s="6"/>
      <c r="BXH11" s="6"/>
      <c r="BXJ11" s="6"/>
      <c r="BXL11" s="6"/>
      <c r="BXN11" s="6"/>
      <c r="BXP11" s="6"/>
      <c r="BXR11" s="6"/>
      <c r="BXT11" s="6"/>
      <c r="BXV11" s="6"/>
      <c r="BXX11" s="6"/>
      <c r="BXZ11" s="6"/>
      <c r="BYB11" s="6"/>
      <c r="BYD11" s="6"/>
      <c r="BYF11" s="6"/>
      <c r="BYH11" s="6"/>
      <c r="BYJ11" s="6"/>
      <c r="BYL11" s="6"/>
      <c r="BYN11" s="6"/>
      <c r="BYP11" s="6"/>
      <c r="BYR11" s="6"/>
      <c r="BYT11" s="6"/>
      <c r="BYV11" s="6"/>
      <c r="BYX11" s="6"/>
      <c r="BYZ11" s="6"/>
      <c r="BZB11" s="6"/>
      <c r="BZD11" s="6"/>
      <c r="BZF11" s="6"/>
      <c r="BZH11" s="6"/>
      <c r="BZJ11" s="6"/>
      <c r="BZL11" s="6"/>
      <c r="BZN11" s="6"/>
      <c r="BZP11" s="6"/>
      <c r="BZR11" s="6"/>
      <c r="BZT11" s="6"/>
      <c r="BZV11" s="6"/>
      <c r="BZX11" s="6"/>
      <c r="BZZ11" s="6"/>
      <c r="CAB11" s="6"/>
      <c r="CAD11" s="6"/>
      <c r="CAF11" s="6"/>
      <c r="CAH11" s="6"/>
      <c r="CAJ11" s="6"/>
      <c r="CAL11" s="6"/>
      <c r="CAN11" s="6"/>
      <c r="CAP11" s="6"/>
      <c r="CAR11" s="6"/>
      <c r="CAT11" s="6"/>
      <c r="CAV11" s="6"/>
      <c r="CAX11" s="6"/>
      <c r="CAZ11" s="6"/>
      <c r="CBB11" s="6"/>
      <c r="CBD11" s="6"/>
      <c r="CBF11" s="6"/>
      <c r="CBH11" s="6"/>
      <c r="CBJ11" s="6"/>
      <c r="CBL11" s="6"/>
      <c r="CBN11" s="6"/>
      <c r="CBP11" s="6"/>
      <c r="CBR11" s="6"/>
      <c r="CBT11" s="6"/>
      <c r="CBV11" s="6"/>
      <c r="CBX11" s="6"/>
      <c r="CBZ11" s="6"/>
      <c r="CCB11" s="6"/>
      <c r="CCD11" s="6"/>
      <c r="CCF11" s="6"/>
      <c r="CCH11" s="6"/>
      <c r="CCJ11" s="6"/>
      <c r="CCL11" s="6"/>
      <c r="CCN11" s="6"/>
      <c r="CCP11" s="6"/>
      <c r="CCR11" s="6"/>
      <c r="CCT11" s="6"/>
      <c r="CCV11" s="6"/>
      <c r="CCX11" s="6"/>
      <c r="CCZ11" s="6"/>
      <c r="CDB11" s="6"/>
      <c r="CDD11" s="6"/>
      <c r="CDF11" s="6"/>
      <c r="CDH11" s="6"/>
      <c r="CDJ11" s="6"/>
      <c r="CDL11" s="6"/>
      <c r="CDN11" s="6"/>
      <c r="CDP11" s="6"/>
      <c r="CDR11" s="6"/>
      <c r="CDT11" s="6"/>
      <c r="CDV11" s="6"/>
      <c r="CDX11" s="6"/>
      <c r="CDZ11" s="6"/>
      <c r="CEB11" s="6"/>
      <c r="CED11" s="6"/>
      <c r="CEF11" s="6"/>
      <c r="CEH11" s="6"/>
      <c r="CEJ11" s="6"/>
      <c r="CEL11" s="6"/>
      <c r="CEN11" s="6"/>
      <c r="CEP11" s="6"/>
      <c r="CER11" s="6"/>
      <c r="CET11" s="6"/>
      <c r="CEV11" s="6"/>
      <c r="CEX11" s="6"/>
      <c r="CEZ11" s="6"/>
      <c r="CFB11" s="6"/>
      <c r="CFD11" s="6"/>
      <c r="CFF11" s="6"/>
      <c r="CFH11" s="6"/>
      <c r="CFJ11" s="6"/>
      <c r="CFL11" s="6"/>
      <c r="CFN11" s="6"/>
      <c r="CFP11" s="6"/>
      <c r="CFR11" s="6"/>
      <c r="CFT11" s="6"/>
      <c r="CFV11" s="6"/>
      <c r="CFX11" s="6"/>
      <c r="CFZ11" s="6"/>
      <c r="CGB11" s="6"/>
      <c r="CGD11" s="6"/>
      <c r="CGF11" s="6"/>
      <c r="CGH11" s="6"/>
      <c r="CGJ11" s="6"/>
      <c r="CGL11" s="6"/>
      <c r="CGN11" s="6"/>
      <c r="CGP11" s="6"/>
      <c r="CGR11" s="6"/>
      <c r="CGT11" s="6"/>
      <c r="CGV11" s="6"/>
      <c r="CGX11" s="6"/>
      <c r="CGZ11" s="6"/>
      <c r="CHB11" s="6"/>
      <c r="CHD11" s="6"/>
      <c r="CHF11" s="6"/>
      <c r="CHH11" s="6"/>
      <c r="CHJ11" s="6"/>
      <c r="CHL11" s="6"/>
      <c r="CHN11" s="6"/>
      <c r="CHP11" s="6"/>
      <c r="CHR11" s="6"/>
      <c r="CHT11" s="6"/>
      <c r="CHV11" s="6"/>
      <c r="CHX11" s="6"/>
      <c r="CHZ11" s="6"/>
      <c r="CIB11" s="6"/>
      <c r="CID11" s="6"/>
      <c r="CIF11" s="6"/>
      <c r="CIH11" s="6"/>
      <c r="CIJ11" s="6"/>
      <c r="CIL11" s="6"/>
      <c r="CIN11" s="6"/>
      <c r="CIP11" s="6"/>
      <c r="CIR11" s="6"/>
      <c r="CIT11" s="6"/>
      <c r="CIV11" s="6"/>
      <c r="CIX11" s="6"/>
      <c r="CIZ11" s="6"/>
      <c r="CJB11" s="6"/>
      <c r="CJD11" s="6"/>
      <c r="CJF11" s="6"/>
      <c r="CJH11" s="6"/>
      <c r="CJJ11" s="6"/>
      <c r="CJL11" s="6"/>
      <c r="CJN11" s="6"/>
      <c r="CJP11" s="6"/>
      <c r="CJR11" s="6"/>
      <c r="CJT11" s="6"/>
      <c r="CJV11" s="6"/>
      <c r="CJX11" s="6"/>
      <c r="CJZ11" s="6"/>
      <c r="CKB11" s="6"/>
      <c r="CKD11" s="6"/>
      <c r="CKF11" s="6"/>
      <c r="CKH11" s="6"/>
      <c r="CKJ11" s="6"/>
      <c r="CKL11" s="6"/>
      <c r="CKN11" s="6"/>
      <c r="CKP11" s="6"/>
      <c r="CKR11" s="6"/>
      <c r="CKT11" s="6"/>
      <c r="CKV11" s="6"/>
      <c r="CKX11" s="6"/>
      <c r="CKZ11" s="6"/>
      <c r="CLB11" s="6"/>
      <c r="CLD11" s="6"/>
      <c r="CLF11" s="6"/>
      <c r="CLH11" s="6"/>
      <c r="CLJ11" s="6"/>
      <c r="CLL11" s="6"/>
      <c r="CLN11" s="6"/>
      <c r="CLP11" s="6"/>
      <c r="CLR11" s="6"/>
      <c r="CLT11" s="6"/>
      <c r="CLV11" s="6"/>
      <c r="CLX11" s="6"/>
      <c r="CLZ11" s="6"/>
      <c r="CMB11" s="6"/>
      <c r="CMD11" s="6"/>
      <c r="CMF11" s="6"/>
      <c r="CMH11" s="6"/>
      <c r="CMJ11" s="6"/>
      <c r="CML11" s="6"/>
      <c r="CMN11" s="6"/>
      <c r="CMP11" s="6"/>
      <c r="CMR11" s="6"/>
      <c r="CMT11" s="6"/>
      <c r="CMV11" s="6"/>
      <c r="CMX11" s="6"/>
      <c r="CMZ11" s="6"/>
      <c r="CNB11" s="6"/>
      <c r="CND11" s="6"/>
      <c r="CNF11" s="6"/>
      <c r="CNH11" s="6"/>
      <c r="CNJ11" s="6"/>
      <c r="CNL11" s="6"/>
      <c r="CNN11" s="6"/>
      <c r="CNP11" s="6"/>
      <c r="CNR11" s="6"/>
      <c r="CNT11" s="6"/>
      <c r="CNV11" s="6"/>
      <c r="CNX11" s="6"/>
      <c r="CNZ11" s="6"/>
      <c r="COB11" s="6"/>
      <c r="COD11" s="6"/>
      <c r="COF11" s="6"/>
      <c r="COH11" s="6"/>
      <c r="COJ11" s="6"/>
      <c r="COL11" s="6"/>
      <c r="CON11" s="6"/>
      <c r="COP11" s="6"/>
      <c r="COR11" s="6"/>
      <c r="COT11" s="6"/>
      <c r="COV11" s="6"/>
      <c r="COX11" s="6"/>
      <c r="COZ11" s="6"/>
      <c r="CPB11" s="6"/>
      <c r="CPD11" s="6"/>
      <c r="CPF11" s="6"/>
      <c r="CPH11" s="6"/>
      <c r="CPJ11" s="6"/>
      <c r="CPL11" s="6"/>
      <c r="CPN11" s="6"/>
      <c r="CPP11" s="6"/>
      <c r="CPR11" s="6"/>
      <c r="CPT11" s="6"/>
      <c r="CPV11" s="6"/>
      <c r="CPX11" s="6"/>
      <c r="CPZ11" s="6"/>
      <c r="CQB11" s="6"/>
      <c r="CQD11" s="6"/>
      <c r="CQF11" s="6"/>
      <c r="CQH11" s="6"/>
      <c r="CQJ11" s="6"/>
      <c r="CQL11" s="6"/>
      <c r="CQN11" s="6"/>
      <c r="CQP11" s="6"/>
      <c r="CQR11" s="6"/>
      <c r="CQT11" s="6"/>
      <c r="CQV11" s="6"/>
      <c r="CQX11" s="6"/>
      <c r="CQZ11" s="6"/>
      <c r="CRB11" s="6"/>
      <c r="CRD11" s="6"/>
      <c r="CRF11" s="6"/>
      <c r="CRH11" s="6"/>
      <c r="CRJ11" s="6"/>
      <c r="CRL11" s="6"/>
      <c r="CRN11" s="6"/>
      <c r="CRP11" s="6"/>
      <c r="CRR11" s="6"/>
      <c r="CRT11" s="6"/>
      <c r="CRV11" s="6"/>
      <c r="CRX11" s="6"/>
      <c r="CRZ11" s="6"/>
      <c r="CSB11" s="6"/>
      <c r="CSD11" s="6"/>
      <c r="CSF11" s="6"/>
      <c r="CSH11" s="6"/>
      <c r="CSJ11" s="6"/>
      <c r="CSL11" s="6"/>
      <c r="CSN11" s="6"/>
      <c r="CSP11" s="6"/>
      <c r="CSR11" s="6"/>
      <c r="CST11" s="6"/>
      <c r="CSV11" s="6"/>
      <c r="CSX11" s="6"/>
      <c r="CSZ11" s="6"/>
      <c r="CTB11" s="6"/>
      <c r="CTD11" s="6"/>
      <c r="CTF11" s="6"/>
      <c r="CTH11" s="6"/>
      <c r="CTJ11" s="6"/>
      <c r="CTL11" s="6"/>
      <c r="CTN11" s="6"/>
      <c r="CTP11" s="6"/>
      <c r="CTR11" s="6"/>
      <c r="CTT11" s="6"/>
      <c r="CTV11" s="6"/>
      <c r="CTX11" s="6"/>
      <c r="CTZ11" s="6"/>
      <c r="CUB11" s="6"/>
      <c r="CUD11" s="6"/>
      <c r="CUF11" s="6"/>
      <c r="CUH11" s="6"/>
      <c r="CUJ11" s="6"/>
      <c r="CUL11" s="6"/>
      <c r="CUN11" s="6"/>
      <c r="CUP11" s="6"/>
      <c r="CUR11" s="6"/>
      <c r="CUT11" s="6"/>
      <c r="CUV11" s="6"/>
      <c r="CUX11" s="6"/>
      <c r="CUZ11" s="6"/>
      <c r="CVB11" s="6"/>
      <c r="CVD11" s="6"/>
      <c r="CVF11" s="6"/>
      <c r="CVH11" s="6"/>
      <c r="CVJ11" s="6"/>
      <c r="CVL11" s="6"/>
      <c r="CVN11" s="6"/>
      <c r="CVP11" s="6"/>
      <c r="CVR11" s="6"/>
      <c r="CVT11" s="6"/>
      <c r="CVV11" s="6"/>
      <c r="CVX11" s="6"/>
      <c r="CVZ11" s="6"/>
      <c r="CWB11" s="6"/>
      <c r="CWD11" s="6"/>
      <c r="CWF11" s="6"/>
      <c r="CWH11" s="6"/>
      <c r="CWJ11" s="6"/>
      <c r="CWL11" s="6"/>
      <c r="CWN11" s="6"/>
      <c r="CWP11" s="6"/>
      <c r="CWR11" s="6"/>
      <c r="CWT11" s="6"/>
      <c r="CWV11" s="6"/>
      <c r="CWX11" s="6"/>
      <c r="CWZ11" s="6"/>
      <c r="CXB11" s="6"/>
      <c r="CXD11" s="6"/>
      <c r="CXF11" s="6"/>
      <c r="CXH11" s="6"/>
      <c r="CXJ11" s="6"/>
      <c r="CXL11" s="6"/>
      <c r="CXN11" s="6"/>
      <c r="CXP11" s="6"/>
      <c r="CXR11" s="6"/>
      <c r="CXT11" s="6"/>
      <c r="CXV11" s="6"/>
      <c r="CXX11" s="6"/>
      <c r="CXZ11" s="6"/>
      <c r="CYB11" s="6"/>
      <c r="CYD11" s="6"/>
      <c r="CYF11" s="6"/>
      <c r="CYH11" s="6"/>
      <c r="CYJ11" s="6"/>
      <c r="CYL11" s="6"/>
      <c r="CYN11" s="6"/>
      <c r="CYP11" s="6"/>
      <c r="CYR11" s="6"/>
      <c r="CYT11" s="6"/>
      <c r="CYV11" s="6"/>
      <c r="CYX11" s="6"/>
      <c r="CYZ11" s="6"/>
      <c r="CZB11" s="6"/>
      <c r="CZD11" s="6"/>
      <c r="CZF11" s="6"/>
      <c r="CZH11" s="6"/>
      <c r="CZJ11" s="6"/>
      <c r="CZL11" s="6"/>
      <c r="CZN11" s="6"/>
      <c r="CZP11" s="6"/>
      <c r="CZR11" s="6"/>
      <c r="CZT11" s="6"/>
      <c r="CZV11" s="6"/>
      <c r="CZX11" s="6"/>
      <c r="CZZ11" s="6"/>
      <c r="DAB11" s="6"/>
      <c r="DAD11" s="6"/>
      <c r="DAF11" s="6"/>
      <c r="DAH11" s="6"/>
      <c r="DAJ11" s="6"/>
      <c r="DAL11" s="6"/>
      <c r="DAN11" s="6"/>
      <c r="DAP11" s="6"/>
      <c r="DAR11" s="6"/>
      <c r="DAT11" s="6"/>
      <c r="DAV11" s="6"/>
      <c r="DAX11" s="6"/>
      <c r="DAZ11" s="6"/>
      <c r="DBB11" s="6"/>
      <c r="DBD11" s="6"/>
      <c r="DBF11" s="6"/>
      <c r="DBH11" s="6"/>
      <c r="DBJ11" s="6"/>
      <c r="DBL11" s="6"/>
      <c r="DBN11" s="6"/>
      <c r="DBP11" s="6"/>
      <c r="DBR11" s="6"/>
      <c r="DBT11" s="6"/>
      <c r="DBV11" s="6"/>
      <c r="DBX11" s="6"/>
      <c r="DBZ11" s="6"/>
      <c r="DCB11" s="6"/>
      <c r="DCD11" s="6"/>
      <c r="DCF11" s="6"/>
      <c r="DCH11" s="6"/>
      <c r="DCJ11" s="6"/>
      <c r="DCL11" s="6"/>
      <c r="DCN11" s="6"/>
      <c r="DCP11" s="6"/>
      <c r="DCR11" s="6"/>
      <c r="DCT11" s="6"/>
      <c r="DCV11" s="6"/>
      <c r="DCX11" s="6"/>
      <c r="DCZ11" s="6"/>
      <c r="DDB11" s="6"/>
      <c r="DDD11" s="6"/>
      <c r="DDF11" s="6"/>
      <c r="DDH11" s="6"/>
      <c r="DDJ11" s="6"/>
      <c r="DDL11" s="6"/>
      <c r="DDN11" s="6"/>
      <c r="DDP11" s="6"/>
      <c r="DDR11" s="6"/>
      <c r="DDT11" s="6"/>
      <c r="DDV11" s="6"/>
      <c r="DDX11" s="6"/>
      <c r="DDZ11" s="6"/>
      <c r="DEB11" s="6"/>
      <c r="DED11" s="6"/>
      <c r="DEF11" s="6"/>
      <c r="DEH11" s="6"/>
      <c r="DEJ11" s="6"/>
      <c r="DEL11" s="6"/>
      <c r="DEN11" s="6"/>
      <c r="DEP11" s="6"/>
      <c r="DER11" s="6"/>
      <c r="DET11" s="6"/>
      <c r="DEV11" s="6"/>
      <c r="DEX11" s="6"/>
      <c r="DEZ11" s="6"/>
      <c r="DFB11" s="6"/>
      <c r="DFD11" s="6"/>
      <c r="DFF11" s="6"/>
      <c r="DFH11" s="6"/>
      <c r="DFJ11" s="6"/>
      <c r="DFL11" s="6"/>
      <c r="DFN11" s="6"/>
      <c r="DFP11" s="6"/>
      <c r="DFR11" s="6"/>
      <c r="DFT11" s="6"/>
      <c r="DFV11" s="6"/>
      <c r="DFX11" s="6"/>
      <c r="DFZ11" s="6"/>
      <c r="DGB11" s="6"/>
      <c r="DGD11" s="6"/>
      <c r="DGF11" s="6"/>
      <c r="DGH11" s="6"/>
      <c r="DGJ11" s="6"/>
      <c r="DGL11" s="6"/>
      <c r="DGN11" s="6"/>
      <c r="DGP11" s="6"/>
      <c r="DGR11" s="6"/>
      <c r="DGT11" s="6"/>
      <c r="DGV11" s="6"/>
      <c r="DGX11" s="6"/>
      <c r="DGZ11" s="6"/>
      <c r="DHB11" s="6"/>
      <c r="DHD11" s="6"/>
      <c r="DHF11" s="6"/>
      <c r="DHH11" s="6"/>
      <c r="DHJ11" s="6"/>
      <c r="DHL11" s="6"/>
      <c r="DHN11" s="6"/>
      <c r="DHP11" s="6"/>
      <c r="DHR11" s="6"/>
      <c r="DHT11" s="6"/>
      <c r="DHV11" s="6"/>
      <c r="DHX11" s="6"/>
      <c r="DHZ11" s="6"/>
      <c r="DIB11" s="6"/>
      <c r="DID11" s="6"/>
      <c r="DIF11" s="6"/>
      <c r="DIH11" s="6"/>
      <c r="DIJ11" s="6"/>
      <c r="DIL11" s="6"/>
      <c r="DIN11" s="6"/>
      <c r="DIP11" s="6"/>
      <c r="DIR11" s="6"/>
      <c r="DIT11" s="6"/>
      <c r="DIV11" s="6"/>
      <c r="DIX11" s="6"/>
      <c r="DIZ11" s="6"/>
      <c r="DJB11" s="6"/>
      <c r="DJD11" s="6"/>
      <c r="DJF11" s="6"/>
      <c r="DJH11" s="6"/>
      <c r="DJJ11" s="6"/>
      <c r="DJL11" s="6"/>
      <c r="DJN11" s="6"/>
      <c r="DJP11" s="6"/>
      <c r="DJR11" s="6"/>
      <c r="DJT11" s="6"/>
      <c r="DJV11" s="6"/>
      <c r="DJX11" s="6"/>
      <c r="DJZ11" s="6"/>
      <c r="DKB11" s="6"/>
      <c r="DKD11" s="6"/>
      <c r="DKF11" s="6"/>
      <c r="DKH11" s="6"/>
      <c r="DKJ11" s="6"/>
      <c r="DKL11" s="6"/>
      <c r="DKN11" s="6"/>
      <c r="DKP11" s="6"/>
      <c r="DKR11" s="6"/>
      <c r="DKT11" s="6"/>
      <c r="DKV11" s="6"/>
      <c r="DKX11" s="6"/>
      <c r="DKZ11" s="6"/>
      <c r="DLB11" s="6"/>
      <c r="DLD11" s="6"/>
      <c r="DLF11" s="6"/>
      <c r="DLH11" s="6"/>
      <c r="DLJ11" s="6"/>
      <c r="DLL11" s="6"/>
      <c r="DLN11" s="6"/>
      <c r="DLP11" s="6"/>
      <c r="DLR11" s="6"/>
      <c r="DLT11" s="6"/>
      <c r="DLV11" s="6"/>
      <c r="DLX11" s="6"/>
      <c r="DLZ11" s="6"/>
      <c r="DMB11" s="6"/>
      <c r="DMD11" s="6"/>
      <c r="DMF11" s="6"/>
      <c r="DMH11" s="6"/>
      <c r="DMJ11" s="6"/>
      <c r="DML11" s="6"/>
      <c r="DMN11" s="6"/>
      <c r="DMP11" s="6"/>
      <c r="DMR11" s="6"/>
      <c r="DMT11" s="6"/>
      <c r="DMV11" s="6"/>
      <c r="DMX11" s="6"/>
      <c r="DMZ11" s="6"/>
      <c r="DNB11" s="6"/>
      <c r="DND11" s="6"/>
      <c r="DNF11" s="6"/>
      <c r="DNH11" s="6"/>
      <c r="DNJ11" s="6"/>
      <c r="DNL11" s="6"/>
      <c r="DNN11" s="6"/>
      <c r="DNP11" s="6"/>
      <c r="DNR11" s="6"/>
      <c r="DNT11" s="6"/>
      <c r="DNV11" s="6"/>
      <c r="DNX11" s="6"/>
      <c r="DNZ11" s="6"/>
      <c r="DOB11" s="6"/>
      <c r="DOD11" s="6"/>
      <c r="DOF11" s="6"/>
      <c r="DOH11" s="6"/>
      <c r="DOJ11" s="6"/>
      <c r="DOL11" s="6"/>
      <c r="DON11" s="6"/>
      <c r="DOP11" s="6"/>
      <c r="DOR11" s="6"/>
      <c r="DOT11" s="6"/>
      <c r="DOV11" s="6"/>
      <c r="DOX11" s="6"/>
      <c r="DOZ11" s="6"/>
      <c r="DPB11" s="6"/>
      <c r="DPD11" s="6"/>
      <c r="DPF11" s="6"/>
      <c r="DPH11" s="6"/>
      <c r="DPJ11" s="6"/>
      <c r="DPL11" s="6"/>
      <c r="DPN11" s="6"/>
      <c r="DPP11" s="6"/>
      <c r="DPR11" s="6"/>
      <c r="DPT11" s="6"/>
      <c r="DPV11" s="6"/>
      <c r="DPX11" s="6"/>
      <c r="DPZ11" s="6"/>
      <c r="DQB11" s="6"/>
      <c r="DQD11" s="6"/>
      <c r="DQF11" s="6"/>
      <c r="DQH11" s="6"/>
      <c r="DQJ11" s="6"/>
      <c r="DQL11" s="6"/>
      <c r="DQN11" s="6"/>
      <c r="DQP11" s="6"/>
      <c r="DQR11" s="6"/>
      <c r="DQT11" s="6"/>
      <c r="DQV11" s="6"/>
      <c r="DQX11" s="6"/>
      <c r="DQZ11" s="6"/>
      <c r="DRB11" s="6"/>
      <c r="DRD11" s="6"/>
      <c r="DRF11" s="6"/>
      <c r="DRH11" s="6"/>
      <c r="DRJ11" s="6"/>
      <c r="DRL11" s="6"/>
      <c r="DRN11" s="6"/>
      <c r="DRP11" s="6"/>
      <c r="DRR11" s="6"/>
      <c r="DRT11" s="6"/>
      <c r="DRV11" s="6"/>
      <c r="DRX11" s="6"/>
      <c r="DRZ11" s="6"/>
      <c r="DSB11" s="6"/>
      <c r="DSD11" s="6"/>
      <c r="DSF11" s="6"/>
      <c r="DSH11" s="6"/>
      <c r="DSJ11" s="6"/>
      <c r="DSL11" s="6"/>
      <c r="DSN11" s="6"/>
      <c r="DSP11" s="6"/>
      <c r="DSR11" s="6"/>
      <c r="DST11" s="6"/>
      <c r="DSV11" s="6"/>
      <c r="DSX11" s="6"/>
      <c r="DSZ11" s="6"/>
      <c r="DTB11" s="6"/>
      <c r="DTD11" s="6"/>
      <c r="DTF11" s="6"/>
      <c r="DTH11" s="6"/>
      <c r="DTJ11" s="6"/>
      <c r="DTL11" s="6"/>
      <c r="DTN11" s="6"/>
      <c r="DTP11" s="6"/>
      <c r="DTR11" s="6"/>
      <c r="DTT11" s="6"/>
      <c r="DTV11" s="6"/>
      <c r="DTX11" s="6"/>
      <c r="DTZ11" s="6"/>
      <c r="DUB11" s="6"/>
      <c r="DUD11" s="6"/>
      <c r="DUF11" s="6"/>
      <c r="DUH11" s="6"/>
      <c r="DUJ11" s="6"/>
      <c r="DUL11" s="6"/>
      <c r="DUN11" s="6"/>
      <c r="DUP11" s="6"/>
      <c r="DUR11" s="6"/>
      <c r="DUT11" s="6"/>
      <c r="DUV11" s="6"/>
      <c r="DUX11" s="6"/>
      <c r="DUZ11" s="6"/>
      <c r="DVB11" s="6"/>
      <c r="DVD11" s="6"/>
      <c r="DVF11" s="6"/>
      <c r="DVH11" s="6"/>
      <c r="DVJ11" s="6"/>
      <c r="DVL11" s="6"/>
      <c r="DVN11" s="6"/>
      <c r="DVP11" s="6"/>
      <c r="DVR11" s="6"/>
      <c r="DVT11" s="6"/>
      <c r="DVV11" s="6"/>
      <c r="DVX11" s="6"/>
      <c r="DVZ11" s="6"/>
      <c r="DWB11" s="6"/>
      <c r="DWD11" s="6"/>
      <c r="DWF11" s="6"/>
      <c r="DWH11" s="6"/>
      <c r="DWJ11" s="6"/>
      <c r="DWL11" s="6"/>
      <c r="DWN11" s="6"/>
      <c r="DWP11" s="6"/>
      <c r="DWR11" s="6"/>
      <c r="DWT11" s="6"/>
      <c r="DWV11" s="6"/>
      <c r="DWX11" s="6"/>
      <c r="DWZ11" s="6"/>
      <c r="DXB11" s="6"/>
      <c r="DXD11" s="6"/>
      <c r="DXF11" s="6"/>
      <c r="DXH11" s="6"/>
      <c r="DXJ11" s="6"/>
      <c r="DXL11" s="6"/>
      <c r="DXN11" s="6"/>
      <c r="DXP11" s="6"/>
      <c r="DXR11" s="6"/>
      <c r="DXT11" s="6"/>
      <c r="DXV11" s="6"/>
      <c r="DXX11" s="6"/>
      <c r="DXZ11" s="6"/>
      <c r="DYB11" s="6"/>
      <c r="DYD11" s="6"/>
      <c r="DYF11" s="6"/>
      <c r="DYH11" s="6"/>
      <c r="DYJ11" s="6"/>
      <c r="DYL11" s="6"/>
      <c r="DYN11" s="6"/>
      <c r="DYP11" s="6"/>
      <c r="DYR11" s="6"/>
      <c r="DYT11" s="6"/>
      <c r="DYV11" s="6"/>
      <c r="DYX11" s="6"/>
      <c r="DYZ11" s="6"/>
      <c r="DZB11" s="6"/>
      <c r="DZD11" s="6"/>
      <c r="DZF11" s="6"/>
      <c r="DZH11" s="6"/>
      <c r="DZJ11" s="6"/>
      <c r="DZL11" s="6"/>
      <c r="DZN11" s="6"/>
      <c r="DZP11" s="6"/>
      <c r="DZR11" s="6"/>
      <c r="DZT11" s="6"/>
      <c r="DZV11" s="6"/>
      <c r="DZX11" s="6"/>
      <c r="DZZ11" s="6"/>
      <c r="EAB11" s="6"/>
      <c r="EAD11" s="6"/>
      <c r="EAF11" s="6"/>
      <c r="EAH11" s="6"/>
      <c r="EAJ11" s="6"/>
      <c r="EAL11" s="6"/>
      <c r="EAN11" s="6"/>
      <c r="EAP11" s="6"/>
      <c r="EAR11" s="6"/>
      <c r="EAT11" s="6"/>
      <c r="EAV11" s="6"/>
      <c r="EAX11" s="6"/>
      <c r="EAZ11" s="6"/>
      <c r="EBB11" s="6"/>
      <c r="EBD11" s="6"/>
      <c r="EBF11" s="6"/>
      <c r="EBH11" s="6"/>
      <c r="EBJ11" s="6"/>
      <c r="EBL11" s="6"/>
      <c r="EBN11" s="6"/>
      <c r="EBP11" s="6"/>
      <c r="EBR11" s="6"/>
      <c r="EBT11" s="6"/>
      <c r="EBV11" s="6"/>
      <c r="EBX11" s="6"/>
      <c r="EBZ11" s="6"/>
      <c r="ECB11" s="6"/>
      <c r="ECD11" s="6"/>
      <c r="ECF11" s="6"/>
      <c r="ECH11" s="6"/>
      <c r="ECJ11" s="6"/>
      <c r="ECL11" s="6"/>
      <c r="ECN11" s="6"/>
      <c r="ECP11" s="6"/>
      <c r="ECR11" s="6"/>
      <c r="ECT11" s="6"/>
      <c r="ECV11" s="6"/>
      <c r="ECX11" s="6"/>
      <c r="ECZ11" s="6"/>
      <c r="EDB11" s="6"/>
      <c r="EDD11" s="6"/>
      <c r="EDF11" s="6"/>
      <c r="EDH11" s="6"/>
      <c r="EDJ11" s="6"/>
      <c r="EDL11" s="6"/>
      <c r="EDN11" s="6"/>
      <c r="EDP11" s="6"/>
      <c r="EDR11" s="6"/>
      <c r="EDT11" s="6"/>
      <c r="EDV11" s="6"/>
      <c r="EDX11" s="6"/>
      <c r="EDZ11" s="6"/>
      <c r="EEB11" s="6"/>
      <c r="EED11" s="6"/>
      <c r="EEF11" s="6"/>
      <c r="EEH11" s="6"/>
      <c r="EEJ11" s="6"/>
      <c r="EEL11" s="6"/>
      <c r="EEN11" s="6"/>
      <c r="EEP11" s="6"/>
      <c r="EER11" s="6"/>
      <c r="EET11" s="6"/>
      <c r="EEV11" s="6"/>
      <c r="EEX11" s="6"/>
      <c r="EEZ11" s="6"/>
      <c r="EFB11" s="6"/>
      <c r="EFD11" s="6"/>
      <c r="EFF11" s="6"/>
      <c r="EFH11" s="6"/>
      <c r="EFJ11" s="6"/>
      <c r="EFL11" s="6"/>
      <c r="EFN11" s="6"/>
      <c r="EFP11" s="6"/>
      <c r="EFR11" s="6"/>
      <c r="EFT11" s="6"/>
      <c r="EFV11" s="6"/>
      <c r="EFX11" s="6"/>
      <c r="EFZ11" s="6"/>
      <c r="EGB11" s="6"/>
      <c r="EGD11" s="6"/>
      <c r="EGF11" s="6"/>
      <c r="EGH11" s="6"/>
      <c r="EGJ11" s="6"/>
      <c r="EGL11" s="6"/>
      <c r="EGN11" s="6"/>
      <c r="EGP11" s="6"/>
      <c r="EGR11" s="6"/>
      <c r="EGT11" s="6"/>
      <c r="EGV11" s="6"/>
      <c r="EGX11" s="6"/>
      <c r="EGZ11" s="6"/>
      <c r="EHB11" s="6"/>
      <c r="EHD11" s="6"/>
      <c r="EHF11" s="6"/>
      <c r="EHH11" s="6"/>
      <c r="EHJ11" s="6"/>
      <c r="EHL11" s="6"/>
      <c r="EHN11" s="6"/>
      <c r="EHP11" s="6"/>
      <c r="EHR11" s="6"/>
      <c r="EHT11" s="6"/>
      <c r="EHV11" s="6"/>
      <c r="EHX11" s="6"/>
      <c r="EHZ11" s="6"/>
      <c r="EIB11" s="6"/>
      <c r="EID11" s="6"/>
      <c r="EIF11" s="6"/>
      <c r="EIH11" s="6"/>
      <c r="EIJ11" s="6"/>
      <c r="EIL11" s="6"/>
      <c r="EIN11" s="6"/>
      <c r="EIP11" s="6"/>
      <c r="EIR11" s="6"/>
      <c r="EIT11" s="6"/>
      <c r="EIV11" s="6"/>
      <c r="EIX11" s="6"/>
      <c r="EIZ11" s="6"/>
      <c r="EJB11" s="6"/>
      <c r="EJD11" s="6"/>
      <c r="EJF11" s="6"/>
      <c r="EJH11" s="6"/>
      <c r="EJJ11" s="6"/>
      <c r="EJL11" s="6"/>
      <c r="EJN11" s="6"/>
      <c r="EJP11" s="6"/>
      <c r="EJR11" s="6"/>
      <c r="EJT11" s="6"/>
      <c r="EJV11" s="6"/>
      <c r="EJX11" s="6"/>
      <c r="EJZ11" s="6"/>
      <c r="EKB11" s="6"/>
      <c r="EKD11" s="6"/>
      <c r="EKF11" s="6"/>
      <c r="EKH11" s="6"/>
      <c r="EKJ11" s="6"/>
      <c r="EKL11" s="6"/>
      <c r="EKN11" s="6"/>
      <c r="EKP11" s="6"/>
      <c r="EKR11" s="6"/>
      <c r="EKT11" s="6"/>
      <c r="EKV11" s="6"/>
      <c r="EKX11" s="6"/>
      <c r="EKZ11" s="6"/>
      <c r="ELB11" s="6"/>
      <c r="ELD11" s="6"/>
      <c r="ELF11" s="6"/>
      <c r="ELH11" s="6"/>
      <c r="ELJ11" s="6"/>
      <c r="ELL11" s="6"/>
      <c r="ELN11" s="6"/>
      <c r="ELP11" s="6"/>
      <c r="ELR11" s="6"/>
      <c r="ELT11" s="6"/>
      <c r="ELV11" s="6"/>
      <c r="ELX11" s="6"/>
      <c r="ELZ11" s="6"/>
      <c r="EMB11" s="6"/>
      <c r="EMD11" s="6"/>
      <c r="EMF11" s="6"/>
      <c r="EMH11" s="6"/>
      <c r="EMJ11" s="6"/>
      <c r="EML11" s="6"/>
      <c r="EMN11" s="6"/>
      <c r="EMP11" s="6"/>
      <c r="EMR11" s="6"/>
      <c r="EMT11" s="6"/>
      <c r="EMV11" s="6"/>
      <c r="EMX11" s="6"/>
      <c r="EMZ11" s="6"/>
      <c r="ENB11" s="6"/>
      <c r="END11" s="6"/>
      <c r="ENF11" s="6"/>
      <c r="ENH11" s="6"/>
      <c r="ENJ11" s="6"/>
      <c r="ENL11" s="6"/>
      <c r="ENN11" s="6"/>
      <c r="ENP11" s="6"/>
      <c r="ENR11" s="6"/>
      <c r="ENT11" s="6"/>
      <c r="ENV11" s="6"/>
      <c r="ENX11" s="6"/>
      <c r="ENZ11" s="6"/>
      <c r="EOB11" s="6"/>
      <c r="EOD11" s="6"/>
      <c r="EOF11" s="6"/>
      <c r="EOH11" s="6"/>
      <c r="EOJ11" s="6"/>
      <c r="EOL11" s="6"/>
      <c r="EON11" s="6"/>
      <c r="EOP11" s="6"/>
      <c r="EOR11" s="6"/>
      <c r="EOT11" s="6"/>
      <c r="EOV11" s="6"/>
      <c r="EOX11" s="6"/>
      <c r="EOZ11" s="6"/>
      <c r="EPB11" s="6"/>
      <c r="EPD11" s="6"/>
      <c r="EPF11" s="6"/>
      <c r="EPH11" s="6"/>
      <c r="EPJ11" s="6"/>
      <c r="EPL11" s="6"/>
      <c r="EPN11" s="6"/>
      <c r="EPP11" s="6"/>
      <c r="EPR11" s="6"/>
      <c r="EPT11" s="6"/>
      <c r="EPV11" s="6"/>
      <c r="EPX11" s="6"/>
      <c r="EPZ11" s="6"/>
      <c r="EQB11" s="6"/>
      <c r="EQD11" s="6"/>
      <c r="EQF11" s="6"/>
      <c r="EQH11" s="6"/>
      <c r="EQJ11" s="6"/>
      <c r="EQL11" s="6"/>
      <c r="EQN11" s="6"/>
      <c r="EQP11" s="6"/>
      <c r="EQR11" s="6"/>
      <c r="EQT11" s="6"/>
      <c r="EQV11" s="6"/>
      <c r="EQX11" s="6"/>
      <c r="EQZ11" s="6"/>
      <c r="ERB11" s="6"/>
      <c r="ERD11" s="6"/>
      <c r="ERF11" s="6"/>
      <c r="ERH11" s="6"/>
      <c r="ERJ11" s="6"/>
      <c r="ERL11" s="6"/>
      <c r="ERN11" s="6"/>
      <c r="ERP11" s="6"/>
      <c r="ERR11" s="6"/>
      <c r="ERT11" s="6"/>
      <c r="ERV11" s="6"/>
      <c r="ERX11" s="6"/>
      <c r="ERZ11" s="6"/>
      <c r="ESB11" s="6"/>
      <c r="ESD11" s="6"/>
      <c r="ESF11" s="6"/>
      <c r="ESH11" s="6"/>
      <c r="ESJ11" s="6"/>
      <c r="ESL11" s="6"/>
      <c r="ESN11" s="6"/>
      <c r="ESP11" s="6"/>
      <c r="ESR11" s="6"/>
      <c r="EST11" s="6"/>
      <c r="ESV11" s="6"/>
      <c r="ESX11" s="6"/>
      <c r="ESZ11" s="6"/>
      <c r="ETB11" s="6"/>
      <c r="ETD11" s="6"/>
      <c r="ETF11" s="6"/>
      <c r="ETH11" s="6"/>
      <c r="ETJ11" s="6"/>
      <c r="ETL11" s="6"/>
      <c r="ETN11" s="6"/>
      <c r="ETP11" s="6"/>
      <c r="ETR11" s="6"/>
      <c r="ETT11" s="6"/>
      <c r="ETV11" s="6"/>
      <c r="ETX11" s="6"/>
      <c r="ETZ11" s="6"/>
      <c r="EUB11" s="6"/>
      <c r="EUD11" s="6"/>
      <c r="EUF11" s="6"/>
      <c r="EUH11" s="6"/>
      <c r="EUJ11" s="6"/>
      <c r="EUL11" s="6"/>
      <c r="EUN11" s="6"/>
      <c r="EUP11" s="6"/>
      <c r="EUR11" s="6"/>
      <c r="EUT11" s="6"/>
      <c r="EUV11" s="6"/>
      <c r="EUX11" s="6"/>
      <c r="EUZ11" s="6"/>
      <c r="EVB11" s="6"/>
      <c r="EVD11" s="6"/>
      <c r="EVF11" s="6"/>
      <c r="EVH11" s="6"/>
      <c r="EVJ11" s="6"/>
      <c r="EVL11" s="6"/>
      <c r="EVN11" s="6"/>
      <c r="EVP11" s="6"/>
      <c r="EVR11" s="6"/>
      <c r="EVT11" s="6"/>
      <c r="EVV11" s="6"/>
      <c r="EVX11" s="6"/>
      <c r="EVZ11" s="6"/>
      <c r="EWB11" s="6"/>
      <c r="EWD11" s="6"/>
      <c r="EWF11" s="6"/>
      <c r="EWH11" s="6"/>
      <c r="EWJ11" s="6"/>
      <c r="EWL11" s="6"/>
      <c r="EWN11" s="6"/>
      <c r="EWP11" s="6"/>
      <c r="EWR11" s="6"/>
      <c r="EWT11" s="6"/>
      <c r="EWV11" s="6"/>
      <c r="EWX11" s="6"/>
      <c r="EWZ11" s="6"/>
      <c r="EXB11" s="6"/>
      <c r="EXD11" s="6"/>
      <c r="EXF11" s="6"/>
      <c r="EXH11" s="6"/>
      <c r="EXJ11" s="6"/>
      <c r="EXL11" s="6"/>
      <c r="EXN11" s="6"/>
      <c r="EXP11" s="6"/>
      <c r="EXR11" s="6"/>
      <c r="EXT11" s="6"/>
      <c r="EXV11" s="6"/>
      <c r="EXX11" s="6"/>
      <c r="EXZ11" s="6"/>
      <c r="EYB11" s="6"/>
      <c r="EYD11" s="6"/>
      <c r="EYF11" s="6"/>
      <c r="EYH11" s="6"/>
      <c r="EYJ11" s="6"/>
      <c r="EYL11" s="6"/>
      <c r="EYN11" s="6"/>
      <c r="EYP11" s="6"/>
      <c r="EYR11" s="6"/>
      <c r="EYT11" s="6"/>
      <c r="EYV11" s="6"/>
      <c r="EYX11" s="6"/>
      <c r="EYZ11" s="6"/>
      <c r="EZB11" s="6"/>
      <c r="EZD11" s="6"/>
      <c r="EZF11" s="6"/>
      <c r="EZH11" s="6"/>
      <c r="EZJ11" s="6"/>
      <c r="EZL11" s="6"/>
      <c r="EZN11" s="6"/>
      <c r="EZP11" s="6"/>
      <c r="EZR11" s="6"/>
      <c r="EZT11" s="6"/>
      <c r="EZV11" s="6"/>
      <c r="EZX11" s="6"/>
      <c r="EZZ11" s="6"/>
      <c r="FAB11" s="6"/>
      <c r="FAD11" s="6"/>
      <c r="FAF11" s="6"/>
      <c r="FAH11" s="6"/>
      <c r="FAJ11" s="6"/>
      <c r="FAL11" s="6"/>
      <c r="FAN11" s="6"/>
      <c r="FAP11" s="6"/>
      <c r="FAR11" s="6"/>
      <c r="FAT11" s="6"/>
      <c r="FAV11" s="6"/>
      <c r="FAX11" s="6"/>
      <c r="FAZ11" s="6"/>
      <c r="FBB11" s="6"/>
      <c r="FBD11" s="6"/>
      <c r="FBF11" s="6"/>
      <c r="FBH11" s="6"/>
      <c r="FBJ11" s="6"/>
      <c r="FBL11" s="6"/>
      <c r="FBN11" s="6"/>
      <c r="FBP11" s="6"/>
      <c r="FBR11" s="6"/>
      <c r="FBT11" s="6"/>
      <c r="FBV11" s="6"/>
      <c r="FBX11" s="6"/>
      <c r="FBZ11" s="6"/>
      <c r="FCB11" s="6"/>
      <c r="FCD11" s="6"/>
      <c r="FCF11" s="6"/>
      <c r="FCH11" s="6"/>
      <c r="FCJ11" s="6"/>
      <c r="FCL11" s="6"/>
      <c r="FCN11" s="6"/>
      <c r="FCP11" s="6"/>
      <c r="FCR11" s="6"/>
      <c r="FCT11" s="6"/>
      <c r="FCV11" s="6"/>
      <c r="FCX11" s="6"/>
      <c r="FCZ11" s="6"/>
      <c r="FDB11" s="6"/>
      <c r="FDD11" s="6"/>
      <c r="FDF11" s="6"/>
      <c r="FDH11" s="6"/>
      <c r="FDJ11" s="6"/>
      <c r="FDL11" s="6"/>
      <c r="FDN11" s="6"/>
      <c r="FDP11" s="6"/>
      <c r="FDR11" s="6"/>
      <c r="FDT11" s="6"/>
      <c r="FDV11" s="6"/>
      <c r="FDX11" s="6"/>
      <c r="FDZ11" s="6"/>
      <c r="FEB11" s="6"/>
      <c r="FED11" s="6"/>
      <c r="FEF11" s="6"/>
      <c r="FEH11" s="6"/>
      <c r="FEJ11" s="6"/>
      <c r="FEL11" s="6"/>
      <c r="FEN11" s="6"/>
      <c r="FEP11" s="6"/>
      <c r="FER11" s="6"/>
      <c r="FET11" s="6"/>
      <c r="FEV11" s="6"/>
      <c r="FEX11" s="6"/>
      <c r="FEZ11" s="6"/>
      <c r="FFB11" s="6"/>
      <c r="FFD11" s="6"/>
      <c r="FFF11" s="6"/>
      <c r="FFH11" s="6"/>
      <c r="FFJ11" s="6"/>
      <c r="FFL11" s="6"/>
      <c r="FFN11" s="6"/>
      <c r="FFP11" s="6"/>
      <c r="FFR11" s="6"/>
      <c r="FFT11" s="6"/>
      <c r="FFV11" s="6"/>
      <c r="FFX11" s="6"/>
      <c r="FFZ11" s="6"/>
      <c r="FGB11" s="6"/>
      <c r="FGD11" s="6"/>
      <c r="FGF11" s="6"/>
      <c r="FGH11" s="6"/>
      <c r="FGJ11" s="6"/>
      <c r="FGL11" s="6"/>
      <c r="FGN11" s="6"/>
      <c r="FGP11" s="6"/>
      <c r="FGR11" s="6"/>
      <c r="FGT11" s="6"/>
      <c r="FGV11" s="6"/>
      <c r="FGX11" s="6"/>
      <c r="FGZ11" s="6"/>
      <c r="FHB11" s="6"/>
      <c r="FHD11" s="6"/>
      <c r="FHF11" s="6"/>
      <c r="FHH11" s="6"/>
      <c r="FHJ11" s="6"/>
      <c r="FHL11" s="6"/>
      <c r="FHN11" s="6"/>
      <c r="FHP11" s="6"/>
      <c r="FHR11" s="6"/>
      <c r="FHT11" s="6"/>
      <c r="FHV11" s="6"/>
      <c r="FHX11" s="6"/>
      <c r="FHZ11" s="6"/>
      <c r="FIB11" s="6"/>
      <c r="FID11" s="6"/>
      <c r="FIF11" s="6"/>
      <c r="FIH11" s="6"/>
      <c r="FIJ11" s="6"/>
      <c r="FIL11" s="6"/>
      <c r="FIN11" s="6"/>
      <c r="FIP11" s="6"/>
      <c r="FIR11" s="6"/>
      <c r="FIT11" s="6"/>
      <c r="FIV11" s="6"/>
      <c r="FIX11" s="6"/>
      <c r="FIZ11" s="6"/>
      <c r="FJB11" s="6"/>
      <c r="FJD11" s="6"/>
      <c r="FJF11" s="6"/>
      <c r="FJH11" s="6"/>
      <c r="FJJ11" s="6"/>
      <c r="FJL11" s="6"/>
      <c r="FJN11" s="6"/>
      <c r="FJP11" s="6"/>
      <c r="FJR11" s="6"/>
      <c r="FJT11" s="6"/>
      <c r="FJV11" s="6"/>
      <c r="FJX11" s="6"/>
      <c r="FJZ11" s="6"/>
      <c r="FKB11" s="6"/>
      <c r="FKD11" s="6"/>
      <c r="FKF11" s="6"/>
      <c r="FKH11" s="6"/>
      <c r="FKJ11" s="6"/>
      <c r="FKL11" s="6"/>
      <c r="FKN11" s="6"/>
      <c r="FKP11" s="6"/>
      <c r="FKR11" s="6"/>
      <c r="FKT11" s="6"/>
      <c r="FKV11" s="6"/>
      <c r="FKX11" s="6"/>
      <c r="FKZ11" s="6"/>
      <c r="FLB11" s="6"/>
      <c r="FLD11" s="6"/>
      <c r="FLF11" s="6"/>
      <c r="FLH11" s="6"/>
      <c r="FLJ11" s="6"/>
      <c r="FLL11" s="6"/>
      <c r="FLN11" s="6"/>
      <c r="FLP11" s="6"/>
      <c r="FLR11" s="6"/>
      <c r="FLT11" s="6"/>
      <c r="FLV11" s="6"/>
      <c r="FLX11" s="6"/>
      <c r="FLZ11" s="6"/>
      <c r="FMB11" s="6"/>
      <c r="FMD11" s="6"/>
      <c r="FMF11" s="6"/>
      <c r="FMH11" s="6"/>
      <c r="FMJ11" s="6"/>
      <c r="FML11" s="6"/>
      <c r="FMN11" s="6"/>
      <c r="FMP11" s="6"/>
      <c r="FMR11" s="6"/>
      <c r="FMT11" s="6"/>
      <c r="FMV11" s="6"/>
      <c r="FMX11" s="6"/>
      <c r="FMZ11" s="6"/>
      <c r="FNB11" s="6"/>
      <c r="FND11" s="6"/>
      <c r="FNF11" s="6"/>
      <c r="FNH11" s="6"/>
      <c r="FNJ11" s="6"/>
      <c r="FNL11" s="6"/>
      <c r="FNN11" s="6"/>
      <c r="FNP11" s="6"/>
      <c r="FNR11" s="6"/>
      <c r="FNT11" s="6"/>
      <c r="FNV11" s="6"/>
      <c r="FNX11" s="6"/>
      <c r="FNZ11" s="6"/>
      <c r="FOB11" s="6"/>
      <c r="FOD11" s="6"/>
      <c r="FOF11" s="6"/>
      <c r="FOH11" s="6"/>
      <c r="FOJ11" s="6"/>
      <c r="FOL11" s="6"/>
      <c r="FON11" s="6"/>
      <c r="FOP11" s="6"/>
      <c r="FOR11" s="6"/>
      <c r="FOT11" s="6"/>
      <c r="FOV11" s="6"/>
      <c r="FOX11" s="6"/>
      <c r="FOZ11" s="6"/>
      <c r="FPB11" s="6"/>
      <c r="FPD11" s="6"/>
      <c r="FPF11" s="6"/>
      <c r="FPH11" s="6"/>
      <c r="FPJ11" s="6"/>
      <c r="FPL11" s="6"/>
      <c r="FPN11" s="6"/>
      <c r="FPP11" s="6"/>
      <c r="FPR11" s="6"/>
      <c r="FPT11" s="6"/>
      <c r="FPV11" s="6"/>
      <c r="FPX11" s="6"/>
      <c r="FPZ11" s="6"/>
      <c r="FQB11" s="6"/>
      <c r="FQD11" s="6"/>
      <c r="FQF11" s="6"/>
      <c r="FQH11" s="6"/>
      <c r="FQJ11" s="6"/>
      <c r="FQL11" s="6"/>
      <c r="FQN11" s="6"/>
      <c r="FQP11" s="6"/>
      <c r="FQR11" s="6"/>
      <c r="FQT11" s="6"/>
      <c r="FQV11" s="6"/>
      <c r="FQX11" s="6"/>
      <c r="FQZ11" s="6"/>
      <c r="FRB11" s="6"/>
      <c r="FRD11" s="6"/>
      <c r="FRF11" s="6"/>
      <c r="FRH11" s="6"/>
      <c r="FRJ11" s="6"/>
      <c r="FRL11" s="6"/>
      <c r="FRN11" s="6"/>
      <c r="FRP11" s="6"/>
      <c r="FRR11" s="6"/>
      <c r="FRT11" s="6"/>
      <c r="FRV11" s="6"/>
      <c r="FRX11" s="6"/>
      <c r="FRZ11" s="6"/>
      <c r="FSB11" s="6"/>
      <c r="FSD11" s="6"/>
      <c r="FSF11" s="6"/>
      <c r="FSH11" s="6"/>
      <c r="FSJ11" s="6"/>
      <c r="FSL11" s="6"/>
      <c r="FSN11" s="6"/>
      <c r="FSP11" s="6"/>
      <c r="FSR11" s="6"/>
      <c r="FST11" s="6"/>
      <c r="FSV11" s="6"/>
      <c r="FSX11" s="6"/>
      <c r="FSZ11" s="6"/>
      <c r="FTB11" s="6"/>
      <c r="FTD11" s="6"/>
      <c r="FTF11" s="6"/>
      <c r="FTH11" s="6"/>
      <c r="FTJ11" s="6"/>
      <c r="FTL11" s="6"/>
      <c r="FTN11" s="6"/>
      <c r="FTP11" s="6"/>
      <c r="FTR11" s="6"/>
      <c r="FTT11" s="6"/>
      <c r="FTV11" s="6"/>
      <c r="FTX11" s="6"/>
      <c r="FTZ11" s="6"/>
      <c r="FUB11" s="6"/>
      <c r="FUD11" s="6"/>
      <c r="FUF11" s="6"/>
      <c r="FUH11" s="6"/>
      <c r="FUJ11" s="6"/>
      <c r="FUL11" s="6"/>
      <c r="FUN11" s="6"/>
      <c r="FUP11" s="6"/>
      <c r="FUR11" s="6"/>
      <c r="FUT11" s="6"/>
      <c r="FUV11" s="6"/>
      <c r="FUX11" s="6"/>
      <c r="FUZ11" s="6"/>
      <c r="FVB11" s="6"/>
      <c r="FVD11" s="6"/>
      <c r="FVF11" s="6"/>
      <c r="FVH11" s="6"/>
      <c r="FVJ11" s="6"/>
      <c r="FVL11" s="6"/>
      <c r="FVN11" s="6"/>
      <c r="FVP11" s="6"/>
      <c r="FVR11" s="6"/>
      <c r="FVT11" s="6"/>
      <c r="FVV11" s="6"/>
      <c r="FVX11" s="6"/>
      <c r="FVZ11" s="6"/>
      <c r="FWB11" s="6"/>
      <c r="FWD11" s="6"/>
      <c r="FWF11" s="6"/>
      <c r="FWH11" s="6"/>
      <c r="FWJ11" s="6"/>
      <c r="FWL11" s="6"/>
      <c r="FWN11" s="6"/>
      <c r="FWP11" s="6"/>
      <c r="FWR11" s="6"/>
      <c r="FWT11" s="6"/>
      <c r="FWV11" s="6"/>
      <c r="FWX11" s="6"/>
      <c r="FWZ11" s="6"/>
      <c r="FXB11" s="6"/>
      <c r="FXD11" s="6"/>
      <c r="FXF11" s="6"/>
      <c r="FXH11" s="6"/>
      <c r="FXJ11" s="6"/>
      <c r="FXL11" s="6"/>
      <c r="FXN11" s="6"/>
      <c r="FXP11" s="6"/>
      <c r="FXR11" s="6"/>
      <c r="FXT11" s="6"/>
      <c r="FXV11" s="6"/>
      <c r="FXX11" s="6"/>
      <c r="FXZ11" s="6"/>
      <c r="FYB11" s="6"/>
      <c r="FYD11" s="6"/>
      <c r="FYF11" s="6"/>
      <c r="FYH11" s="6"/>
      <c r="FYJ11" s="6"/>
      <c r="FYL11" s="6"/>
      <c r="FYN11" s="6"/>
      <c r="FYP11" s="6"/>
      <c r="FYR11" s="6"/>
      <c r="FYT11" s="6"/>
      <c r="FYV11" s="6"/>
      <c r="FYX11" s="6"/>
      <c r="FYZ11" s="6"/>
      <c r="FZB11" s="6"/>
      <c r="FZD11" s="6"/>
      <c r="FZF11" s="6"/>
      <c r="FZH11" s="6"/>
      <c r="FZJ11" s="6"/>
      <c r="FZL11" s="6"/>
      <c r="FZN11" s="6"/>
      <c r="FZP11" s="6"/>
      <c r="FZR11" s="6"/>
      <c r="FZT11" s="6"/>
      <c r="FZV11" s="6"/>
      <c r="FZX11" s="6"/>
      <c r="FZZ11" s="6"/>
      <c r="GAB11" s="6"/>
      <c r="GAD11" s="6"/>
      <c r="GAF11" s="6"/>
      <c r="GAH11" s="6"/>
      <c r="GAJ11" s="6"/>
      <c r="GAL11" s="6"/>
      <c r="GAN11" s="6"/>
      <c r="GAP11" s="6"/>
      <c r="GAR11" s="6"/>
      <c r="GAT11" s="6"/>
      <c r="GAV11" s="6"/>
      <c r="GAX11" s="6"/>
      <c r="GAZ11" s="6"/>
      <c r="GBB11" s="6"/>
      <c r="GBD11" s="6"/>
      <c r="GBF11" s="6"/>
      <c r="GBH11" s="6"/>
      <c r="GBJ11" s="6"/>
      <c r="GBL11" s="6"/>
      <c r="GBN11" s="6"/>
      <c r="GBP11" s="6"/>
      <c r="GBR11" s="6"/>
      <c r="GBT11" s="6"/>
      <c r="GBV11" s="6"/>
      <c r="GBX11" s="6"/>
      <c r="GBZ11" s="6"/>
      <c r="GCB11" s="6"/>
      <c r="GCD11" s="6"/>
      <c r="GCF11" s="6"/>
      <c r="GCH11" s="6"/>
      <c r="GCJ11" s="6"/>
      <c r="GCL11" s="6"/>
      <c r="GCN11" s="6"/>
      <c r="GCP11" s="6"/>
      <c r="GCR11" s="6"/>
      <c r="GCT11" s="6"/>
      <c r="GCV11" s="6"/>
      <c r="GCX11" s="6"/>
      <c r="GCZ11" s="6"/>
      <c r="GDB11" s="6"/>
      <c r="GDD11" s="6"/>
      <c r="GDF11" s="6"/>
      <c r="GDH11" s="6"/>
      <c r="GDJ11" s="6"/>
      <c r="GDL11" s="6"/>
      <c r="GDN11" s="6"/>
      <c r="GDP11" s="6"/>
      <c r="GDR11" s="6"/>
      <c r="GDT11" s="6"/>
      <c r="GDV11" s="6"/>
      <c r="GDX11" s="6"/>
      <c r="GDZ11" s="6"/>
      <c r="GEB11" s="6"/>
      <c r="GED11" s="6"/>
      <c r="GEF11" s="6"/>
      <c r="GEH11" s="6"/>
      <c r="GEJ11" s="6"/>
      <c r="GEL11" s="6"/>
      <c r="GEN11" s="6"/>
      <c r="GEP11" s="6"/>
      <c r="GER11" s="6"/>
      <c r="GET11" s="6"/>
      <c r="GEV11" s="6"/>
      <c r="GEX11" s="6"/>
      <c r="GEZ11" s="6"/>
      <c r="GFB11" s="6"/>
      <c r="GFD11" s="6"/>
      <c r="GFF11" s="6"/>
      <c r="GFH11" s="6"/>
      <c r="GFJ11" s="6"/>
      <c r="GFL11" s="6"/>
      <c r="GFN11" s="6"/>
      <c r="GFP11" s="6"/>
      <c r="GFR11" s="6"/>
      <c r="GFT11" s="6"/>
      <c r="GFV11" s="6"/>
      <c r="GFX11" s="6"/>
      <c r="GFZ11" s="6"/>
      <c r="GGB11" s="6"/>
      <c r="GGD11" s="6"/>
      <c r="GGF11" s="6"/>
      <c r="GGH11" s="6"/>
      <c r="GGJ11" s="6"/>
      <c r="GGL11" s="6"/>
      <c r="GGN11" s="6"/>
      <c r="GGP11" s="6"/>
      <c r="GGR11" s="6"/>
      <c r="GGT11" s="6"/>
      <c r="GGV11" s="6"/>
      <c r="GGX11" s="6"/>
      <c r="GGZ11" s="6"/>
      <c r="GHB11" s="6"/>
      <c r="GHD11" s="6"/>
      <c r="GHF11" s="6"/>
      <c r="GHH11" s="6"/>
      <c r="GHJ11" s="6"/>
      <c r="GHL11" s="6"/>
      <c r="GHN11" s="6"/>
      <c r="GHP11" s="6"/>
      <c r="GHR11" s="6"/>
      <c r="GHT11" s="6"/>
      <c r="GHV11" s="6"/>
      <c r="GHX11" s="6"/>
      <c r="GHZ11" s="6"/>
      <c r="GIB11" s="6"/>
      <c r="GID11" s="6"/>
      <c r="GIF11" s="6"/>
      <c r="GIH11" s="6"/>
      <c r="GIJ11" s="6"/>
      <c r="GIL11" s="6"/>
      <c r="GIN11" s="6"/>
      <c r="GIP11" s="6"/>
      <c r="GIR11" s="6"/>
      <c r="GIT11" s="6"/>
      <c r="GIV11" s="6"/>
      <c r="GIX11" s="6"/>
      <c r="GIZ11" s="6"/>
      <c r="GJB11" s="6"/>
      <c r="GJD11" s="6"/>
      <c r="GJF11" s="6"/>
      <c r="GJH11" s="6"/>
      <c r="GJJ11" s="6"/>
      <c r="GJL11" s="6"/>
      <c r="GJN11" s="6"/>
      <c r="GJP11" s="6"/>
      <c r="GJR11" s="6"/>
      <c r="GJT11" s="6"/>
      <c r="GJV11" s="6"/>
      <c r="GJX11" s="6"/>
      <c r="GJZ11" s="6"/>
      <c r="GKB11" s="6"/>
      <c r="GKD11" s="6"/>
      <c r="GKF11" s="6"/>
      <c r="GKH11" s="6"/>
      <c r="GKJ11" s="6"/>
      <c r="GKL11" s="6"/>
      <c r="GKN11" s="6"/>
      <c r="GKP11" s="6"/>
      <c r="GKR11" s="6"/>
      <c r="GKT11" s="6"/>
      <c r="GKV11" s="6"/>
      <c r="GKX11" s="6"/>
      <c r="GKZ11" s="6"/>
      <c r="GLB11" s="6"/>
      <c r="GLD11" s="6"/>
      <c r="GLF11" s="6"/>
      <c r="GLH11" s="6"/>
      <c r="GLJ11" s="6"/>
      <c r="GLL11" s="6"/>
      <c r="GLN11" s="6"/>
      <c r="GLP11" s="6"/>
      <c r="GLR11" s="6"/>
      <c r="GLT11" s="6"/>
      <c r="GLV11" s="6"/>
      <c r="GLX11" s="6"/>
      <c r="GLZ11" s="6"/>
      <c r="GMB11" s="6"/>
      <c r="GMD11" s="6"/>
      <c r="GMF11" s="6"/>
      <c r="GMH11" s="6"/>
      <c r="GMJ11" s="6"/>
      <c r="GML11" s="6"/>
      <c r="GMN11" s="6"/>
      <c r="GMP11" s="6"/>
      <c r="GMR11" s="6"/>
      <c r="GMT11" s="6"/>
      <c r="GMV11" s="6"/>
      <c r="GMX11" s="6"/>
      <c r="GMZ11" s="6"/>
      <c r="GNB11" s="6"/>
      <c r="GND11" s="6"/>
      <c r="GNF11" s="6"/>
      <c r="GNH11" s="6"/>
      <c r="GNJ11" s="6"/>
      <c r="GNL11" s="6"/>
      <c r="GNN11" s="6"/>
      <c r="GNP11" s="6"/>
      <c r="GNR11" s="6"/>
      <c r="GNT11" s="6"/>
      <c r="GNV11" s="6"/>
      <c r="GNX11" s="6"/>
      <c r="GNZ11" s="6"/>
      <c r="GOB11" s="6"/>
      <c r="GOD11" s="6"/>
      <c r="GOF11" s="6"/>
      <c r="GOH11" s="6"/>
      <c r="GOJ11" s="6"/>
      <c r="GOL11" s="6"/>
      <c r="GON11" s="6"/>
      <c r="GOP11" s="6"/>
      <c r="GOR11" s="6"/>
      <c r="GOT11" s="6"/>
      <c r="GOV11" s="6"/>
      <c r="GOX11" s="6"/>
      <c r="GOZ11" s="6"/>
      <c r="GPB11" s="6"/>
      <c r="GPD11" s="6"/>
      <c r="GPF11" s="6"/>
      <c r="GPH11" s="6"/>
      <c r="GPJ11" s="6"/>
      <c r="GPL11" s="6"/>
      <c r="GPN11" s="6"/>
      <c r="GPP11" s="6"/>
      <c r="GPR11" s="6"/>
      <c r="GPT11" s="6"/>
      <c r="GPV11" s="6"/>
      <c r="GPX11" s="6"/>
      <c r="GPZ11" s="6"/>
      <c r="GQB11" s="6"/>
      <c r="GQD11" s="6"/>
      <c r="GQF11" s="6"/>
      <c r="GQH11" s="6"/>
      <c r="GQJ11" s="6"/>
      <c r="GQL11" s="6"/>
      <c r="GQN11" s="6"/>
      <c r="GQP11" s="6"/>
      <c r="GQR11" s="6"/>
      <c r="GQT11" s="6"/>
      <c r="GQV11" s="6"/>
      <c r="GQX11" s="6"/>
      <c r="GQZ11" s="6"/>
      <c r="GRB11" s="6"/>
      <c r="GRD11" s="6"/>
      <c r="GRF11" s="6"/>
      <c r="GRH11" s="6"/>
      <c r="GRJ11" s="6"/>
      <c r="GRL11" s="6"/>
      <c r="GRN11" s="6"/>
      <c r="GRP11" s="6"/>
      <c r="GRR11" s="6"/>
      <c r="GRT11" s="6"/>
      <c r="GRV11" s="6"/>
      <c r="GRX11" s="6"/>
      <c r="GRZ11" s="6"/>
      <c r="GSB11" s="6"/>
      <c r="GSD11" s="6"/>
      <c r="GSF11" s="6"/>
      <c r="GSH11" s="6"/>
      <c r="GSJ11" s="6"/>
      <c r="GSL11" s="6"/>
      <c r="GSN11" s="6"/>
      <c r="GSP11" s="6"/>
      <c r="GSR11" s="6"/>
      <c r="GST11" s="6"/>
      <c r="GSV11" s="6"/>
      <c r="GSX11" s="6"/>
      <c r="GSZ11" s="6"/>
      <c r="GTB11" s="6"/>
      <c r="GTD11" s="6"/>
      <c r="GTF11" s="6"/>
      <c r="GTH11" s="6"/>
      <c r="GTJ11" s="6"/>
      <c r="GTL11" s="6"/>
      <c r="GTN11" s="6"/>
      <c r="GTP11" s="6"/>
      <c r="GTR11" s="6"/>
      <c r="GTT11" s="6"/>
      <c r="GTV11" s="6"/>
      <c r="GTX11" s="6"/>
      <c r="GTZ11" s="6"/>
      <c r="GUB11" s="6"/>
      <c r="GUD11" s="6"/>
      <c r="GUF11" s="6"/>
      <c r="GUH11" s="6"/>
      <c r="GUJ11" s="6"/>
      <c r="GUL11" s="6"/>
      <c r="GUN11" s="6"/>
      <c r="GUP11" s="6"/>
      <c r="GUR11" s="6"/>
      <c r="GUT11" s="6"/>
      <c r="GUV11" s="6"/>
      <c r="GUX11" s="6"/>
      <c r="GUZ11" s="6"/>
      <c r="GVB11" s="6"/>
      <c r="GVD11" s="6"/>
      <c r="GVF11" s="6"/>
      <c r="GVH11" s="6"/>
      <c r="GVJ11" s="6"/>
      <c r="GVL11" s="6"/>
      <c r="GVN11" s="6"/>
      <c r="GVP11" s="6"/>
      <c r="GVR11" s="6"/>
      <c r="GVT11" s="6"/>
      <c r="GVV11" s="6"/>
      <c r="GVX11" s="6"/>
      <c r="GVZ11" s="6"/>
      <c r="GWB11" s="6"/>
      <c r="GWD11" s="6"/>
      <c r="GWF11" s="6"/>
      <c r="GWH11" s="6"/>
      <c r="GWJ11" s="6"/>
      <c r="GWL11" s="6"/>
      <c r="GWN11" s="6"/>
      <c r="GWP11" s="6"/>
      <c r="GWR11" s="6"/>
      <c r="GWT11" s="6"/>
      <c r="GWV11" s="6"/>
      <c r="GWX11" s="6"/>
      <c r="GWZ11" s="6"/>
      <c r="GXB11" s="6"/>
      <c r="GXD11" s="6"/>
      <c r="GXF11" s="6"/>
      <c r="GXH11" s="6"/>
      <c r="GXJ11" s="6"/>
      <c r="GXL11" s="6"/>
      <c r="GXN11" s="6"/>
      <c r="GXP11" s="6"/>
      <c r="GXR11" s="6"/>
      <c r="GXT11" s="6"/>
      <c r="GXV11" s="6"/>
      <c r="GXX11" s="6"/>
      <c r="GXZ11" s="6"/>
      <c r="GYB11" s="6"/>
      <c r="GYD11" s="6"/>
      <c r="GYF11" s="6"/>
      <c r="GYH11" s="6"/>
      <c r="GYJ11" s="6"/>
      <c r="GYL11" s="6"/>
      <c r="GYN11" s="6"/>
      <c r="GYP11" s="6"/>
      <c r="GYR11" s="6"/>
      <c r="GYT11" s="6"/>
      <c r="GYV11" s="6"/>
      <c r="GYX11" s="6"/>
      <c r="GYZ11" s="6"/>
      <c r="GZB11" s="6"/>
      <c r="GZD11" s="6"/>
      <c r="GZF11" s="6"/>
      <c r="GZH11" s="6"/>
      <c r="GZJ11" s="6"/>
      <c r="GZL11" s="6"/>
      <c r="GZN11" s="6"/>
      <c r="GZP11" s="6"/>
      <c r="GZR11" s="6"/>
      <c r="GZT11" s="6"/>
      <c r="GZV11" s="6"/>
      <c r="GZX11" s="6"/>
      <c r="GZZ11" s="6"/>
      <c r="HAB11" s="6"/>
      <c r="HAD11" s="6"/>
      <c r="HAF11" s="6"/>
      <c r="HAH11" s="6"/>
      <c r="HAJ11" s="6"/>
      <c r="HAL11" s="6"/>
      <c r="HAN11" s="6"/>
      <c r="HAP11" s="6"/>
      <c r="HAR11" s="6"/>
      <c r="HAT11" s="6"/>
      <c r="HAV11" s="6"/>
      <c r="HAX11" s="6"/>
      <c r="HAZ11" s="6"/>
      <c r="HBB11" s="6"/>
      <c r="HBD11" s="6"/>
      <c r="HBF11" s="6"/>
      <c r="HBH11" s="6"/>
      <c r="HBJ11" s="6"/>
      <c r="HBL11" s="6"/>
      <c r="HBN11" s="6"/>
      <c r="HBP11" s="6"/>
      <c r="HBR11" s="6"/>
      <c r="HBT11" s="6"/>
      <c r="HBV11" s="6"/>
      <c r="HBX11" s="6"/>
      <c r="HBZ11" s="6"/>
      <c r="HCB11" s="6"/>
      <c r="HCD11" s="6"/>
      <c r="HCF11" s="6"/>
      <c r="HCH11" s="6"/>
      <c r="HCJ11" s="6"/>
      <c r="HCL11" s="6"/>
      <c r="HCN11" s="6"/>
      <c r="HCP11" s="6"/>
      <c r="HCR11" s="6"/>
      <c r="HCT11" s="6"/>
      <c r="HCV11" s="6"/>
      <c r="HCX11" s="6"/>
      <c r="HCZ11" s="6"/>
      <c r="HDB11" s="6"/>
      <c r="HDD11" s="6"/>
      <c r="HDF11" s="6"/>
      <c r="HDH11" s="6"/>
      <c r="HDJ11" s="6"/>
      <c r="HDL11" s="6"/>
      <c r="HDN11" s="6"/>
      <c r="HDP11" s="6"/>
      <c r="HDR11" s="6"/>
      <c r="HDT11" s="6"/>
      <c r="HDV11" s="6"/>
      <c r="HDX11" s="6"/>
      <c r="HDZ11" s="6"/>
      <c r="HEB11" s="6"/>
      <c r="HED11" s="6"/>
      <c r="HEF11" s="6"/>
      <c r="HEH11" s="6"/>
      <c r="HEJ11" s="6"/>
      <c r="HEL11" s="6"/>
      <c r="HEN11" s="6"/>
      <c r="HEP11" s="6"/>
      <c r="HER11" s="6"/>
      <c r="HET11" s="6"/>
      <c r="HEV11" s="6"/>
      <c r="HEX11" s="6"/>
      <c r="HEZ11" s="6"/>
      <c r="HFB11" s="6"/>
      <c r="HFD11" s="6"/>
      <c r="HFF11" s="6"/>
      <c r="HFH11" s="6"/>
      <c r="HFJ11" s="6"/>
      <c r="HFL11" s="6"/>
      <c r="HFN11" s="6"/>
      <c r="HFP11" s="6"/>
      <c r="HFR11" s="6"/>
      <c r="HFT11" s="6"/>
      <c r="HFV11" s="6"/>
      <c r="HFX11" s="6"/>
      <c r="HFZ11" s="6"/>
      <c r="HGB11" s="6"/>
      <c r="HGD11" s="6"/>
      <c r="HGF11" s="6"/>
      <c r="HGH11" s="6"/>
      <c r="HGJ11" s="6"/>
      <c r="HGL11" s="6"/>
      <c r="HGN11" s="6"/>
      <c r="HGP11" s="6"/>
      <c r="HGR11" s="6"/>
      <c r="HGT11" s="6"/>
      <c r="HGV11" s="6"/>
      <c r="HGX11" s="6"/>
      <c r="HGZ11" s="6"/>
      <c r="HHB11" s="6"/>
      <c r="HHD11" s="6"/>
      <c r="HHF11" s="6"/>
      <c r="HHH11" s="6"/>
      <c r="HHJ11" s="6"/>
      <c r="HHL11" s="6"/>
      <c r="HHN11" s="6"/>
      <c r="HHP11" s="6"/>
      <c r="HHR11" s="6"/>
      <c r="HHT11" s="6"/>
      <c r="HHV11" s="6"/>
      <c r="HHX11" s="6"/>
      <c r="HHZ11" s="6"/>
      <c r="HIB11" s="6"/>
      <c r="HID11" s="6"/>
      <c r="HIF11" s="6"/>
      <c r="HIH11" s="6"/>
      <c r="HIJ11" s="6"/>
      <c r="HIL11" s="6"/>
      <c r="HIN11" s="6"/>
      <c r="HIP11" s="6"/>
      <c r="HIR11" s="6"/>
      <c r="HIT11" s="6"/>
      <c r="HIV11" s="6"/>
      <c r="HIX11" s="6"/>
      <c r="HIZ11" s="6"/>
      <c r="HJB11" s="6"/>
      <c r="HJD11" s="6"/>
      <c r="HJF11" s="6"/>
      <c r="HJH11" s="6"/>
      <c r="HJJ11" s="6"/>
      <c r="HJL11" s="6"/>
      <c r="HJN11" s="6"/>
      <c r="HJP11" s="6"/>
      <c r="HJR11" s="6"/>
      <c r="HJT11" s="6"/>
      <c r="HJV11" s="6"/>
      <c r="HJX11" s="6"/>
      <c r="HJZ11" s="6"/>
      <c r="HKB11" s="6"/>
      <c r="HKD11" s="6"/>
      <c r="HKF11" s="6"/>
      <c r="HKH11" s="6"/>
      <c r="HKJ11" s="6"/>
      <c r="HKL11" s="6"/>
      <c r="HKN11" s="6"/>
      <c r="HKP11" s="6"/>
      <c r="HKR11" s="6"/>
      <c r="HKT11" s="6"/>
      <c r="HKV11" s="6"/>
      <c r="HKX11" s="6"/>
      <c r="HKZ11" s="6"/>
      <c r="HLB11" s="6"/>
      <c r="HLD11" s="6"/>
      <c r="HLF11" s="6"/>
      <c r="HLH11" s="6"/>
      <c r="HLJ11" s="6"/>
      <c r="HLL11" s="6"/>
      <c r="HLN11" s="6"/>
      <c r="HLP11" s="6"/>
      <c r="HLR11" s="6"/>
      <c r="HLT11" s="6"/>
      <c r="HLV11" s="6"/>
      <c r="HLX11" s="6"/>
      <c r="HLZ11" s="6"/>
      <c r="HMB11" s="6"/>
      <c r="HMD11" s="6"/>
      <c r="HMF11" s="6"/>
      <c r="HMH11" s="6"/>
      <c r="HMJ11" s="6"/>
      <c r="HML11" s="6"/>
      <c r="HMN11" s="6"/>
      <c r="HMP11" s="6"/>
      <c r="HMR11" s="6"/>
      <c r="HMT11" s="6"/>
      <c r="HMV11" s="6"/>
      <c r="HMX11" s="6"/>
      <c r="HMZ11" s="6"/>
      <c r="HNB11" s="6"/>
      <c r="HND11" s="6"/>
      <c r="HNF11" s="6"/>
      <c r="HNH11" s="6"/>
      <c r="HNJ11" s="6"/>
      <c r="HNL11" s="6"/>
      <c r="HNN11" s="6"/>
      <c r="HNP11" s="6"/>
      <c r="HNR11" s="6"/>
      <c r="HNT11" s="6"/>
      <c r="HNV11" s="6"/>
      <c r="HNX11" s="6"/>
      <c r="HNZ11" s="6"/>
      <c r="HOB11" s="6"/>
      <c r="HOD11" s="6"/>
      <c r="HOF11" s="6"/>
      <c r="HOH11" s="6"/>
      <c r="HOJ11" s="6"/>
      <c r="HOL11" s="6"/>
      <c r="HON11" s="6"/>
      <c r="HOP11" s="6"/>
      <c r="HOR11" s="6"/>
      <c r="HOT11" s="6"/>
      <c r="HOV11" s="6"/>
      <c r="HOX11" s="6"/>
      <c r="HOZ11" s="6"/>
      <c r="HPB11" s="6"/>
      <c r="HPD11" s="6"/>
      <c r="HPF11" s="6"/>
      <c r="HPH11" s="6"/>
      <c r="HPJ11" s="6"/>
      <c r="HPL11" s="6"/>
      <c r="HPN11" s="6"/>
      <c r="HPP11" s="6"/>
      <c r="HPR11" s="6"/>
      <c r="HPT11" s="6"/>
      <c r="HPV11" s="6"/>
      <c r="HPX11" s="6"/>
      <c r="HPZ11" s="6"/>
      <c r="HQB11" s="6"/>
      <c r="HQD11" s="6"/>
      <c r="HQF11" s="6"/>
      <c r="HQH11" s="6"/>
      <c r="HQJ11" s="6"/>
      <c r="HQL11" s="6"/>
      <c r="HQN11" s="6"/>
      <c r="HQP11" s="6"/>
      <c r="HQR11" s="6"/>
      <c r="HQT11" s="6"/>
      <c r="HQV11" s="6"/>
      <c r="HQX11" s="6"/>
      <c r="HQZ11" s="6"/>
      <c r="HRB11" s="6"/>
      <c r="HRD11" s="6"/>
      <c r="HRF11" s="6"/>
      <c r="HRH11" s="6"/>
      <c r="HRJ11" s="6"/>
      <c r="HRL11" s="6"/>
      <c r="HRN11" s="6"/>
      <c r="HRP11" s="6"/>
      <c r="HRR11" s="6"/>
      <c r="HRT11" s="6"/>
      <c r="HRV11" s="6"/>
      <c r="HRX11" s="6"/>
      <c r="HRZ11" s="6"/>
      <c r="HSB11" s="6"/>
      <c r="HSD11" s="6"/>
      <c r="HSF11" s="6"/>
      <c r="HSH11" s="6"/>
      <c r="HSJ11" s="6"/>
      <c r="HSL11" s="6"/>
      <c r="HSN11" s="6"/>
      <c r="HSP11" s="6"/>
      <c r="HSR11" s="6"/>
      <c r="HST11" s="6"/>
      <c r="HSV11" s="6"/>
      <c r="HSX11" s="6"/>
      <c r="HSZ11" s="6"/>
      <c r="HTB11" s="6"/>
      <c r="HTD11" s="6"/>
      <c r="HTF11" s="6"/>
      <c r="HTH11" s="6"/>
      <c r="HTJ11" s="6"/>
      <c r="HTL11" s="6"/>
      <c r="HTN11" s="6"/>
      <c r="HTP11" s="6"/>
      <c r="HTR11" s="6"/>
      <c r="HTT11" s="6"/>
      <c r="HTV11" s="6"/>
      <c r="HTX11" s="6"/>
      <c r="HTZ11" s="6"/>
      <c r="HUB11" s="6"/>
      <c r="HUD11" s="6"/>
      <c r="HUF11" s="6"/>
      <c r="HUH11" s="6"/>
      <c r="HUJ11" s="6"/>
      <c r="HUL11" s="6"/>
      <c r="HUN11" s="6"/>
      <c r="HUP11" s="6"/>
      <c r="HUR11" s="6"/>
      <c r="HUT11" s="6"/>
      <c r="HUV11" s="6"/>
      <c r="HUX11" s="6"/>
      <c r="HUZ11" s="6"/>
      <c r="HVB11" s="6"/>
      <c r="HVD11" s="6"/>
      <c r="HVF11" s="6"/>
      <c r="HVH11" s="6"/>
      <c r="HVJ11" s="6"/>
      <c r="HVL11" s="6"/>
      <c r="HVN11" s="6"/>
      <c r="HVP11" s="6"/>
      <c r="HVR11" s="6"/>
      <c r="HVT11" s="6"/>
      <c r="HVV11" s="6"/>
      <c r="HVX11" s="6"/>
      <c r="HVZ11" s="6"/>
      <c r="HWB11" s="6"/>
      <c r="HWD11" s="6"/>
      <c r="HWF11" s="6"/>
      <c r="HWH11" s="6"/>
      <c r="HWJ11" s="6"/>
      <c r="HWL11" s="6"/>
      <c r="HWN11" s="6"/>
      <c r="HWP11" s="6"/>
      <c r="HWR11" s="6"/>
      <c r="HWT11" s="6"/>
      <c r="HWV11" s="6"/>
      <c r="HWX11" s="6"/>
      <c r="HWZ11" s="6"/>
      <c r="HXB11" s="6"/>
      <c r="HXD11" s="6"/>
      <c r="HXF11" s="6"/>
      <c r="HXH11" s="6"/>
      <c r="HXJ11" s="6"/>
      <c r="HXL11" s="6"/>
      <c r="HXN11" s="6"/>
      <c r="HXP11" s="6"/>
      <c r="HXR11" s="6"/>
      <c r="HXT11" s="6"/>
      <c r="HXV11" s="6"/>
      <c r="HXX11" s="6"/>
      <c r="HXZ11" s="6"/>
      <c r="HYB11" s="6"/>
      <c r="HYD11" s="6"/>
      <c r="HYF11" s="6"/>
      <c r="HYH11" s="6"/>
      <c r="HYJ11" s="6"/>
      <c r="HYL11" s="6"/>
      <c r="HYN11" s="6"/>
      <c r="HYP11" s="6"/>
      <c r="HYR11" s="6"/>
      <c r="HYT11" s="6"/>
      <c r="HYV11" s="6"/>
      <c r="HYX11" s="6"/>
      <c r="HYZ11" s="6"/>
      <c r="HZB11" s="6"/>
      <c r="HZD11" s="6"/>
      <c r="HZF11" s="6"/>
      <c r="HZH11" s="6"/>
      <c r="HZJ11" s="6"/>
      <c r="HZL11" s="6"/>
      <c r="HZN11" s="6"/>
      <c r="HZP11" s="6"/>
      <c r="HZR11" s="6"/>
      <c r="HZT11" s="6"/>
      <c r="HZV11" s="6"/>
      <c r="HZX11" s="6"/>
      <c r="HZZ11" s="6"/>
      <c r="IAB11" s="6"/>
      <c r="IAD11" s="6"/>
      <c r="IAF11" s="6"/>
      <c r="IAH11" s="6"/>
      <c r="IAJ11" s="6"/>
      <c r="IAL11" s="6"/>
      <c r="IAN11" s="6"/>
      <c r="IAP11" s="6"/>
      <c r="IAR11" s="6"/>
      <c r="IAT11" s="6"/>
      <c r="IAV11" s="6"/>
      <c r="IAX11" s="6"/>
      <c r="IAZ11" s="6"/>
      <c r="IBB11" s="6"/>
      <c r="IBD11" s="6"/>
      <c r="IBF11" s="6"/>
      <c r="IBH11" s="6"/>
      <c r="IBJ11" s="6"/>
      <c r="IBL11" s="6"/>
      <c r="IBN11" s="6"/>
      <c r="IBP11" s="6"/>
      <c r="IBR11" s="6"/>
      <c r="IBT11" s="6"/>
      <c r="IBV11" s="6"/>
      <c r="IBX11" s="6"/>
      <c r="IBZ11" s="6"/>
      <c r="ICB11" s="6"/>
      <c r="ICD11" s="6"/>
      <c r="ICF11" s="6"/>
      <c r="ICH11" s="6"/>
      <c r="ICJ11" s="6"/>
      <c r="ICL11" s="6"/>
      <c r="ICN11" s="6"/>
      <c r="ICP11" s="6"/>
      <c r="ICR11" s="6"/>
      <c r="ICT11" s="6"/>
      <c r="ICV11" s="6"/>
      <c r="ICX11" s="6"/>
      <c r="ICZ11" s="6"/>
      <c r="IDB11" s="6"/>
      <c r="IDD11" s="6"/>
      <c r="IDF11" s="6"/>
      <c r="IDH11" s="6"/>
      <c r="IDJ11" s="6"/>
      <c r="IDL11" s="6"/>
      <c r="IDN11" s="6"/>
      <c r="IDP11" s="6"/>
      <c r="IDR11" s="6"/>
      <c r="IDT11" s="6"/>
      <c r="IDV11" s="6"/>
      <c r="IDX11" s="6"/>
      <c r="IDZ11" s="6"/>
      <c r="IEB11" s="6"/>
      <c r="IED11" s="6"/>
      <c r="IEF11" s="6"/>
      <c r="IEH11" s="6"/>
      <c r="IEJ11" s="6"/>
      <c r="IEL11" s="6"/>
      <c r="IEN11" s="6"/>
      <c r="IEP11" s="6"/>
      <c r="IER11" s="6"/>
      <c r="IET11" s="6"/>
      <c r="IEV11" s="6"/>
      <c r="IEX11" s="6"/>
      <c r="IEZ11" s="6"/>
      <c r="IFB11" s="6"/>
      <c r="IFD11" s="6"/>
      <c r="IFF11" s="6"/>
      <c r="IFH11" s="6"/>
      <c r="IFJ11" s="6"/>
      <c r="IFL11" s="6"/>
      <c r="IFN11" s="6"/>
      <c r="IFP11" s="6"/>
      <c r="IFR11" s="6"/>
      <c r="IFT11" s="6"/>
      <c r="IFV11" s="6"/>
      <c r="IFX11" s="6"/>
      <c r="IFZ11" s="6"/>
      <c r="IGB11" s="6"/>
      <c r="IGD11" s="6"/>
      <c r="IGF11" s="6"/>
      <c r="IGH11" s="6"/>
      <c r="IGJ11" s="6"/>
      <c r="IGL11" s="6"/>
      <c r="IGN11" s="6"/>
      <c r="IGP11" s="6"/>
      <c r="IGR11" s="6"/>
      <c r="IGT11" s="6"/>
      <c r="IGV11" s="6"/>
      <c r="IGX11" s="6"/>
      <c r="IGZ11" s="6"/>
      <c r="IHB11" s="6"/>
      <c r="IHD11" s="6"/>
      <c r="IHF11" s="6"/>
      <c r="IHH11" s="6"/>
      <c r="IHJ11" s="6"/>
      <c r="IHL11" s="6"/>
      <c r="IHN11" s="6"/>
      <c r="IHP11" s="6"/>
      <c r="IHR11" s="6"/>
      <c r="IHT11" s="6"/>
      <c r="IHV11" s="6"/>
      <c r="IHX11" s="6"/>
      <c r="IHZ11" s="6"/>
      <c r="IIB11" s="6"/>
      <c r="IID11" s="6"/>
      <c r="IIF11" s="6"/>
      <c r="IIH11" s="6"/>
      <c r="IIJ11" s="6"/>
      <c r="IIL11" s="6"/>
      <c r="IIN11" s="6"/>
      <c r="IIP11" s="6"/>
      <c r="IIR11" s="6"/>
      <c r="IIT11" s="6"/>
      <c r="IIV11" s="6"/>
      <c r="IIX11" s="6"/>
      <c r="IIZ11" s="6"/>
      <c r="IJB11" s="6"/>
      <c r="IJD11" s="6"/>
      <c r="IJF11" s="6"/>
      <c r="IJH11" s="6"/>
      <c r="IJJ11" s="6"/>
      <c r="IJL11" s="6"/>
      <c r="IJN11" s="6"/>
      <c r="IJP11" s="6"/>
      <c r="IJR11" s="6"/>
      <c r="IJT11" s="6"/>
      <c r="IJV11" s="6"/>
      <c r="IJX11" s="6"/>
      <c r="IJZ11" s="6"/>
      <c r="IKB11" s="6"/>
      <c r="IKD11" s="6"/>
      <c r="IKF11" s="6"/>
      <c r="IKH11" s="6"/>
      <c r="IKJ11" s="6"/>
      <c r="IKL11" s="6"/>
      <c r="IKN11" s="6"/>
      <c r="IKP11" s="6"/>
      <c r="IKR11" s="6"/>
      <c r="IKT11" s="6"/>
      <c r="IKV11" s="6"/>
      <c r="IKX11" s="6"/>
      <c r="IKZ11" s="6"/>
      <c r="ILB11" s="6"/>
      <c r="ILD11" s="6"/>
      <c r="ILF11" s="6"/>
      <c r="ILH11" s="6"/>
      <c r="ILJ11" s="6"/>
      <c r="ILL11" s="6"/>
      <c r="ILN11" s="6"/>
      <c r="ILP11" s="6"/>
      <c r="ILR11" s="6"/>
      <c r="ILT11" s="6"/>
      <c r="ILV11" s="6"/>
      <c r="ILX11" s="6"/>
      <c r="ILZ11" s="6"/>
      <c r="IMB11" s="6"/>
      <c r="IMD11" s="6"/>
      <c r="IMF11" s="6"/>
      <c r="IMH11" s="6"/>
      <c r="IMJ11" s="6"/>
      <c r="IML11" s="6"/>
      <c r="IMN11" s="6"/>
      <c r="IMP11" s="6"/>
      <c r="IMR11" s="6"/>
      <c r="IMT11" s="6"/>
      <c r="IMV11" s="6"/>
      <c r="IMX11" s="6"/>
      <c r="IMZ11" s="6"/>
      <c r="INB11" s="6"/>
      <c r="IND11" s="6"/>
      <c r="INF11" s="6"/>
      <c r="INH11" s="6"/>
      <c r="INJ11" s="6"/>
      <c r="INL11" s="6"/>
      <c r="INN11" s="6"/>
      <c r="INP11" s="6"/>
      <c r="INR11" s="6"/>
      <c r="INT11" s="6"/>
      <c r="INV11" s="6"/>
      <c r="INX11" s="6"/>
      <c r="INZ11" s="6"/>
      <c r="IOB11" s="6"/>
      <c r="IOD11" s="6"/>
      <c r="IOF11" s="6"/>
      <c r="IOH11" s="6"/>
      <c r="IOJ11" s="6"/>
      <c r="IOL11" s="6"/>
      <c r="ION11" s="6"/>
      <c r="IOP11" s="6"/>
      <c r="IOR11" s="6"/>
      <c r="IOT11" s="6"/>
      <c r="IOV11" s="6"/>
      <c r="IOX11" s="6"/>
      <c r="IOZ11" s="6"/>
      <c r="IPB11" s="6"/>
      <c r="IPD11" s="6"/>
      <c r="IPF11" s="6"/>
      <c r="IPH11" s="6"/>
      <c r="IPJ11" s="6"/>
      <c r="IPL11" s="6"/>
      <c r="IPN11" s="6"/>
      <c r="IPP11" s="6"/>
      <c r="IPR11" s="6"/>
      <c r="IPT11" s="6"/>
      <c r="IPV11" s="6"/>
      <c r="IPX11" s="6"/>
      <c r="IPZ11" s="6"/>
      <c r="IQB11" s="6"/>
      <c r="IQD11" s="6"/>
      <c r="IQF11" s="6"/>
      <c r="IQH11" s="6"/>
      <c r="IQJ11" s="6"/>
      <c r="IQL11" s="6"/>
      <c r="IQN11" s="6"/>
      <c r="IQP11" s="6"/>
      <c r="IQR11" s="6"/>
      <c r="IQT11" s="6"/>
      <c r="IQV11" s="6"/>
      <c r="IQX11" s="6"/>
      <c r="IQZ11" s="6"/>
      <c r="IRB11" s="6"/>
      <c r="IRD11" s="6"/>
      <c r="IRF11" s="6"/>
      <c r="IRH11" s="6"/>
      <c r="IRJ11" s="6"/>
      <c r="IRL11" s="6"/>
      <c r="IRN11" s="6"/>
      <c r="IRP11" s="6"/>
      <c r="IRR11" s="6"/>
      <c r="IRT11" s="6"/>
      <c r="IRV11" s="6"/>
      <c r="IRX11" s="6"/>
      <c r="IRZ11" s="6"/>
      <c r="ISB11" s="6"/>
      <c r="ISD11" s="6"/>
      <c r="ISF11" s="6"/>
      <c r="ISH11" s="6"/>
      <c r="ISJ11" s="6"/>
      <c r="ISL11" s="6"/>
      <c r="ISN11" s="6"/>
      <c r="ISP11" s="6"/>
      <c r="ISR11" s="6"/>
      <c r="IST11" s="6"/>
      <c r="ISV11" s="6"/>
      <c r="ISX11" s="6"/>
      <c r="ISZ11" s="6"/>
      <c r="ITB11" s="6"/>
      <c r="ITD11" s="6"/>
      <c r="ITF11" s="6"/>
      <c r="ITH11" s="6"/>
      <c r="ITJ11" s="6"/>
      <c r="ITL11" s="6"/>
      <c r="ITN11" s="6"/>
      <c r="ITP11" s="6"/>
      <c r="ITR11" s="6"/>
      <c r="ITT11" s="6"/>
      <c r="ITV11" s="6"/>
      <c r="ITX11" s="6"/>
      <c r="ITZ11" s="6"/>
      <c r="IUB11" s="6"/>
      <c r="IUD11" s="6"/>
      <c r="IUF11" s="6"/>
      <c r="IUH11" s="6"/>
      <c r="IUJ11" s="6"/>
      <c r="IUL11" s="6"/>
      <c r="IUN11" s="6"/>
      <c r="IUP11" s="6"/>
      <c r="IUR11" s="6"/>
      <c r="IUT11" s="6"/>
      <c r="IUV11" s="6"/>
      <c r="IUX11" s="6"/>
      <c r="IUZ11" s="6"/>
      <c r="IVB11" s="6"/>
      <c r="IVD11" s="6"/>
      <c r="IVF11" s="6"/>
      <c r="IVH11" s="6"/>
      <c r="IVJ11" s="6"/>
      <c r="IVL11" s="6"/>
      <c r="IVN11" s="6"/>
      <c r="IVP11" s="6"/>
      <c r="IVR11" s="6"/>
      <c r="IVT11" s="6"/>
      <c r="IVV11" s="6"/>
      <c r="IVX11" s="6"/>
      <c r="IVZ11" s="6"/>
      <c r="IWB11" s="6"/>
      <c r="IWD11" s="6"/>
      <c r="IWF11" s="6"/>
      <c r="IWH11" s="6"/>
      <c r="IWJ11" s="6"/>
      <c r="IWL11" s="6"/>
      <c r="IWN11" s="6"/>
      <c r="IWP11" s="6"/>
      <c r="IWR11" s="6"/>
      <c r="IWT11" s="6"/>
      <c r="IWV11" s="6"/>
      <c r="IWX11" s="6"/>
      <c r="IWZ11" s="6"/>
      <c r="IXB11" s="6"/>
      <c r="IXD11" s="6"/>
      <c r="IXF11" s="6"/>
      <c r="IXH11" s="6"/>
      <c r="IXJ11" s="6"/>
      <c r="IXL11" s="6"/>
      <c r="IXN11" s="6"/>
      <c r="IXP11" s="6"/>
      <c r="IXR11" s="6"/>
      <c r="IXT11" s="6"/>
      <c r="IXV11" s="6"/>
      <c r="IXX11" s="6"/>
      <c r="IXZ11" s="6"/>
      <c r="IYB11" s="6"/>
      <c r="IYD11" s="6"/>
      <c r="IYF11" s="6"/>
      <c r="IYH11" s="6"/>
      <c r="IYJ11" s="6"/>
      <c r="IYL11" s="6"/>
      <c r="IYN11" s="6"/>
      <c r="IYP11" s="6"/>
      <c r="IYR11" s="6"/>
      <c r="IYT11" s="6"/>
      <c r="IYV11" s="6"/>
      <c r="IYX11" s="6"/>
      <c r="IYZ11" s="6"/>
      <c r="IZB11" s="6"/>
      <c r="IZD11" s="6"/>
      <c r="IZF11" s="6"/>
      <c r="IZH11" s="6"/>
      <c r="IZJ11" s="6"/>
      <c r="IZL11" s="6"/>
      <c r="IZN11" s="6"/>
      <c r="IZP11" s="6"/>
      <c r="IZR11" s="6"/>
      <c r="IZT11" s="6"/>
      <c r="IZV11" s="6"/>
      <c r="IZX11" s="6"/>
      <c r="IZZ11" s="6"/>
      <c r="JAB11" s="6"/>
      <c r="JAD11" s="6"/>
      <c r="JAF11" s="6"/>
      <c r="JAH11" s="6"/>
      <c r="JAJ11" s="6"/>
      <c r="JAL11" s="6"/>
      <c r="JAN11" s="6"/>
      <c r="JAP11" s="6"/>
      <c r="JAR11" s="6"/>
      <c r="JAT11" s="6"/>
      <c r="JAV11" s="6"/>
      <c r="JAX11" s="6"/>
      <c r="JAZ11" s="6"/>
      <c r="JBB11" s="6"/>
      <c r="JBD11" s="6"/>
      <c r="JBF11" s="6"/>
      <c r="JBH11" s="6"/>
      <c r="JBJ11" s="6"/>
      <c r="JBL11" s="6"/>
      <c r="JBN11" s="6"/>
      <c r="JBP11" s="6"/>
      <c r="JBR11" s="6"/>
      <c r="JBT11" s="6"/>
      <c r="JBV11" s="6"/>
      <c r="JBX11" s="6"/>
      <c r="JBZ11" s="6"/>
      <c r="JCB11" s="6"/>
      <c r="JCD11" s="6"/>
      <c r="JCF11" s="6"/>
      <c r="JCH11" s="6"/>
      <c r="JCJ11" s="6"/>
      <c r="JCL11" s="6"/>
      <c r="JCN11" s="6"/>
      <c r="JCP11" s="6"/>
      <c r="JCR11" s="6"/>
      <c r="JCT11" s="6"/>
      <c r="JCV11" s="6"/>
      <c r="JCX11" s="6"/>
      <c r="JCZ11" s="6"/>
      <c r="JDB11" s="6"/>
      <c r="JDD11" s="6"/>
      <c r="JDF11" s="6"/>
      <c r="JDH11" s="6"/>
      <c r="JDJ11" s="6"/>
      <c r="JDL11" s="6"/>
      <c r="JDN11" s="6"/>
      <c r="JDP11" s="6"/>
      <c r="JDR11" s="6"/>
      <c r="JDT11" s="6"/>
      <c r="JDV11" s="6"/>
      <c r="JDX11" s="6"/>
      <c r="JDZ11" s="6"/>
      <c r="JEB11" s="6"/>
      <c r="JED11" s="6"/>
      <c r="JEF11" s="6"/>
      <c r="JEH11" s="6"/>
      <c r="JEJ11" s="6"/>
      <c r="JEL11" s="6"/>
      <c r="JEN11" s="6"/>
      <c r="JEP11" s="6"/>
      <c r="JER11" s="6"/>
      <c r="JET11" s="6"/>
      <c r="JEV11" s="6"/>
      <c r="JEX11" s="6"/>
      <c r="JEZ11" s="6"/>
      <c r="JFB11" s="6"/>
      <c r="JFD11" s="6"/>
      <c r="JFF11" s="6"/>
      <c r="JFH11" s="6"/>
      <c r="JFJ11" s="6"/>
      <c r="JFL11" s="6"/>
      <c r="JFN11" s="6"/>
      <c r="JFP11" s="6"/>
      <c r="JFR11" s="6"/>
      <c r="JFT11" s="6"/>
      <c r="JFV11" s="6"/>
      <c r="JFX11" s="6"/>
      <c r="JFZ11" s="6"/>
      <c r="JGB11" s="6"/>
      <c r="JGD11" s="6"/>
      <c r="JGF11" s="6"/>
      <c r="JGH11" s="6"/>
      <c r="JGJ11" s="6"/>
      <c r="JGL11" s="6"/>
      <c r="JGN11" s="6"/>
      <c r="JGP11" s="6"/>
      <c r="JGR11" s="6"/>
      <c r="JGT11" s="6"/>
      <c r="JGV11" s="6"/>
      <c r="JGX11" s="6"/>
      <c r="JGZ11" s="6"/>
      <c r="JHB11" s="6"/>
      <c r="JHD11" s="6"/>
      <c r="JHF11" s="6"/>
      <c r="JHH11" s="6"/>
      <c r="JHJ11" s="6"/>
      <c r="JHL11" s="6"/>
      <c r="JHN11" s="6"/>
      <c r="JHP11" s="6"/>
      <c r="JHR11" s="6"/>
      <c r="JHT11" s="6"/>
      <c r="JHV11" s="6"/>
      <c r="JHX11" s="6"/>
      <c r="JHZ11" s="6"/>
      <c r="JIB11" s="6"/>
      <c r="JID11" s="6"/>
      <c r="JIF11" s="6"/>
      <c r="JIH11" s="6"/>
      <c r="JIJ11" s="6"/>
      <c r="JIL11" s="6"/>
      <c r="JIN11" s="6"/>
      <c r="JIP11" s="6"/>
      <c r="JIR11" s="6"/>
      <c r="JIT11" s="6"/>
      <c r="JIV11" s="6"/>
      <c r="JIX11" s="6"/>
      <c r="JIZ11" s="6"/>
      <c r="JJB11" s="6"/>
      <c r="JJD11" s="6"/>
      <c r="JJF11" s="6"/>
      <c r="JJH11" s="6"/>
      <c r="JJJ11" s="6"/>
      <c r="JJL11" s="6"/>
      <c r="JJN11" s="6"/>
      <c r="JJP11" s="6"/>
      <c r="JJR11" s="6"/>
      <c r="JJT11" s="6"/>
      <c r="JJV11" s="6"/>
      <c r="JJX11" s="6"/>
      <c r="JJZ11" s="6"/>
      <c r="JKB11" s="6"/>
      <c r="JKD11" s="6"/>
      <c r="JKF11" s="6"/>
      <c r="JKH11" s="6"/>
      <c r="JKJ11" s="6"/>
      <c r="JKL11" s="6"/>
      <c r="JKN11" s="6"/>
      <c r="JKP11" s="6"/>
      <c r="JKR11" s="6"/>
      <c r="JKT11" s="6"/>
      <c r="JKV11" s="6"/>
      <c r="JKX11" s="6"/>
      <c r="JKZ11" s="6"/>
      <c r="JLB11" s="6"/>
      <c r="JLD11" s="6"/>
      <c r="JLF11" s="6"/>
      <c r="JLH11" s="6"/>
      <c r="JLJ11" s="6"/>
      <c r="JLL11" s="6"/>
      <c r="JLN11" s="6"/>
      <c r="JLP11" s="6"/>
      <c r="JLR11" s="6"/>
      <c r="JLT11" s="6"/>
      <c r="JLV11" s="6"/>
      <c r="JLX11" s="6"/>
      <c r="JLZ11" s="6"/>
      <c r="JMB11" s="6"/>
      <c r="JMD11" s="6"/>
      <c r="JMF11" s="6"/>
      <c r="JMH11" s="6"/>
      <c r="JMJ11" s="6"/>
      <c r="JML11" s="6"/>
      <c r="JMN11" s="6"/>
      <c r="JMP11" s="6"/>
      <c r="JMR11" s="6"/>
      <c r="JMT11" s="6"/>
      <c r="JMV11" s="6"/>
      <c r="JMX11" s="6"/>
      <c r="JMZ11" s="6"/>
      <c r="JNB11" s="6"/>
      <c r="JND11" s="6"/>
      <c r="JNF11" s="6"/>
      <c r="JNH11" s="6"/>
      <c r="JNJ11" s="6"/>
      <c r="JNL11" s="6"/>
      <c r="JNN11" s="6"/>
      <c r="JNP11" s="6"/>
      <c r="JNR11" s="6"/>
      <c r="JNT11" s="6"/>
      <c r="JNV11" s="6"/>
      <c r="JNX11" s="6"/>
      <c r="JNZ11" s="6"/>
      <c r="JOB11" s="6"/>
      <c r="JOD11" s="6"/>
      <c r="JOF11" s="6"/>
      <c r="JOH11" s="6"/>
      <c r="JOJ11" s="6"/>
      <c r="JOL11" s="6"/>
      <c r="JON11" s="6"/>
      <c r="JOP11" s="6"/>
      <c r="JOR11" s="6"/>
      <c r="JOT11" s="6"/>
      <c r="JOV11" s="6"/>
      <c r="JOX11" s="6"/>
      <c r="JOZ11" s="6"/>
      <c r="JPB11" s="6"/>
      <c r="JPD11" s="6"/>
      <c r="JPF11" s="6"/>
      <c r="JPH11" s="6"/>
      <c r="JPJ11" s="6"/>
      <c r="JPL11" s="6"/>
      <c r="JPN11" s="6"/>
      <c r="JPP11" s="6"/>
      <c r="JPR11" s="6"/>
      <c r="JPT11" s="6"/>
      <c r="JPV11" s="6"/>
      <c r="JPX11" s="6"/>
      <c r="JPZ11" s="6"/>
      <c r="JQB11" s="6"/>
      <c r="JQD11" s="6"/>
      <c r="JQF11" s="6"/>
      <c r="JQH11" s="6"/>
      <c r="JQJ11" s="6"/>
      <c r="JQL11" s="6"/>
      <c r="JQN11" s="6"/>
      <c r="JQP11" s="6"/>
      <c r="JQR11" s="6"/>
      <c r="JQT11" s="6"/>
      <c r="JQV11" s="6"/>
      <c r="JQX11" s="6"/>
      <c r="JQZ11" s="6"/>
      <c r="JRB11" s="6"/>
      <c r="JRD11" s="6"/>
      <c r="JRF11" s="6"/>
      <c r="JRH11" s="6"/>
      <c r="JRJ11" s="6"/>
      <c r="JRL11" s="6"/>
      <c r="JRN11" s="6"/>
      <c r="JRP11" s="6"/>
      <c r="JRR11" s="6"/>
      <c r="JRT11" s="6"/>
      <c r="JRV11" s="6"/>
      <c r="JRX11" s="6"/>
      <c r="JRZ11" s="6"/>
      <c r="JSB11" s="6"/>
      <c r="JSD11" s="6"/>
      <c r="JSF11" s="6"/>
      <c r="JSH11" s="6"/>
      <c r="JSJ11" s="6"/>
      <c r="JSL11" s="6"/>
      <c r="JSN11" s="6"/>
      <c r="JSP11" s="6"/>
      <c r="JSR11" s="6"/>
      <c r="JST11" s="6"/>
      <c r="JSV11" s="6"/>
      <c r="JSX11" s="6"/>
      <c r="JSZ11" s="6"/>
      <c r="JTB11" s="6"/>
      <c r="JTD11" s="6"/>
      <c r="JTF11" s="6"/>
      <c r="JTH11" s="6"/>
      <c r="JTJ11" s="6"/>
      <c r="JTL11" s="6"/>
      <c r="JTN11" s="6"/>
      <c r="JTP11" s="6"/>
      <c r="JTR11" s="6"/>
      <c r="JTT11" s="6"/>
      <c r="JTV11" s="6"/>
      <c r="JTX11" s="6"/>
      <c r="JTZ11" s="6"/>
      <c r="JUB11" s="6"/>
      <c r="JUD11" s="6"/>
      <c r="JUF11" s="6"/>
      <c r="JUH11" s="6"/>
      <c r="JUJ11" s="6"/>
      <c r="JUL11" s="6"/>
      <c r="JUN11" s="6"/>
      <c r="JUP11" s="6"/>
      <c r="JUR11" s="6"/>
      <c r="JUT11" s="6"/>
      <c r="JUV11" s="6"/>
      <c r="JUX11" s="6"/>
      <c r="JUZ11" s="6"/>
      <c r="JVB11" s="6"/>
      <c r="JVD11" s="6"/>
      <c r="JVF11" s="6"/>
      <c r="JVH11" s="6"/>
      <c r="JVJ11" s="6"/>
      <c r="JVL11" s="6"/>
      <c r="JVN11" s="6"/>
      <c r="JVP11" s="6"/>
      <c r="JVR11" s="6"/>
      <c r="JVT11" s="6"/>
      <c r="JVV11" s="6"/>
      <c r="JVX11" s="6"/>
      <c r="JVZ11" s="6"/>
      <c r="JWB11" s="6"/>
      <c r="JWD11" s="6"/>
      <c r="JWF11" s="6"/>
      <c r="JWH11" s="6"/>
      <c r="JWJ11" s="6"/>
      <c r="JWL11" s="6"/>
      <c r="JWN11" s="6"/>
      <c r="JWP11" s="6"/>
      <c r="JWR11" s="6"/>
      <c r="JWT11" s="6"/>
      <c r="JWV11" s="6"/>
      <c r="JWX11" s="6"/>
      <c r="JWZ11" s="6"/>
      <c r="JXB11" s="6"/>
      <c r="JXD11" s="6"/>
      <c r="JXF11" s="6"/>
      <c r="JXH11" s="6"/>
      <c r="JXJ11" s="6"/>
      <c r="JXL11" s="6"/>
      <c r="JXN11" s="6"/>
      <c r="JXP11" s="6"/>
      <c r="JXR11" s="6"/>
      <c r="JXT11" s="6"/>
      <c r="JXV11" s="6"/>
      <c r="JXX11" s="6"/>
      <c r="JXZ11" s="6"/>
      <c r="JYB11" s="6"/>
      <c r="JYD11" s="6"/>
      <c r="JYF11" s="6"/>
      <c r="JYH11" s="6"/>
      <c r="JYJ11" s="6"/>
      <c r="JYL11" s="6"/>
      <c r="JYN11" s="6"/>
      <c r="JYP11" s="6"/>
      <c r="JYR11" s="6"/>
      <c r="JYT11" s="6"/>
      <c r="JYV11" s="6"/>
      <c r="JYX11" s="6"/>
      <c r="JYZ11" s="6"/>
      <c r="JZB11" s="6"/>
      <c r="JZD11" s="6"/>
      <c r="JZF11" s="6"/>
      <c r="JZH11" s="6"/>
      <c r="JZJ11" s="6"/>
      <c r="JZL11" s="6"/>
      <c r="JZN11" s="6"/>
      <c r="JZP11" s="6"/>
      <c r="JZR11" s="6"/>
      <c r="JZT11" s="6"/>
      <c r="JZV11" s="6"/>
      <c r="JZX11" s="6"/>
      <c r="JZZ11" s="6"/>
      <c r="KAB11" s="6"/>
      <c r="KAD11" s="6"/>
      <c r="KAF11" s="6"/>
      <c r="KAH11" s="6"/>
      <c r="KAJ11" s="6"/>
      <c r="KAL11" s="6"/>
      <c r="KAN11" s="6"/>
      <c r="KAP11" s="6"/>
      <c r="KAR11" s="6"/>
      <c r="KAT11" s="6"/>
      <c r="KAV11" s="6"/>
      <c r="KAX11" s="6"/>
      <c r="KAZ11" s="6"/>
      <c r="KBB11" s="6"/>
      <c r="KBD11" s="6"/>
      <c r="KBF11" s="6"/>
      <c r="KBH11" s="6"/>
      <c r="KBJ11" s="6"/>
      <c r="KBL11" s="6"/>
      <c r="KBN11" s="6"/>
      <c r="KBP11" s="6"/>
      <c r="KBR11" s="6"/>
      <c r="KBT11" s="6"/>
      <c r="KBV11" s="6"/>
      <c r="KBX11" s="6"/>
      <c r="KBZ11" s="6"/>
      <c r="KCB11" s="6"/>
      <c r="KCD11" s="6"/>
      <c r="KCF11" s="6"/>
      <c r="KCH11" s="6"/>
      <c r="KCJ11" s="6"/>
      <c r="KCL11" s="6"/>
      <c r="KCN11" s="6"/>
      <c r="KCP11" s="6"/>
      <c r="KCR11" s="6"/>
      <c r="KCT11" s="6"/>
      <c r="KCV11" s="6"/>
      <c r="KCX11" s="6"/>
      <c r="KCZ11" s="6"/>
      <c r="KDB11" s="6"/>
      <c r="KDD11" s="6"/>
      <c r="KDF11" s="6"/>
      <c r="KDH11" s="6"/>
      <c r="KDJ11" s="6"/>
      <c r="KDL11" s="6"/>
      <c r="KDN11" s="6"/>
      <c r="KDP11" s="6"/>
      <c r="KDR11" s="6"/>
      <c r="KDT11" s="6"/>
      <c r="KDV11" s="6"/>
      <c r="KDX11" s="6"/>
      <c r="KDZ11" s="6"/>
      <c r="KEB11" s="6"/>
      <c r="KED11" s="6"/>
      <c r="KEF11" s="6"/>
      <c r="KEH11" s="6"/>
      <c r="KEJ11" s="6"/>
      <c r="KEL11" s="6"/>
      <c r="KEN11" s="6"/>
      <c r="KEP11" s="6"/>
      <c r="KER11" s="6"/>
      <c r="KET11" s="6"/>
      <c r="KEV11" s="6"/>
      <c r="KEX11" s="6"/>
      <c r="KEZ11" s="6"/>
      <c r="KFB11" s="6"/>
      <c r="KFD11" s="6"/>
      <c r="KFF11" s="6"/>
      <c r="KFH11" s="6"/>
      <c r="KFJ11" s="6"/>
      <c r="KFL11" s="6"/>
      <c r="KFN11" s="6"/>
      <c r="KFP11" s="6"/>
      <c r="KFR11" s="6"/>
      <c r="KFT11" s="6"/>
      <c r="KFV11" s="6"/>
      <c r="KFX11" s="6"/>
      <c r="KFZ11" s="6"/>
      <c r="KGB11" s="6"/>
      <c r="KGD11" s="6"/>
      <c r="KGF11" s="6"/>
      <c r="KGH11" s="6"/>
      <c r="KGJ11" s="6"/>
      <c r="KGL11" s="6"/>
      <c r="KGN11" s="6"/>
      <c r="KGP11" s="6"/>
      <c r="KGR11" s="6"/>
      <c r="KGT11" s="6"/>
      <c r="KGV11" s="6"/>
      <c r="KGX11" s="6"/>
      <c r="KGZ11" s="6"/>
      <c r="KHB11" s="6"/>
      <c r="KHD11" s="6"/>
      <c r="KHF11" s="6"/>
      <c r="KHH11" s="6"/>
      <c r="KHJ11" s="6"/>
      <c r="KHL11" s="6"/>
      <c r="KHN11" s="6"/>
      <c r="KHP11" s="6"/>
      <c r="KHR11" s="6"/>
      <c r="KHT11" s="6"/>
      <c r="KHV11" s="6"/>
      <c r="KHX11" s="6"/>
      <c r="KHZ11" s="6"/>
      <c r="KIB11" s="6"/>
      <c r="KID11" s="6"/>
      <c r="KIF11" s="6"/>
      <c r="KIH11" s="6"/>
      <c r="KIJ11" s="6"/>
      <c r="KIL11" s="6"/>
      <c r="KIN11" s="6"/>
      <c r="KIP11" s="6"/>
      <c r="KIR11" s="6"/>
      <c r="KIT11" s="6"/>
      <c r="KIV11" s="6"/>
      <c r="KIX11" s="6"/>
      <c r="KIZ11" s="6"/>
      <c r="KJB11" s="6"/>
      <c r="KJD11" s="6"/>
      <c r="KJF11" s="6"/>
      <c r="KJH11" s="6"/>
      <c r="KJJ11" s="6"/>
      <c r="KJL11" s="6"/>
      <c r="KJN11" s="6"/>
      <c r="KJP11" s="6"/>
      <c r="KJR11" s="6"/>
      <c r="KJT11" s="6"/>
      <c r="KJV11" s="6"/>
      <c r="KJX11" s="6"/>
      <c r="KJZ11" s="6"/>
      <c r="KKB11" s="6"/>
      <c r="KKD11" s="6"/>
      <c r="KKF11" s="6"/>
      <c r="KKH11" s="6"/>
      <c r="KKJ11" s="6"/>
      <c r="KKL11" s="6"/>
      <c r="KKN11" s="6"/>
      <c r="KKP11" s="6"/>
      <c r="KKR11" s="6"/>
      <c r="KKT11" s="6"/>
      <c r="KKV11" s="6"/>
      <c r="KKX11" s="6"/>
      <c r="KKZ11" s="6"/>
      <c r="KLB11" s="6"/>
      <c r="KLD11" s="6"/>
      <c r="KLF11" s="6"/>
      <c r="KLH11" s="6"/>
      <c r="KLJ11" s="6"/>
      <c r="KLL11" s="6"/>
      <c r="KLN11" s="6"/>
      <c r="KLP11" s="6"/>
      <c r="KLR11" s="6"/>
      <c r="KLT11" s="6"/>
      <c r="KLV11" s="6"/>
      <c r="KLX11" s="6"/>
      <c r="KLZ11" s="6"/>
      <c r="KMB11" s="6"/>
      <c r="KMD11" s="6"/>
      <c r="KMF11" s="6"/>
      <c r="KMH11" s="6"/>
      <c r="KMJ11" s="6"/>
      <c r="KML11" s="6"/>
      <c r="KMN11" s="6"/>
      <c r="KMP11" s="6"/>
      <c r="KMR11" s="6"/>
      <c r="KMT11" s="6"/>
      <c r="KMV11" s="6"/>
      <c r="KMX11" s="6"/>
      <c r="KMZ11" s="6"/>
      <c r="KNB11" s="6"/>
      <c r="KND11" s="6"/>
      <c r="KNF11" s="6"/>
      <c r="KNH11" s="6"/>
      <c r="KNJ11" s="6"/>
      <c r="KNL11" s="6"/>
      <c r="KNN11" s="6"/>
      <c r="KNP11" s="6"/>
      <c r="KNR11" s="6"/>
      <c r="KNT11" s="6"/>
      <c r="KNV11" s="6"/>
      <c r="KNX11" s="6"/>
      <c r="KNZ11" s="6"/>
      <c r="KOB11" s="6"/>
      <c r="KOD11" s="6"/>
      <c r="KOF11" s="6"/>
      <c r="KOH11" s="6"/>
      <c r="KOJ11" s="6"/>
      <c r="KOL11" s="6"/>
      <c r="KON11" s="6"/>
      <c r="KOP11" s="6"/>
      <c r="KOR11" s="6"/>
      <c r="KOT11" s="6"/>
      <c r="KOV11" s="6"/>
      <c r="KOX11" s="6"/>
      <c r="KOZ11" s="6"/>
      <c r="KPB11" s="6"/>
      <c r="KPD11" s="6"/>
      <c r="KPF11" s="6"/>
      <c r="KPH11" s="6"/>
      <c r="KPJ11" s="6"/>
      <c r="KPL11" s="6"/>
      <c r="KPN11" s="6"/>
      <c r="KPP11" s="6"/>
      <c r="KPR11" s="6"/>
      <c r="KPT11" s="6"/>
      <c r="KPV11" s="6"/>
      <c r="KPX11" s="6"/>
      <c r="KPZ11" s="6"/>
      <c r="KQB11" s="6"/>
      <c r="KQD11" s="6"/>
      <c r="KQF11" s="6"/>
      <c r="KQH11" s="6"/>
      <c r="KQJ11" s="6"/>
      <c r="KQL11" s="6"/>
      <c r="KQN11" s="6"/>
      <c r="KQP11" s="6"/>
      <c r="KQR11" s="6"/>
      <c r="KQT11" s="6"/>
      <c r="KQV11" s="6"/>
      <c r="KQX11" s="6"/>
      <c r="KQZ11" s="6"/>
      <c r="KRB11" s="6"/>
      <c r="KRD11" s="6"/>
      <c r="KRF11" s="6"/>
      <c r="KRH11" s="6"/>
      <c r="KRJ11" s="6"/>
      <c r="KRL11" s="6"/>
      <c r="KRN11" s="6"/>
      <c r="KRP11" s="6"/>
      <c r="KRR11" s="6"/>
      <c r="KRT11" s="6"/>
      <c r="KRV11" s="6"/>
      <c r="KRX11" s="6"/>
      <c r="KRZ11" s="6"/>
      <c r="KSB11" s="6"/>
      <c r="KSD11" s="6"/>
      <c r="KSF11" s="6"/>
      <c r="KSH11" s="6"/>
      <c r="KSJ11" s="6"/>
      <c r="KSL11" s="6"/>
      <c r="KSN11" s="6"/>
      <c r="KSP11" s="6"/>
      <c r="KSR11" s="6"/>
      <c r="KST11" s="6"/>
      <c r="KSV11" s="6"/>
      <c r="KSX11" s="6"/>
      <c r="KSZ11" s="6"/>
      <c r="KTB11" s="6"/>
      <c r="KTD11" s="6"/>
      <c r="KTF11" s="6"/>
      <c r="KTH11" s="6"/>
      <c r="KTJ11" s="6"/>
      <c r="KTL11" s="6"/>
      <c r="KTN11" s="6"/>
      <c r="KTP11" s="6"/>
      <c r="KTR11" s="6"/>
      <c r="KTT11" s="6"/>
      <c r="KTV11" s="6"/>
      <c r="KTX11" s="6"/>
      <c r="KTZ11" s="6"/>
      <c r="KUB11" s="6"/>
      <c r="KUD11" s="6"/>
      <c r="KUF11" s="6"/>
      <c r="KUH11" s="6"/>
      <c r="KUJ11" s="6"/>
      <c r="KUL11" s="6"/>
      <c r="KUN11" s="6"/>
      <c r="KUP11" s="6"/>
      <c r="KUR11" s="6"/>
      <c r="KUT11" s="6"/>
      <c r="KUV11" s="6"/>
      <c r="KUX11" s="6"/>
      <c r="KUZ11" s="6"/>
      <c r="KVB11" s="6"/>
      <c r="KVD11" s="6"/>
      <c r="KVF11" s="6"/>
      <c r="KVH11" s="6"/>
      <c r="KVJ11" s="6"/>
      <c r="KVL11" s="6"/>
      <c r="KVN11" s="6"/>
      <c r="KVP11" s="6"/>
      <c r="KVR11" s="6"/>
      <c r="KVT11" s="6"/>
      <c r="KVV11" s="6"/>
      <c r="KVX11" s="6"/>
      <c r="KVZ11" s="6"/>
      <c r="KWB11" s="6"/>
      <c r="KWD11" s="6"/>
      <c r="KWF11" s="6"/>
      <c r="KWH11" s="6"/>
      <c r="KWJ11" s="6"/>
      <c r="KWL11" s="6"/>
      <c r="KWN11" s="6"/>
      <c r="KWP11" s="6"/>
      <c r="KWR11" s="6"/>
      <c r="KWT11" s="6"/>
      <c r="KWV11" s="6"/>
      <c r="KWX11" s="6"/>
      <c r="KWZ11" s="6"/>
      <c r="KXB11" s="6"/>
      <c r="KXD11" s="6"/>
      <c r="KXF11" s="6"/>
      <c r="KXH11" s="6"/>
      <c r="KXJ11" s="6"/>
      <c r="KXL11" s="6"/>
      <c r="KXN11" s="6"/>
      <c r="KXP11" s="6"/>
      <c r="KXR11" s="6"/>
      <c r="KXT11" s="6"/>
      <c r="KXV11" s="6"/>
      <c r="KXX11" s="6"/>
      <c r="KXZ11" s="6"/>
      <c r="KYB11" s="6"/>
      <c r="KYD11" s="6"/>
      <c r="KYF11" s="6"/>
      <c r="KYH11" s="6"/>
      <c r="KYJ11" s="6"/>
      <c r="KYL11" s="6"/>
      <c r="KYN11" s="6"/>
      <c r="KYP11" s="6"/>
      <c r="KYR11" s="6"/>
      <c r="KYT11" s="6"/>
      <c r="KYV11" s="6"/>
      <c r="KYX11" s="6"/>
      <c r="KYZ11" s="6"/>
      <c r="KZB11" s="6"/>
      <c r="KZD11" s="6"/>
      <c r="KZF11" s="6"/>
      <c r="KZH11" s="6"/>
      <c r="KZJ11" s="6"/>
      <c r="KZL11" s="6"/>
      <c r="KZN11" s="6"/>
      <c r="KZP11" s="6"/>
      <c r="KZR11" s="6"/>
      <c r="KZT11" s="6"/>
      <c r="KZV11" s="6"/>
      <c r="KZX11" s="6"/>
      <c r="KZZ11" s="6"/>
      <c r="LAB11" s="6"/>
      <c r="LAD11" s="6"/>
      <c r="LAF11" s="6"/>
      <c r="LAH11" s="6"/>
      <c r="LAJ11" s="6"/>
      <c r="LAL11" s="6"/>
      <c r="LAN11" s="6"/>
      <c r="LAP11" s="6"/>
      <c r="LAR11" s="6"/>
      <c r="LAT11" s="6"/>
      <c r="LAV11" s="6"/>
      <c r="LAX11" s="6"/>
      <c r="LAZ11" s="6"/>
      <c r="LBB11" s="6"/>
      <c r="LBD11" s="6"/>
      <c r="LBF11" s="6"/>
      <c r="LBH11" s="6"/>
      <c r="LBJ11" s="6"/>
      <c r="LBL11" s="6"/>
      <c r="LBN11" s="6"/>
      <c r="LBP11" s="6"/>
      <c r="LBR11" s="6"/>
      <c r="LBT11" s="6"/>
      <c r="LBV11" s="6"/>
      <c r="LBX11" s="6"/>
      <c r="LBZ11" s="6"/>
      <c r="LCB11" s="6"/>
      <c r="LCD11" s="6"/>
      <c r="LCF11" s="6"/>
      <c r="LCH11" s="6"/>
      <c r="LCJ11" s="6"/>
      <c r="LCL11" s="6"/>
      <c r="LCN11" s="6"/>
      <c r="LCP11" s="6"/>
      <c r="LCR11" s="6"/>
      <c r="LCT11" s="6"/>
      <c r="LCV11" s="6"/>
      <c r="LCX11" s="6"/>
      <c r="LCZ11" s="6"/>
      <c r="LDB11" s="6"/>
      <c r="LDD11" s="6"/>
      <c r="LDF11" s="6"/>
      <c r="LDH11" s="6"/>
      <c r="LDJ11" s="6"/>
      <c r="LDL11" s="6"/>
      <c r="LDN11" s="6"/>
      <c r="LDP11" s="6"/>
      <c r="LDR11" s="6"/>
      <c r="LDT11" s="6"/>
      <c r="LDV11" s="6"/>
      <c r="LDX11" s="6"/>
      <c r="LDZ11" s="6"/>
      <c r="LEB11" s="6"/>
      <c r="LED11" s="6"/>
      <c r="LEF11" s="6"/>
      <c r="LEH11" s="6"/>
      <c r="LEJ11" s="6"/>
      <c r="LEL11" s="6"/>
      <c r="LEN11" s="6"/>
      <c r="LEP11" s="6"/>
      <c r="LER11" s="6"/>
      <c r="LET11" s="6"/>
      <c r="LEV11" s="6"/>
      <c r="LEX11" s="6"/>
      <c r="LEZ11" s="6"/>
      <c r="LFB11" s="6"/>
      <c r="LFD11" s="6"/>
      <c r="LFF11" s="6"/>
      <c r="LFH11" s="6"/>
      <c r="LFJ11" s="6"/>
      <c r="LFL11" s="6"/>
      <c r="LFN11" s="6"/>
      <c r="LFP11" s="6"/>
      <c r="LFR11" s="6"/>
      <c r="LFT11" s="6"/>
      <c r="LFV11" s="6"/>
      <c r="LFX11" s="6"/>
      <c r="LFZ11" s="6"/>
      <c r="LGB11" s="6"/>
      <c r="LGD11" s="6"/>
      <c r="LGF11" s="6"/>
      <c r="LGH11" s="6"/>
      <c r="LGJ11" s="6"/>
      <c r="LGL11" s="6"/>
      <c r="LGN11" s="6"/>
      <c r="LGP11" s="6"/>
      <c r="LGR11" s="6"/>
      <c r="LGT11" s="6"/>
      <c r="LGV11" s="6"/>
      <c r="LGX11" s="6"/>
      <c r="LGZ11" s="6"/>
      <c r="LHB11" s="6"/>
      <c r="LHD11" s="6"/>
      <c r="LHF11" s="6"/>
      <c r="LHH11" s="6"/>
      <c r="LHJ11" s="6"/>
      <c r="LHL11" s="6"/>
      <c r="LHN11" s="6"/>
      <c r="LHP11" s="6"/>
      <c r="LHR11" s="6"/>
      <c r="LHT11" s="6"/>
      <c r="LHV11" s="6"/>
      <c r="LHX11" s="6"/>
      <c r="LHZ11" s="6"/>
      <c r="LIB11" s="6"/>
      <c r="LID11" s="6"/>
      <c r="LIF11" s="6"/>
      <c r="LIH11" s="6"/>
      <c r="LIJ11" s="6"/>
      <c r="LIL11" s="6"/>
      <c r="LIN11" s="6"/>
      <c r="LIP11" s="6"/>
      <c r="LIR11" s="6"/>
      <c r="LIT11" s="6"/>
      <c r="LIV11" s="6"/>
      <c r="LIX11" s="6"/>
      <c r="LIZ11" s="6"/>
      <c r="LJB11" s="6"/>
      <c r="LJD11" s="6"/>
      <c r="LJF11" s="6"/>
      <c r="LJH11" s="6"/>
      <c r="LJJ11" s="6"/>
      <c r="LJL11" s="6"/>
      <c r="LJN11" s="6"/>
      <c r="LJP11" s="6"/>
      <c r="LJR11" s="6"/>
      <c r="LJT11" s="6"/>
      <c r="LJV11" s="6"/>
      <c r="LJX11" s="6"/>
      <c r="LJZ11" s="6"/>
      <c r="LKB11" s="6"/>
      <c r="LKD11" s="6"/>
      <c r="LKF11" s="6"/>
      <c r="LKH11" s="6"/>
      <c r="LKJ11" s="6"/>
      <c r="LKL11" s="6"/>
      <c r="LKN11" s="6"/>
      <c r="LKP11" s="6"/>
      <c r="LKR11" s="6"/>
      <c r="LKT11" s="6"/>
      <c r="LKV11" s="6"/>
      <c r="LKX11" s="6"/>
      <c r="LKZ11" s="6"/>
      <c r="LLB11" s="6"/>
      <c r="LLD11" s="6"/>
      <c r="LLF11" s="6"/>
      <c r="LLH11" s="6"/>
      <c r="LLJ11" s="6"/>
      <c r="LLL11" s="6"/>
      <c r="LLN11" s="6"/>
      <c r="LLP11" s="6"/>
      <c r="LLR11" s="6"/>
      <c r="LLT11" s="6"/>
      <c r="LLV11" s="6"/>
      <c r="LLX11" s="6"/>
      <c r="LLZ11" s="6"/>
      <c r="LMB11" s="6"/>
      <c r="LMD11" s="6"/>
      <c r="LMF11" s="6"/>
      <c r="LMH11" s="6"/>
      <c r="LMJ11" s="6"/>
      <c r="LML11" s="6"/>
      <c r="LMN11" s="6"/>
      <c r="LMP11" s="6"/>
      <c r="LMR11" s="6"/>
      <c r="LMT11" s="6"/>
      <c r="LMV11" s="6"/>
      <c r="LMX11" s="6"/>
      <c r="LMZ11" s="6"/>
      <c r="LNB11" s="6"/>
      <c r="LND11" s="6"/>
      <c r="LNF11" s="6"/>
      <c r="LNH11" s="6"/>
      <c r="LNJ11" s="6"/>
      <c r="LNL11" s="6"/>
      <c r="LNN11" s="6"/>
      <c r="LNP11" s="6"/>
      <c r="LNR11" s="6"/>
      <c r="LNT11" s="6"/>
      <c r="LNV11" s="6"/>
      <c r="LNX11" s="6"/>
      <c r="LNZ11" s="6"/>
      <c r="LOB11" s="6"/>
      <c r="LOD11" s="6"/>
      <c r="LOF11" s="6"/>
      <c r="LOH11" s="6"/>
      <c r="LOJ11" s="6"/>
      <c r="LOL11" s="6"/>
      <c r="LON11" s="6"/>
      <c r="LOP11" s="6"/>
      <c r="LOR11" s="6"/>
      <c r="LOT11" s="6"/>
      <c r="LOV11" s="6"/>
      <c r="LOX11" s="6"/>
      <c r="LOZ11" s="6"/>
      <c r="LPB11" s="6"/>
      <c r="LPD11" s="6"/>
      <c r="LPF11" s="6"/>
      <c r="LPH11" s="6"/>
      <c r="LPJ11" s="6"/>
      <c r="LPL11" s="6"/>
      <c r="LPN11" s="6"/>
      <c r="LPP11" s="6"/>
      <c r="LPR11" s="6"/>
      <c r="LPT11" s="6"/>
      <c r="LPV11" s="6"/>
      <c r="LPX11" s="6"/>
      <c r="LPZ11" s="6"/>
      <c r="LQB11" s="6"/>
      <c r="LQD11" s="6"/>
      <c r="LQF11" s="6"/>
      <c r="LQH11" s="6"/>
      <c r="LQJ11" s="6"/>
      <c r="LQL11" s="6"/>
      <c r="LQN11" s="6"/>
      <c r="LQP11" s="6"/>
      <c r="LQR11" s="6"/>
      <c r="LQT11" s="6"/>
      <c r="LQV11" s="6"/>
      <c r="LQX11" s="6"/>
      <c r="LQZ11" s="6"/>
      <c r="LRB11" s="6"/>
      <c r="LRD11" s="6"/>
      <c r="LRF11" s="6"/>
      <c r="LRH11" s="6"/>
      <c r="LRJ11" s="6"/>
      <c r="LRL11" s="6"/>
      <c r="LRN11" s="6"/>
      <c r="LRP11" s="6"/>
      <c r="LRR11" s="6"/>
      <c r="LRT11" s="6"/>
      <c r="LRV11" s="6"/>
      <c r="LRX11" s="6"/>
      <c r="LRZ11" s="6"/>
      <c r="LSB11" s="6"/>
      <c r="LSD11" s="6"/>
      <c r="LSF11" s="6"/>
      <c r="LSH11" s="6"/>
      <c r="LSJ11" s="6"/>
      <c r="LSL11" s="6"/>
      <c r="LSN11" s="6"/>
      <c r="LSP11" s="6"/>
      <c r="LSR11" s="6"/>
      <c r="LST11" s="6"/>
      <c r="LSV11" s="6"/>
      <c r="LSX11" s="6"/>
      <c r="LSZ11" s="6"/>
      <c r="LTB11" s="6"/>
      <c r="LTD11" s="6"/>
      <c r="LTF11" s="6"/>
      <c r="LTH11" s="6"/>
      <c r="LTJ11" s="6"/>
      <c r="LTL11" s="6"/>
      <c r="LTN11" s="6"/>
      <c r="LTP11" s="6"/>
      <c r="LTR11" s="6"/>
      <c r="LTT11" s="6"/>
      <c r="LTV11" s="6"/>
      <c r="LTX11" s="6"/>
      <c r="LTZ11" s="6"/>
      <c r="LUB11" s="6"/>
      <c r="LUD11" s="6"/>
      <c r="LUF11" s="6"/>
      <c r="LUH11" s="6"/>
      <c r="LUJ11" s="6"/>
      <c r="LUL11" s="6"/>
      <c r="LUN11" s="6"/>
      <c r="LUP11" s="6"/>
      <c r="LUR11" s="6"/>
      <c r="LUT11" s="6"/>
      <c r="LUV11" s="6"/>
      <c r="LUX11" s="6"/>
      <c r="LUZ11" s="6"/>
      <c r="LVB11" s="6"/>
      <c r="LVD11" s="6"/>
      <c r="LVF11" s="6"/>
      <c r="LVH11" s="6"/>
      <c r="LVJ11" s="6"/>
      <c r="LVL11" s="6"/>
      <c r="LVN11" s="6"/>
      <c r="LVP11" s="6"/>
      <c r="LVR11" s="6"/>
      <c r="LVT11" s="6"/>
      <c r="LVV11" s="6"/>
      <c r="LVX11" s="6"/>
      <c r="LVZ11" s="6"/>
      <c r="LWB11" s="6"/>
      <c r="LWD11" s="6"/>
      <c r="LWF11" s="6"/>
      <c r="LWH11" s="6"/>
      <c r="LWJ11" s="6"/>
      <c r="LWL11" s="6"/>
      <c r="LWN11" s="6"/>
      <c r="LWP11" s="6"/>
      <c r="LWR11" s="6"/>
      <c r="LWT11" s="6"/>
      <c r="LWV11" s="6"/>
      <c r="LWX11" s="6"/>
      <c r="LWZ11" s="6"/>
      <c r="LXB11" s="6"/>
      <c r="LXD11" s="6"/>
      <c r="LXF11" s="6"/>
      <c r="LXH11" s="6"/>
      <c r="LXJ11" s="6"/>
      <c r="LXL11" s="6"/>
      <c r="LXN11" s="6"/>
      <c r="LXP11" s="6"/>
      <c r="LXR11" s="6"/>
      <c r="LXT11" s="6"/>
      <c r="LXV11" s="6"/>
      <c r="LXX11" s="6"/>
      <c r="LXZ11" s="6"/>
      <c r="LYB11" s="6"/>
      <c r="LYD11" s="6"/>
      <c r="LYF11" s="6"/>
      <c r="LYH11" s="6"/>
      <c r="LYJ11" s="6"/>
      <c r="LYL11" s="6"/>
      <c r="LYN11" s="6"/>
      <c r="LYP11" s="6"/>
      <c r="LYR11" s="6"/>
      <c r="LYT11" s="6"/>
      <c r="LYV11" s="6"/>
      <c r="LYX11" s="6"/>
      <c r="LYZ11" s="6"/>
      <c r="LZB11" s="6"/>
      <c r="LZD11" s="6"/>
      <c r="LZF11" s="6"/>
      <c r="LZH11" s="6"/>
      <c r="LZJ11" s="6"/>
      <c r="LZL11" s="6"/>
      <c r="LZN11" s="6"/>
      <c r="LZP11" s="6"/>
      <c r="LZR11" s="6"/>
      <c r="LZT11" s="6"/>
      <c r="LZV11" s="6"/>
      <c r="LZX11" s="6"/>
      <c r="LZZ11" s="6"/>
      <c r="MAB11" s="6"/>
      <c r="MAD11" s="6"/>
      <c r="MAF11" s="6"/>
      <c r="MAH11" s="6"/>
      <c r="MAJ11" s="6"/>
      <c r="MAL11" s="6"/>
      <c r="MAN11" s="6"/>
      <c r="MAP11" s="6"/>
      <c r="MAR11" s="6"/>
      <c r="MAT11" s="6"/>
      <c r="MAV11" s="6"/>
      <c r="MAX11" s="6"/>
      <c r="MAZ11" s="6"/>
      <c r="MBB11" s="6"/>
      <c r="MBD11" s="6"/>
      <c r="MBF11" s="6"/>
      <c r="MBH11" s="6"/>
      <c r="MBJ11" s="6"/>
      <c r="MBL11" s="6"/>
      <c r="MBN11" s="6"/>
      <c r="MBP11" s="6"/>
      <c r="MBR11" s="6"/>
      <c r="MBT11" s="6"/>
      <c r="MBV11" s="6"/>
      <c r="MBX11" s="6"/>
      <c r="MBZ11" s="6"/>
      <c r="MCB11" s="6"/>
      <c r="MCD11" s="6"/>
      <c r="MCF11" s="6"/>
      <c r="MCH11" s="6"/>
      <c r="MCJ11" s="6"/>
      <c r="MCL11" s="6"/>
      <c r="MCN11" s="6"/>
      <c r="MCP11" s="6"/>
      <c r="MCR11" s="6"/>
      <c r="MCT11" s="6"/>
      <c r="MCV11" s="6"/>
      <c r="MCX11" s="6"/>
      <c r="MCZ11" s="6"/>
      <c r="MDB11" s="6"/>
      <c r="MDD11" s="6"/>
      <c r="MDF11" s="6"/>
      <c r="MDH11" s="6"/>
      <c r="MDJ11" s="6"/>
      <c r="MDL11" s="6"/>
      <c r="MDN11" s="6"/>
      <c r="MDP11" s="6"/>
      <c r="MDR11" s="6"/>
      <c r="MDT11" s="6"/>
      <c r="MDV11" s="6"/>
      <c r="MDX11" s="6"/>
      <c r="MDZ11" s="6"/>
      <c r="MEB11" s="6"/>
      <c r="MED11" s="6"/>
      <c r="MEF11" s="6"/>
      <c r="MEH11" s="6"/>
      <c r="MEJ11" s="6"/>
      <c r="MEL11" s="6"/>
      <c r="MEN11" s="6"/>
      <c r="MEP11" s="6"/>
      <c r="MER11" s="6"/>
      <c r="MET11" s="6"/>
      <c r="MEV11" s="6"/>
      <c r="MEX11" s="6"/>
      <c r="MEZ11" s="6"/>
      <c r="MFB11" s="6"/>
      <c r="MFD11" s="6"/>
      <c r="MFF11" s="6"/>
      <c r="MFH11" s="6"/>
      <c r="MFJ11" s="6"/>
      <c r="MFL11" s="6"/>
      <c r="MFN11" s="6"/>
      <c r="MFP11" s="6"/>
      <c r="MFR11" s="6"/>
      <c r="MFT11" s="6"/>
      <c r="MFV11" s="6"/>
      <c r="MFX11" s="6"/>
      <c r="MFZ11" s="6"/>
      <c r="MGB11" s="6"/>
      <c r="MGD11" s="6"/>
      <c r="MGF11" s="6"/>
      <c r="MGH11" s="6"/>
      <c r="MGJ11" s="6"/>
      <c r="MGL11" s="6"/>
      <c r="MGN11" s="6"/>
      <c r="MGP11" s="6"/>
      <c r="MGR11" s="6"/>
      <c r="MGT11" s="6"/>
      <c r="MGV11" s="6"/>
      <c r="MGX11" s="6"/>
      <c r="MGZ11" s="6"/>
      <c r="MHB11" s="6"/>
      <c r="MHD11" s="6"/>
      <c r="MHF11" s="6"/>
      <c r="MHH11" s="6"/>
      <c r="MHJ11" s="6"/>
      <c r="MHL11" s="6"/>
      <c r="MHN11" s="6"/>
      <c r="MHP11" s="6"/>
      <c r="MHR11" s="6"/>
      <c r="MHT11" s="6"/>
      <c r="MHV11" s="6"/>
      <c r="MHX11" s="6"/>
      <c r="MHZ11" s="6"/>
      <c r="MIB11" s="6"/>
      <c r="MID11" s="6"/>
      <c r="MIF11" s="6"/>
      <c r="MIH11" s="6"/>
      <c r="MIJ11" s="6"/>
      <c r="MIL11" s="6"/>
      <c r="MIN11" s="6"/>
      <c r="MIP11" s="6"/>
      <c r="MIR11" s="6"/>
      <c r="MIT11" s="6"/>
      <c r="MIV11" s="6"/>
      <c r="MIX11" s="6"/>
      <c r="MIZ11" s="6"/>
      <c r="MJB11" s="6"/>
      <c r="MJD11" s="6"/>
      <c r="MJF11" s="6"/>
      <c r="MJH11" s="6"/>
      <c r="MJJ11" s="6"/>
      <c r="MJL11" s="6"/>
      <c r="MJN11" s="6"/>
      <c r="MJP11" s="6"/>
      <c r="MJR11" s="6"/>
      <c r="MJT11" s="6"/>
      <c r="MJV11" s="6"/>
      <c r="MJX11" s="6"/>
      <c r="MJZ11" s="6"/>
      <c r="MKB11" s="6"/>
      <c r="MKD11" s="6"/>
      <c r="MKF11" s="6"/>
      <c r="MKH11" s="6"/>
      <c r="MKJ11" s="6"/>
      <c r="MKL11" s="6"/>
      <c r="MKN11" s="6"/>
      <c r="MKP11" s="6"/>
      <c r="MKR11" s="6"/>
      <c r="MKT11" s="6"/>
      <c r="MKV11" s="6"/>
      <c r="MKX11" s="6"/>
      <c r="MKZ11" s="6"/>
      <c r="MLB11" s="6"/>
      <c r="MLD11" s="6"/>
      <c r="MLF11" s="6"/>
      <c r="MLH11" s="6"/>
      <c r="MLJ11" s="6"/>
      <c r="MLL11" s="6"/>
      <c r="MLN11" s="6"/>
      <c r="MLP11" s="6"/>
      <c r="MLR11" s="6"/>
      <c r="MLT11" s="6"/>
      <c r="MLV11" s="6"/>
      <c r="MLX11" s="6"/>
      <c r="MLZ11" s="6"/>
      <c r="MMB11" s="6"/>
      <c r="MMD11" s="6"/>
      <c r="MMF11" s="6"/>
      <c r="MMH11" s="6"/>
      <c r="MMJ11" s="6"/>
      <c r="MML11" s="6"/>
      <c r="MMN11" s="6"/>
      <c r="MMP11" s="6"/>
      <c r="MMR11" s="6"/>
      <c r="MMT11" s="6"/>
      <c r="MMV11" s="6"/>
      <c r="MMX11" s="6"/>
      <c r="MMZ11" s="6"/>
      <c r="MNB11" s="6"/>
      <c r="MND11" s="6"/>
      <c r="MNF11" s="6"/>
      <c r="MNH11" s="6"/>
      <c r="MNJ11" s="6"/>
      <c r="MNL11" s="6"/>
      <c r="MNN11" s="6"/>
      <c r="MNP11" s="6"/>
      <c r="MNR11" s="6"/>
      <c r="MNT11" s="6"/>
      <c r="MNV11" s="6"/>
      <c r="MNX11" s="6"/>
      <c r="MNZ11" s="6"/>
      <c r="MOB11" s="6"/>
      <c r="MOD11" s="6"/>
      <c r="MOF11" s="6"/>
      <c r="MOH11" s="6"/>
      <c r="MOJ11" s="6"/>
      <c r="MOL11" s="6"/>
      <c r="MON11" s="6"/>
      <c r="MOP11" s="6"/>
      <c r="MOR11" s="6"/>
      <c r="MOT11" s="6"/>
      <c r="MOV11" s="6"/>
      <c r="MOX11" s="6"/>
      <c r="MOZ11" s="6"/>
      <c r="MPB11" s="6"/>
      <c r="MPD11" s="6"/>
      <c r="MPF11" s="6"/>
      <c r="MPH11" s="6"/>
      <c r="MPJ11" s="6"/>
      <c r="MPL11" s="6"/>
      <c r="MPN11" s="6"/>
      <c r="MPP11" s="6"/>
      <c r="MPR11" s="6"/>
      <c r="MPT11" s="6"/>
      <c r="MPV11" s="6"/>
      <c r="MPX11" s="6"/>
      <c r="MPZ11" s="6"/>
      <c r="MQB11" s="6"/>
      <c r="MQD11" s="6"/>
      <c r="MQF11" s="6"/>
      <c r="MQH11" s="6"/>
      <c r="MQJ11" s="6"/>
      <c r="MQL11" s="6"/>
      <c r="MQN11" s="6"/>
      <c r="MQP11" s="6"/>
      <c r="MQR11" s="6"/>
      <c r="MQT11" s="6"/>
      <c r="MQV11" s="6"/>
      <c r="MQX11" s="6"/>
      <c r="MQZ11" s="6"/>
      <c r="MRB11" s="6"/>
      <c r="MRD11" s="6"/>
      <c r="MRF11" s="6"/>
      <c r="MRH11" s="6"/>
      <c r="MRJ11" s="6"/>
      <c r="MRL11" s="6"/>
      <c r="MRN11" s="6"/>
      <c r="MRP11" s="6"/>
      <c r="MRR11" s="6"/>
      <c r="MRT11" s="6"/>
      <c r="MRV11" s="6"/>
      <c r="MRX11" s="6"/>
      <c r="MRZ11" s="6"/>
      <c r="MSB11" s="6"/>
      <c r="MSD11" s="6"/>
      <c r="MSF11" s="6"/>
      <c r="MSH11" s="6"/>
      <c r="MSJ11" s="6"/>
      <c r="MSL11" s="6"/>
      <c r="MSN11" s="6"/>
      <c r="MSP11" s="6"/>
      <c r="MSR11" s="6"/>
      <c r="MST11" s="6"/>
      <c r="MSV11" s="6"/>
      <c r="MSX11" s="6"/>
      <c r="MSZ11" s="6"/>
      <c r="MTB11" s="6"/>
      <c r="MTD11" s="6"/>
      <c r="MTF11" s="6"/>
      <c r="MTH11" s="6"/>
      <c r="MTJ11" s="6"/>
      <c r="MTL11" s="6"/>
      <c r="MTN11" s="6"/>
      <c r="MTP11" s="6"/>
      <c r="MTR11" s="6"/>
      <c r="MTT11" s="6"/>
      <c r="MTV11" s="6"/>
      <c r="MTX11" s="6"/>
      <c r="MTZ11" s="6"/>
      <c r="MUB11" s="6"/>
      <c r="MUD11" s="6"/>
      <c r="MUF11" s="6"/>
      <c r="MUH11" s="6"/>
      <c r="MUJ11" s="6"/>
      <c r="MUL11" s="6"/>
      <c r="MUN11" s="6"/>
      <c r="MUP11" s="6"/>
      <c r="MUR11" s="6"/>
      <c r="MUT11" s="6"/>
      <c r="MUV11" s="6"/>
      <c r="MUX11" s="6"/>
      <c r="MUZ11" s="6"/>
      <c r="MVB11" s="6"/>
      <c r="MVD11" s="6"/>
      <c r="MVF11" s="6"/>
      <c r="MVH11" s="6"/>
      <c r="MVJ11" s="6"/>
      <c r="MVL11" s="6"/>
      <c r="MVN11" s="6"/>
      <c r="MVP11" s="6"/>
      <c r="MVR11" s="6"/>
      <c r="MVT11" s="6"/>
      <c r="MVV11" s="6"/>
      <c r="MVX11" s="6"/>
      <c r="MVZ11" s="6"/>
      <c r="MWB11" s="6"/>
      <c r="MWD11" s="6"/>
      <c r="MWF11" s="6"/>
      <c r="MWH11" s="6"/>
      <c r="MWJ11" s="6"/>
      <c r="MWL11" s="6"/>
      <c r="MWN11" s="6"/>
      <c r="MWP11" s="6"/>
      <c r="MWR11" s="6"/>
      <c r="MWT11" s="6"/>
      <c r="MWV11" s="6"/>
      <c r="MWX11" s="6"/>
      <c r="MWZ11" s="6"/>
      <c r="MXB11" s="6"/>
      <c r="MXD11" s="6"/>
      <c r="MXF11" s="6"/>
      <c r="MXH11" s="6"/>
      <c r="MXJ11" s="6"/>
      <c r="MXL11" s="6"/>
      <c r="MXN11" s="6"/>
      <c r="MXP11" s="6"/>
      <c r="MXR11" s="6"/>
      <c r="MXT11" s="6"/>
      <c r="MXV11" s="6"/>
      <c r="MXX11" s="6"/>
      <c r="MXZ11" s="6"/>
      <c r="MYB11" s="6"/>
      <c r="MYD11" s="6"/>
      <c r="MYF11" s="6"/>
      <c r="MYH11" s="6"/>
      <c r="MYJ11" s="6"/>
      <c r="MYL11" s="6"/>
      <c r="MYN11" s="6"/>
      <c r="MYP11" s="6"/>
      <c r="MYR11" s="6"/>
      <c r="MYT11" s="6"/>
      <c r="MYV11" s="6"/>
      <c r="MYX11" s="6"/>
      <c r="MYZ11" s="6"/>
      <c r="MZB11" s="6"/>
      <c r="MZD11" s="6"/>
      <c r="MZF11" s="6"/>
      <c r="MZH11" s="6"/>
      <c r="MZJ11" s="6"/>
      <c r="MZL11" s="6"/>
      <c r="MZN11" s="6"/>
      <c r="MZP11" s="6"/>
      <c r="MZR11" s="6"/>
      <c r="MZT11" s="6"/>
      <c r="MZV11" s="6"/>
      <c r="MZX11" s="6"/>
      <c r="MZZ11" s="6"/>
      <c r="NAB11" s="6"/>
      <c r="NAD11" s="6"/>
      <c r="NAF11" s="6"/>
      <c r="NAH11" s="6"/>
      <c r="NAJ11" s="6"/>
      <c r="NAL11" s="6"/>
      <c r="NAN11" s="6"/>
      <c r="NAP11" s="6"/>
      <c r="NAR11" s="6"/>
      <c r="NAT11" s="6"/>
      <c r="NAV11" s="6"/>
      <c r="NAX11" s="6"/>
      <c r="NAZ11" s="6"/>
      <c r="NBB11" s="6"/>
      <c r="NBD11" s="6"/>
      <c r="NBF11" s="6"/>
      <c r="NBH11" s="6"/>
      <c r="NBJ11" s="6"/>
      <c r="NBL11" s="6"/>
      <c r="NBN11" s="6"/>
      <c r="NBP11" s="6"/>
      <c r="NBR11" s="6"/>
      <c r="NBT11" s="6"/>
      <c r="NBV11" s="6"/>
      <c r="NBX11" s="6"/>
      <c r="NBZ11" s="6"/>
      <c r="NCB11" s="6"/>
      <c r="NCD11" s="6"/>
      <c r="NCF11" s="6"/>
      <c r="NCH11" s="6"/>
      <c r="NCJ11" s="6"/>
      <c r="NCL11" s="6"/>
      <c r="NCN11" s="6"/>
      <c r="NCP11" s="6"/>
      <c r="NCR11" s="6"/>
      <c r="NCT11" s="6"/>
      <c r="NCV11" s="6"/>
      <c r="NCX11" s="6"/>
      <c r="NCZ11" s="6"/>
      <c r="NDB11" s="6"/>
      <c r="NDD11" s="6"/>
      <c r="NDF11" s="6"/>
      <c r="NDH11" s="6"/>
      <c r="NDJ11" s="6"/>
      <c r="NDL11" s="6"/>
      <c r="NDN11" s="6"/>
      <c r="NDP11" s="6"/>
      <c r="NDR11" s="6"/>
      <c r="NDT11" s="6"/>
      <c r="NDV11" s="6"/>
      <c r="NDX11" s="6"/>
      <c r="NDZ11" s="6"/>
      <c r="NEB11" s="6"/>
      <c r="NED11" s="6"/>
      <c r="NEF11" s="6"/>
      <c r="NEH11" s="6"/>
      <c r="NEJ11" s="6"/>
      <c r="NEL11" s="6"/>
      <c r="NEN11" s="6"/>
      <c r="NEP11" s="6"/>
      <c r="NER11" s="6"/>
      <c r="NET11" s="6"/>
      <c r="NEV11" s="6"/>
      <c r="NEX11" s="6"/>
      <c r="NEZ11" s="6"/>
      <c r="NFB11" s="6"/>
      <c r="NFD11" s="6"/>
      <c r="NFF11" s="6"/>
      <c r="NFH11" s="6"/>
      <c r="NFJ11" s="6"/>
      <c r="NFL11" s="6"/>
      <c r="NFN11" s="6"/>
      <c r="NFP11" s="6"/>
      <c r="NFR11" s="6"/>
      <c r="NFT11" s="6"/>
      <c r="NFV11" s="6"/>
      <c r="NFX11" s="6"/>
      <c r="NFZ11" s="6"/>
      <c r="NGB11" s="6"/>
      <c r="NGD11" s="6"/>
      <c r="NGF11" s="6"/>
      <c r="NGH11" s="6"/>
      <c r="NGJ11" s="6"/>
      <c r="NGL11" s="6"/>
      <c r="NGN11" s="6"/>
      <c r="NGP11" s="6"/>
      <c r="NGR11" s="6"/>
      <c r="NGT11" s="6"/>
      <c r="NGV11" s="6"/>
      <c r="NGX11" s="6"/>
      <c r="NGZ11" s="6"/>
      <c r="NHB11" s="6"/>
      <c r="NHD11" s="6"/>
      <c r="NHF11" s="6"/>
      <c r="NHH11" s="6"/>
      <c r="NHJ11" s="6"/>
      <c r="NHL11" s="6"/>
      <c r="NHN11" s="6"/>
      <c r="NHP11" s="6"/>
      <c r="NHR11" s="6"/>
      <c r="NHT11" s="6"/>
      <c r="NHV11" s="6"/>
      <c r="NHX11" s="6"/>
      <c r="NHZ11" s="6"/>
      <c r="NIB11" s="6"/>
      <c r="NID11" s="6"/>
      <c r="NIF11" s="6"/>
      <c r="NIH11" s="6"/>
      <c r="NIJ11" s="6"/>
      <c r="NIL11" s="6"/>
      <c r="NIN11" s="6"/>
      <c r="NIP11" s="6"/>
      <c r="NIR11" s="6"/>
      <c r="NIT11" s="6"/>
      <c r="NIV11" s="6"/>
      <c r="NIX11" s="6"/>
      <c r="NIZ11" s="6"/>
      <c r="NJB11" s="6"/>
      <c r="NJD11" s="6"/>
      <c r="NJF11" s="6"/>
      <c r="NJH11" s="6"/>
      <c r="NJJ11" s="6"/>
      <c r="NJL11" s="6"/>
      <c r="NJN11" s="6"/>
      <c r="NJP11" s="6"/>
      <c r="NJR11" s="6"/>
      <c r="NJT11" s="6"/>
      <c r="NJV11" s="6"/>
      <c r="NJX11" s="6"/>
      <c r="NJZ11" s="6"/>
      <c r="NKB11" s="6"/>
      <c r="NKD11" s="6"/>
      <c r="NKF11" s="6"/>
      <c r="NKH11" s="6"/>
      <c r="NKJ11" s="6"/>
      <c r="NKL11" s="6"/>
      <c r="NKN11" s="6"/>
      <c r="NKP11" s="6"/>
      <c r="NKR11" s="6"/>
      <c r="NKT11" s="6"/>
      <c r="NKV11" s="6"/>
      <c r="NKX11" s="6"/>
      <c r="NKZ11" s="6"/>
      <c r="NLB11" s="6"/>
      <c r="NLD11" s="6"/>
      <c r="NLF11" s="6"/>
      <c r="NLH11" s="6"/>
      <c r="NLJ11" s="6"/>
      <c r="NLL11" s="6"/>
      <c r="NLN11" s="6"/>
      <c r="NLP11" s="6"/>
      <c r="NLR11" s="6"/>
      <c r="NLT11" s="6"/>
      <c r="NLV11" s="6"/>
      <c r="NLX11" s="6"/>
      <c r="NLZ11" s="6"/>
      <c r="NMB11" s="6"/>
      <c r="NMD11" s="6"/>
      <c r="NMF11" s="6"/>
      <c r="NMH11" s="6"/>
      <c r="NMJ11" s="6"/>
      <c r="NML11" s="6"/>
      <c r="NMN11" s="6"/>
      <c r="NMP11" s="6"/>
      <c r="NMR11" s="6"/>
      <c r="NMT11" s="6"/>
      <c r="NMV11" s="6"/>
      <c r="NMX11" s="6"/>
      <c r="NMZ11" s="6"/>
      <c r="NNB11" s="6"/>
      <c r="NND11" s="6"/>
      <c r="NNF11" s="6"/>
      <c r="NNH11" s="6"/>
      <c r="NNJ11" s="6"/>
      <c r="NNL11" s="6"/>
      <c r="NNN11" s="6"/>
      <c r="NNP11" s="6"/>
      <c r="NNR11" s="6"/>
      <c r="NNT11" s="6"/>
      <c r="NNV11" s="6"/>
      <c r="NNX11" s="6"/>
      <c r="NNZ11" s="6"/>
      <c r="NOB11" s="6"/>
      <c r="NOD11" s="6"/>
      <c r="NOF11" s="6"/>
      <c r="NOH11" s="6"/>
      <c r="NOJ11" s="6"/>
      <c r="NOL11" s="6"/>
      <c r="NON11" s="6"/>
      <c r="NOP11" s="6"/>
      <c r="NOR11" s="6"/>
      <c r="NOT11" s="6"/>
      <c r="NOV11" s="6"/>
      <c r="NOX11" s="6"/>
      <c r="NOZ11" s="6"/>
      <c r="NPB11" s="6"/>
      <c r="NPD11" s="6"/>
      <c r="NPF11" s="6"/>
      <c r="NPH11" s="6"/>
      <c r="NPJ11" s="6"/>
      <c r="NPL11" s="6"/>
      <c r="NPN11" s="6"/>
      <c r="NPP11" s="6"/>
      <c r="NPR11" s="6"/>
      <c r="NPT11" s="6"/>
      <c r="NPV11" s="6"/>
      <c r="NPX11" s="6"/>
      <c r="NPZ11" s="6"/>
      <c r="NQB11" s="6"/>
      <c r="NQD11" s="6"/>
      <c r="NQF11" s="6"/>
      <c r="NQH11" s="6"/>
      <c r="NQJ11" s="6"/>
      <c r="NQL11" s="6"/>
      <c r="NQN11" s="6"/>
      <c r="NQP11" s="6"/>
      <c r="NQR11" s="6"/>
      <c r="NQT11" s="6"/>
      <c r="NQV11" s="6"/>
      <c r="NQX11" s="6"/>
      <c r="NQZ11" s="6"/>
      <c r="NRB11" s="6"/>
      <c r="NRD11" s="6"/>
      <c r="NRF11" s="6"/>
      <c r="NRH11" s="6"/>
      <c r="NRJ11" s="6"/>
      <c r="NRL11" s="6"/>
      <c r="NRN11" s="6"/>
      <c r="NRP11" s="6"/>
      <c r="NRR11" s="6"/>
      <c r="NRT11" s="6"/>
      <c r="NRV11" s="6"/>
      <c r="NRX11" s="6"/>
      <c r="NRZ11" s="6"/>
      <c r="NSB11" s="6"/>
      <c r="NSD11" s="6"/>
      <c r="NSF11" s="6"/>
      <c r="NSH11" s="6"/>
      <c r="NSJ11" s="6"/>
      <c r="NSL11" s="6"/>
      <c r="NSN11" s="6"/>
      <c r="NSP11" s="6"/>
      <c r="NSR11" s="6"/>
      <c r="NST11" s="6"/>
      <c r="NSV11" s="6"/>
      <c r="NSX11" s="6"/>
      <c r="NSZ11" s="6"/>
      <c r="NTB11" s="6"/>
      <c r="NTD11" s="6"/>
      <c r="NTF11" s="6"/>
      <c r="NTH11" s="6"/>
      <c r="NTJ11" s="6"/>
      <c r="NTL11" s="6"/>
      <c r="NTN11" s="6"/>
      <c r="NTP11" s="6"/>
      <c r="NTR11" s="6"/>
      <c r="NTT11" s="6"/>
      <c r="NTV11" s="6"/>
      <c r="NTX11" s="6"/>
      <c r="NTZ11" s="6"/>
      <c r="NUB11" s="6"/>
      <c r="NUD11" s="6"/>
      <c r="NUF11" s="6"/>
      <c r="NUH11" s="6"/>
      <c r="NUJ11" s="6"/>
      <c r="NUL11" s="6"/>
      <c r="NUN11" s="6"/>
      <c r="NUP11" s="6"/>
      <c r="NUR11" s="6"/>
      <c r="NUT11" s="6"/>
      <c r="NUV11" s="6"/>
      <c r="NUX11" s="6"/>
      <c r="NUZ11" s="6"/>
      <c r="NVB11" s="6"/>
      <c r="NVD11" s="6"/>
      <c r="NVF11" s="6"/>
      <c r="NVH11" s="6"/>
      <c r="NVJ11" s="6"/>
      <c r="NVL11" s="6"/>
      <c r="NVN11" s="6"/>
      <c r="NVP11" s="6"/>
      <c r="NVR11" s="6"/>
      <c r="NVT11" s="6"/>
      <c r="NVV11" s="6"/>
      <c r="NVX11" s="6"/>
      <c r="NVZ11" s="6"/>
      <c r="NWB11" s="6"/>
      <c r="NWD11" s="6"/>
      <c r="NWF11" s="6"/>
      <c r="NWH11" s="6"/>
      <c r="NWJ11" s="6"/>
      <c r="NWL11" s="6"/>
      <c r="NWN11" s="6"/>
      <c r="NWP11" s="6"/>
      <c r="NWR11" s="6"/>
      <c r="NWT11" s="6"/>
      <c r="NWV11" s="6"/>
      <c r="NWX11" s="6"/>
      <c r="NWZ11" s="6"/>
      <c r="NXB11" s="6"/>
      <c r="NXD11" s="6"/>
      <c r="NXF11" s="6"/>
      <c r="NXH11" s="6"/>
      <c r="NXJ11" s="6"/>
      <c r="NXL11" s="6"/>
      <c r="NXN11" s="6"/>
      <c r="NXP11" s="6"/>
      <c r="NXR11" s="6"/>
      <c r="NXT11" s="6"/>
      <c r="NXV11" s="6"/>
      <c r="NXX11" s="6"/>
      <c r="NXZ11" s="6"/>
      <c r="NYB11" s="6"/>
      <c r="NYD11" s="6"/>
      <c r="NYF11" s="6"/>
      <c r="NYH11" s="6"/>
      <c r="NYJ11" s="6"/>
      <c r="NYL11" s="6"/>
      <c r="NYN11" s="6"/>
      <c r="NYP11" s="6"/>
      <c r="NYR11" s="6"/>
      <c r="NYT11" s="6"/>
      <c r="NYV11" s="6"/>
      <c r="NYX11" s="6"/>
      <c r="NYZ11" s="6"/>
      <c r="NZB11" s="6"/>
      <c r="NZD11" s="6"/>
      <c r="NZF11" s="6"/>
      <c r="NZH11" s="6"/>
      <c r="NZJ11" s="6"/>
      <c r="NZL11" s="6"/>
      <c r="NZN11" s="6"/>
      <c r="NZP11" s="6"/>
      <c r="NZR11" s="6"/>
      <c r="NZT11" s="6"/>
      <c r="NZV11" s="6"/>
      <c r="NZX11" s="6"/>
      <c r="NZZ11" s="6"/>
      <c r="OAB11" s="6"/>
      <c r="OAD11" s="6"/>
      <c r="OAF11" s="6"/>
      <c r="OAH11" s="6"/>
      <c r="OAJ11" s="6"/>
      <c r="OAL11" s="6"/>
      <c r="OAN11" s="6"/>
      <c r="OAP11" s="6"/>
      <c r="OAR11" s="6"/>
      <c r="OAT11" s="6"/>
      <c r="OAV11" s="6"/>
      <c r="OAX11" s="6"/>
      <c r="OAZ11" s="6"/>
      <c r="OBB11" s="6"/>
      <c r="OBD11" s="6"/>
      <c r="OBF11" s="6"/>
      <c r="OBH11" s="6"/>
      <c r="OBJ11" s="6"/>
      <c r="OBL11" s="6"/>
      <c r="OBN11" s="6"/>
      <c r="OBP11" s="6"/>
      <c r="OBR11" s="6"/>
      <c r="OBT11" s="6"/>
      <c r="OBV11" s="6"/>
      <c r="OBX11" s="6"/>
      <c r="OBZ11" s="6"/>
      <c r="OCB11" s="6"/>
      <c r="OCD11" s="6"/>
      <c r="OCF11" s="6"/>
      <c r="OCH11" s="6"/>
      <c r="OCJ11" s="6"/>
      <c r="OCL11" s="6"/>
      <c r="OCN11" s="6"/>
      <c r="OCP11" s="6"/>
      <c r="OCR11" s="6"/>
      <c r="OCT11" s="6"/>
      <c r="OCV11" s="6"/>
      <c r="OCX11" s="6"/>
      <c r="OCZ11" s="6"/>
      <c r="ODB11" s="6"/>
      <c r="ODD11" s="6"/>
      <c r="ODF11" s="6"/>
      <c r="ODH11" s="6"/>
      <c r="ODJ11" s="6"/>
      <c r="ODL11" s="6"/>
      <c r="ODN11" s="6"/>
      <c r="ODP11" s="6"/>
      <c r="ODR11" s="6"/>
      <c r="ODT11" s="6"/>
      <c r="ODV11" s="6"/>
      <c r="ODX11" s="6"/>
      <c r="ODZ11" s="6"/>
      <c r="OEB11" s="6"/>
      <c r="OED11" s="6"/>
      <c r="OEF11" s="6"/>
      <c r="OEH11" s="6"/>
      <c r="OEJ11" s="6"/>
      <c r="OEL11" s="6"/>
      <c r="OEN11" s="6"/>
      <c r="OEP11" s="6"/>
      <c r="OER11" s="6"/>
      <c r="OET11" s="6"/>
      <c r="OEV11" s="6"/>
      <c r="OEX11" s="6"/>
      <c r="OEZ11" s="6"/>
      <c r="OFB11" s="6"/>
      <c r="OFD11" s="6"/>
      <c r="OFF11" s="6"/>
      <c r="OFH11" s="6"/>
      <c r="OFJ11" s="6"/>
      <c r="OFL11" s="6"/>
      <c r="OFN11" s="6"/>
      <c r="OFP11" s="6"/>
      <c r="OFR11" s="6"/>
      <c r="OFT11" s="6"/>
      <c r="OFV11" s="6"/>
      <c r="OFX11" s="6"/>
      <c r="OFZ11" s="6"/>
      <c r="OGB11" s="6"/>
      <c r="OGD11" s="6"/>
      <c r="OGF11" s="6"/>
      <c r="OGH11" s="6"/>
      <c r="OGJ11" s="6"/>
      <c r="OGL11" s="6"/>
      <c r="OGN11" s="6"/>
      <c r="OGP11" s="6"/>
      <c r="OGR11" s="6"/>
      <c r="OGT11" s="6"/>
      <c r="OGV11" s="6"/>
      <c r="OGX11" s="6"/>
      <c r="OGZ11" s="6"/>
      <c r="OHB11" s="6"/>
      <c r="OHD11" s="6"/>
      <c r="OHF11" s="6"/>
      <c r="OHH11" s="6"/>
      <c r="OHJ11" s="6"/>
      <c r="OHL11" s="6"/>
      <c r="OHN11" s="6"/>
      <c r="OHP11" s="6"/>
      <c r="OHR11" s="6"/>
      <c r="OHT11" s="6"/>
      <c r="OHV11" s="6"/>
      <c r="OHX11" s="6"/>
      <c r="OHZ11" s="6"/>
      <c r="OIB11" s="6"/>
      <c r="OID11" s="6"/>
      <c r="OIF11" s="6"/>
      <c r="OIH11" s="6"/>
      <c r="OIJ11" s="6"/>
      <c r="OIL11" s="6"/>
      <c r="OIN11" s="6"/>
      <c r="OIP11" s="6"/>
      <c r="OIR11" s="6"/>
      <c r="OIT11" s="6"/>
      <c r="OIV11" s="6"/>
      <c r="OIX11" s="6"/>
      <c r="OIZ11" s="6"/>
      <c r="OJB11" s="6"/>
      <c r="OJD11" s="6"/>
      <c r="OJF11" s="6"/>
      <c r="OJH11" s="6"/>
      <c r="OJJ11" s="6"/>
      <c r="OJL11" s="6"/>
      <c r="OJN11" s="6"/>
      <c r="OJP11" s="6"/>
      <c r="OJR11" s="6"/>
      <c r="OJT11" s="6"/>
      <c r="OJV11" s="6"/>
      <c r="OJX11" s="6"/>
      <c r="OJZ11" s="6"/>
      <c r="OKB11" s="6"/>
      <c r="OKD11" s="6"/>
      <c r="OKF11" s="6"/>
      <c r="OKH11" s="6"/>
      <c r="OKJ11" s="6"/>
      <c r="OKL11" s="6"/>
      <c r="OKN11" s="6"/>
      <c r="OKP11" s="6"/>
      <c r="OKR11" s="6"/>
      <c r="OKT11" s="6"/>
      <c r="OKV11" s="6"/>
      <c r="OKX11" s="6"/>
      <c r="OKZ11" s="6"/>
      <c r="OLB11" s="6"/>
      <c r="OLD11" s="6"/>
      <c r="OLF11" s="6"/>
      <c r="OLH11" s="6"/>
      <c r="OLJ11" s="6"/>
      <c r="OLL11" s="6"/>
      <c r="OLN11" s="6"/>
      <c r="OLP11" s="6"/>
      <c r="OLR11" s="6"/>
      <c r="OLT11" s="6"/>
      <c r="OLV11" s="6"/>
      <c r="OLX11" s="6"/>
      <c r="OLZ11" s="6"/>
      <c r="OMB11" s="6"/>
      <c r="OMD11" s="6"/>
      <c r="OMF11" s="6"/>
      <c r="OMH11" s="6"/>
      <c r="OMJ11" s="6"/>
      <c r="OML11" s="6"/>
      <c r="OMN11" s="6"/>
      <c r="OMP11" s="6"/>
      <c r="OMR11" s="6"/>
      <c r="OMT11" s="6"/>
      <c r="OMV11" s="6"/>
      <c r="OMX11" s="6"/>
      <c r="OMZ11" s="6"/>
      <c r="ONB11" s="6"/>
      <c r="OND11" s="6"/>
      <c r="ONF11" s="6"/>
      <c r="ONH11" s="6"/>
      <c r="ONJ11" s="6"/>
      <c r="ONL11" s="6"/>
      <c r="ONN11" s="6"/>
      <c r="ONP11" s="6"/>
      <c r="ONR11" s="6"/>
      <c r="ONT11" s="6"/>
      <c r="ONV11" s="6"/>
      <c r="ONX11" s="6"/>
      <c r="ONZ11" s="6"/>
      <c r="OOB11" s="6"/>
      <c r="OOD11" s="6"/>
      <c r="OOF11" s="6"/>
      <c r="OOH11" s="6"/>
      <c r="OOJ11" s="6"/>
      <c r="OOL11" s="6"/>
      <c r="OON11" s="6"/>
      <c r="OOP11" s="6"/>
      <c r="OOR11" s="6"/>
      <c r="OOT11" s="6"/>
      <c r="OOV11" s="6"/>
      <c r="OOX11" s="6"/>
      <c r="OOZ11" s="6"/>
      <c r="OPB11" s="6"/>
      <c r="OPD11" s="6"/>
      <c r="OPF11" s="6"/>
      <c r="OPH11" s="6"/>
      <c r="OPJ11" s="6"/>
      <c r="OPL11" s="6"/>
      <c r="OPN11" s="6"/>
      <c r="OPP11" s="6"/>
      <c r="OPR11" s="6"/>
      <c r="OPT11" s="6"/>
      <c r="OPV11" s="6"/>
      <c r="OPX11" s="6"/>
      <c r="OPZ11" s="6"/>
      <c r="OQB11" s="6"/>
      <c r="OQD11" s="6"/>
      <c r="OQF11" s="6"/>
      <c r="OQH11" s="6"/>
      <c r="OQJ11" s="6"/>
      <c r="OQL11" s="6"/>
      <c r="OQN11" s="6"/>
      <c r="OQP11" s="6"/>
      <c r="OQR11" s="6"/>
      <c r="OQT11" s="6"/>
      <c r="OQV11" s="6"/>
      <c r="OQX11" s="6"/>
      <c r="OQZ11" s="6"/>
      <c r="ORB11" s="6"/>
      <c r="ORD11" s="6"/>
      <c r="ORF11" s="6"/>
      <c r="ORH11" s="6"/>
      <c r="ORJ11" s="6"/>
      <c r="ORL11" s="6"/>
      <c r="ORN11" s="6"/>
      <c r="ORP11" s="6"/>
      <c r="ORR11" s="6"/>
      <c r="ORT11" s="6"/>
      <c r="ORV11" s="6"/>
      <c r="ORX11" s="6"/>
      <c r="ORZ11" s="6"/>
      <c r="OSB11" s="6"/>
      <c r="OSD11" s="6"/>
      <c r="OSF11" s="6"/>
      <c r="OSH11" s="6"/>
      <c r="OSJ11" s="6"/>
      <c r="OSL11" s="6"/>
      <c r="OSN11" s="6"/>
      <c r="OSP11" s="6"/>
      <c r="OSR11" s="6"/>
      <c r="OST11" s="6"/>
      <c r="OSV11" s="6"/>
      <c r="OSX11" s="6"/>
      <c r="OSZ11" s="6"/>
      <c r="OTB11" s="6"/>
      <c r="OTD11" s="6"/>
      <c r="OTF11" s="6"/>
      <c r="OTH11" s="6"/>
      <c r="OTJ11" s="6"/>
      <c r="OTL11" s="6"/>
      <c r="OTN11" s="6"/>
      <c r="OTP11" s="6"/>
      <c r="OTR11" s="6"/>
      <c r="OTT11" s="6"/>
      <c r="OTV11" s="6"/>
      <c r="OTX11" s="6"/>
      <c r="OTZ11" s="6"/>
      <c r="OUB11" s="6"/>
      <c r="OUD11" s="6"/>
      <c r="OUF11" s="6"/>
      <c r="OUH11" s="6"/>
      <c r="OUJ11" s="6"/>
      <c r="OUL11" s="6"/>
      <c r="OUN11" s="6"/>
      <c r="OUP11" s="6"/>
      <c r="OUR11" s="6"/>
      <c r="OUT11" s="6"/>
      <c r="OUV11" s="6"/>
      <c r="OUX11" s="6"/>
      <c r="OUZ11" s="6"/>
      <c r="OVB11" s="6"/>
      <c r="OVD11" s="6"/>
      <c r="OVF11" s="6"/>
      <c r="OVH11" s="6"/>
      <c r="OVJ11" s="6"/>
      <c r="OVL11" s="6"/>
      <c r="OVN11" s="6"/>
      <c r="OVP11" s="6"/>
      <c r="OVR11" s="6"/>
      <c r="OVT11" s="6"/>
      <c r="OVV11" s="6"/>
      <c r="OVX11" s="6"/>
      <c r="OVZ11" s="6"/>
      <c r="OWB11" s="6"/>
      <c r="OWD11" s="6"/>
      <c r="OWF11" s="6"/>
      <c r="OWH11" s="6"/>
      <c r="OWJ11" s="6"/>
      <c r="OWL11" s="6"/>
      <c r="OWN11" s="6"/>
      <c r="OWP11" s="6"/>
      <c r="OWR11" s="6"/>
      <c r="OWT11" s="6"/>
      <c r="OWV11" s="6"/>
      <c r="OWX11" s="6"/>
      <c r="OWZ11" s="6"/>
      <c r="OXB11" s="6"/>
      <c r="OXD11" s="6"/>
      <c r="OXF11" s="6"/>
      <c r="OXH11" s="6"/>
      <c r="OXJ11" s="6"/>
      <c r="OXL11" s="6"/>
      <c r="OXN11" s="6"/>
      <c r="OXP11" s="6"/>
      <c r="OXR11" s="6"/>
      <c r="OXT11" s="6"/>
      <c r="OXV11" s="6"/>
      <c r="OXX11" s="6"/>
      <c r="OXZ11" s="6"/>
      <c r="OYB11" s="6"/>
      <c r="OYD11" s="6"/>
      <c r="OYF11" s="6"/>
      <c r="OYH11" s="6"/>
      <c r="OYJ11" s="6"/>
      <c r="OYL11" s="6"/>
      <c r="OYN11" s="6"/>
      <c r="OYP11" s="6"/>
      <c r="OYR11" s="6"/>
      <c r="OYT11" s="6"/>
      <c r="OYV11" s="6"/>
      <c r="OYX11" s="6"/>
      <c r="OYZ11" s="6"/>
      <c r="OZB11" s="6"/>
      <c r="OZD11" s="6"/>
      <c r="OZF11" s="6"/>
      <c r="OZH11" s="6"/>
      <c r="OZJ11" s="6"/>
      <c r="OZL11" s="6"/>
      <c r="OZN11" s="6"/>
      <c r="OZP11" s="6"/>
      <c r="OZR11" s="6"/>
      <c r="OZT11" s="6"/>
      <c r="OZV11" s="6"/>
      <c r="OZX11" s="6"/>
      <c r="OZZ11" s="6"/>
      <c r="PAB11" s="6"/>
      <c r="PAD11" s="6"/>
      <c r="PAF11" s="6"/>
      <c r="PAH11" s="6"/>
      <c r="PAJ11" s="6"/>
      <c r="PAL11" s="6"/>
      <c r="PAN11" s="6"/>
      <c r="PAP11" s="6"/>
      <c r="PAR11" s="6"/>
      <c r="PAT11" s="6"/>
      <c r="PAV11" s="6"/>
      <c r="PAX11" s="6"/>
      <c r="PAZ11" s="6"/>
      <c r="PBB11" s="6"/>
      <c r="PBD11" s="6"/>
      <c r="PBF11" s="6"/>
      <c r="PBH11" s="6"/>
      <c r="PBJ11" s="6"/>
      <c r="PBL11" s="6"/>
      <c r="PBN11" s="6"/>
      <c r="PBP11" s="6"/>
      <c r="PBR11" s="6"/>
      <c r="PBT11" s="6"/>
      <c r="PBV11" s="6"/>
      <c r="PBX11" s="6"/>
      <c r="PBZ11" s="6"/>
      <c r="PCB11" s="6"/>
      <c r="PCD11" s="6"/>
      <c r="PCF11" s="6"/>
      <c r="PCH11" s="6"/>
      <c r="PCJ11" s="6"/>
      <c r="PCL11" s="6"/>
      <c r="PCN11" s="6"/>
      <c r="PCP11" s="6"/>
      <c r="PCR11" s="6"/>
      <c r="PCT11" s="6"/>
      <c r="PCV11" s="6"/>
      <c r="PCX11" s="6"/>
      <c r="PCZ11" s="6"/>
      <c r="PDB11" s="6"/>
      <c r="PDD11" s="6"/>
      <c r="PDF11" s="6"/>
      <c r="PDH11" s="6"/>
      <c r="PDJ11" s="6"/>
      <c r="PDL11" s="6"/>
      <c r="PDN11" s="6"/>
      <c r="PDP11" s="6"/>
      <c r="PDR11" s="6"/>
      <c r="PDT11" s="6"/>
      <c r="PDV11" s="6"/>
      <c r="PDX11" s="6"/>
      <c r="PDZ11" s="6"/>
      <c r="PEB11" s="6"/>
      <c r="PED11" s="6"/>
      <c r="PEF11" s="6"/>
      <c r="PEH11" s="6"/>
      <c r="PEJ11" s="6"/>
      <c r="PEL11" s="6"/>
      <c r="PEN11" s="6"/>
      <c r="PEP11" s="6"/>
      <c r="PER11" s="6"/>
      <c r="PET11" s="6"/>
      <c r="PEV11" s="6"/>
      <c r="PEX11" s="6"/>
      <c r="PEZ11" s="6"/>
      <c r="PFB11" s="6"/>
      <c r="PFD11" s="6"/>
      <c r="PFF11" s="6"/>
      <c r="PFH11" s="6"/>
      <c r="PFJ11" s="6"/>
      <c r="PFL11" s="6"/>
      <c r="PFN11" s="6"/>
      <c r="PFP11" s="6"/>
      <c r="PFR11" s="6"/>
      <c r="PFT11" s="6"/>
      <c r="PFV11" s="6"/>
      <c r="PFX11" s="6"/>
      <c r="PFZ11" s="6"/>
      <c r="PGB11" s="6"/>
      <c r="PGD11" s="6"/>
      <c r="PGF11" s="6"/>
      <c r="PGH11" s="6"/>
      <c r="PGJ11" s="6"/>
      <c r="PGL11" s="6"/>
      <c r="PGN11" s="6"/>
      <c r="PGP11" s="6"/>
      <c r="PGR11" s="6"/>
      <c r="PGT11" s="6"/>
      <c r="PGV11" s="6"/>
      <c r="PGX11" s="6"/>
      <c r="PGZ11" s="6"/>
      <c r="PHB11" s="6"/>
      <c r="PHD11" s="6"/>
      <c r="PHF11" s="6"/>
      <c r="PHH11" s="6"/>
      <c r="PHJ11" s="6"/>
      <c r="PHL11" s="6"/>
      <c r="PHN11" s="6"/>
      <c r="PHP11" s="6"/>
      <c r="PHR11" s="6"/>
      <c r="PHT11" s="6"/>
      <c r="PHV11" s="6"/>
      <c r="PHX11" s="6"/>
      <c r="PHZ11" s="6"/>
      <c r="PIB11" s="6"/>
      <c r="PID11" s="6"/>
      <c r="PIF11" s="6"/>
      <c r="PIH11" s="6"/>
      <c r="PIJ11" s="6"/>
      <c r="PIL11" s="6"/>
      <c r="PIN11" s="6"/>
      <c r="PIP11" s="6"/>
      <c r="PIR11" s="6"/>
      <c r="PIT11" s="6"/>
      <c r="PIV11" s="6"/>
      <c r="PIX11" s="6"/>
      <c r="PIZ11" s="6"/>
      <c r="PJB11" s="6"/>
      <c r="PJD11" s="6"/>
      <c r="PJF11" s="6"/>
      <c r="PJH11" s="6"/>
      <c r="PJJ11" s="6"/>
      <c r="PJL11" s="6"/>
      <c r="PJN11" s="6"/>
      <c r="PJP11" s="6"/>
      <c r="PJR11" s="6"/>
      <c r="PJT11" s="6"/>
      <c r="PJV11" s="6"/>
      <c r="PJX11" s="6"/>
      <c r="PJZ11" s="6"/>
      <c r="PKB11" s="6"/>
      <c r="PKD11" s="6"/>
      <c r="PKF11" s="6"/>
      <c r="PKH11" s="6"/>
      <c r="PKJ11" s="6"/>
      <c r="PKL11" s="6"/>
      <c r="PKN11" s="6"/>
      <c r="PKP11" s="6"/>
      <c r="PKR11" s="6"/>
      <c r="PKT11" s="6"/>
      <c r="PKV11" s="6"/>
      <c r="PKX11" s="6"/>
      <c r="PKZ11" s="6"/>
      <c r="PLB11" s="6"/>
      <c r="PLD11" s="6"/>
      <c r="PLF11" s="6"/>
      <c r="PLH11" s="6"/>
      <c r="PLJ11" s="6"/>
      <c r="PLL11" s="6"/>
      <c r="PLN11" s="6"/>
      <c r="PLP11" s="6"/>
      <c r="PLR11" s="6"/>
      <c r="PLT11" s="6"/>
      <c r="PLV11" s="6"/>
      <c r="PLX11" s="6"/>
      <c r="PLZ11" s="6"/>
      <c r="PMB11" s="6"/>
      <c r="PMD11" s="6"/>
      <c r="PMF11" s="6"/>
      <c r="PMH11" s="6"/>
      <c r="PMJ11" s="6"/>
      <c r="PML11" s="6"/>
      <c r="PMN11" s="6"/>
      <c r="PMP11" s="6"/>
      <c r="PMR11" s="6"/>
      <c r="PMT11" s="6"/>
      <c r="PMV11" s="6"/>
      <c r="PMX11" s="6"/>
      <c r="PMZ11" s="6"/>
      <c r="PNB11" s="6"/>
      <c r="PND11" s="6"/>
      <c r="PNF11" s="6"/>
      <c r="PNH11" s="6"/>
      <c r="PNJ11" s="6"/>
      <c r="PNL11" s="6"/>
      <c r="PNN11" s="6"/>
      <c r="PNP11" s="6"/>
      <c r="PNR11" s="6"/>
      <c r="PNT11" s="6"/>
      <c r="PNV11" s="6"/>
      <c r="PNX11" s="6"/>
      <c r="PNZ11" s="6"/>
      <c r="POB11" s="6"/>
      <c r="POD11" s="6"/>
      <c r="POF11" s="6"/>
      <c r="POH11" s="6"/>
      <c r="POJ11" s="6"/>
      <c r="POL11" s="6"/>
      <c r="PON11" s="6"/>
      <c r="POP11" s="6"/>
      <c r="POR11" s="6"/>
      <c r="POT11" s="6"/>
      <c r="POV11" s="6"/>
      <c r="POX11" s="6"/>
      <c r="POZ11" s="6"/>
      <c r="PPB11" s="6"/>
      <c r="PPD11" s="6"/>
      <c r="PPF11" s="6"/>
      <c r="PPH11" s="6"/>
      <c r="PPJ11" s="6"/>
      <c r="PPL11" s="6"/>
      <c r="PPN11" s="6"/>
      <c r="PPP11" s="6"/>
      <c r="PPR11" s="6"/>
      <c r="PPT11" s="6"/>
      <c r="PPV11" s="6"/>
      <c r="PPX11" s="6"/>
      <c r="PPZ11" s="6"/>
      <c r="PQB11" s="6"/>
      <c r="PQD11" s="6"/>
      <c r="PQF11" s="6"/>
      <c r="PQH11" s="6"/>
      <c r="PQJ11" s="6"/>
      <c r="PQL11" s="6"/>
      <c r="PQN11" s="6"/>
      <c r="PQP11" s="6"/>
      <c r="PQR11" s="6"/>
      <c r="PQT11" s="6"/>
      <c r="PQV11" s="6"/>
      <c r="PQX11" s="6"/>
      <c r="PQZ11" s="6"/>
      <c r="PRB11" s="6"/>
      <c r="PRD11" s="6"/>
      <c r="PRF11" s="6"/>
      <c r="PRH11" s="6"/>
      <c r="PRJ11" s="6"/>
      <c r="PRL11" s="6"/>
      <c r="PRN11" s="6"/>
      <c r="PRP11" s="6"/>
      <c r="PRR11" s="6"/>
      <c r="PRT11" s="6"/>
      <c r="PRV11" s="6"/>
      <c r="PRX11" s="6"/>
      <c r="PRZ11" s="6"/>
      <c r="PSB11" s="6"/>
      <c r="PSD11" s="6"/>
      <c r="PSF11" s="6"/>
      <c r="PSH11" s="6"/>
      <c r="PSJ11" s="6"/>
      <c r="PSL11" s="6"/>
      <c r="PSN11" s="6"/>
      <c r="PSP11" s="6"/>
      <c r="PSR11" s="6"/>
      <c r="PST11" s="6"/>
      <c r="PSV11" s="6"/>
      <c r="PSX11" s="6"/>
      <c r="PSZ11" s="6"/>
      <c r="PTB11" s="6"/>
      <c r="PTD11" s="6"/>
      <c r="PTF11" s="6"/>
      <c r="PTH11" s="6"/>
      <c r="PTJ11" s="6"/>
      <c r="PTL11" s="6"/>
      <c r="PTN11" s="6"/>
      <c r="PTP11" s="6"/>
      <c r="PTR11" s="6"/>
      <c r="PTT11" s="6"/>
      <c r="PTV11" s="6"/>
      <c r="PTX11" s="6"/>
      <c r="PTZ11" s="6"/>
      <c r="PUB11" s="6"/>
      <c r="PUD11" s="6"/>
      <c r="PUF11" s="6"/>
      <c r="PUH11" s="6"/>
      <c r="PUJ11" s="6"/>
      <c r="PUL11" s="6"/>
      <c r="PUN11" s="6"/>
      <c r="PUP11" s="6"/>
      <c r="PUR11" s="6"/>
      <c r="PUT11" s="6"/>
      <c r="PUV11" s="6"/>
      <c r="PUX11" s="6"/>
      <c r="PUZ11" s="6"/>
      <c r="PVB11" s="6"/>
      <c r="PVD11" s="6"/>
      <c r="PVF11" s="6"/>
      <c r="PVH11" s="6"/>
      <c r="PVJ11" s="6"/>
      <c r="PVL11" s="6"/>
      <c r="PVN11" s="6"/>
      <c r="PVP11" s="6"/>
      <c r="PVR11" s="6"/>
      <c r="PVT11" s="6"/>
      <c r="PVV11" s="6"/>
      <c r="PVX11" s="6"/>
      <c r="PVZ11" s="6"/>
      <c r="PWB11" s="6"/>
      <c r="PWD11" s="6"/>
      <c r="PWF11" s="6"/>
      <c r="PWH11" s="6"/>
      <c r="PWJ11" s="6"/>
      <c r="PWL11" s="6"/>
      <c r="PWN11" s="6"/>
      <c r="PWP11" s="6"/>
      <c r="PWR11" s="6"/>
      <c r="PWT11" s="6"/>
      <c r="PWV11" s="6"/>
      <c r="PWX11" s="6"/>
      <c r="PWZ11" s="6"/>
      <c r="PXB11" s="6"/>
      <c r="PXD11" s="6"/>
      <c r="PXF11" s="6"/>
      <c r="PXH11" s="6"/>
      <c r="PXJ11" s="6"/>
      <c r="PXL11" s="6"/>
      <c r="PXN11" s="6"/>
      <c r="PXP11" s="6"/>
      <c r="PXR11" s="6"/>
      <c r="PXT11" s="6"/>
      <c r="PXV11" s="6"/>
      <c r="PXX11" s="6"/>
      <c r="PXZ11" s="6"/>
      <c r="PYB11" s="6"/>
      <c r="PYD11" s="6"/>
      <c r="PYF11" s="6"/>
      <c r="PYH11" s="6"/>
      <c r="PYJ11" s="6"/>
      <c r="PYL11" s="6"/>
      <c r="PYN11" s="6"/>
      <c r="PYP11" s="6"/>
      <c r="PYR11" s="6"/>
      <c r="PYT11" s="6"/>
      <c r="PYV11" s="6"/>
      <c r="PYX11" s="6"/>
      <c r="PYZ11" s="6"/>
      <c r="PZB11" s="6"/>
      <c r="PZD11" s="6"/>
      <c r="PZF11" s="6"/>
      <c r="PZH11" s="6"/>
      <c r="PZJ11" s="6"/>
      <c r="PZL11" s="6"/>
      <c r="PZN11" s="6"/>
      <c r="PZP11" s="6"/>
      <c r="PZR11" s="6"/>
      <c r="PZT11" s="6"/>
      <c r="PZV11" s="6"/>
      <c r="PZX11" s="6"/>
      <c r="PZZ11" s="6"/>
      <c r="QAB11" s="6"/>
      <c r="QAD11" s="6"/>
      <c r="QAF11" s="6"/>
      <c r="QAH11" s="6"/>
      <c r="QAJ11" s="6"/>
      <c r="QAL11" s="6"/>
      <c r="QAN11" s="6"/>
      <c r="QAP11" s="6"/>
      <c r="QAR11" s="6"/>
      <c r="QAT11" s="6"/>
      <c r="QAV11" s="6"/>
      <c r="QAX11" s="6"/>
      <c r="QAZ11" s="6"/>
      <c r="QBB11" s="6"/>
      <c r="QBD11" s="6"/>
      <c r="QBF11" s="6"/>
      <c r="QBH11" s="6"/>
      <c r="QBJ11" s="6"/>
      <c r="QBL11" s="6"/>
      <c r="QBN11" s="6"/>
      <c r="QBP11" s="6"/>
      <c r="QBR11" s="6"/>
      <c r="QBT11" s="6"/>
      <c r="QBV11" s="6"/>
      <c r="QBX11" s="6"/>
      <c r="QBZ11" s="6"/>
      <c r="QCB11" s="6"/>
      <c r="QCD11" s="6"/>
      <c r="QCF11" s="6"/>
      <c r="QCH11" s="6"/>
      <c r="QCJ11" s="6"/>
      <c r="QCL11" s="6"/>
      <c r="QCN11" s="6"/>
      <c r="QCP11" s="6"/>
      <c r="QCR11" s="6"/>
      <c r="QCT11" s="6"/>
      <c r="QCV11" s="6"/>
      <c r="QCX11" s="6"/>
      <c r="QCZ11" s="6"/>
      <c r="QDB11" s="6"/>
      <c r="QDD11" s="6"/>
      <c r="QDF11" s="6"/>
      <c r="QDH11" s="6"/>
      <c r="QDJ11" s="6"/>
      <c r="QDL11" s="6"/>
      <c r="QDN11" s="6"/>
      <c r="QDP11" s="6"/>
      <c r="QDR11" s="6"/>
      <c r="QDT11" s="6"/>
      <c r="QDV11" s="6"/>
      <c r="QDX11" s="6"/>
      <c r="QDZ11" s="6"/>
      <c r="QEB11" s="6"/>
      <c r="QED11" s="6"/>
      <c r="QEF11" s="6"/>
      <c r="QEH11" s="6"/>
      <c r="QEJ11" s="6"/>
      <c r="QEL11" s="6"/>
      <c r="QEN11" s="6"/>
      <c r="QEP11" s="6"/>
      <c r="QER11" s="6"/>
      <c r="QET11" s="6"/>
      <c r="QEV11" s="6"/>
      <c r="QEX11" s="6"/>
      <c r="QEZ11" s="6"/>
      <c r="QFB11" s="6"/>
      <c r="QFD11" s="6"/>
      <c r="QFF11" s="6"/>
      <c r="QFH11" s="6"/>
      <c r="QFJ11" s="6"/>
      <c r="QFL11" s="6"/>
      <c r="QFN11" s="6"/>
      <c r="QFP11" s="6"/>
      <c r="QFR11" s="6"/>
      <c r="QFT11" s="6"/>
      <c r="QFV11" s="6"/>
      <c r="QFX11" s="6"/>
      <c r="QFZ11" s="6"/>
      <c r="QGB11" s="6"/>
      <c r="QGD11" s="6"/>
      <c r="QGF11" s="6"/>
      <c r="QGH11" s="6"/>
      <c r="QGJ11" s="6"/>
      <c r="QGL11" s="6"/>
      <c r="QGN11" s="6"/>
      <c r="QGP11" s="6"/>
      <c r="QGR11" s="6"/>
      <c r="QGT11" s="6"/>
      <c r="QGV11" s="6"/>
      <c r="QGX11" s="6"/>
      <c r="QGZ11" s="6"/>
      <c r="QHB11" s="6"/>
      <c r="QHD11" s="6"/>
      <c r="QHF11" s="6"/>
      <c r="QHH11" s="6"/>
      <c r="QHJ11" s="6"/>
      <c r="QHL11" s="6"/>
      <c r="QHN11" s="6"/>
      <c r="QHP11" s="6"/>
      <c r="QHR11" s="6"/>
      <c r="QHT11" s="6"/>
      <c r="QHV11" s="6"/>
      <c r="QHX11" s="6"/>
      <c r="QHZ11" s="6"/>
      <c r="QIB11" s="6"/>
      <c r="QID11" s="6"/>
      <c r="QIF11" s="6"/>
      <c r="QIH11" s="6"/>
      <c r="QIJ11" s="6"/>
      <c r="QIL11" s="6"/>
      <c r="QIN11" s="6"/>
      <c r="QIP11" s="6"/>
      <c r="QIR11" s="6"/>
      <c r="QIT11" s="6"/>
      <c r="QIV11" s="6"/>
      <c r="QIX11" s="6"/>
      <c r="QIZ11" s="6"/>
      <c r="QJB11" s="6"/>
      <c r="QJD11" s="6"/>
      <c r="QJF11" s="6"/>
      <c r="QJH11" s="6"/>
      <c r="QJJ11" s="6"/>
      <c r="QJL11" s="6"/>
      <c r="QJN11" s="6"/>
      <c r="QJP11" s="6"/>
      <c r="QJR11" s="6"/>
      <c r="QJT11" s="6"/>
      <c r="QJV11" s="6"/>
      <c r="QJX11" s="6"/>
      <c r="QJZ11" s="6"/>
      <c r="QKB11" s="6"/>
      <c r="QKD11" s="6"/>
      <c r="QKF11" s="6"/>
      <c r="QKH11" s="6"/>
      <c r="QKJ11" s="6"/>
      <c r="QKL11" s="6"/>
      <c r="QKN11" s="6"/>
      <c r="QKP11" s="6"/>
      <c r="QKR11" s="6"/>
      <c r="QKT11" s="6"/>
      <c r="QKV11" s="6"/>
      <c r="QKX11" s="6"/>
      <c r="QKZ11" s="6"/>
      <c r="QLB11" s="6"/>
      <c r="QLD11" s="6"/>
      <c r="QLF11" s="6"/>
      <c r="QLH11" s="6"/>
      <c r="QLJ11" s="6"/>
      <c r="QLL11" s="6"/>
      <c r="QLN11" s="6"/>
      <c r="QLP11" s="6"/>
      <c r="QLR11" s="6"/>
      <c r="QLT11" s="6"/>
      <c r="QLV11" s="6"/>
      <c r="QLX11" s="6"/>
      <c r="QLZ11" s="6"/>
      <c r="QMB11" s="6"/>
      <c r="QMD11" s="6"/>
      <c r="QMF11" s="6"/>
      <c r="QMH11" s="6"/>
      <c r="QMJ11" s="6"/>
      <c r="QML11" s="6"/>
      <c r="QMN11" s="6"/>
      <c r="QMP11" s="6"/>
      <c r="QMR11" s="6"/>
      <c r="QMT11" s="6"/>
      <c r="QMV11" s="6"/>
      <c r="QMX11" s="6"/>
      <c r="QMZ11" s="6"/>
      <c r="QNB11" s="6"/>
      <c r="QND11" s="6"/>
      <c r="QNF11" s="6"/>
      <c r="QNH11" s="6"/>
      <c r="QNJ11" s="6"/>
      <c r="QNL11" s="6"/>
      <c r="QNN11" s="6"/>
      <c r="QNP11" s="6"/>
      <c r="QNR11" s="6"/>
      <c r="QNT11" s="6"/>
      <c r="QNV11" s="6"/>
      <c r="QNX11" s="6"/>
      <c r="QNZ11" s="6"/>
      <c r="QOB11" s="6"/>
      <c r="QOD11" s="6"/>
      <c r="QOF11" s="6"/>
      <c r="QOH11" s="6"/>
      <c r="QOJ11" s="6"/>
      <c r="QOL11" s="6"/>
      <c r="QON11" s="6"/>
      <c r="QOP11" s="6"/>
      <c r="QOR11" s="6"/>
      <c r="QOT11" s="6"/>
      <c r="QOV11" s="6"/>
      <c r="QOX11" s="6"/>
      <c r="QOZ11" s="6"/>
      <c r="QPB11" s="6"/>
      <c r="QPD11" s="6"/>
      <c r="QPF11" s="6"/>
      <c r="QPH11" s="6"/>
      <c r="QPJ11" s="6"/>
      <c r="QPL11" s="6"/>
      <c r="QPN11" s="6"/>
      <c r="QPP11" s="6"/>
      <c r="QPR11" s="6"/>
      <c r="QPT11" s="6"/>
      <c r="QPV11" s="6"/>
      <c r="QPX11" s="6"/>
      <c r="QPZ11" s="6"/>
      <c r="QQB11" s="6"/>
      <c r="QQD11" s="6"/>
      <c r="QQF11" s="6"/>
      <c r="QQH11" s="6"/>
      <c r="QQJ11" s="6"/>
      <c r="QQL11" s="6"/>
      <c r="QQN11" s="6"/>
      <c r="QQP11" s="6"/>
      <c r="QQR11" s="6"/>
      <c r="QQT11" s="6"/>
      <c r="QQV11" s="6"/>
      <c r="QQX11" s="6"/>
      <c r="QQZ11" s="6"/>
      <c r="QRB11" s="6"/>
      <c r="QRD11" s="6"/>
      <c r="QRF11" s="6"/>
      <c r="QRH11" s="6"/>
      <c r="QRJ11" s="6"/>
      <c r="QRL11" s="6"/>
      <c r="QRN11" s="6"/>
      <c r="QRP11" s="6"/>
      <c r="QRR11" s="6"/>
      <c r="QRT11" s="6"/>
      <c r="QRV11" s="6"/>
      <c r="QRX11" s="6"/>
      <c r="QRZ11" s="6"/>
      <c r="QSB11" s="6"/>
      <c r="QSD11" s="6"/>
      <c r="QSF11" s="6"/>
      <c r="QSH11" s="6"/>
      <c r="QSJ11" s="6"/>
      <c r="QSL11" s="6"/>
      <c r="QSN11" s="6"/>
      <c r="QSP11" s="6"/>
      <c r="QSR11" s="6"/>
      <c r="QST11" s="6"/>
      <c r="QSV11" s="6"/>
      <c r="QSX11" s="6"/>
      <c r="QSZ11" s="6"/>
      <c r="QTB11" s="6"/>
      <c r="QTD11" s="6"/>
      <c r="QTF11" s="6"/>
      <c r="QTH11" s="6"/>
      <c r="QTJ11" s="6"/>
      <c r="QTL11" s="6"/>
      <c r="QTN11" s="6"/>
      <c r="QTP11" s="6"/>
      <c r="QTR11" s="6"/>
      <c r="QTT11" s="6"/>
      <c r="QTV11" s="6"/>
      <c r="QTX11" s="6"/>
      <c r="QTZ11" s="6"/>
      <c r="QUB11" s="6"/>
      <c r="QUD11" s="6"/>
      <c r="QUF11" s="6"/>
      <c r="QUH11" s="6"/>
      <c r="QUJ11" s="6"/>
      <c r="QUL11" s="6"/>
      <c r="QUN11" s="6"/>
      <c r="QUP11" s="6"/>
      <c r="QUR11" s="6"/>
      <c r="QUT11" s="6"/>
      <c r="QUV11" s="6"/>
      <c r="QUX11" s="6"/>
      <c r="QUZ11" s="6"/>
      <c r="QVB11" s="6"/>
      <c r="QVD11" s="6"/>
      <c r="QVF11" s="6"/>
      <c r="QVH11" s="6"/>
      <c r="QVJ11" s="6"/>
      <c r="QVL11" s="6"/>
      <c r="QVN11" s="6"/>
      <c r="QVP11" s="6"/>
      <c r="QVR11" s="6"/>
      <c r="QVT11" s="6"/>
      <c r="QVV11" s="6"/>
      <c r="QVX11" s="6"/>
      <c r="QVZ11" s="6"/>
      <c r="QWB11" s="6"/>
      <c r="QWD11" s="6"/>
      <c r="QWF11" s="6"/>
      <c r="QWH11" s="6"/>
      <c r="QWJ11" s="6"/>
      <c r="QWL11" s="6"/>
      <c r="QWN11" s="6"/>
      <c r="QWP11" s="6"/>
      <c r="QWR11" s="6"/>
      <c r="QWT11" s="6"/>
      <c r="QWV11" s="6"/>
      <c r="QWX11" s="6"/>
      <c r="QWZ11" s="6"/>
      <c r="QXB11" s="6"/>
      <c r="QXD11" s="6"/>
      <c r="QXF11" s="6"/>
      <c r="QXH11" s="6"/>
      <c r="QXJ11" s="6"/>
      <c r="QXL11" s="6"/>
      <c r="QXN11" s="6"/>
      <c r="QXP11" s="6"/>
      <c r="QXR11" s="6"/>
      <c r="QXT11" s="6"/>
      <c r="QXV11" s="6"/>
      <c r="QXX11" s="6"/>
      <c r="QXZ11" s="6"/>
      <c r="QYB11" s="6"/>
      <c r="QYD11" s="6"/>
      <c r="QYF11" s="6"/>
      <c r="QYH11" s="6"/>
      <c r="QYJ11" s="6"/>
      <c r="QYL11" s="6"/>
      <c r="QYN11" s="6"/>
      <c r="QYP11" s="6"/>
      <c r="QYR11" s="6"/>
      <c r="QYT11" s="6"/>
      <c r="QYV11" s="6"/>
      <c r="QYX11" s="6"/>
      <c r="QYZ11" s="6"/>
      <c r="QZB11" s="6"/>
      <c r="QZD11" s="6"/>
      <c r="QZF11" s="6"/>
      <c r="QZH11" s="6"/>
      <c r="QZJ11" s="6"/>
      <c r="QZL11" s="6"/>
      <c r="QZN11" s="6"/>
      <c r="QZP11" s="6"/>
      <c r="QZR11" s="6"/>
      <c r="QZT11" s="6"/>
      <c r="QZV11" s="6"/>
      <c r="QZX11" s="6"/>
      <c r="QZZ11" s="6"/>
      <c r="RAB11" s="6"/>
      <c r="RAD11" s="6"/>
      <c r="RAF11" s="6"/>
      <c r="RAH11" s="6"/>
      <c r="RAJ11" s="6"/>
      <c r="RAL11" s="6"/>
      <c r="RAN11" s="6"/>
      <c r="RAP11" s="6"/>
      <c r="RAR11" s="6"/>
      <c r="RAT11" s="6"/>
      <c r="RAV11" s="6"/>
      <c r="RAX11" s="6"/>
      <c r="RAZ11" s="6"/>
      <c r="RBB11" s="6"/>
      <c r="RBD11" s="6"/>
      <c r="RBF11" s="6"/>
      <c r="RBH11" s="6"/>
      <c r="RBJ11" s="6"/>
      <c r="RBL11" s="6"/>
      <c r="RBN11" s="6"/>
      <c r="RBP11" s="6"/>
      <c r="RBR11" s="6"/>
      <c r="RBT11" s="6"/>
      <c r="RBV11" s="6"/>
      <c r="RBX11" s="6"/>
      <c r="RBZ11" s="6"/>
      <c r="RCB11" s="6"/>
      <c r="RCD11" s="6"/>
      <c r="RCF11" s="6"/>
      <c r="RCH11" s="6"/>
      <c r="RCJ11" s="6"/>
      <c r="RCL11" s="6"/>
      <c r="RCN11" s="6"/>
      <c r="RCP11" s="6"/>
      <c r="RCR11" s="6"/>
      <c r="RCT11" s="6"/>
      <c r="RCV11" s="6"/>
      <c r="RCX11" s="6"/>
      <c r="RCZ11" s="6"/>
      <c r="RDB11" s="6"/>
      <c r="RDD11" s="6"/>
      <c r="RDF11" s="6"/>
      <c r="RDH11" s="6"/>
      <c r="RDJ11" s="6"/>
      <c r="RDL11" s="6"/>
      <c r="RDN11" s="6"/>
      <c r="RDP11" s="6"/>
      <c r="RDR11" s="6"/>
      <c r="RDT11" s="6"/>
      <c r="RDV11" s="6"/>
      <c r="RDX11" s="6"/>
      <c r="RDZ11" s="6"/>
      <c r="REB11" s="6"/>
      <c r="RED11" s="6"/>
      <c r="REF11" s="6"/>
      <c r="REH11" s="6"/>
      <c r="REJ11" s="6"/>
      <c r="REL11" s="6"/>
      <c r="REN11" s="6"/>
      <c r="REP11" s="6"/>
      <c r="RER11" s="6"/>
      <c r="RET11" s="6"/>
      <c r="REV11" s="6"/>
      <c r="REX11" s="6"/>
      <c r="REZ11" s="6"/>
      <c r="RFB11" s="6"/>
      <c r="RFD11" s="6"/>
      <c r="RFF11" s="6"/>
      <c r="RFH11" s="6"/>
      <c r="RFJ11" s="6"/>
      <c r="RFL11" s="6"/>
      <c r="RFN11" s="6"/>
      <c r="RFP11" s="6"/>
      <c r="RFR11" s="6"/>
      <c r="RFT11" s="6"/>
      <c r="RFV11" s="6"/>
      <c r="RFX11" s="6"/>
      <c r="RFZ11" s="6"/>
      <c r="RGB11" s="6"/>
      <c r="RGD11" s="6"/>
      <c r="RGF11" s="6"/>
      <c r="RGH11" s="6"/>
      <c r="RGJ11" s="6"/>
      <c r="RGL11" s="6"/>
      <c r="RGN11" s="6"/>
      <c r="RGP11" s="6"/>
      <c r="RGR11" s="6"/>
      <c r="RGT11" s="6"/>
      <c r="RGV11" s="6"/>
      <c r="RGX11" s="6"/>
      <c r="RGZ11" s="6"/>
      <c r="RHB11" s="6"/>
      <c r="RHD11" s="6"/>
      <c r="RHF11" s="6"/>
      <c r="RHH11" s="6"/>
      <c r="RHJ11" s="6"/>
      <c r="RHL11" s="6"/>
      <c r="RHN11" s="6"/>
      <c r="RHP11" s="6"/>
      <c r="RHR11" s="6"/>
      <c r="RHT11" s="6"/>
      <c r="RHV11" s="6"/>
      <c r="RHX11" s="6"/>
      <c r="RHZ11" s="6"/>
      <c r="RIB11" s="6"/>
      <c r="RID11" s="6"/>
      <c r="RIF11" s="6"/>
      <c r="RIH11" s="6"/>
      <c r="RIJ11" s="6"/>
      <c r="RIL11" s="6"/>
      <c r="RIN11" s="6"/>
      <c r="RIP11" s="6"/>
      <c r="RIR11" s="6"/>
      <c r="RIT11" s="6"/>
      <c r="RIV11" s="6"/>
      <c r="RIX11" s="6"/>
      <c r="RIZ11" s="6"/>
      <c r="RJB11" s="6"/>
      <c r="RJD11" s="6"/>
      <c r="RJF11" s="6"/>
      <c r="RJH11" s="6"/>
      <c r="RJJ11" s="6"/>
      <c r="RJL11" s="6"/>
      <c r="RJN11" s="6"/>
      <c r="RJP11" s="6"/>
      <c r="RJR11" s="6"/>
      <c r="RJT11" s="6"/>
      <c r="RJV11" s="6"/>
      <c r="RJX11" s="6"/>
      <c r="RJZ11" s="6"/>
      <c r="RKB11" s="6"/>
      <c r="RKD11" s="6"/>
      <c r="RKF11" s="6"/>
      <c r="RKH11" s="6"/>
      <c r="RKJ11" s="6"/>
      <c r="RKL11" s="6"/>
      <c r="RKN11" s="6"/>
      <c r="RKP11" s="6"/>
      <c r="RKR11" s="6"/>
      <c r="RKT11" s="6"/>
      <c r="RKV11" s="6"/>
      <c r="RKX11" s="6"/>
      <c r="RKZ11" s="6"/>
      <c r="RLB11" s="6"/>
      <c r="RLD11" s="6"/>
      <c r="RLF11" s="6"/>
      <c r="RLH11" s="6"/>
      <c r="RLJ11" s="6"/>
      <c r="RLL11" s="6"/>
      <c r="RLN11" s="6"/>
      <c r="RLP11" s="6"/>
      <c r="RLR11" s="6"/>
      <c r="RLT11" s="6"/>
      <c r="RLV11" s="6"/>
      <c r="RLX11" s="6"/>
      <c r="RLZ11" s="6"/>
      <c r="RMB11" s="6"/>
      <c r="RMD11" s="6"/>
      <c r="RMF11" s="6"/>
      <c r="RMH11" s="6"/>
      <c r="RMJ11" s="6"/>
      <c r="RML11" s="6"/>
      <c r="RMN11" s="6"/>
      <c r="RMP11" s="6"/>
      <c r="RMR11" s="6"/>
      <c r="RMT11" s="6"/>
      <c r="RMV11" s="6"/>
      <c r="RMX11" s="6"/>
      <c r="RMZ11" s="6"/>
      <c r="RNB11" s="6"/>
      <c r="RND11" s="6"/>
      <c r="RNF11" s="6"/>
      <c r="RNH11" s="6"/>
      <c r="RNJ11" s="6"/>
      <c r="RNL11" s="6"/>
      <c r="RNN11" s="6"/>
      <c r="RNP11" s="6"/>
      <c r="RNR11" s="6"/>
      <c r="RNT11" s="6"/>
      <c r="RNV11" s="6"/>
      <c r="RNX11" s="6"/>
      <c r="RNZ11" s="6"/>
      <c r="ROB11" s="6"/>
      <c r="ROD11" s="6"/>
      <c r="ROF11" s="6"/>
      <c r="ROH11" s="6"/>
      <c r="ROJ11" s="6"/>
      <c r="ROL11" s="6"/>
      <c r="RON11" s="6"/>
      <c r="ROP11" s="6"/>
      <c r="ROR11" s="6"/>
      <c r="ROT11" s="6"/>
      <c r="ROV11" s="6"/>
      <c r="ROX11" s="6"/>
      <c r="ROZ11" s="6"/>
      <c r="RPB11" s="6"/>
      <c r="RPD11" s="6"/>
      <c r="RPF11" s="6"/>
      <c r="RPH11" s="6"/>
      <c r="RPJ11" s="6"/>
      <c r="RPL11" s="6"/>
      <c r="RPN11" s="6"/>
      <c r="RPP11" s="6"/>
      <c r="RPR11" s="6"/>
      <c r="RPT11" s="6"/>
      <c r="RPV11" s="6"/>
      <c r="RPX11" s="6"/>
      <c r="RPZ11" s="6"/>
      <c r="RQB11" s="6"/>
      <c r="RQD11" s="6"/>
      <c r="RQF11" s="6"/>
      <c r="RQH11" s="6"/>
      <c r="RQJ11" s="6"/>
      <c r="RQL11" s="6"/>
      <c r="RQN11" s="6"/>
      <c r="RQP11" s="6"/>
      <c r="RQR11" s="6"/>
      <c r="RQT11" s="6"/>
      <c r="RQV11" s="6"/>
      <c r="RQX11" s="6"/>
      <c r="RQZ11" s="6"/>
      <c r="RRB11" s="6"/>
      <c r="RRD11" s="6"/>
      <c r="RRF11" s="6"/>
      <c r="RRH11" s="6"/>
      <c r="RRJ11" s="6"/>
      <c r="RRL11" s="6"/>
      <c r="RRN11" s="6"/>
      <c r="RRP11" s="6"/>
      <c r="RRR11" s="6"/>
      <c r="RRT11" s="6"/>
      <c r="RRV11" s="6"/>
      <c r="RRX11" s="6"/>
      <c r="RRZ11" s="6"/>
      <c r="RSB11" s="6"/>
      <c r="RSD11" s="6"/>
      <c r="RSF11" s="6"/>
      <c r="RSH11" s="6"/>
      <c r="RSJ11" s="6"/>
      <c r="RSL11" s="6"/>
      <c r="RSN11" s="6"/>
      <c r="RSP11" s="6"/>
      <c r="RSR11" s="6"/>
      <c r="RST11" s="6"/>
      <c r="RSV11" s="6"/>
      <c r="RSX11" s="6"/>
      <c r="RSZ11" s="6"/>
      <c r="RTB11" s="6"/>
      <c r="RTD11" s="6"/>
      <c r="RTF11" s="6"/>
      <c r="RTH11" s="6"/>
      <c r="RTJ11" s="6"/>
      <c r="RTL11" s="6"/>
      <c r="RTN11" s="6"/>
      <c r="RTP11" s="6"/>
      <c r="RTR11" s="6"/>
      <c r="RTT11" s="6"/>
      <c r="RTV11" s="6"/>
      <c r="RTX11" s="6"/>
      <c r="RTZ11" s="6"/>
      <c r="RUB11" s="6"/>
      <c r="RUD11" s="6"/>
      <c r="RUF11" s="6"/>
      <c r="RUH11" s="6"/>
      <c r="RUJ11" s="6"/>
      <c r="RUL11" s="6"/>
      <c r="RUN11" s="6"/>
      <c r="RUP11" s="6"/>
      <c r="RUR11" s="6"/>
      <c r="RUT11" s="6"/>
      <c r="RUV11" s="6"/>
      <c r="RUX11" s="6"/>
      <c r="RUZ11" s="6"/>
      <c r="RVB11" s="6"/>
      <c r="RVD11" s="6"/>
      <c r="RVF11" s="6"/>
      <c r="RVH11" s="6"/>
      <c r="RVJ11" s="6"/>
      <c r="RVL11" s="6"/>
      <c r="RVN11" s="6"/>
      <c r="RVP11" s="6"/>
      <c r="RVR11" s="6"/>
      <c r="RVT11" s="6"/>
      <c r="RVV11" s="6"/>
      <c r="RVX11" s="6"/>
      <c r="RVZ11" s="6"/>
      <c r="RWB11" s="6"/>
      <c r="RWD11" s="6"/>
      <c r="RWF11" s="6"/>
      <c r="RWH11" s="6"/>
      <c r="RWJ11" s="6"/>
      <c r="RWL11" s="6"/>
      <c r="RWN11" s="6"/>
      <c r="RWP11" s="6"/>
      <c r="RWR11" s="6"/>
      <c r="RWT11" s="6"/>
      <c r="RWV11" s="6"/>
      <c r="RWX11" s="6"/>
      <c r="RWZ11" s="6"/>
      <c r="RXB11" s="6"/>
      <c r="RXD11" s="6"/>
      <c r="RXF11" s="6"/>
      <c r="RXH11" s="6"/>
      <c r="RXJ11" s="6"/>
      <c r="RXL11" s="6"/>
      <c r="RXN11" s="6"/>
      <c r="RXP11" s="6"/>
      <c r="RXR11" s="6"/>
      <c r="RXT11" s="6"/>
      <c r="RXV11" s="6"/>
      <c r="RXX11" s="6"/>
      <c r="RXZ11" s="6"/>
      <c r="RYB11" s="6"/>
      <c r="RYD11" s="6"/>
      <c r="RYF11" s="6"/>
      <c r="RYH11" s="6"/>
      <c r="RYJ11" s="6"/>
      <c r="RYL11" s="6"/>
      <c r="RYN11" s="6"/>
      <c r="RYP11" s="6"/>
      <c r="RYR11" s="6"/>
      <c r="RYT11" s="6"/>
      <c r="RYV11" s="6"/>
      <c r="RYX11" s="6"/>
      <c r="RYZ11" s="6"/>
      <c r="RZB11" s="6"/>
      <c r="RZD11" s="6"/>
      <c r="RZF11" s="6"/>
      <c r="RZH11" s="6"/>
      <c r="RZJ11" s="6"/>
      <c r="RZL11" s="6"/>
      <c r="RZN11" s="6"/>
      <c r="RZP11" s="6"/>
      <c r="RZR11" s="6"/>
      <c r="RZT11" s="6"/>
      <c r="RZV11" s="6"/>
      <c r="RZX11" s="6"/>
      <c r="RZZ11" s="6"/>
      <c r="SAB11" s="6"/>
      <c r="SAD11" s="6"/>
      <c r="SAF11" s="6"/>
      <c r="SAH11" s="6"/>
      <c r="SAJ11" s="6"/>
      <c r="SAL11" s="6"/>
      <c r="SAN11" s="6"/>
      <c r="SAP11" s="6"/>
      <c r="SAR11" s="6"/>
      <c r="SAT11" s="6"/>
      <c r="SAV11" s="6"/>
      <c r="SAX11" s="6"/>
      <c r="SAZ11" s="6"/>
      <c r="SBB11" s="6"/>
      <c r="SBD11" s="6"/>
      <c r="SBF11" s="6"/>
      <c r="SBH11" s="6"/>
      <c r="SBJ11" s="6"/>
      <c r="SBL11" s="6"/>
      <c r="SBN11" s="6"/>
      <c r="SBP11" s="6"/>
      <c r="SBR11" s="6"/>
      <c r="SBT11" s="6"/>
      <c r="SBV11" s="6"/>
      <c r="SBX11" s="6"/>
      <c r="SBZ11" s="6"/>
      <c r="SCB11" s="6"/>
      <c r="SCD11" s="6"/>
      <c r="SCF11" s="6"/>
      <c r="SCH11" s="6"/>
      <c r="SCJ11" s="6"/>
      <c r="SCL11" s="6"/>
      <c r="SCN11" s="6"/>
      <c r="SCP11" s="6"/>
      <c r="SCR11" s="6"/>
      <c r="SCT11" s="6"/>
      <c r="SCV11" s="6"/>
      <c r="SCX11" s="6"/>
      <c r="SCZ11" s="6"/>
      <c r="SDB11" s="6"/>
      <c r="SDD11" s="6"/>
      <c r="SDF11" s="6"/>
      <c r="SDH11" s="6"/>
      <c r="SDJ11" s="6"/>
      <c r="SDL11" s="6"/>
      <c r="SDN11" s="6"/>
      <c r="SDP11" s="6"/>
      <c r="SDR11" s="6"/>
      <c r="SDT11" s="6"/>
      <c r="SDV11" s="6"/>
      <c r="SDX11" s="6"/>
      <c r="SDZ11" s="6"/>
      <c r="SEB11" s="6"/>
      <c r="SED11" s="6"/>
      <c r="SEF11" s="6"/>
      <c r="SEH11" s="6"/>
      <c r="SEJ11" s="6"/>
      <c r="SEL11" s="6"/>
      <c r="SEN11" s="6"/>
      <c r="SEP11" s="6"/>
      <c r="SER11" s="6"/>
      <c r="SET11" s="6"/>
      <c r="SEV11" s="6"/>
      <c r="SEX11" s="6"/>
      <c r="SEZ11" s="6"/>
      <c r="SFB11" s="6"/>
      <c r="SFD11" s="6"/>
      <c r="SFF11" s="6"/>
      <c r="SFH11" s="6"/>
      <c r="SFJ11" s="6"/>
      <c r="SFL11" s="6"/>
      <c r="SFN11" s="6"/>
      <c r="SFP11" s="6"/>
      <c r="SFR11" s="6"/>
      <c r="SFT11" s="6"/>
      <c r="SFV11" s="6"/>
      <c r="SFX11" s="6"/>
      <c r="SFZ11" s="6"/>
      <c r="SGB11" s="6"/>
      <c r="SGD11" s="6"/>
      <c r="SGF11" s="6"/>
      <c r="SGH11" s="6"/>
      <c r="SGJ11" s="6"/>
      <c r="SGL11" s="6"/>
      <c r="SGN11" s="6"/>
      <c r="SGP11" s="6"/>
      <c r="SGR11" s="6"/>
      <c r="SGT11" s="6"/>
      <c r="SGV11" s="6"/>
      <c r="SGX11" s="6"/>
      <c r="SGZ11" s="6"/>
      <c r="SHB11" s="6"/>
      <c r="SHD11" s="6"/>
      <c r="SHF11" s="6"/>
      <c r="SHH11" s="6"/>
      <c r="SHJ11" s="6"/>
      <c r="SHL11" s="6"/>
      <c r="SHN11" s="6"/>
      <c r="SHP11" s="6"/>
      <c r="SHR11" s="6"/>
      <c r="SHT11" s="6"/>
      <c r="SHV11" s="6"/>
      <c r="SHX11" s="6"/>
      <c r="SHZ11" s="6"/>
      <c r="SIB11" s="6"/>
      <c r="SID11" s="6"/>
      <c r="SIF11" s="6"/>
      <c r="SIH11" s="6"/>
      <c r="SIJ11" s="6"/>
      <c r="SIL11" s="6"/>
      <c r="SIN11" s="6"/>
      <c r="SIP11" s="6"/>
      <c r="SIR11" s="6"/>
      <c r="SIT11" s="6"/>
      <c r="SIV11" s="6"/>
      <c r="SIX11" s="6"/>
      <c r="SIZ11" s="6"/>
      <c r="SJB11" s="6"/>
      <c r="SJD11" s="6"/>
      <c r="SJF11" s="6"/>
      <c r="SJH11" s="6"/>
      <c r="SJJ11" s="6"/>
      <c r="SJL11" s="6"/>
      <c r="SJN11" s="6"/>
      <c r="SJP11" s="6"/>
      <c r="SJR11" s="6"/>
      <c r="SJT11" s="6"/>
      <c r="SJV11" s="6"/>
      <c r="SJX11" s="6"/>
      <c r="SJZ11" s="6"/>
      <c r="SKB11" s="6"/>
      <c r="SKD11" s="6"/>
      <c r="SKF11" s="6"/>
      <c r="SKH11" s="6"/>
      <c r="SKJ11" s="6"/>
      <c r="SKL11" s="6"/>
      <c r="SKN11" s="6"/>
      <c r="SKP11" s="6"/>
      <c r="SKR11" s="6"/>
      <c r="SKT11" s="6"/>
      <c r="SKV11" s="6"/>
      <c r="SKX11" s="6"/>
      <c r="SKZ11" s="6"/>
      <c r="SLB11" s="6"/>
      <c r="SLD11" s="6"/>
      <c r="SLF11" s="6"/>
      <c r="SLH11" s="6"/>
      <c r="SLJ11" s="6"/>
      <c r="SLL11" s="6"/>
      <c r="SLN11" s="6"/>
      <c r="SLP11" s="6"/>
      <c r="SLR11" s="6"/>
      <c r="SLT11" s="6"/>
      <c r="SLV11" s="6"/>
      <c r="SLX11" s="6"/>
      <c r="SLZ11" s="6"/>
      <c r="SMB11" s="6"/>
      <c r="SMD11" s="6"/>
      <c r="SMF11" s="6"/>
      <c r="SMH11" s="6"/>
      <c r="SMJ11" s="6"/>
      <c r="SML11" s="6"/>
      <c r="SMN11" s="6"/>
      <c r="SMP11" s="6"/>
      <c r="SMR11" s="6"/>
      <c r="SMT11" s="6"/>
      <c r="SMV11" s="6"/>
      <c r="SMX11" s="6"/>
      <c r="SMZ11" s="6"/>
      <c r="SNB11" s="6"/>
      <c r="SND11" s="6"/>
      <c r="SNF11" s="6"/>
      <c r="SNH11" s="6"/>
      <c r="SNJ11" s="6"/>
      <c r="SNL11" s="6"/>
      <c r="SNN11" s="6"/>
      <c r="SNP11" s="6"/>
      <c r="SNR11" s="6"/>
      <c r="SNT11" s="6"/>
      <c r="SNV11" s="6"/>
      <c r="SNX11" s="6"/>
      <c r="SNZ11" s="6"/>
      <c r="SOB11" s="6"/>
      <c r="SOD11" s="6"/>
      <c r="SOF11" s="6"/>
      <c r="SOH11" s="6"/>
      <c r="SOJ11" s="6"/>
      <c r="SOL11" s="6"/>
      <c r="SON11" s="6"/>
      <c r="SOP11" s="6"/>
      <c r="SOR11" s="6"/>
      <c r="SOT11" s="6"/>
      <c r="SOV11" s="6"/>
      <c r="SOX11" s="6"/>
      <c r="SOZ11" s="6"/>
      <c r="SPB11" s="6"/>
      <c r="SPD11" s="6"/>
      <c r="SPF11" s="6"/>
      <c r="SPH11" s="6"/>
      <c r="SPJ11" s="6"/>
      <c r="SPL11" s="6"/>
      <c r="SPN11" s="6"/>
      <c r="SPP11" s="6"/>
      <c r="SPR11" s="6"/>
      <c r="SPT11" s="6"/>
      <c r="SPV11" s="6"/>
      <c r="SPX11" s="6"/>
      <c r="SPZ11" s="6"/>
      <c r="SQB11" s="6"/>
      <c r="SQD11" s="6"/>
      <c r="SQF11" s="6"/>
      <c r="SQH11" s="6"/>
      <c r="SQJ11" s="6"/>
      <c r="SQL11" s="6"/>
      <c r="SQN11" s="6"/>
      <c r="SQP11" s="6"/>
      <c r="SQR11" s="6"/>
      <c r="SQT11" s="6"/>
      <c r="SQV11" s="6"/>
      <c r="SQX11" s="6"/>
      <c r="SQZ11" s="6"/>
      <c r="SRB11" s="6"/>
      <c r="SRD11" s="6"/>
      <c r="SRF11" s="6"/>
      <c r="SRH11" s="6"/>
      <c r="SRJ11" s="6"/>
      <c r="SRL11" s="6"/>
      <c r="SRN11" s="6"/>
      <c r="SRP11" s="6"/>
      <c r="SRR11" s="6"/>
      <c r="SRT11" s="6"/>
      <c r="SRV11" s="6"/>
      <c r="SRX11" s="6"/>
      <c r="SRZ11" s="6"/>
      <c r="SSB11" s="6"/>
      <c r="SSD11" s="6"/>
      <c r="SSF11" s="6"/>
      <c r="SSH11" s="6"/>
      <c r="SSJ11" s="6"/>
      <c r="SSL11" s="6"/>
      <c r="SSN11" s="6"/>
      <c r="SSP11" s="6"/>
      <c r="SSR11" s="6"/>
      <c r="SST11" s="6"/>
      <c r="SSV11" s="6"/>
      <c r="SSX11" s="6"/>
      <c r="SSZ11" s="6"/>
      <c r="STB11" s="6"/>
      <c r="STD11" s="6"/>
      <c r="STF11" s="6"/>
      <c r="STH11" s="6"/>
      <c r="STJ11" s="6"/>
      <c r="STL11" s="6"/>
      <c r="STN11" s="6"/>
      <c r="STP11" s="6"/>
      <c r="STR11" s="6"/>
      <c r="STT11" s="6"/>
      <c r="STV11" s="6"/>
      <c r="STX11" s="6"/>
      <c r="STZ11" s="6"/>
      <c r="SUB11" s="6"/>
      <c r="SUD11" s="6"/>
      <c r="SUF11" s="6"/>
      <c r="SUH11" s="6"/>
      <c r="SUJ11" s="6"/>
      <c r="SUL11" s="6"/>
      <c r="SUN11" s="6"/>
      <c r="SUP11" s="6"/>
      <c r="SUR11" s="6"/>
      <c r="SUT11" s="6"/>
      <c r="SUV11" s="6"/>
      <c r="SUX11" s="6"/>
      <c r="SUZ11" s="6"/>
      <c r="SVB11" s="6"/>
      <c r="SVD11" s="6"/>
      <c r="SVF11" s="6"/>
      <c r="SVH11" s="6"/>
      <c r="SVJ11" s="6"/>
      <c r="SVL11" s="6"/>
      <c r="SVN11" s="6"/>
      <c r="SVP11" s="6"/>
      <c r="SVR11" s="6"/>
      <c r="SVT11" s="6"/>
      <c r="SVV11" s="6"/>
      <c r="SVX11" s="6"/>
      <c r="SVZ11" s="6"/>
      <c r="SWB11" s="6"/>
      <c r="SWD11" s="6"/>
      <c r="SWF11" s="6"/>
      <c r="SWH11" s="6"/>
      <c r="SWJ11" s="6"/>
      <c r="SWL11" s="6"/>
      <c r="SWN11" s="6"/>
      <c r="SWP11" s="6"/>
      <c r="SWR11" s="6"/>
      <c r="SWT11" s="6"/>
      <c r="SWV11" s="6"/>
      <c r="SWX11" s="6"/>
      <c r="SWZ11" s="6"/>
      <c r="SXB11" s="6"/>
      <c r="SXD11" s="6"/>
      <c r="SXF11" s="6"/>
      <c r="SXH11" s="6"/>
      <c r="SXJ11" s="6"/>
      <c r="SXL11" s="6"/>
      <c r="SXN11" s="6"/>
      <c r="SXP11" s="6"/>
      <c r="SXR11" s="6"/>
      <c r="SXT11" s="6"/>
      <c r="SXV11" s="6"/>
      <c r="SXX11" s="6"/>
      <c r="SXZ11" s="6"/>
      <c r="SYB11" s="6"/>
      <c r="SYD11" s="6"/>
      <c r="SYF11" s="6"/>
      <c r="SYH11" s="6"/>
      <c r="SYJ11" s="6"/>
      <c r="SYL11" s="6"/>
      <c r="SYN11" s="6"/>
      <c r="SYP11" s="6"/>
      <c r="SYR11" s="6"/>
      <c r="SYT11" s="6"/>
      <c r="SYV11" s="6"/>
      <c r="SYX11" s="6"/>
      <c r="SYZ11" s="6"/>
      <c r="SZB11" s="6"/>
      <c r="SZD11" s="6"/>
      <c r="SZF11" s="6"/>
      <c r="SZH11" s="6"/>
      <c r="SZJ11" s="6"/>
      <c r="SZL11" s="6"/>
      <c r="SZN11" s="6"/>
      <c r="SZP11" s="6"/>
      <c r="SZR11" s="6"/>
      <c r="SZT11" s="6"/>
      <c r="SZV11" s="6"/>
      <c r="SZX11" s="6"/>
      <c r="SZZ11" s="6"/>
      <c r="TAB11" s="6"/>
      <c r="TAD11" s="6"/>
      <c r="TAF11" s="6"/>
      <c r="TAH11" s="6"/>
      <c r="TAJ11" s="6"/>
      <c r="TAL11" s="6"/>
      <c r="TAN11" s="6"/>
      <c r="TAP11" s="6"/>
      <c r="TAR11" s="6"/>
      <c r="TAT11" s="6"/>
      <c r="TAV11" s="6"/>
      <c r="TAX11" s="6"/>
      <c r="TAZ11" s="6"/>
      <c r="TBB11" s="6"/>
      <c r="TBD11" s="6"/>
      <c r="TBF11" s="6"/>
      <c r="TBH11" s="6"/>
      <c r="TBJ11" s="6"/>
      <c r="TBL11" s="6"/>
      <c r="TBN11" s="6"/>
      <c r="TBP11" s="6"/>
      <c r="TBR11" s="6"/>
      <c r="TBT11" s="6"/>
      <c r="TBV11" s="6"/>
      <c r="TBX11" s="6"/>
      <c r="TBZ11" s="6"/>
      <c r="TCB11" s="6"/>
      <c r="TCD11" s="6"/>
      <c r="TCF11" s="6"/>
      <c r="TCH11" s="6"/>
      <c r="TCJ11" s="6"/>
      <c r="TCL11" s="6"/>
      <c r="TCN11" s="6"/>
      <c r="TCP11" s="6"/>
      <c r="TCR11" s="6"/>
      <c r="TCT11" s="6"/>
      <c r="TCV11" s="6"/>
      <c r="TCX11" s="6"/>
      <c r="TCZ11" s="6"/>
      <c r="TDB11" s="6"/>
      <c r="TDD11" s="6"/>
      <c r="TDF11" s="6"/>
      <c r="TDH11" s="6"/>
      <c r="TDJ11" s="6"/>
      <c r="TDL11" s="6"/>
      <c r="TDN11" s="6"/>
      <c r="TDP11" s="6"/>
      <c r="TDR11" s="6"/>
      <c r="TDT11" s="6"/>
      <c r="TDV11" s="6"/>
      <c r="TDX11" s="6"/>
      <c r="TDZ11" s="6"/>
      <c r="TEB11" s="6"/>
      <c r="TED11" s="6"/>
      <c r="TEF11" s="6"/>
      <c r="TEH11" s="6"/>
      <c r="TEJ11" s="6"/>
      <c r="TEL11" s="6"/>
      <c r="TEN11" s="6"/>
      <c r="TEP11" s="6"/>
      <c r="TER11" s="6"/>
      <c r="TET11" s="6"/>
      <c r="TEV11" s="6"/>
      <c r="TEX11" s="6"/>
      <c r="TEZ11" s="6"/>
      <c r="TFB11" s="6"/>
      <c r="TFD11" s="6"/>
      <c r="TFF11" s="6"/>
      <c r="TFH11" s="6"/>
      <c r="TFJ11" s="6"/>
      <c r="TFL11" s="6"/>
      <c r="TFN11" s="6"/>
      <c r="TFP11" s="6"/>
      <c r="TFR11" s="6"/>
      <c r="TFT11" s="6"/>
      <c r="TFV11" s="6"/>
      <c r="TFX11" s="6"/>
      <c r="TFZ11" s="6"/>
      <c r="TGB11" s="6"/>
      <c r="TGD11" s="6"/>
      <c r="TGF11" s="6"/>
      <c r="TGH11" s="6"/>
      <c r="TGJ11" s="6"/>
      <c r="TGL11" s="6"/>
      <c r="TGN11" s="6"/>
      <c r="TGP11" s="6"/>
      <c r="TGR11" s="6"/>
      <c r="TGT11" s="6"/>
      <c r="TGV11" s="6"/>
      <c r="TGX11" s="6"/>
      <c r="TGZ11" s="6"/>
      <c r="THB11" s="6"/>
      <c r="THD11" s="6"/>
      <c r="THF11" s="6"/>
      <c r="THH11" s="6"/>
      <c r="THJ11" s="6"/>
      <c r="THL11" s="6"/>
      <c r="THN11" s="6"/>
      <c r="THP11" s="6"/>
      <c r="THR11" s="6"/>
      <c r="THT11" s="6"/>
      <c r="THV11" s="6"/>
      <c r="THX11" s="6"/>
      <c r="THZ11" s="6"/>
      <c r="TIB11" s="6"/>
      <c r="TID11" s="6"/>
      <c r="TIF11" s="6"/>
      <c r="TIH11" s="6"/>
      <c r="TIJ11" s="6"/>
      <c r="TIL11" s="6"/>
      <c r="TIN11" s="6"/>
      <c r="TIP11" s="6"/>
      <c r="TIR11" s="6"/>
      <c r="TIT11" s="6"/>
      <c r="TIV11" s="6"/>
      <c r="TIX11" s="6"/>
      <c r="TIZ11" s="6"/>
      <c r="TJB11" s="6"/>
      <c r="TJD11" s="6"/>
      <c r="TJF11" s="6"/>
      <c r="TJH11" s="6"/>
      <c r="TJJ11" s="6"/>
      <c r="TJL11" s="6"/>
      <c r="TJN11" s="6"/>
      <c r="TJP11" s="6"/>
      <c r="TJR11" s="6"/>
      <c r="TJT11" s="6"/>
      <c r="TJV11" s="6"/>
      <c r="TJX11" s="6"/>
      <c r="TJZ11" s="6"/>
      <c r="TKB11" s="6"/>
      <c r="TKD11" s="6"/>
      <c r="TKF11" s="6"/>
      <c r="TKH11" s="6"/>
      <c r="TKJ11" s="6"/>
      <c r="TKL11" s="6"/>
      <c r="TKN11" s="6"/>
      <c r="TKP11" s="6"/>
      <c r="TKR11" s="6"/>
      <c r="TKT11" s="6"/>
      <c r="TKV11" s="6"/>
      <c r="TKX11" s="6"/>
      <c r="TKZ11" s="6"/>
      <c r="TLB11" s="6"/>
      <c r="TLD11" s="6"/>
      <c r="TLF11" s="6"/>
      <c r="TLH11" s="6"/>
      <c r="TLJ11" s="6"/>
      <c r="TLL11" s="6"/>
      <c r="TLN11" s="6"/>
      <c r="TLP11" s="6"/>
      <c r="TLR11" s="6"/>
      <c r="TLT11" s="6"/>
      <c r="TLV11" s="6"/>
      <c r="TLX11" s="6"/>
      <c r="TLZ11" s="6"/>
      <c r="TMB11" s="6"/>
      <c r="TMD11" s="6"/>
      <c r="TMF11" s="6"/>
      <c r="TMH11" s="6"/>
      <c r="TMJ11" s="6"/>
      <c r="TML11" s="6"/>
      <c r="TMN11" s="6"/>
      <c r="TMP11" s="6"/>
      <c r="TMR11" s="6"/>
      <c r="TMT11" s="6"/>
      <c r="TMV11" s="6"/>
      <c r="TMX11" s="6"/>
      <c r="TMZ11" s="6"/>
      <c r="TNB11" s="6"/>
      <c r="TND11" s="6"/>
      <c r="TNF11" s="6"/>
      <c r="TNH11" s="6"/>
      <c r="TNJ11" s="6"/>
      <c r="TNL11" s="6"/>
      <c r="TNN11" s="6"/>
      <c r="TNP11" s="6"/>
      <c r="TNR11" s="6"/>
      <c r="TNT11" s="6"/>
      <c r="TNV11" s="6"/>
      <c r="TNX11" s="6"/>
      <c r="TNZ11" s="6"/>
      <c r="TOB11" s="6"/>
      <c r="TOD11" s="6"/>
      <c r="TOF11" s="6"/>
      <c r="TOH11" s="6"/>
      <c r="TOJ11" s="6"/>
      <c r="TOL11" s="6"/>
      <c r="TON11" s="6"/>
      <c r="TOP11" s="6"/>
      <c r="TOR11" s="6"/>
      <c r="TOT11" s="6"/>
      <c r="TOV11" s="6"/>
      <c r="TOX11" s="6"/>
      <c r="TOZ11" s="6"/>
      <c r="TPB11" s="6"/>
      <c r="TPD11" s="6"/>
      <c r="TPF11" s="6"/>
      <c r="TPH11" s="6"/>
      <c r="TPJ11" s="6"/>
      <c r="TPL11" s="6"/>
      <c r="TPN11" s="6"/>
      <c r="TPP11" s="6"/>
      <c r="TPR11" s="6"/>
      <c r="TPT11" s="6"/>
      <c r="TPV11" s="6"/>
      <c r="TPX11" s="6"/>
      <c r="TPZ11" s="6"/>
      <c r="TQB11" s="6"/>
      <c r="TQD11" s="6"/>
      <c r="TQF11" s="6"/>
      <c r="TQH11" s="6"/>
      <c r="TQJ11" s="6"/>
      <c r="TQL11" s="6"/>
      <c r="TQN11" s="6"/>
      <c r="TQP11" s="6"/>
      <c r="TQR11" s="6"/>
      <c r="TQT11" s="6"/>
      <c r="TQV11" s="6"/>
      <c r="TQX11" s="6"/>
      <c r="TQZ11" s="6"/>
      <c r="TRB11" s="6"/>
      <c r="TRD11" s="6"/>
      <c r="TRF11" s="6"/>
      <c r="TRH11" s="6"/>
      <c r="TRJ11" s="6"/>
      <c r="TRL11" s="6"/>
      <c r="TRN11" s="6"/>
      <c r="TRP11" s="6"/>
      <c r="TRR11" s="6"/>
      <c r="TRT11" s="6"/>
      <c r="TRV11" s="6"/>
      <c r="TRX11" s="6"/>
      <c r="TRZ11" s="6"/>
      <c r="TSB11" s="6"/>
      <c r="TSD11" s="6"/>
      <c r="TSF11" s="6"/>
      <c r="TSH11" s="6"/>
      <c r="TSJ11" s="6"/>
      <c r="TSL11" s="6"/>
      <c r="TSN11" s="6"/>
      <c r="TSP11" s="6"/>
      <c r="TSR11" s="6"/>
      <c r="TST11" s="6"/>
      <c r="TSV11" s="6"/>
      <c r="TSX11" s="6"/>
      <c r="TSZ11" s="6"/>
      <c r="TTB11" s="6"/>
      <c r="TTD11" s="6"/>
      <c r="TTF11" s="6"/>
      <c r="TTH11" s="6"/>
      <c r="TTJ11" s="6"/>
      <c r="TTL11" s="6"/>
      <c r="TTN11" s="6"/>
      <c r="TTP11" s="6"/>
      <c r="TTR11" s="6"/>
      <c r="TTT11" s="6"/>
      <c r="TTV11" s="6"/>
      <c r="TTX11" s="6"/>
      <c r="TTZ11" s="6"/>
      <c r="TUB11" s="6"/>
      <c r="TUD11" s="6"/>
      <c r="TUF11" s="6"/>
      <c r="TUH11" s="6"/>
      <c r="TUJ11" s="6"/>
      <c r="TUL11" s="6"/>
      <c r="TUN11" s="6"/>
      <c r="TUP11" s="6"/>
      <c r="TUR11" s="6"/>
      <c r="TUT11" s="6"/>
      <c r="TUV11" s="6"/>
      <c r="TUX11" s="6"/>
      <c r="TUZ11" s="6"/>
      <c r="TVB11" s="6"/>
      <c r="TVD11" s="6"/>
      <c r="TVF11" s="6"/>
      <c r="TVH11" s="6"/>
      <c r="TVJ11" s="6"/>
      <c r="TVL11" s="6"/>
      <c r="TVN11" s="6"/>
      <c r="TVP11" s="6"/>
      <c r="TVR11" s="6"/>
      <c r="TVT11" s="6"/>
      <c r="TVV11" s="6"/>
      <c r="TVX11" s="6"/>
      <c r="TVZ11" s="6"/>
      <c r="TWB11" s="6"/>
      <c r="TWD11" s="6"/>
      <c r="TWF11" s="6"/>
      <c r="TWH11" s="6"/>
      <c r="TWJ11" s="6"/>
      <c r="TWL11" s="6"/>
      <c r="TWN11" s="6"/>
      <c r="TWP11" s="6"/>
      <c r="TWR11" s="6"/>
      <c r="TWT11" s="6"/>
      <c r="TWV11" s="6"/>
      <c r="TWX11" s="6"/>
      <c r="TWZ11" s="6"/>
      <c r="TXB11" s="6"/>
      <c r="TXD11" s="6"/>
      <c r="TXF11" s="6"/>
      <c r="TXH11" s="6"/>
      <c r="TXJ11" s="6"/>
      <c r="TXL11" s="6"/>
      <c r="TXN11" s="6"/>
      <c r="TXP11" s="6"/>
      <c r="TXR11" s="6"/>
      <c r="TXT11" s="6"/>
      <c r="TXV11" s="6"/>
      <c r="TXX11" s="6"/>
      <c r="TXZ11" s="6"/>
      <c r="TYB11" s="6"/>
      <c r="TYD11" s="6"/>
      <c r="TYF11" s="6"/>
      <c r="TYH11" s="6"/>
      <c r="TYJ11" s="6"/>
      <c r="TYL11" s="6"/>
      <c r="TYN11" s="6"/>
      <c r="TYP11" s="6"/>
      <c r="TYR11" s="6"/>
      <c r="TYT11" s="6"/>
      <c r="TYV11" s="6"/>
      <c r="TYX11" s="6"/>
      <c r="TYZ11" s="6"/>
      <c r="TZB11" s="6"/>
      <c r="TZD11" s="6"/>
      <c r="TZF11" s="6"/>
      <c r="TZH11" s="6"/>
      <c r="TZJ11" s="6"/>
      <c r="TZL11" s="6"/>
      <c r="TZN11" s="6"/>
      <c r="TZP11" s="6"/>
      <c r="TZR11" s="6"/>
      <c r="TZT11" s="6"/>
      <c r="TZV11" s="6"/>
      <c r="TZX11" s="6"/>
      <c r="TZZ11" s="6"/>
      <c r="UAB11" s="6"/>
      <c r="UAD11" s="6"/>
      <c r="UAF11" s="6"/>
      <c r="UAH11" s="6"/>
      <c r="UAJ11" s="6"/>
      <c r="UAL11" s="6"/>
      <c r="UAN11" s="6"/>
      <c r="UAP11" s="6"/>
      <c r="UAR11" s="6"/>
      <c r="UAT11" s="6"/>
      <c r="UAV11" s="6"/>
      <c r="UAX11" s="6"/>
      <c r="UAZ11" s="6"/>
      <c r="UBB11" s="6"/>
      <c r="UBD11" s="6"/>
      <c r="UBF11" s="6"/>
      <c r="UBH11" s="6"/>
      <c r="UBJ11" s="6"/>
      <c r="UBL11" s="6"/>
      <c r="UBN11" s="6"/>
      <c r="UBP11" s="6"/>
      <c r="UBR11" s="6"/>
      <c r="UBT11" s="6"/>
      <c r="UBV11" s="6"/>
      <c r="UBX11" s="6"/>
      <c r="UBZ11" s="6"/>
      <c r="UCB11" s="6"/>
      <c r="UCD11" s="6"/>
      <c r="UCF11" s="6"/>
      <c r="UCH11" s="6"/>
      <c r="UCJ11" s="6"/>
      <c r="UCL11" s="6"/>
      <c r="UCN11" s="6"/>
      <c r="UCP11" s="6"/>
      <c r="UCR11" s="6"/>
      <c r="UCT11" s="6"/>
      <c r="UCV11" s="6"/>
      <c r="UCX11" s="6"/>
      <c r="UCZ11" s="6"/>
      <c r="UDB11" s="6"/>
      <c r="UDD11" s="6"/>
      <c r="UDF11" s="6"/>
      <c r="UDH11" s="6"/>
      <c r="UDJ11" s="6"/>
      <c r="UDL11" s="6"/>
      <c r="UDN11" s="6"/>
      <c r="UDP11" s="6"/>
      <c r="UDR11" s="6"/>
      <c r="UDT11" s="6"/>
      <c r="UDV11" s="6"/>
      <c r="UDX11" s="6"/>
      <c r="UDZ11" s="6"/>
      <c r="UEB11" s="6"/>
      <c r="UED11" s="6"/>
      <c r="UEF11" s="6"/>
      <c r="UEH11" s="6"/>
      <c r="UEJ11" s="6"/>
      <c r="UEL11" s="6"/>
      <c r="UEN11" s="6"/>
      <c r="UEP11" s="6"/>
      <c r="UER11" s="6"/>
      <c r="UET11" s="6"/>
      <c r="UEV11" s="6"/>
      <c r="UEX11" s="6"/>
      <c r="UEZ11" s="6"/>
      <c r="UFB11" s="6"/>
      <c r="UFD11" s="6"/>
      <c r="UFF11" s="6"/>
      <c r="UFH11" s="6"/>
      <c r="UFJ11" s="6"/>
      <c r="UFL11" s="6"/>
      <c r="UFN11" s="6"/>
      <c r="UFP11" s="6"/>
      <c r="UFR11" s="6"/>
      <c r="UFT11" s="6"/>
      <c r="UFV11" s="6"/>
      <c r="UFX11" s="6"/>
      <c r="UFZ11" s="6"/>
      <c r="UGB11" s="6"/>
      <c r="UGD11" s="6"/>
      <c r="UGF11" s="6"/>
      <c r="UGH11" s="6"/>
      <c r="UGJ11" s="6"/>
      <c r="UGL11" s="6"/>
      <c r="UGN11" s="6"/>
      <c r="UGP11" s="6"/>
      <c r="UGR11" s="6"/>
      <c r="UGT11" s="6"/>
      <c r="UGV11" s="6"/>
      <c r="UGX11" s="6"/>
      <c r="UGZ11" s="6"/>
      <c r="UHB11" s="6"/>
      <c r="UHD11" s="6"/>
      <c r="UHF11" s="6"/>
      <c r="UHH11" s="6"/>
      <c r="UHJ11" s="6"/>
      <c r="UHL11" s="6"/>
      <c r="UHN11" s="6"/>
      <c r="UHP11" s="6"/>
      <c r="UHR11" s="6"/>
      <c r="UHT11" s="6"/>
      <c r="UHV11" s="6"/>
      <c r="UHX11" s="6"/>
      <c r="UHZ11" s="6"/>
      <c r="UIB11" s="6"/>
      <c r="UID11" s="6"/>
      <c r="UIF11" s="6"/>
      <c r="UIH11" s="6"/>
      <c r="UIJ11" s="6"/>
      <c r="UIL11" s="6"/>
      <c r="UIN11" s="6"/>
      <c r="UIP11" s="6"/>
      <c r="UIR11" s="6"/>
      <c r="UIT11" s="6"/>
      <c r="UIV11" s="6"/>
      <c r="UIX11" s="6"/>
      <c r="UIZ11" s="6"/>
      <c r="UJB11" s="6"/>
      <c r="UJD11" s="6"/>
      <c r="UJF11" s="6"/>
      <c r="UJH11" s="6"/>
      <c r="UJJ11" s="6"/>
      <c r="UJL11" s="6"/>
      <c r="UJN11" s="6"/>
      <c r="UJP11" s="6"/>
      <c r="UJR11" s="6"/>
      <c r="UJT11" s="6"/>
      <c r="UJV11" s="6"/>
      <c r="UJX11" s="6"/>
      <c r="UJZ11" s="6"/>
      <c r="UKB11" s="6"/>
      <c r="UKD11" s="6"/>
      <c r="UKF11" s="6"/>
      <c r="UKH11" s="6"/>
      <c r="UKJ11" s="6"/>
      <c r="UKL11" s="6"/>
      <c r="UKN11" s="6"/>
      <c r="UKP11" s="6"/>
      <c r="UKR11" s="6"/>
      <c r="UKT11" s="6"/>
      <c r="UKV11" s="6"/>
      <c r="UKX11" s="6"/>
      <c r="UKZ11" s="6"/>
      <c r="ULB11" s="6"/>
      <c r="ULD11" s="6"/>
      <c r="ULF11" s="6"/>
      <c r="ULH11" s="6"/>
      <c r="ULJ11" s="6"/>
      <c r="ULL11" s="6"/>
      <c r="ULN11" s="6"/>
      <c r="ULP11" s="6"/>
      <c r="ULR11" s="6"/>
      <c r="ULT11" s="6"/>
      <c r="ULV11" s="6"/>
      <c r="ULX11" s="6"/>
      <c r="ULZ11" s="6"/>
      <c r="UMB11" s="6"/>
      <c r="UMD11" s="6"/>
      <c r="UMF11" s="6"/>
      <c r="UMH11" s="6"/>
      <c r="UMJ11" s="6"/>
      <c r="UML11" s="6"/>
      <c r="UMN11" s="6"/>
      <c r="UMP11" s="6"/>
      <c r="UMR11" s="6"/>
      <c r="UMT11" s="6"/>
      <c r="UMV11" s="6"/>
      <c r="UMX11" s="6"/>
      <c r="UMZ11" s="6"/>
      <c r="UNB11" s="6"/>
      <c r="UND11" s="6"/>
      <c r="UNF11" s="6"/>
      <c r="UNH11" s="6"/>
      <c r="UNJ11" s="6"/>
      <c r="UNL11" s="6"/>
      <c r="UNN11" s="6"/>
      <c r="UNP11" s="6"/>
      <c r="UNR11" s="6"/>
      <c r="UNT11" s="6"/>
      <c r="UNV11" s="6"/>
      <c r="UNX11" s="6"/>
      <c r="UNZ11" s="6"/>
      <c r="UOB11" s="6"/>
      <c r="UOD11" s="6"/>
      <c r="UOF11" s="6"/>
      <c r="UOH11" s="6"/>
      <c r="UOJ11" s="6"/>
      <c r="UOL11" s="6"/>
      <c r="UON11" s="6"/>
      <c r="UOP11" s="6"/>
      <c r="UOR11" s="6"/>
      <c r="UOT11" s="6"/>
      <c r="UOV11" s="6"/>
      <c r="UOX11" s="6"/>
      <c r="UOZ11" s="6"/>
      <c r="UPB11" s="6"/>
      <c r="UPD11" s="6"/>
      <c r="UPF11" s="6"/>
      <c r="UPH11" s="6"/>
      <c r="UPJ11" s="6"/>
      <c r="UPL11" s="6"/>
      <c r="UPN11" s="6"/>
      <c r="UPP11" s="6"/>
      <c r="UPR11" s="6"/>
      <c r="UPT11" s="6"/>
      <c r="UPV11" s="6"/>
      <c r="UPX11" s="6"/>
      <c r="UPZ11" s="6"/>
      <c r="UQB11" s="6"/>
      <c r="UQD11" s="6"/>
      <c r="UQF11" s="6"/>
      <c r="UQH11" s="6"/>
      <c r="UQJ11" s="6"/>
      <c r="UQL11" s="6"/>
      <c r="UQN11" s="6"/>
      <c r="UQP11" s="6"/>
      <c r="UQR11" s="6"/>
      <c r="UQT11" s="6"/>
      <c r="UQV11" s="6"/>
      <c r="UQX11" s="6"/>
      <c r="UQZ11" s="6"/>
      <c r="URB11" s="6"/>
      <c r="URD11" s="6"/>
      <c r="URF11" s="6"/>
      <c r="URH11" s="6"/>
      <c r="URJ11" s="6"/>
      <c r="URL11" s="6"/>
      <c r="URN11" s="6"/>
      <c r="URP11" s="6"/>
      <c r="URR11" s="6"/>
      <c r="URT11" s="6"/>
      <c r="URV11" s="6"/>
      <c r="URX11" s="6"/>
      <c r="URZ11" s="6"/>
      <c r="USB11" s="6"/>
      <c r="USD11" s="6"/>
      <c r="USF11" s="6"/>
      <c r="USH11" s="6"/>
      <c r="USJ11" s="6"/>
      <c r="USL11" s="6"/>
      <c r="USN11" s="6"/>
      <c r="USP11" s="6"/>
      <c r="USR11" s="6"/>
      <c r="UST11" s="6"/>
      <c r="USV11" s="6"/>
      <c r="USX11" s="6"/>
      <c r="USZ11" s="6"/>
      <c r="UTB11" s="6"/>
      <c r="UTD11" s="6"/>
      <c r="UTF11" s="6"/>
      <c r="UTH11" s="6"/>
      <c r="UTJ11" s="6"/>
      <c r="UTL11" s="6"/>
      <c r="UTN11" s="6"/>
      <c r="UTP11" s="6"/>
      <c r="UTR11" s="6"/>
      <c r="UTT11" s="6"/>
      <c r="UTV11" s="6"/>
      <c r="UTX11" s="6"/>
      <c r="UTZ11" s="6"/>
      <c r="UUB11" s="6"/>
      <c r="UUD11" s="6"/>
      <c r="UUF11" s="6"/>
      <c r="UUH11" s="6"/>
      <c r="UUJ11" s="6"/>
      <c r="UUL11" s="6"/>
      <c r="UUN11" s="6"/>
      <c r="UUP11" s="6"/>
      <c r="UUR11" s="6"/>
      <c r="UUT11" s="6"/>
      <c r="UUV11" s="6"/>
      <c r="UUX11" s="6"/>
      <c r="UUZ11" s="6"/>
      <c r="UVB11" s="6"/>
      <c r="UVD11" s="6"/>
      <c r="UVF11" s="6"/>
      <c r="UVH11" s="6"/>
      <c r="UVJ11" s="6"/>
      <c r="UVL11" s="6"/>
      <c r="UVN11" s="6"/>
      <c r="UVP11" s="6"/>
      <c r="UVR11" s="6"/>
      <c r="UVT11" s="6"/>
      <c r="UVV11" s="6"/>
      <c r="UVX11" s="6"/>
      <c r="UVZ11" s="6"/>
      <c r="UWB11" s="6"/>
      <c r="UWD11" s="6"/>
      <c r="UWF11" s="6"/>
      <c r="UWH11" s="6"/>
      <c r="UWJ11" s="6"/>
      <c r="UWL11" s="6"/>
      <c r="UWN11" s="6"/>
      <c r="UWP11" s="6"/>
      <c r="UWR11" s="6"/>
      <c r="UWT11" s="6"/>
      <c r="UWV11" s="6"/>
      <c r="UWX11" s="6"/>
      <c r="UWZ11" s="6"/>
      <c r="UXB11" s="6"/>
      <c r="UXD11" s="6"/>
      <c r="UXF11" s="6"/>
      <c r="UXH11" s="6"/>
      <c r="UXJ11" s="6"/>
      <c r="UXL11" s="6"/>
      <c r="UXN11" s="6"/>
      <c r="UXP11" s="6"/>
      <c r="UXR11" s="6"/>
      <c r="UXT11" s="6"/>
      <c r="UXV11" s="6"/>
      <c r="UXX11" s="6"/>
      <c r="UXZ11" s="6"/>
      <c r="UYB11" s="6"/>
      <c r="UYD11" s="6"/>
      <c r="UYF11" s="6"/>
      <c r="UYH11" s="6"/>
      <c r="UYJ11" s="6"/>
      <c r="UYL11" s="6"/>
      <c r="UYN11" s="6"/>
      <c r="UYP11" s="6"/>
      <c r="UYR11" s="6"/>
      <c r="UYT11" s="6"/>
      <c r="UYV11" s="6"/>
      <c r="UYX11" s="6"/>
      <c r="UYZ11" s="6"/>
      <c r="UZB11" s="6"/>
      <c r="UZD11" s="6"/>
      <c r="UZF11" s="6"/>
      <c r="UZH11" s="6"/>
      <c r="UZJ11" s="6"/>
      <c r="UZL11" s="6"/>
      <c r="UZN11" s="6"/>
      <c r="UZP11" s="6"/>
      <c r="UZR11" s="6"/>
      <c r="UZT11" s="6"/>
      <c r="UZV11" s="6"/>
      <c r="UZX11" s="6"/>
      <c r="UZZ11" s="6"/>
      <c r="VAB11" s="6"/>
      <c r="VAD11" s="6"/>
      <c r="VAF11" s="6"/>
      <c r="VAH11" s="6"/>
      <c r="VAJ11" s="6"/>
      <c r="VAL11" s="6"/>
      <c r="VAN11" s="6"/>
      <c r="VAP11" s="6"/>
      <c r="VAR11" s="6"/>
      <c r="VAT11" s="6"/>
      <c r="VAV11" s="6"/>
      <c r="VAX11" s="6"/>
      <c r="VAZ11" s="6"/>
      <c r="VBB11" s="6"/>
      <c r="VBD11" s="6"/>
      <c r="VBF11" s="6"/>
      <c r="VBH11" s="6"/>
      <c r="VBJ11" s="6"/>
      <c r="VBL11" s="6"/>
      <c r="VBN11" s="6"/>
      <c r="VBP11" s="6"/>
      <c r="VBR11" s="6"/>
      <c r="VBT11" s="6"/>
      <c r="VBV11" s="6"/>
      <c r="VBX11" s="6"/>
      <c r="VBZ11" s="6"/>
      <c r="VCB11" s="6"/>
      <c r="VCD11" s="6"/>
      <c r="VCF11" s="6"/>
      <c r="VCH11" s="6"/>
      <c r="VCJ11" s="6"/>
      <c r="VCL11" s="6"/>
      <c r="VCN11" s="6"/>
      <c r="VCP11" s="6"/>
      <c r="VCR11" s="6"/>
      <c r="VCT11" s="6"/>
      <c r="VCV11" s="6"/>
      <c r="VCX11" s="6"/>
      <c r="VCZ11" s="6"/>
      <c r="VDB11" s="6"/>
      <c r="VDD11" s="6"/>
      <c r="VDF11" s="6"/>
      <c r="VDH11" s="6"/>
      <c r="VDJ11" s="6"/>
      <c r="VDL11" s="6"/>
      <c r="VDN11" s="6"/>
      <c r="VDP11" s="6"/>
      <c r="VDR11" s="6"/>
      <c r="VDT11" s="6"/>
      <c r="VDV11" s="6"/>
      <c r="VDX11" s="6"/>
      <c r="VDZ11" s="6"/>
      <c r="VEB11" s="6"/>
      <c r="VED11" s="6"/>
      <c r="VEF11" s="6"/>
      <c r="VEH11" s="6"/>
      <c r="VEJ11" s="6"/>
      <c r="VEL11" s="6"/>
      <c r="VEN11" s="6"/>
      <c r="VEP11" s="6"/>
      <c r="VER11" s="6"/>
      <c r="VET11" s="6"/>
      <c r="VEV11" s="6"/>
      <c r="VEX11" s="6"/>
      <c r="VEZ11" s="6"/>
      <c r="VFB11" s="6"/>
      <c r="VFD11" s="6"/>
      <c r="VFF11" s="6"/>
      <c r="VFH11" s="6"/>
      <c r="VFJ11" s="6"/>
      <c r="VFL11" s="6"/>
      <c r="VFN11" s="6"/>
      <c r="VFP11" s="6"/>
      <c r="VFR11" s="6"/>
      <c r="VFT11" s="6"/>
      <c r="VFV11" s="6"/>
      <c r="VFX11" s="6"/>
      <c r="VFZ11" s="6"/>
      <c r="VGB11" s="6"/>
      <c r="VGD11" s="6"/>
      <c r="VGF11" s="6"/>
      <c r="VGH11" s="6"/>
      <c r="VGJ11" s="6"/>
      <c r="VGL11" s="6"/>
      <c r="VGN11" s="6"/>
      <c r="VGP11" s="6"/>
      <c r="VGR11" s="6"/>
      <c r="VGT11" s="6"/>
      <c r="VGV11" s="6"/>
      <c r="VGX11" s="6"/>
      <c r="VGZ11" s="6"/>
      <c r="VHB11" s="6"/>
      <c r="VHD11" s="6"/>
      <c r="VHF11" s="6"/>
      <c r="VHH11" s="6"/>
      <c r="VHJ11" s="6"/>
      <c r="VHL11" s="6"/>
      <c r="VHN11" s="6"/>
      <c r="VHP11" s="6"/>
      <c r="VHR11" s="6"/>
      <c r="VHT11" s="6"/>
      <c r="VHV11" s="6"/>
      <c r="VHX11" s="6"/>
      <c r="VHZ11" s="6"/>
      <c r="VIB11" s="6"/>
      <c r="VID11" s="6"/>
      <c r="VIF11" s="6"/>
      <c r="VIH11" s="6"/>
      <c r="VIJ11" s="6"/>
      <c r="VIL11" s="6"/>
      <c r="VIN11" s="6"/>
      <c r="VIP11" s="6"/>
      <c r="VIR11" s="6"/>
      <c r="VIT11" s="6"/>
      <c r="VIV11" s="6"/>
      <c r="VIX11" s="6"/>
      <c r="VIZ11" s="6"/>
      <c r="VJB11" s="6"/>
      <c r="VJD11" s="6"/>
      <c r="VJF11" s="6"/>
      <c r="VJH11" s="6"/>
      <c r="VJJ11" s="6"/>
      <c r="VJL11" s="6"/>
      <c r="VJN11" s="6"/>
      <c r="VJP11" s="6"/>
      <c r="VJR11" s="6"/>
      <c r="VJT11" s="6"/>
      <c r="VJV11" s="6"/>
      <c r="VJX11" s="6"/>
      <c r="VJZ11" s="6"/>
      <c r="VKB11" s="6"/>
      <c r="VKD11" s="6"/>
      <c r="VKF11" s="6"/>
      <c r="VKH11" s="6"/>
      <c r="VKJ11" s="6"/>
      <c r="VKL11" s="6"/>
      <c r="VKN11" s="6"/>
      <c r="VKP11" s="6"/>
      <c r="VKR11" s="6"/>
      <c r="VKT11" s="6"/>
      <c r="VKV11" s="6"/>
      <c r="VKX11" s="6"/>
      <c r="VKZ11" s="6"/>
      <c r="VLB11" s="6"/>
      <c r="VLD11" s="6"/>
      <c r="VLF11" s="6"/>
      <c r="VLH11" s="6"/>
      <c r="VLJ11" s="6"/>
      <c r="VLL11" s="6"/>
      <c r="VLN11" s="6"/>
      <c r="VLP11" s="6"/>
      <c r="VLR11" s="6"/>
      <c r="VLT11" s="6"/>
      <c r="VLV11" s="6"/>
      <c r="VLX11" s="6"/>
      <c r="VLZ11" s="6"/>
      <c r="VMB11" s="6"/>
      <c r="VMD11" s="6"/>
      <c r="VMF11" s="6"/>
      <c r="VMH11" s="6"/>
      <c r="VMJ11" s="6"/>
      <c r="VML11" s="6"/>
      <c r="VMN11" s="6"/>
      <c r="VMP11" s="6"/>
      <c r="VMR11" s="6"/>
      <c r="VMT11" s="6"/>
      <c r="VMV11" s="6"/>
      <c r="VMX11" s="6"/>
      <c r="VMZ11" s="6"/>
      <c r="VNB11" s="6"/>
      <c r="VND11" s="6"/>
      <c r="VNF11" s="6"/>
      <c r="VNH11" s="6"/>
      <c r="VNJ11" s="6"/>
      <c r="VNL11" s="6"/>
      <c r="VNN11" s="6"/>
      <c r="VNP11" s="6"/>
      <c r="VNR11" s="6"/>
      <c r="VNT11" s="6"/>
      <c r="VNV11" s="6"/>
      <c r="VNX11" s="6"/>
      <c r="VNZ11" s="6"/>
      <c r="VOB11" s="6"/>
      <c r="VOD11" s="6"/>
      <c r="VOF11" s="6"/>
      <c r="VOH11" s="6"/>
      <c r="VOJ11" s="6"/>
      <c r="VOL11" s="6"/>
      <c r="VON11" s="6"/>
      <c r="VOP11" s="6"/>
      <c r="VOR11" s="6"/>
      <c r="VOT11" s="6"/>
      <c r="VOV11" s="6"/>
      <c r="VOX11" s="6"/>
      <c r="VOZ11" s="6"/>
      <c r="VPB11" s="6"/>
      <c r="VPD11" s="6"/>
      <c r="VPF11" s="6"/>
      <c r="VPH11" s="6"/>
      <c r="VPJ11" s="6"/>
      <c r="VPL11" s="6"/>
      <c r="VPN11" s="6"/>
      <c r="VPP11" s="6"/>
      <c r="VPR11" s="6"/>
      <c r="VPT11" s="6"/>
      <c r="VPV11" s="6"/>
      <c r="VPX11" s="6"/>
      <c r="VPZ11" s="6"/>
      <c r="VQB11" s="6"/>
      <c r="VQD11" s="6"/>
      <c r="VQF11" s="6"/>
      <c r="VQH11" s="6"/>
      <c r="VQJ11" s="6"/>
      <c r="VQL11" s="6"/>
      <c r="VQN11" s="6"/>
      <c r="VQP11" s="6"/>
      <c r="VQR11" s="6"/>
      <c r="VQT11" s="6"/>
      <c r="VQV11" s="6"/>
      <c r="VQX11" s="6"/>
      <c r="VQZ11" s="6"/>
      <c r="VRB11" s="6"/>
      <c r="VRD11" s="6"/>
      <c r="VRF11" s="6"/>
      <c r="VRH11" s="6"/>
      <c r="VRJ11" s="6"/>
      <c r="VRL11" s="6"/>
      <c r="VRN11" s="6"/>
      <c r="VRP11" s="6"/>
      <c r="VRR11" s="6"/>
      <c r="VRT11" s="6"/>
      <c r="VRV11" s="6"/>
      <c r="VRX11" s="6"/>
      <c r="VRZ11" s="6"/>
      <c r="VSB11" s="6"/>
      <c r="VSD11" s="6"/>
      <c r="VSF11" s="6"/>
      <c r="VSH11" s="6"/>
      <c r="VSJ11" s="6"/>
      <c r="VSL11" s="6"/>
      <c r="VSN11" s="6"/>
      <c r="VSP11" s="6"/>
      <c r="VSR11" s="6"/>
      <c r="VST11" s="6"/>
      <c r="VSV11" s="6"/>
      <c r="VSX11" s="6"/>
      <c r="VSZ11" s="6"/>
      <c r="VTB11" s="6"/>
      <c r="VTD11" s="6"/>
      <c r="VTF11" s="6"/>
      <c r="VTH11" s="6"/>
      <c r="VTJ11" s="6"/>
      <c r="VTL11" s="6"/>
      <c r="VTN11" s="6"/>
      <c r="VTP11" s="6"/>
      <c r="VTR11" s="6"/>
      <c r="VTT11" s="6"/>
      <c r="VTV11" s="6"/>
      <c r="VTX11" s="6"/>
      <c r="VTZ11" s="6"/>
      <c r="VUB11" s="6"/>
      <c r="VUD11" s="6"/>
      <c r="VUF11" s="6"/>
      <c r="VUH11" s="6"/>
      <c r="VUJ11" s="6"/>
      <c r="VUL11" s="6"/>
      <c r="VUN11" s="6"/>
      <c r="VUP11" s="6"/>
      <c r="VUR11" s="6"/>
      <c r="VUT11" s="6"/>
      <c r="VUV11" s="6"/>
      <c r="VUX11" s="6"/>
      <c r="VUZ11" s="6"/>
      <c r="VVB11" s="6"/>
      <c r="VVD11" s="6"/>
      <c r="VVF11" s="6"/>
      <c r="VVH11" s="6"/>
      <c r="VVJ11" s="6"/>
      <c r="VVL11" s="6"/>
      <c r="VVN11" s="6"/>
      <c r="VVP11" s="6"/>
      <c r="VVR11" s="6"/>
      <c r="VVT11" s="6"/>
      <c r="VVV11" s="6"/>
      <c r="VVX11" s="6"/>
      <c r="VVZ11" s="6"/>
      <c r="VWB11" s="6"/>
      <c r="VWD11" s="6"/>
      <c r="VWF11" s="6"/>
      <c r="VWH11" s="6"/>
      <c r="VWJ11" s="6"/>
      <c r="VWL11" s="6"/>
      <c r="VWN11" s="6"/>
      <c r="VWP11" s="6"/>
      <c r="VWR11" s="6"/>
      <c r="VWT11" s="6"/>
      <c r="VWV11" s="6"/>
      <c r="VWX11" s="6"/>
      <c r="VWZ11" s="6"/>
      <c r="VXB11" s="6"/>
      <c r="VXD11" s="6"/>
      <c r="VXF11" s="6"/>
      <c r="VXH11" s="6"/>
      <c r="VXJ11" s="6"/>
      <c r="VXL11" s="6"/>
      <c r="VXN11" s="6"/>
      <c r="VXP11" s="6"/>
      <c r="VXR11" s="6"/>
      <c r="VXT11" s="6"/>
      <c r="VXV11" s="6"/>
      <c r="VXX11" s="6"/>
      <c r="VXZ11" s="6"/>
      <c r="VYB11" s="6"/>
      <c r="VYD11" s="6"/>
      <c r="VYF11" s="6"/>
      <c r="VYH11" s="6"/>
      <c r="VYJ11" s="6"/>
      <c r="VYL11" s="6"/>
      <c r="VYN11" s="6"/>
      <c r="VYP11" s="6"/>
      <c r="VYR11" s="6"/>
      <c r="VYT11" s="6"/>
      <c r="VYV11" s="6"/>
      <c r="VYX11" s="6"/>
      <c r="VYZ11" s="6"/>
      <c r="VZB11" s="6"/>
      <c r="VZD11" s="6"/>
      <c r="VZF11" s="6"/>
      <c r="VZH11" s="6"/>
      <c r="VZJ11" s="6"/>
      <c r="VZL11" s="6"/>
      <c r="VZN11" s="6"/>
      <c r="VZP11" s="6"/>
      <c r="VZR11" s="6"/>
      <c r="VZT11" s="6"/>
      <c r="VZV11" s="6"/>
      <c r="VZX11" s="6"/>
      <c r="VZZ11" s="6"/>
      <c r="WAB11" s="6"/>
      <c r="WAD11" s="6"/>
      <c r="WAF11" s="6"/>
      <c r="WAH11" s="6"/>
      <c r="WAJ11" s="6"/>
      <c r="WAL11" s="6"/>
      <c r="WAN11" s="6"/>
      <c r="WAP11" s="6"/>
      <c r="WAR11" s="6"/>
      <c r="WAT11" s="6"/>
      <c r="WAV11" s="6"/>
      <c r="WAX11" s="6"/>
      <c r="WAZ11" s="6"/>
      <c r="WBB11" s="6"/>
      <c r="WBD11" s="6"/>
      <c r="WBF11" s="6"/>
      <c r="WBH11" s="6"/>
      <c r="WBJ11" s="6"/>
      <c r="WBL11" s="6"/>
      <c r="WBN11" s="6"/>
      <c r="WBP11" s="6"/>
      <c r="WBR11" s="6"/>
      <c r="WBT11" s="6"/>
      <c r="WBV11" s="6"/>
      <c r="WBX11" s="6"/>
      <c r="WBZ11" s="6"/>
      <c r="WCB11" s="6"/>
      <c r="WCD11" s="6"/>
      <c r="WCF11" s="6"/>
      <c r="WCH11" s="6"/>
      <c r="WCJ11" s="6"/>
      <c r="WCL11" s="6"/>
      <c r="WCN11" s="6"/>
      <c r="WCP11" s="6"/>
      <c r="WCR11" s="6"/>
      <c r="WCT11" s="6"/>
      <c r="WCV11" s="6"/>
      <c r="WCX11" s="6"/>
      <c r="WCZ11" s="6"/>
      <c r="WDB11" s="6"/>
      <c r="WDD11" s="6"/>
      <c r="WDF11" s="6"/>
      <c r="WDH11" s="6"/>
      <c r="WDJ11" s="6"/>
      <c r="WDL11" s="6"/>
      <c r="WDN11" s="6"/>
      <c r="WDP11" s="6"/>
      <c r="WDR11" s="6"/>
      <c r="WDT11" s="6"/>
      <c r="WDV11" s="6"/>
      <c r="WDX11" s="6"/>
      <c r="WDZ11" s="6"/>
      <c r="WEB11" s="6"/>
      <c r="WED11" s="6"/>
      <c r="WEF11" s="6"/>
      <c r="WEH11" s="6"/>
      <c r="WEJ11" s="6"/>
      <c r="WEL11" s="6"/>
      <c r="WEN11" s="6"/>
      <c r="WEP11" s="6"/>
      <c r="WER11" s="6"/>
      <c r="WET11" s="6"/>
      <c r="WEV11" s="6"/>
      <c r="WEX11" s="6"/>
      <c r="WEZ11" s="6"/>
      <c r="WFB11" s="6"/>
      <c r="WFD11" s="6"/>
      <c r="WFF11" s="6"/>
      <c r="WFH11" s="6"/>
      <c r="WFJ11" s="6"/>
      <c r="WFL11" s="6"/>
      <c r="WFN11" s="6"/>
      <c r="WFP11" s="6"/>
      <c r="WFR11" s="6"/>
      <c r="WFT11" s="6"/>
      <c r="WFV11" s="6"/>
      <c r="WFX11" s="6"/>
      <c r="WFZ11" s="6"/>
      <c r="WGB11" s="6"/>
      <c r="WGD11" s="6"/>
      <c r="WGF11" s="6"/>
      <c r="WGH11" s="6"/>
      <c r="WGJ11" s="6"/>
      <c r="WGL11" s="6"/>
      <c r="WGN11" s="6"/>
      <c r="WGP11" s="6"/>
      <c r="WGR11" s="6"/>
      <c r="WGT11" s="6"/>
      <c r="WGV11" s="6"/>
      <c r="WGX11" s="6"/>
      <c r="WGZ11" s="6"/>
      <c r="WHB11" s="6"/>
      <c r="WHD11" s="6"/>
      <c r="WHF11" s="6"/>
      <c r="WHH11" s="6"/>
      <c r="WHJ11" s="6"/>
      <c r="WHL11" s="6"/>
      <c r="WHN11" s="6"/>
      <c r="WHP11" s="6"/>
      <c r="WHR11" s="6"/>
      <c r="WHT11" s="6"/>
      <c r="WHV11" s="6"/>
      <c r="WHX11" s="6"/>
      <c r="WHZ11" s="6"/>
      <c r="WIB11" s="6"/>
      <c r="WID11" s="6"/>
      <c r="WIF11" s="6"/>
      <c r="WIH11" s="6"/>
      <c r="WIJ11" s="6"/>
      <c r="WIL11" s="6"/>
      <c r="WIN11" s="6"/>
      <c r="WIP11" s="6"/>
      <c r="WIR11" s="6"/>
      <c r="WIT11" s="6"/>
      <c r="WIV11" s="6"/>
      <c r="WIX11" s="6"/>
      <c r="WIZ11" s="6"/>
      <c r="WJB11" s="6"/>
      <c r="WJD11" s="6"/>
      <c r="WJF11" s="6"/>
      <c r="WJH11" s="6"/>
      <c r="WJJ11" s="6"/>
      <c r="WJL11" s="6"/>
      <c r="WJN11" s="6"/>
      <c r="WJP11" s="6"/>
      <c r="WJR11" s="6"/>
      <c r="WJT11" s="6"/>
      <c r="WJV11" s="6"/>
      <c r="WJX11" s="6"/>
      <c r="WJZ11" s="6"/>
      <c r="WKB11" s="6"/>
      <c r="WKD11" s="6"/>
      <c r="WKF11" s="6"/>
      <c r="WKH11" s="6"/>
      <c r="WKJ11" s="6"/>
      <c r="WKL11" s="6"/>
      <c r="WKN11" s="6"/>
      <c r="WKP11" s="6"/>
      <c r="WKR11" s="6"/>
      <c r="WKT11" s="6"/>
      <c r="WKV11" s="6"/>
      <c r="WKX11" s="6"/>
      <c r="WKZ11" s="6"/>
      <c r="WLB11" s="6"/>
      <c r="WLD11" s="6"/>
      <c r="WLF11" s="6"/>
      <c r="WLH11" s="6"/>
      <c r="WLJ11" s="6"/>
      <c r="WLL11" s="6"/>
      <c r="WLN11" s="6"/>
      <c r="WLP11" s="6"/>
      <c r="WLR11" s="6"/>
      <c r="WLT11" s="6"/>
      <c r="WLV11" s="6"/>
      <c r="WLX11" s="6"/>
      <c r="WLZ11" s="6"/>
      <c r="WMB11" s="6"/>
      <c r="WMD11" s="6"/>
      <c r="WMF11" s="6"/>
      <c r="WMH11" s="6"/>
      <c r="WMJ11" s="6"/>
      <c r="WML11" s="6"/>
      <c r="WMN11" s="6"/>
      <c r="WMP11" s="6"/>
      <c r="WMR11" s="6"/>
      <c r="WMT11" s="6"/>
      <c r="WMV11" s="6"/>
      <c r="WMX11" s="6"/>
      <c r="WMZ11" s="6"/>
      <c r="WNB11" s="6"/>
      <c r="WND11" s="6"/>
      <c r="WNF11" s="6"/>
      <c r="WNH11" s="6"/>
      <c r="WNJ11" s="6"/>
      <c r="WNL11" s="6"/>
      <c r="WNN11" s="6"/>
      <c r="WNP11" s="6"/>
      <c r="WNR11" s="6"/>
      <c r="WNT11" s="6"/>
      <c r="WNV11" s="6"/>
      <c r="WNX11" s="6"/>
      <c r="WNZ11" s="6"/>
      <c r="WOB11" s="6"/>
      <c r="WOD11" s="6"/>
      <c r="WOF11" s="6"/>
      <c r="WOH11" s="6"/>
      <c r="WOJ11" s="6"/>
      <c r="WOL11" s="6"/>
      <c r="WON11" s="6"/>
      <c r="WOP11" s="6"/>
      <c r="WOR11" s="6"/>
      <c r="WOT11" s="6"/>
      <c r="WOV11" s="6"/>
      <c r="WOX11" s="6"/>
      <c r="WOZ11" s="6"/>
      <c r="WPB11" s="6"/>
      <c r="WPD11" s="6"/>
      <c r="WPF11" s="6"/>
      <c r="WPH11" s="6"/>
      <c r="WPJ11" s="6"/>
      <c r="WPL11" s="6"/>
      <c r="WPN11" s="6"/>
      <c r="WPP11" s="6"/>
      <c r="WPR11" s="6"/>
      <c r="WPT11" s="6"/>
      <c r="WPV11" s="6"/>
      <c r="WPX11" s="6"/>
      <c r="WPZ11" s="6"/>
      <c r="WQB11" s="6"/>
      <c r="WQD11" s="6"/>
      <c r="WQF11" s="6"/>
      <c r="WQH11" s="6"/>
      <c r="WQJ11" s="6"/>
      <c r="WQL11" s="6"/>
      <c r="WQN11" s="6"/>
      <c r="WQP11" s="6"/>
      <c r="WQR11" s="6"/>
      <c r="WQT11" s="6"/>
      <c r="WQV11" s="6"/>
      <c r="WQX11" s="6"/>
      <c r="WQZ11" s="6"/>
      <c r="WRB11" s="6"/>
      <c r="WRD11" s="6"/>
      <c r="WRF11" s="6"/>
      <c r="WRH11" s="6"/>
      <c r="WRJ11" s="6"/>
      <c r="WRL11" s="6"/>
      <c r="WRN11" s="6"/>
      <c r="WRP11" s="6"/>
      <c r="WRR11" s="6"/>
      <c r="WRT11" s="6"/>
      <c r="WRV11" s="6"/>
      <c r="WRX11" s="6"/>
      <c r="WRZ11" s="6"/>
      <c r="WSB11" s="6"/>
      <c r="WSD11" s="6"/>
      <c r="WSF11" s="6"/>
      <c r="WSH11" s="6"/>
      <c r="WSJ11" s="6"/>
      <c r="WSL11" s="6"/>
      <c r="WSN11" s="6"/>
      <c r="WSP11" s="6"/>
      <c r="WSR11" s="6"/>
      <c r="WST11" s="6"/>
      <c r="WSV11" s="6"/>
      <c r="WSX11" s="6"/>
      <c r="WSZ11" s="6"/>
      <c r="WTB11" s="6"/>
      <c r="WTD11" s="6"/>
      <c r="WTF11" s="6"/>
      <c r="WTH11" s="6"/>
      <c r="WTJ11" s="6"/>
      <c r="WTL11" s="6"/>
      <c r="WTN11" s="6"/>
      <c r="WTP11" s="6"/>
      <c r="WTR11" s="6"/>
      <c r="WTT11" s="6"/>
      <c r="WTV11" s="6"/>
      <c r="WTX11" s="6"/>
      <c r="WTZ11" s="6"/>
      <c r="WUB11" s="6"/>
      <c r="WUD11" s="6"/>
      <c r="WUF11" s="6"/>
      <c r="WUH11" s="6"/>
      <c r="WUJ11" s="6"/>
      <c r="WUL11" s="6"/>
      <c r="WUN11" s="6"/>
      <c r="WUP11" s="6"/>
      <c r="WUR11" s="6"/>
      <c r="WUT11" s="6"/>
      <c r="WUV11" s="6"/>
      <c r="WUX11" s="6"/>
      <c r="WUZ11" s="6"/>
      <c r="WVB11" s="6"/>
      <c r="WVD11" s="6"/>
      <c r="WVF11" s="6"/>
      <c r="WVH11" s="6"/>
      <c r="WVJ11" s="6"/>
      <c r="WVL11" s="6"/>
      <c r="WVN11" s="6"/>
      <c r="WVP11" s="6"/>
      <c r="WVR11" s="6"/>
      <c r="WVT11" s="6"/>
      <c r="WVV11" s="6"/>
      <c r="WVX11" s="6"/>
      <c r="WVZ11" s="6"/>
      <c r="WWB11" s="6"/>
      <c r="WWD11" s="6"/>
      <c r="WWF11" s="6"/>
      <c r="WWH11" s="6"/>
      <c r="WWJ11" s="6"/>
      <c r="WWL11" s="6"/>
      <c r="WWN11" s="6"/>
      <c r="WWP11" s="6"/>
      <c r="WWR11" s="6"/>
      <c r="WWT11" s="6"/>
      <c r="WWV11" s="6"/>
      <c r="WWX11" s="6"/>
      <c r="WWZ11" s="6"/>
      <c r="WXB11" s="6"/>
      <c r="WXD11" s="6"/>
      <c r="WXF11" s="6"/>
      <c r="WXH11" s="6"/>
      <c r="WXJ11" s="6"/>
      <c r="WXL11" s="6"/>
      <c r="WXN11" s="6"/>
      <c r="WXP11" s="6"/>
      <c r="WXR11" s="6"/>
      <c r="WXT11" s="6"/>
      <c r="WXV11" s="6"/>
      <c r="WXX11" s="6"/>
      <c r="WXZ11" s="6"/>
      <c r="WYB11" s="6"/>
      <c r="WYD11" s="6"/>
      <c r="WYF11" s="6"/>
      <c r="WYH11" s="6"/>
      <c r="WYJ11" s="6"/>
      <c r="WYL11" s="6"/>
      <c r="WYN11" s="6"/>
      <c r="WYP11" s="6"/>
      <c r="WYR11" s="6"/>
      <c r="WYT11" s="6"/>
      <c r="WYV11" s="6"/>
      <c r="WYX11" s="6"/>
      <c r="WYZ11" s="6"/>
      <c r="WZB11" s="6"/>
      <c r="WZD11" s="6"/>
      <c r="WZF11" s="6"/>
      <c r="WZH11" s="6"/>
      <c r="WZJ11" s="6"/>
      <c r="WZL11" s="6"/>
      <c r="WZN11" s="6"/>
      <c r="WZP11" s="6"/>
      <c r="WZR11" s="6"/>
      <c r="WZT11" s="6"/>
      <c r="WZV11" s="6"/>
      <c r="WZX11" s="6"/>
      <c r="WZZ11" s="6"/>
      <c r="XAB11" s="6"/>
      <c r="XAD11" s="6"/>
      <c r="XAF11" s="6"/>
      <c r="XAH11" s="6"/>
      <c r="XAJ11" s="6"/>
      <c r="XAL11" s="6"/>
      <c r="XAN11" s="6"/>
      <c r="XAP11" s="6"/>
      <c r="XAR11" s="6"/>
      <c r="XAT11" s="6"/>
      <c r="XAV11" s="6"/>
      <c r="XAX11" s="6"/>
      <c r="XAZ11" s="6"/>
      <c r="XBB11" s="6"/>
      <c r="XBD11" s="6"/>
      <c r="XBF11" s="6"/>
      <c r="XBH11" s="6"/>
      <c r="XBJ11" s="6"/>
      <c r="XBL11" s="6"/>
      <c r="XBN11" s="6"/>
      <c r="XBP11" s="6"/>
      <c r="XBR11" s="6"/>
      <c r="XBT11" s="6"/>
      <c r="XBV11" s="6"/>
      <c r="XBX11" s="6"/>
      <c r="XBZ11" s="6"/>
      <c r="XCB11" s="6"/>
      <c r="XCD11" s="6"/>
      <c r="XCF11" s="6"/>
      <c r="XCH11" s="6"/>
      <c r="XCJ11" s="6"/>
      <c r="XCL11" s="6"/>
      <c r="XCN11" s="6"/>
      <c r="XCP11" s="6"/>
      <c r="XCR11" s="6"/>
      <c r="XCT11" s="6"/>
      <c r="XCV11" s="6"/>
      <c r="XCX11" s="6"/>
      <c r="XCZ11" s="6"/>
      <c r="XDB11" s="6"/>
      <c r="XDD11" s="6"/>
      <c r="XDF11" s="6"/>
      <c r="XDH11" s="6"/>
      <c r="XDJ11" s="6"/>
      <c r="XDL11" s="6"/>
      <c r="XDN11" s="6"/>
      <c r="XDP11" s="6"/>
      <c r="XDR11" s="6"/>
      <c r="XDT11" s="6"/>
      <c r="XDV11" s="6"/>
      <c r="XDX11" s="6"/>
      <c r="XDZ11" s="6"/>
      <c r="XEB11" s="6"/>
      <c r="XED11" s="6"/>
      <c r="XEF11" s="6"/>
      <c r="XEH11" s="6"/>
      <c r="XEJ11" s="6"/>
      <c r="XEL11" s="6"/>
      <c r="XEN11" s="6"/>
      <c r="XEP11" s="6"/>
      <c r="XER11" s="6"/>
      <c r="XET11" s="6"/>
      <c r="XEV11" s="6"/>
      <c r="XEX11" s="6"/>
      <c r="XEZ11" s="6"/>
      <c r="XFB11" s="6"/>
      <c r="XFD11" s="6"/>
    </row>
    <row r="13" spans="1:1024 1026:2048 2050:3072 3074:4096 4098:5120 5122:6144 6146:7168 7170:8192 8194:9216 9218:10240 10242:11264 11266:12288 12290:13312 13314:14336 14338:15360 15362:16384" x14ac:dyDescent="0.25">
      <c r="A13" s="2" t="s">
        <v>72</v>
      </c>
      <c r="B13" s="3">
        <v>-18.910506919795399</v>
      </c>
    </row>
    <row r="14" spans="1:1024 1026:2048 2050:3072 3074:4096 4098:5120 5122:6144 6146:7168 7170:8192 8194:9216 9218:10240 10242:11264 11266:12288 12290:13312 13314:14336 14338:15360 15362:16384" x14ac:dyDescent="0.25">
      <c r="A14" s="2" t="s">
        <v>73</v>
      </c>
      <c r="B14" s="3">
        <v>11.2851603778194</v>
      </c>
    </row>
    <row r="15" spans="1:1024 1026:2048 2050:3072 3074:4096 4098:5120 5122:6144 6146:7168 7170:8192 8194:9216 9218:10240 10242:11264 11266:12288 12290:13312 13314:14336 14338:15360 15362:16384" x14ac:dyDescent="0.25">
      <c r="A15" s="2" t="s">
        <v>74</v>
      </c>
      <c r="B15" s="3">
        <v>-12.280765945817</v>
      </c>
    </row>
    <row r="17" spans="1:16" x14ac:dyDescent="0.25">
      <c r="A17" s="2" t="s">
        <v>75</v>
      </c>
      <c r="B17" s="3">
        <v>4136.6818290188803</v>
      </c>
    </row>
    <row r="18" spans="1:16" x14ac:dyDescent="0.25">
      <c r="A18" s="2" t="s">
        <v>76</v>
      </c>
      <c r="B18" s="3">
        <v>1.28003774712241</v>
      </c>
    </row>
    <row r="19" spans="1:16" x14ac:dyDescent="0.25">
      <c r="A19" s="2" t="s">
        <v>77</v>
      </c>
      <c r="B19" s="3">
        <v>2209.5714300629002</v>
      </c>
    </row>
    <row r="20" spans="1:16" x14ac:dyDescent="0.25">
      <c r="A20" s="2" t="s">
        <v>78</v>
      </c>
      <c r="B20" s="3">
        <v>0.85583201701076905</v>
      </c>
    </row>
    <row r="22" spans="1:16" x14ac:dyDescent="0.25">
      <c r="A22" s="2" t="s">
        <v>80</v>
      </c>
      <c r="B22" s="2" t="s">
        <v>79</v>
      </c>
      <c r="C22" s="2" t="s">
        <v>58</v>
      </c>
      <c r="D22" s="2" t="s">
        <v>59</v>
      </c>
      <c r="E22" s="2" t="s">
        <v>60</v>
      </c>
      <c r="F22" s="2" t="s">
        <v>61</v>
      </c>
      <c r="G22" s="2" t="s">
        <v>62</v>
      </c>
      <c r="H22" s="2" t="s">
        <v>63</v>
      </c>
      <c r="I22" s="2" t="s">
        <v>64</v>
      </c>
      <c r="J22" s="2" t="s">
        <v>65</v>
      </c>
      <c r="K22" s="2" t="s">
        <v>66</v>
      </c>
      <c r="L22" s="2" t="s">
        <v>67</v>
      </c>
      <c r="M22" s="2" t="s">
        <v>68</v>
      </c>
      <c r="N22" s="2" t="s">
        <v>69</v>
      </c>
      <c r="O22" s="2" t="s">
        <v>81</v>
      </c>
      <c r="P22" s="2" t="s">
        <v>87</v>
      </c>
    </row>
    <row r="23" spans="1:16" x14ac:dyDescent="0.25">
      <c r="A23" s="2" cm="1">
        <f t="array" ref="A23:A372">_xlfn.SEQUENCE( 1+INT( (B3-B2)/B4 ), 1, B2, B4 )</f>
        <v>0.1</v>
      </c>
      <c r="B23" s="2">
        <f>IF(
  A23 &lt;= $B$5,
  $B$6 * EXP( ($B$5/A23) * ( $B$13*(1 - A23/$B$5) + $B$14*(1 - A23/$B$5)^1.5 + $B$15*(1 - A23/$B$5)^5 ) ),
  $B$6 * ( 1 + $B$17 * MAX(A23/$B$5 - 1, 0)^$B$18 + $B$19 * MAX(A23/$B$5 - 1, 0)^$B$20 )
)</f>
        <v>0</v>
      </c>
      <c r="C23" s="2" t="e" cm="1">
        <f t="array" ref="C23">INDEX( ComputeThermoProps($A23, $B23, ParametersRange), 1, COLUMN()-2 )</f>
        <v>#VALUE!</v>
      </c>
      <c r="D23" s="2" t="e" cm="1">
        <f t="array" ref="D23">INDEX( ComputeThermoProps($A23, $B23, ParametersRange), 1, COLUMN()-2 )</f>
        <v>#VALUE!</v>
      </c>
      <c r="E23" s="2" t="e" cm="1">
        <f t="array" ref="E23">INDEX( ComputeThermoProps($A23, $B23, ParametersRange), 1, COLUMN()-2 )</f>
        <v>#VALUE!</v>
      </c>
      <c r="F23" s="2" t="e" cm="1">
        <f t="array" ref="F23">INDEX( ComputeThermoProps($A23, $B23, ParametersRange), 1, COLUMN()-2 )</f>
        <v>#VALUE!</v>
      </c>
      <c r="G23" s="2" t="e" cm="1">
        <f t="array" ref="G23">INDEX( ComputeThermoProps($A23, $B23, ParametersRange), 1, COLUMN()-2 )</f>
        <v>#VALUE!</v>
      </c>
      <c r="H23" s="2" t="e" cm="1">
        <f t="array" ref="H23">INDEX( ComputeThermoProps($A23, $B23, ParametersRange), 1, COLUMN()-2 )</f>
        <v>#VALUE!</v>
      </c>
      <c r="I23" s="2" t="e" cm="1">
        <f t="array" ref="I23">INDEX( ComputeThermoProps($A23, $B23, ParametersRange), 1, COLUMN()-2 )</f>
        <v>#VALUE!</v>
      </c>
      <c r="J23" s="2" t="e" cm="1">
        <f t="array" ref="J23">INDEX( ComputeThermoProps($A23, $B23, ParametersRange), 1, COLUMN()-2 )</f>
        <v>#VALUE!</v>
      </c>
      <c r="K23" s="2" t="e" cm="1">
        <f t="array" ref="K23">INDEX( ComputeThermoProps($A23, $B23, ParametersRange), 1, COLUMN()-2 )</f>
        <v>#VALUE!</v>
      </c>
      <c r="L23" s="2" t="e" cm="1">
        <f t="array" ref="L23">INDEX( ComputeThermoProps($A23, $B23, ParametersRange), 1, COLUMN()-2 )</f>
        <v>#VALUE!</v>
      </c>
      <c r="M23" s="2" t="e" cm="1">
        <f t="array" ref="M23">INDEX( ComputeThermoProps($A23, $B23, ParametersRange), 1, COLUMN()-2 )</f>
        <v>#VALUE!</v>
      </c>
      <c r="N23" s="2" t="e" cm="1">
        <f t="array" ref="N23">INDEX( ComputeThermoProps($A23, $B23, ParametersRange), 1, COLUMN()-2 )</f>
        <v>#VALUE!</v>
      </c>
      <c r="O23" s="2" t="e">
        <f>LOG10(B23)</f>
        <v>#NUM!</v>
      </c>
      <c r="P23" s="2" t="e">
        <f>M23-$B$11</f>
        <v>#VALUE!</v>
      </c>
    </row>
    <row r="24" spans="1:16" x14ac:dyDescent="0.25">
      <c r="A24" s="2">
        <v>1.1000000000000001</v>
      </c>
      <c r="B24" s="2">
        <f t="shared" ref="B24:B87" si="0">IF(
  A24 &lt;= $B$5,
  $B$6 * EXP( ($B$5/A24) * ( $B$13*(1 - A24/$B$5) + $B$14*(1 - A24/$B$5)^1.5 + $B$15*(1 - A24/$B$5)^5 ) ),
  $B$6 * ( 1 + $B$17 * MAX(A24/$B$5 - 1, 0)^$B$18 + $B$19 * MAX(A24/$B$5 - 1, 0)^$B$20 )
)</f>
        <v>0</v>
      </c>
      <c r="C24" s="2" cm="1">
        <f t="array" ref="C24">INDEX( ComputeThermoProps($A24, $B24, ParametersRange), 1, COLUMN()-2 )</f>
        <v>34.53000282184361</v>
      </c>
      <c r="D24" s="2" cm="1">
        <f t="array" ref="D24">INDEX( ComputeThermoProps($A24, $B24, ParametersRange), 1, COLUMN()-2 )</f>
        <v>2.953270718878054E-4</v>
      </c>
      <c r="E24" s="2" cm="1">
        <f t="array" ref="E24">INDEX( ComputeThermoProps($A24, $B24, ParametersRange), 1, COLUMN()-2 )</f>
        <v>2.9532681317524947E-4</v>
      </c>
      <c r="F24" s="2" cm="1">
        <f t="array" ref="F24">INDEX( ComputeThermoProps($A24, $B24, ParametersRange), 1, COLUMN()-2 )</f>
        <v>2.9715780958048278E-7</v>
      </c>
      <c r="G24" s="2" cm="1">
        <f t="array" ref="G24">INDEX( ComputeThermoProps($A24, $B24, ParametersRange), 1, COLUMN()-2 )</f>
        <v>1.2964210951799008E-2</v>
      </c>
      <c r="H24" s="2" cm="1">
        <f t="array" ref="H24">INDEX( ComputeThermoProps($A24, $B24, ParametersRange), 1, COLUMN()-2 )</f>
        <v>1.2964199594885028E-2</v>
      </c>
      <c r="I24" s="2" cm="1">
        <f t="array" ref="I24">INDEX( ComputeThermoProps($A24, $B24, ParametersRange), 1, COLUMN()-2 )</f>
        <v>2.6800000000000006</v>
      </c>
      <c r="J24" s="2" cm="1">
        <f t="array" ref="J24">INDEX( ComputeThermoProps($A24, $B24, ParametersRange), 1, COLUMN()-2 )</f>
        <v>3.5652937211563696E-3</v>
      </c>
      <c r="K24" s="2" cm="1">
        <f t="array" ref="K24">INDEX( ComputeThermoProps($A24, $B24, ParametersRange), 1, COLUMN()-2 )</f>
        <v>4.3215676736150779E-3</v>
      </c>
      <c r="L24" s="2" cm="1">
        <f t="array" ref="L24">INDEX( ComputeThermoProps($A24, $B24, ParametersRange), 1, COLUMN()-2 )</f>
        <v>-1.1884307198202165E-3</v>
      </c>
      <c r="M24" s="2" cm="1">
        <f t="array" ref="M24">INDEX( ComputeThermoProps($A24, $B24, ParametersRange), 1, COLUMN()-2 )</f>
        <v>3.5652937211563696E-3</v>
      </c>
      <c r="N24" s="2" cm="1">
        <f t="array" ref="N24">INDEX( ComputeThermoProps($A24, $B24, ParametersRange), 1, COLUMN()-2 )</f>
        <v>-1.1884307198202165E-3</v>
      </c>
      <c r="O24" s="2" t="e">
        <f t="shared" ref="O24:O87" si="1">LOG10(B24)</f>
        <v>#NUM!</v>
      </c>
      <c r="P24" s="2">
        <f t="shared" ref="P24:P87" si="2">M24-$B$11</f>
        <v>-6756.3064355291935</v>
      </c>
    </row>
    <row r="25" spans="1:16" x14ac:dyDescent="0.25">
      <c r="A25" s="2">
        <v>2.1</v>
      </c>
      <c r="B25" s="2">
        <f t="shared" si="0"/>
        <v>0</v>
      </c>
      <c r="C25" s="2" cm="1">
        <f t="array" ref="C25">INDEX( ComputeThermoProps($A25, $B25, ParametersRange), 1, COLUMN()-2 )</f>
        <v>34.53003748106461</v>
      </c>
      <c r="D25" s="2" cm="1">
        <f t="array" ref="D25">INDEX( ComputeThermoProps($A25, $B25, ParametersRange), 1, COLUMN()-2 )</f>
        <v>2.9533103152427161E-4</v>
      </c>
      <c r="E25" s="2" cm="1">
        <f t="array" ref="E25">INDEX( ComputeThermoProps($A25, $B25, ParametersRange), 1, COLUMN()-2 )</f>
        <v>2.953275950754252E-4</v>
      </c>
      <c r="F25" s="2" cm="1">
        <f t="array" ref="F25">INDEX( ComputeThermoProps($A25, $B25, ParametersRange), 1, COLUMN()-2 )</f>
        <v>2.0675297431022891E-6</v>
      </c>
      <c r="G25" s="2" cm="1">
        <f t="array" ref="G25">INDEX( ComputeThermoProps($A25, $B25, ParametersRange), 1, COLUMN()-2 )</f>
        <v>9.0200717643974151E-2</v>
      </c>
      <c r="H25" s="2" cm="1">
        <f t="array" ref="H25">INDEX( ComputeThermoProps($A25, $B25, ParametersRange), 1, COLUMN()-2 )</f>
        <v>9.0199668075459483E-2</v>
      </c>
      <c r="I25" s="2" cm="1">
        <f t="array" ref="I25">INDEX( ComputeThermoProps($A25, $B25, ParametersRange), 1, COLUMN()-2 )</f>
        <v>2.68</v>
      </c>
      <c r="J25" s="2" cm="1">
        <f t="array" ref="J25">INDEX( ComputeThermoProps($A25, $B25, ParametersRange), 1, COLUMN()-2 )</f>
        <v>4.7355858798371349E-2</v>
      </c>
      <c r="K25" s="2" cm="1">
        <f t="array" ref="K25">INDEX( ComputeThermoProps($A25, $B25, ParametersRange), 1, COLUMN()-2 )</f>
        <v>3.0067168222594965E-2</v>
      </c>
      <c r="L25" s="2" cm="1">
        <f t="array" ref="L25">INDEX( ComputeThermoProps($A25, $B25, ParametersRange), 1, COLUMN()-2 )</f>
        <v>-1.5785194469078081E-2</v>
      </c>
      <c r="M25" s="2" cm="1">
        <f t="array" ref="M25">INDEX( ComputeThermoProps($A25, $B25, ParametersRange), 1, COLUMN()-2 )</f>
        <v>4.7355858798371349E-2</v>
      </c>
      <c r="N25" s="2" cm="1">
        <f t="array" ref="N25">INDEX( ComputeThermoProps($A25, $B25, ParametersRange), 1, COLUMN()-2 )</f>
        <v>-1.5785194469078081E-2</v>
      </c>
      <c r="O25" s="2" t="e">
        <f t="shared" si="1"/>
        <v>#NUM!</v>
      </c>
      <c r="P25" s="2">
        <f t="shared" si="2"/>
        <v>-6756.2626449641166</v>
      </c>
    </row>
    <row r="26" spans="1:16" x14ac:dyDescent="0.25">
      <c r="A26" s="2">
        <v>3.1</v>
      </c>
      <c r="B26" s="2">
        <f t="shared" si="0"/>
        <v>0</v>
      </c>
      <c r="C26" s="2" cm="1">
        <f t="array" ref="C26">INDEX( ComputeThermoProps($A26, $B26, ParametersRange), 1, COLUMN()-2 )</f>
        <v>34.530177985898604</v>
      </c>
      <c r="D26" s="2" cm="1">
        <f t="array" ref="D26">INDEX( ComputeThermoProps($A26, $B26, ParametersRange), 1, COLUMN()-2 )</f>
        <v>2.9534708390812291E-4</v>
      </c>
      <c r="E26" s="2" cm="1">
        <f t="array" ref="E26">INDEX( ComputeThermoProps($A26, $B26, ParametersRange), 1, COLUMN()-2 )</f>
        <v>2.953307648723889E-4</v>
      </c>
      <c r="F26" s="2" cm="1">
        <f t="array" ref="F26">INDEX( ComputeThermoProps($A26, $B26, ParametersRange), 1, COLUMN()-2 )</f>
        <v>6.65103625772427E-6</v>
      </c>
      <c r="G26" s="2" cm="1">
        <f t="array" ref="G26">INDEX( ComputeThermoProps($A26, $B26, ParametersRange), 1, COLUMN()-2 )</f>
        <v>0.29016474737007403</v>
      </c>
      <c r="H26" s="2" cm="1">
        <f t="array" ref="H26">INDEX( ComputeThermoProps($A26, $B26, ParametersRange), 1, COLUMN()-2 )</f>
        <v>0.29014871467789899</v>
      </c>
      <c r="I26" s="2" cm="1">
        <f t="array" ref="I26">INDEX( ComputeThermoProps($A26, $B26, ParametersRange), 1, COLUMN()-2 )</f>
        <v>2.6800000000000006</v>
      </c>
      <c r="J26" s="2" cm="1">
        <f t="array" ref="J26">INDEX( ComputeThermoProps($A26, $B26, ParametersRange), 1, COLUMN()-2 )</f>
        <v>0.2248770128779127</v>
      </c>
      <c r="K26" s="2" cm="1">
        <f t="array" ref="K26">INDEX( ComputeThermoProps($A26, $B26, ParametersRange), 1, COLUMN()-2 )</f>
        <v>9.6720789955599809E-2</v>
      </c>
      <c r="L26" s="2" cm="1">
        <f t="array" ref="L26">INDEX( ComputeThermoProps($A26, $B26, ParametersRange), 1, COLUMN()-2 )</f>
        <v>-7.4957435984446721E-2</v>
      </c>
      <c r="M26" s="2" cm="1">
        <f t="array" ref="M26">INDEX( ComputeThermoProps($A26, $B26, ParametersRange), 1, COLUMN()-2 )</f>
        <v>0.2248770128779127</v>
      </c>
      <c r="N26" s="2" cm="1">
        <f t="array" ref="N26">INDEX( ComputeThermoProps($A26, $B26, ParametersRange), 1, COLUMN()-2 )</f>
        <v>-7.4957435984446721E-2</v>
      </c>
      <c r="O26" s="2" t="e">
        <f t="shared" si="1"/>
        <v>#NUM!</v>
      </c>
      <c r="P26" s="2">
        <f t="shared" si="2"/>
        <v>-6756.0851238100367</v>
      </c>
    </row>
    <row r="27" spans="1:16" x14ac:dyDescent="0.25">
      <c r="A27" s="2">
        <v>4.0999999999999996</v>
      </c>
      <c r="B27" s="2">
        <f t="shared" si="0"/>
        <v>0</v>
      </c>
      <c r="C27" s="2" cm="1">
        <f t="array" ref="C27">INDEX( ComputeThermoProps($A27, $B27, ParametersRange), 1, COLUMN()-2 )</f>
        <v>34.530544459829585</v>
      </c>
      <c r="D27" s="2" cm="1">
        <f t="array" ref="D27">INDEX( ComputeThermoProps($A27, $B27, ParametersRange), 1, COLUMN()-2 )</f>
        <v>2.9538891002967547E-4</v>
      </c>
      <c r="E27" s="2" cm="1">
        <f t="array" ref="E27">INDEX( ComputeThermoProps($A27, $B27, ParametersRange), 1, COLUMN()-2 )</f>
        <v>2.9533903296727077E-4</v>
      </c>
      <c r="F27" s="2" cm="1">
        <f t="array" ref="F27">INDEX( ComputeThermoProps($A27, $B27, ParametersRange), 1, COLUMN()-2 )</f>
        <v>1.5369557631471145E-5</v>
      </c>
      <c r="G27" s="2" cm="1">
        <f t="array" ref="G27">INDEX( ComputeThermoProps($A27, $B27, ParametersRange), 1, COLUMN()-2 )</f>
        <v>0.67051600894934826</v>
      </c>
      <c r="H27" s="2" cm="1">
        <f t="array" ref="H27">INDEX( ComputeThermoProps($A27, $B27, ParametersRange), 1, COLUMN()-2 )</f>
        <v>0.67040279085724608</v>
      </c>
      <c r="I27" s="2" cm="1">
        <f t="array" ref="I27">INDEX( ComputeThermoProps($A27, $B27, ParametersRange), 1, COLUMN()-2 )</f>
        <v>2.68</v>
      </c>
      <c r="J27" s="2" cm="1">
        <f t="array" ref="J27">INDEX( ComputeThermoProps($A27, $B27, ParametersRange), 1, COLUMN()-2 )</f>
        <v>0.68789037375337658</v>
      </c>
      <c r="K27" s="2" cm="1">
        <f t="array" ref="K27">INDEX( ComputeThermoProps($A27, $B27, ParametersRange), 1, COLUMN()-2 )</f>
        <v>0.22371556410038837</v>
      </c>
      <c r="L27" s="2" cm="1">
        <f t="array" ref="L27">INDEX( ComputeThermoProps($A27, $B27, ParametersRange), 1, COLUMN()-2 )</f>
        <v>-0.22934343905821566</v>
      </c>
      <c r="M27" s="2" cm="1">
        <f t="array" ref="M27">INDEX( ComputeThermoProps($A27, $B27, ParametersRange), 1, COLUMN()-2 )</f>
        <v>0.68789037375337658</v>
      </c>
      <c r="N27" s="2" cm="1">
        <f t="array" ref="N27">INDEX( ComputeThermoProps($A27, $B27, ParametersRange), 1, COLUMN()-2 )</f>
        <v>-0.22934343905821566</v>
      </c>
      <c r="O27" s="2" t="e">
        <f t="shared" si="1"/>
        <v>#NUM!</v>
      </c>
      <c r="P27" s="2">
        <f t="shared" si="2"/>
        <v>-6755.6221104491615</v>
      </c>
    </row>
    <row r="28" spans="1:16" x14ac:dyDescent="0.25">
      <c r="A28" s="2">
        <v>5.0999999999999996</v>
      </c>
      <c r="B28" s="2">
        <f t="shared" si="0"/>
        <v>1.8435807213083954E-249</v>
      </c>
      <c r="C28" s="2" cm="1">
        <f t="array" ref="C28">INDEX( ComputeThermoProps($A28, $B28, ParametersRange), 1, COLUMN()-2 )</f>
        <v>34.531300074086325</v>
      </c>
      <c r="D28" s="2" cm="1">
        <f t="array" ref="D28">INDEX( ComputeThermoProps($A28, $B28, ParametersRange), 1, COLUMN()-2 )</f>
        <v>2.9547449572242681E-4</v>
      </c>
      <c r="E28" s="2" cm="1">
        <f t="array" ref="E28">INDEX( ComputeThermoProps($A28, $B28, ParametersRange), 1, COLUMN()-2 )</f>
        <v>2.9535608246594031E-4</v>
      </c>
      <c r="F28" s="2" cm="1">
        <f t="array" ref="F28">INDEX( ComputeThermoProps($A28, $B28, ParametersRange), 1, COLUMN()-2 )</f>
        <v>2.9332524068161659E-5</v>
      </c>
      <c r="G28" s="2" cm="1">
        <f t="array" ref="G28">INDEX( ComputeThermoProps($A28, $B28, ParametersRange), 1, COLUMN()-2 )</f>
        <v>1.2796218645230901</v>
      </c>
      <c r="H28" s="2" cm="1">
        <f t="array" ref="H28">INDEX( ComputeThermoProps($A28, $B28, ParametersRange), 1, COLUMN()-2 )</f>
        <v>1.2791090480389498</v>
      </c>
      <c r="I28" s="2" cm="1">
        <f t="array" ref="I28">INDEX( ComputeThermoProps($A28, $B28, ParametersRange), 1, COLUMN()-2 )</f>
        <v>2.68</v>
      </c>
      <c r="J28" s="2" cm="1">
        <f t="array" ref="J28">INDEX( ComputeThermoProps($A28, $B28, ParametersRange), 1, COLUMN()-2 )</f>
        <v>1.6425135324820228</v>
      </c>
      <c r="K28" s="2" cm="1">
        <f t="array" ref="K28">INDEX( ComputeThermoProps($A28, $B28, ParametersRange), 1, COLUMN()-2 )</f>
        <v>0.429657246709503</v>
      </c>
      <c r="L28" s="2" cm="1">
        <f t="array" ref="L28">INDEX( ComputeThermoProps($A28, $B28, ParametersRange), 1, COLUMN()-2 )</f>
        <v>-0.54873842573644238</v>
      </c>
      <c r="M28" s="2" cm="1">
        <f t="array" ref="M28">INDEX( ComputeThermoProps($A28, $B28, ParametersRange), 1, COLUMN()-2 )</f>
        <v>1.6425135324820228</v>
      </c>
      <c r="N28" s="2" cm="1">
        <f t="array" ref="N28">INDEX( ComputeThermoProps($A28, $B28, ParametersRange), 1, COLUMN()-2 )</f>
        <v>-0.54873842573644238</v>
      </c>
      <c r="O28" s="2">
        <f t="shared" si="1"/>
        <v>-248.73433784202786</v>
      </c>
      <c r="P28" s="2">
        <f t="shared" si="2"/>
        <v>-6754.6674872904332</v>
      </c>
    </row>
    <row r="29" spans="1:16" x14ac:dyDescent="0.25">
      <c r="A29" s="2">
        <v>6.1</v>
      </c>
      <c r="B29" s="2">
        <f t="shared" si="0"/>
        <v>6.6327243518992226E-205</v>
      </c>
      <c r="C29" s="2" cm="1">
        <f t="array" ref="C29">INDEX( ComputeThermoProps($A29, $B29, ParametersRange), 1, COLUMN()-2 )</f>
        <v>34.532635776144254</v>
      </c>
      <c r="D29" s="2" cm="1">
        <f t="array" ref="D29">INDEX( ComputeThermoProps($A29, $B29, ParametersRange), 1, COLUMN()-2 )</f>
        <v>2.9562261521602401E-4</v>
      </c>
      <c r="E29" s="2" cm="1">
        <f t="array" ref="E29">INDEX( ComputeThermoProps($A29, $B29, ParametersRange), 1, COLUMN()-2 )</f>
        <v>2.9538622727839106E-4</v>
      </c>
      <c r="F29" s="2" cm="1">
        <f t="array" ref="F29">INDEX( ComputeThermoProps($A29, $B29, ParametersRange), 1, COLUMN()-2 )</f>
        <v>4.8952000052447008E-5</v>
      </c>
      <c r="G29" s="2" cm="1">
        <f t="array" ref="G29">INDEX( ComputeThermoProps($A29, $B29, ParametersRange), 1, COLUMN()-2 )</f>
        <v>2.135379812728853</v>
      </c>
      <c r="H29" s="2" cm="1">
        <f t="array" ref="H29">INDEX( ComputeThermoProps($A29, $B29, ParametersRange), 1, COLUMN()-2 )</f>
        <v>2.1336723045613022</v>
      </c>
      <c r="I29" s="2" cm="1">
        <f t="array" ref="I29">INDEX( ComputeThermoProps($A29, $B29, ParametersRange), 1, COLUMN()-2 )</f>
        <v>2.68</v>
      </c>
      <c r="J29" s="2" cm="1">
        <f t="array" ref="J29">INDEX( ComputeThermoProps($A29, $B29, ParametersRange), 1, COLUMN()-2 )</f>
        <v>3.3298695373755294</v>
      </c>
      <c r="K29" s="2" cm="1">
        <f t="array" ref="K29">INDEX( ComputeThermoProps($A29, $B29, ParametersRange), 1, COLUMN()-2 )</f>
        <v>0.7294922905744563</v>
      </c>
      <c r="L29" s="2" cm="1">
        <f t="array" ref="L29">INDEX( ComputeThermoProps($A29, $B29, ParametersRange), 1, COLUMN()-2 )</f>
        <v>-1.1200334351286538</v>
      </c>
      <c r="M29" s="2" cm="1">
        <f t="array" ref="M29">INDEX( ComputeThermoProps($A29, $B29, ParametersRange), 1, COLUMN()-2 )</f>
        <v>3.3298695373755294</v>
      </c>
      <c r="N29" s="2" cm="1">
        <f t="array" ref="N29">INDEX( ComputeThermoProps($A29, $B29, ParametersRange), 1, COLUMN()-2 )</f>
        <v>-1.1200334351286538</v>
      </c>
      <c r="O29" s="2">
        <f t="shared" si="1"/>
        <v>-204.17830805108647</v>
      </c>
      <c r="P29" s="2">
        <f t="shared" si="2"/>
        <v>-6752.9801312855398</v>
      </c>
    </row>
    <row r="30" spans="1:16" x14ac:dyDescent="0.25">
      <c r="A30" s="2">
        <v>7.1</v>
      </c>
      <c r="B30" s="2">
        <f t="shared" si="0"/>
        <v>5.5856495977750459E-173</v>
      </c>
      <c r="C30" s="2" cm="1">
        <f t="array" ref="C30">INDEX( ComputeThermoProps($A30, $B30, ParametersRange), 1, COLUMN()-2 )</f>
        <v>34.534739787284657</v>
      </c>
      <c r="D30" s="2" cm="1">
        <f t="array" ref="D30">INDEX( ComputeThermoProps($A30, $B30, ParametersRange), 1, COLUMN()-2 )</f>
        <v>2.9584777220724451E-4</v>
      </c>
      <c r="E30" s="2" cm="1">
        <f t="array" ref="E30">INDEX( ComputeThermoProps($A30, $B30, ParametersRange), 1, COLUMN()-2 )</f>
        <v>2.9543372814792412E-4</v>
      </c>
      <c r="F30" s="2" cm="1">
        <f t="array" ref="F30">INDEX( ComputeThermoProps($A30, $B30, ParametersRange), 1, COLUMN()-2 )</f>
        <v>7.3653491658286208E-5</v>
      </c>
      <c r="G30" s="2" cm="1">
        <f t="array" ref="G30">INDEX( ComputeThermoProps($A30, $B30, ParametersRange), 1, COLUMN()-2 )</f>
        <v>3.2125852356149172</v>
      </c>
      <c r="H30" s="2" cm="1">
        <f t="array" ref="H30">INDEX( ComputeThermoProps($A30, $B30, ParametersRange), 1, COLUMN()-2 )</f>
        <v>3.2080891671742364</v>
      </c>
      <c r="I30" s="2" cm="1">
        <f t="array" ref="I30">INDEX( ComputeThermoProps($A30, $B30, ParametersRange), 1, COLUMN()-2 )</f>
        <v>2.68</v>
      </c>
      <c r="J30" s="2" cm="1">
        <f t="array" ref="J30">INDEX( ComputeThermoProps($A30, $B30, ParametersRange), 1, COLUMN()-2 )</f>
        <v>5.9874601711122839</v>
      </c>
      <c r="K30" s="2" cm="1">
        <f t="array" ref="K30">INDEX( ComputeThermoProps($A30, $B30, ParametersRange), 1, COLUMN()-2 )</f>
        <v>1.1308617106037515</v>
      </c>
      <c r="L30" s="2" cm="1">
        <f t="array" ref="L30">INDEX( ComputeThermoProps($A30, $B30, ParametersRange), 1, COLUMN()-2 )</f>
        <v>-2.0416579741743512</v>
      </c>
      <c r="M30" s="2" cm="1">
        <f t="array" ref="M30">INDEX( ComputeThermoProps($A30, $B30, ParametersRange), 1, COLUMN()-2 )</f>
        <v>5.9874601711122839</v>
      </c>
      <c r="N30" s="2" cm="1">
        <f t="array" ref="N30">INDEX( ComputeThermoProps($A30, $B30, ParametersRange), 1, COLUMN()-2 )</f>
        <v>-2.0416579741743512</v>
      </c>
      <c r="O30" s="2">
        <f t="shared" si="1"/>
        <v>-172.25292631219497</v>
      </c>
      <c r="P30" s="2">
        <f t="shared" si="2"/>
        <v>-6750.3225406518022</v>
      </c>
    </row>
    <row r="31" spans="1:16" x14ac:dyDescent="0.25">
      <c r="A31" s="2">
        <v>8.1</v>
      </c>
      <c r="B31" s="2">
        <f t="shared" si="0"/>
        <v>5.2629527538908082E-149</v>
      </c>
      <c r="C31" s="2" cm="1">
        <f t="array" ref="C31">INDEX( ComputeThermoProps($A31, $B31, ParametersRange), 1, COLUMN()-2 )</f>
        <v>34.53776653735445</v>
      </c>
      <c r="D31" s="2" cm="1">
        <f t="array" ref="D31">INDEX( ComputeThermoProps($A31, $B31, ParametersRange), 1, COLUMN()-2 )</f>
        <v>2.9615720179783958E-4</v>
      </c>
      <c r="E31" s="2" cm="1">
        <f t="array" ref="E31">INDEX( ComputeThermoProps($A31, $B31, ParametersRange), 1, COLUMN()-2 )</f>
        <v>2.9550209642447659E-4</v>
      </c>
      <c r="F31" s="2" cm="1">
        <f t="array" ref="F31">INDEX( ComputeThermoProps($A31, $B31, ParametersRange), 1, COLUMN()-2 )</f>
        <v>1.0212469733670758E-4</v>
      </c>
      <c r="G31" s="2" cm="1">
        <f t="array" ref="G31">INDEX( ComputeThermoProps($A31, $B31, ParametersRange), 1, COLUMN()-2 )</f>
        <v>4.4537893414460434</v>
      </c>
      <c r="H31" s="2" cm="1">
        <f t="array" ref="H31">INDEX( ComputeThermoProps($A31, $B31, ParametersRange), 1, COLUMN()-2 )</f>
        <v>4.4439374745601592</v>
      </c>
      <c r="I31" s="2" cm="1">
        <f t="array" ref="I31">INDEX( ComputeThermoProps($A31, $B31, ParametersRange), 1, COLUMN()-2 )</f>
        <v>2.6800000000000006</v>
      </c>
      <c r="J31" s="2" cm="1">
        <f t="array" ref="J31">INDEX( ComputeThermoProps($A31, $B31, ParametersRange), 1, COLUMN()-2 )</f>
        <v>9.8098189646200353</v>
      </c>
      <c r="K31" s="2" cm="1">
        <f t="array" ref="K31">INDEX( ComputeThermoProps($A31, $B31, ParametersRange), 1, COLUMN()-2 )</f>
        <v>1.6327338300926415</v>
      </c>
      <c r="L31" s="2" cm="1">
        <f t="array" ref="L31">INDEX( ComputeThermoProps($A31, $B31, ParametersRange), 1, COLUMN()-2 )</f>
        <v>-3.4153250591303603</v>
      </c>
      <c r="M31" s="2" cm="1">
        <f t="array" ref="M31">INDEX( ComputeThermoProps($A31, $B31, ParametersRange), 1, COLUMN()-2 )</f>
        <v>9.8098189646200353</v>
      </c>
      <c r="N31" s="2" cm="1">
        <f t="array" ref="N31">INDEX( ComputeThermoProps($A31, $B31, ParametersRange), 1, COLUMN()-2 )</f>
        <v>-3.4153250591303603</v>
      </c>
      <c r="O31" s="2">
        <f t="shared" si="1"/>
        <v>-148.27877052867484</v>
      </c>
      <c r="P31" s="2">
        <f t="shared" si="2"/>
        <v>-6746.500181858295</v>
      </c>
    </row>
    <row r="32" spans="1:16" x14ac:dyDescent="0.25">
      <c r="A32" s="2">
        <v>9.1</v>
      </c>
      <c r="B32" s="2">
        <f t="shared" si="0"/>
        <v>2.3263585575192892E-130</v>
      </c>
      <c r="C32" s="2" cm="1">
        <f t="array" ref="C32">INDEX( ComputeThermoProps($A32, $B32, ParametersRange), 1, COLUMN()-2 )</f>
        <v>34.541819559795776</v>
      </c>
      <c r="D32" s="2" cm="1">
        <f t="array" ref="D32">INDEX( ComputeThermoProps($A32, $B32, ParametersRange), 1, COLUMN()-2 )</f>
        <v>2.9655108066064227E-4</v>
      </c>
      <c r="E32" s="2" cm="1">
        <f t="array" ref="E32">INDEX( ComputeThermoProps($A32, $B32, ParametersRange), 1, COLUMN()-2 )</f>
        <v>2.9559371149843452E-4</v>
      </c>
      <c r="F32" s="2" cm="1">
        <f t="array" ref="F32">INDEX( ComputeThermoProps($A32, $B32, ParametersRange), 1, COLUMN()-2 )</f>
        <v>1.3280305247449748E-4</v>
      </c>
      <c r="G32" s="2" cm="1">
        <f t="array" ref="G32">INDEX( ComputeThermoProps($A32, $B32, ParametersRange), 1, COLUMN()-2 )</f>
        <v>5.7905962393073587</v>
      </c>
      <c r="H32" s="2" cm="1">
        <f t="array" ref="H32">INDEX( ComputeThermoProps($A32, $B32, ParametersRange), 1, COLUMN()-2 )</f>
        <v>5.7719021975997418</v>
      </c>
      <c r="I32" s="2" cm="1">
        <f t="array" ref="I32">INDEX( ComputeThermoProps($A32, $B32, ParametersRange), 1, COLUMN()-2 )</f>
        <v>2.68</v>
      </c>
      <c r="J32" s="2" cm="1">
        <f t="array" ref="J32">INDEX( ComputeThermoProps($A32, $B32, ParametersRange), 1, COLUMN()-2 )</f>
        <v>14.926829879653353</v>
      </c>
      <c r="K32" s="2" cm="1">
        <f t="array" ref="K32">INDEX( ComputeThermoProps($A32, $B32, ParametersRange), 1, COLUMN()-2 )</f>
        <v>2.2268954624077306</v>
      </c>
      <c r="L32" s="2" cm="1">
        <f t="array" ref="L32">INDEX( ComputeThermoProps($A32, $B32, ParametersRange), 1, COLUMN()-2 )</f>
        <v>-5.3379188282569956</v>
      </c>
      <c r="M32" s="2" cm="1">
        <f t="array" ref="M32">INDEX( ComputeThermoProps($A32, $B32, ParametersRange), 1, COLUMN()-2 )</f>
        <v>14.926829879653353</v>
      </c>
      <c r="N32" s="2" cm="1">
        <f t="array" ref="N32">INDEX( ComputeThermoProps($A32, $B32, ParametersRange), 1, COLUMN()-2 )</f>
        <v>-5.3379188282569956</v>
      </c>
      <c r="O32" s="2">
        <f t="shared" si="1"/>
        <v>-129.6333233474102</v>
      </c>
      <c r="P32" s="2">
        <f t="shared" si="2"/>
        <v>-6741.3831709432616</v>
      </c>
    </row>
    <row r="33" spans="1:16" x14ac:dyDescent="0.25">
      <c r="A33" s="2">
        <v>10.1</v>
      </c>
      <c r="B33" s="2">
        <f t="shared" si="0"/>
        <v>1.8505363091005237E-115</v>
      </c>
      <c r="C33" s="2" cm="1">
        <f t="array" ref="C33">INDEX( ComputeThermoProps($A33, $B33, ParametersRange), 1, COLUMN()-2 )</f>
        <v>34.546950006692036</v>
      </c>
      <c r="D33" s="2" cm="1">
        <f t="array" ref="D33">INDEX( ComputeThermoProps($A33, $B33, ParametersRange), 1, COLUMN()-2 )</f>
        <v>2.9702454918296403E-4</v>
      </c>
      <c r="E33" s="2" cm="1">
        <f t="array" ref="E33">INDEX( ComputeThermoProps($A33, $B33, ParametersRange), 1, COLUMN()-2 )</f>
        <v>2.9570978820429422E-4</v>
      </c>
      <c r="F33" s="2" cm="1">
        <f t="array" ref="F33">INDEX( ComputeThermoProps($A33, $B33, ParametersRange), 1, COLUMN()-2 )</f>
        <v>1.642573976499396E-4</v>
      </c>
      <c r="G33" s="2" cm="1">
        <f t="array" ref="G33">INDEX( ComputeThermoProps($A33, $B33, ParametersRange), 1, COLUMN()-2 )</f>
        <v>7.1603484166175821</v>
      </c>
      <c r="H33" s="2" cm="1">
        <f t="array" ref="H33">INDEX( ComputeThermoProps($A33, $B33, ParametersRange), 1, COLUMN()-2 )</f>
        <v>7.1286535728151268</v>
      </c>
      <c r="I33" s="2" cm="1">
        <f t="array" ref="I33">INDEX( ComputeThermoProps($A33, $B33, ParametersRange), 1, COLUMN()-2 )</f>
        <v>2.6800000000000006</v>
      </c>
      <c r="J33" s="2" cm="1">
        <f t="array" ref="J33">INDEX( ComputeThermoProps($A33, $B33, ParametersRange), 1, COLUMN()-2 )</f>
        <v>21.401832808397565</v>
      </c>
      <c r="K33" s="2" cm="1">
        <f t="array" ref="K33">INDEX( ComputeThermoProps($A33, $B33, ParametersRange), 1, COLUMN()-2 )</f>
        <v>2.9007431633789045</v>
      </c>
      <c r="L33" s="2" cm="1">
        <f t="array" ref="L33">INDEX( ComputeThermoProps($A33, $B33, ParametersRange), 1, COLUMN()-2 )</f>
        <v>-7.89567314172937</v>
      </c>
      <c r="M33" s="2" cm="1">
        <f t="array" ref="M33">INDEX( ComputeThermoProps($A33, $B33, ParametersRange), 1, COLUMN()-2 )</f>
        <v>21.401832808397565</v>
      </c>
      <c r="N33" s="2" cm="1">
        <f t="array" ref="N33">INDEX( ComputeThermoProps($A33, $B33, ParametersRange), 1, COLUMN()-2 )</f>
        <v>-7.89567314172937</v>
      </c>
      <c r="O33" s="2">
        <f t="shared" si="1"/>
        <v>-114.73270238925717</v>
      </c>
      <c r="P33" s="2">
        <f t="shared" si="2"/>
        <v>-6734.9081680145173</v>
      </c>
    </row>
    <row r="34" spans="1:16" x14ac:dyDescent="0.25">
      <c r="A34" s="2">
        <v>11.1</v>
      </c>
      <c r="B34" s="2">
        <f t="shared" si="0"/>
        <v>2.7301935033913423E-103</v>
      </c>
      <c r="C34" s="2" cm="1">
        <f t="array" ref="C34">INDEX( ComputeThermoProps($A34, $B34, ParametersRange), 1, COLUMN()-2 )</f>
        <v>34.553164836163276</v>
      </c>
      <c r="D34" s="2" cm="1">
        <f t="array" ref="D34">INDEX( ComputeThermoProps($A34, $B34, ParametersRange), 1, COLUMN()-2 )</f>
        <v>2.9756999209379424E-4</v>
      </c>
      <c r="E34" s="2" cm="1">
        <f t="array" ref="E34">INDEX( ComputeThermoProps($A34, $B34, ParametersRange), 1, COLUMN()-2 )</f>
        <v>2.958505600152422E-4</v>
      </c>
      <c r="F34" s="2" cm="1">
        <f t="array" ref="F34">INDEX( ComputeThermoProps($A34, $B34, ParametersRange), 1, COLUMN()-2 )</f>
        <v>1.9536864138405022E-4</v>
      </c>
      <c r="G34" s="2" cm="1">
        <f t="array" ref="G34">INDEX( ComputeThermoProps($A34, $B34, ParametersRange), 1, COLUMN()-2 )</f>
        <v>8.5140363225450226</v>
      </c>
      <c r="H34" s="2" cm="1">
        <f t="array" ref="H34">INDEX( ComputeThermoProps($A34, $B34, ParametersRange), 1, COLUMN()-2 )</f>
        <v>8.4648401416131538</v>
      </c>
      <c r="I34" s="2" cm="1">
        <f t="array" ref="I34">INDEX( ComputeThermoProps($A34, $B34, ParametersRange), 1, COLUMN()-2 )</f>
        <v>2.6800000000000006</v>
      </c>
      <c r="J34" s="2" cm="1">
        <f t="array" ref="J34">INDEX( ComputeThermoProps($A34, $B34, ParametersRange), 1, COLUMN()-2 )</f>
        <v>29.242001225992301</v>
      </c>
      <c r="K34" s="2" cm="1">
        <f t="array" ref="K34">INDEX( ComputeThermoProps($A34, $B34, ParametersRange), 1, COLUMN()-2 )</f>
        <v>3.6399236825362244</v>
      </c>
      <c r="L34" s="2" cm="1">
        <f t="array" ref="L34">INDEX( ComputeThermoProps($A34, $B34, ParametersRange), 1, COLUMN()-2 )</f>
        <v>-11.161151650159789</v>
      </c>
      <c r="M34" s="2" cm="1">
        <f t="array" ref="M34">INDEX( ComputeThermoProps($A34, $B34, ParametersRange), 1, COLUMN()-2 )</f>
        <v>29.242001225992301</v>
      </c>
      <c r="N34" s="2" cm="1">
        <f t="array" ref="N34">INDEX( ComputeThermoProps($A34, $B34, ParametersRange), 1, COLUMN()-2 )</f>
        <v>-11.161151650159789</v>
      </c>
      <c r="O34" s="2">
        <f t="shared" si="1"/>
        <v>-102.56380657109956</v>
      </c>
      <c r="P34" s="2">
        <f t="shared" si="2"/>
        <v>-6727.0679995969222</v>
      </c>
    </row>
    <row r="35" spans="1:16" x14ac:dyDescent="0.25">
      <c r="A35" s="2">
        <v>12.1</v>
      </c>
      <c r="B35" s="2">
        <f t="shared" si="0"/>
        <v>3.5607707421086625E-93</v>
      </c>
      <c r="C35" s="2" cm="1">
        <f t="array" ref="C35">INDEX( ComputeThermoProps($A35, $B35, ParametersRange), 1, COLUMN()-2 )</f>
        <v>34.560438412355168</v>
      </c>
      <c r="D35" s="2" cm="1">
        <f t="array" ref="D35">INDEX( ComputeThermoProps($A35, $B35, ParametersRange), 1, COLUMN()-2 )</f>
        <v>2.9817881396735306E-4</v>
      </c>
      <c r="E35" s="2" cm="1">
        <f t="array" ref="E35">INDEX( ComputeThermoProps($A35, $B35, ParametersRange), 1, COLUMN()-2 )</f>
        <v>2.9601553759696467E-4</v>
      </c>
      <c r="F35" s="2" cm="1">
        <f t="array" ref="F35">INDEX( ComputeThermoProps($A35, $B35, ParametersRange), 1, COLUMN()-2 )</f>
        <v>2.253602598502634E-4</v>
      </c>
      <c r="G35" s="2" cm="1">
        <f t="array" ref="G35">INDEX( ComputeThermoProps($A35, $B35, ParametersRange), 1, COLUMN()-2 )</f>
        <v>9.8176439176514805</v>
      </c>
      <c r="H35" s="2" cm="1">
        <f t="array" ref="H35">INDEX( ComputeThermoProps($A35, $B35, ParametersRange), 1, COLUMN()-2 )</f>
        <v>9.7464172707366252</v>
      </c>
      <c r="I35" s="2" cm="1">
        <f t="array" ref="I35">INDEX( ComputeThermoProps($A35, $B35, ParametersRange), 1, COLUMN()-2 )</f>
        <v>2.6800000000000006</v>
      </c>
      <c r="J35" s="2" cm="1">
        <f t="array" ref="J35">INDEX( ComputeThermoProps($A35, $B35, ParametersRange), 1, COLUMN()-2 )</f>
        <v>38.413066212637474</v>
      </c>
      <c r="K35" s="2" cm="1">
        <f t="array" ref="K35">INDEX( ComputeThermoProps($A35, $B35, ParametersRange), 1, COLUMN()-2 )</f>
        <v>4.4302127259160784</v>
      </c>
      <c r="L35" s="2" cm="1">
        <f t="array" ref="L35">INDEX( ComputeThermoProps($A35, $B35, ParametersRange), 1, COLUMN()-2 )</f>
        <v>-15.192507770947072</v>
      </c>
      <c r="M35" s="2" cm="1">
        <f t="array" ref="M35">INDEX( ComputeThermoProps($A35, $B35, ParametersRange), 1, COLUMN()-2 )</f>
        <v>38.413066212637474</v>
      </c>
      <c r="N35" s="2" cm="1">
        <f t="array" ref="N35">INDEX( ComputeThermoProps($A35, $B35, ParametersRange), 1, COLUMN()-2 )</f>
        <v>-15.192507770947072</v>
      </c>
      <c r="O35" s="2">
        <f t="shared" si="1"/>
        <v>-92.448455987191323</v>
      </c>
      <c r="P35" s="2">
        <f t="shared" si="2"/>
        <v>-6717.8969346102776</v>
      </c>
    </row>
    <row r="36" spans="1:16" x14ac:dyDescent="0.25">
      <c r="A36" s="2">
        <v>13.1</v>
      </c>
      <c r="B36" s="2">
        <f t="shared" si="0"/>
        <v>1.2146206888366937E-84</v>
      </c>
      <c r="C36" s="2" cm="1">
        <f t="array" ref="C36">INDEX( ComputeThermoProps($A36, $B36, ParametersRange), 1, COLUMN()-2 )</f>
        <v>34.56872365509772</v>
      </c>
      <c r="D36" s="2" cm="1">
        <f t="array" ref="D36">INDEX( ComputeThermoProps($A36, $B36, ParametersRange), 1, COLUMN()-2 )</f>
        <v>2.988425641551163E-4</v>
      </c>
      <c r="E36" s="2" cm="1">
        <f t="array" ref="E36">INDEX( ComputeThermoProps($A36, $B36, ParametersRange), 1, COLUMN()-2 )</f>
        <v>2.9620375654268953E-4</v>
      </c>
      <c r="F36" s="2" cm="1">
        <f t="array" ref="F36">INDEX( ComputeThermoProps($A36, $B36, ParametersRange), 1, COLUMN()-2 )</f>
        <v>2.5375293637149845E-4</v>
      </c>
      <c r="G36" s="2" cm="1">
        <f t="array" ref="G36">INDEX( ComputeThermoProps($A36, $B36, ParametersRange), 1, COLUMN()-2 )</f>
        <v>11.050172692541004</v>
      </c>
      <c r="H36" s="2" cm="1">
        <f t="array" ref="H36">INDEX( ComputeThermoProps($A36, $B36, ParametersRange), 1, COLUMN()-2 )</f>
        <v>10.952598640791896</v>
      </c>
      <c r="I36" s="2" cm="1">
        <f t="array" ref="I36">INDEX( ComputeThermoProps($A36, $B36, ParametersRange), 1, COLUMN()-2 )</f>
        <v>2.6799999999999997</v>
      </c>
      <c r="J36" s="2" cm="1">
        <f t="array" ref="J36">INDEX( ComputeThermoProps($A36, $B36, ParametersRange), 1, COLUMN()-2 )</f>
        <v>48.853485477128537</v>
      </c>
      <c r="K36" s="2" cm="1">
        <f t="array" ref="K36">INDEX( ComputeThermoProps($A36, $B36, ParametersRange), 1, COLUMN()-2 )</f>
        <v>5.2586032351710399</v>
      </c>
      <c r="L36" s="2" cm="1">
        <f t="array" ref="L36">INDEX( ComputeThermoProps($A36, $B36, ParametersRange), 1, COLUMN()-2 )</f>
        <v>-20.034216903612084</v>
      </c>
      <c r="M36" s="2" cm="1">
        <f t="array" ref="M36">INDEX( ComputeThermoProps($A36, $B36, ParametersRange), 1, COLUMN()-2 )</f>
        <v>48.853485477128537</v>
      </c>
      <c r="N36" s="2" cm="1">
        <f t="array" ref="N36">INDEX( ComputeThermoProps($A36, $B36, ParametersRange), 1, COLUMN()-2 )</f>
        <v>-20.034216903612084</v>
      </c>
      <c r="O36" s="2">
        <f t="shared" si="1"/>
        <v>-83.915559325740134</v>
      </c>
      <c r="P36" s="2">
        <f t="shared" si="2"/>
        <v>-6707.4565153457861</v>
      </c>
    </row>
    <row r="37" spans="1:16" x14ac:dyDescent="0.25">
      <c r="A37" s="2">
        <v>14.1</v>
      </c>
      <c r="B37" s="2">
        <f t="shared" si="0"/>
        <v>2.3567953385782372E-77</v>
      </c>
      <c r="C37" s="2" cm="1">
        <f t="array" ref="C37">INDEX( ComputeThermoProps($A37, $B37, ParametersRange), 1, COLUMN()-2 )</f>
        <v>34.577961099316759</v>
      </c>
      <c r="D37" s="2" cm="1">
        <f t="array" ref="D37">INDEX( ComputeThermoProps($A37, $B37, ParametersRange), 1, COLUMN()-2 )</f>
        <v>2.9955353314894701E-4</v>
      </c>
      <c r="E37" s="2" cm="1">
        <f t="array" ref="E37">INDEX( ComputeThermoProps($A37, $B37, ParametersRange), 1, COLUMN()-2 )</f>
        <v>2.9641397805218702E-4</v>
      </c>
      <c r="F37" s="2" cm="1">
        <f t="array" ref="F37">INDEX( ComputeThermoProps($A37, $B37, ParametersRange), 1, COLUMN()-2 )</f>
        <v>2.8029511079994074E-4</v>
      </c>
      <c r="G37" s="2" cm="1">
        <f t="array" ref="G37">INDEX( ComputeThermoProps($A37, $B37, ParametersRange), 1, COLUMN()-2 )</f>
        <v>12.200606769347123</v>
      </c>
      <c r="H37" s="2" cm="1">
        <f t="array" ref="H37">INDEX( ComputeThermoProps($A37, $B37, ParametersRange), 1, COLUMN()-2 )</f>
        <v>12.0727348769224</v>
      </c>
      <c r="I37" s="2" cm="1">
        <f t="array" ref="I37">INDEX( ComputeThermoProps($A37, $B37, ParametersRange), 1, COLUMN()-2 )</f>
        <v>2.6800000000000006</v>
      </c>
      <c r="J37" s="2" cm="1">
        <f t="array" ref="J37">INDEX( ComputeThermoProps($A37, $B37, ParametersRange), 1, COLUMN()-2 )</f>
        <v>60.485969175688147</v>
      </c>
      <c r="K37" s="2" cm="1">
        <f t="array" ref="K37">INDEX( ComputeThermoProps($A37, $B37, ParametersRange), 1, COLUMN()-2 )</f>
        <v>6.11379781288238</v>
      </c>
      <c r="L37" s="2" cm="1">
        <f t="array" ref="L37">INDEX( ComputeThermoProps($A37, $B37, ParametersRange), 1, COLUMN()-2 )</f>
        <v>-25.718579985953408</v>
      </c>
      <c r="M37" s="2" cm="1">
        <f t="array" ref="M37">INDEX( ComputeThermoProps($A37, $B37, ParametersRange), 1, COLUMN()-2 )</f>
        <v>60.485969175688147</v>
      </c>
      <c r="N37" s="2" cm="1">
        <f t="array" ref="N37">INDEX( ComputeThermoProps($A37, $B37, ParametersRange), 1, COLUMN()-2 )</f>
        <v>-25.718579985953408</v>
      </c>
      <c r="O37" s="2">
        <f t="shared" si="1"/>
        <v>-76.627678129476223</v>
      </c>
      <c r="P37" s="2">
        <f t="shared" si="2"/>
        <v>-6695.8240316472265</v>
      </c>
    </row>
    <row r="38" spans="1:16" x14ac:dyDescent="0.25">
      <c r="A38" s="2">
        <v>15.1</v>
      </c>
      <c r="B38" s="2">
        <f t="shared" si="0"/>
        <v>4.6049951781501448E-71</v>
      </c>
      <c r="C38" s="2" cm="1">
        <f t="array" ref="C38">INDEX( ComputeThermoProps($A38, $B38, ParametersRange), 1, COLUMN()-2 )</f>
        <v>34.588085553359932</v>
      </c>
      <c r="D38" s="2" cm="1">
        <f t="array" ref="D38">INDEX( ComputeThermoProps($A38, $B38, ParametersRange), 1, COLUMN()-2 )</f>
        <v>3.0030499636379799E-4</v>
      </c>
      <c r="E38" s="2" cm="1">
        <f t="array" ref="E38">INDEX( ComputeThermoProps($A38, $B38, ParametersRange), 1, COLUMN()-2 )</f>
        <v>2.9664483598015998E-4</v>
      </c>
      <c r="F38" s="2" cm="1">
        <f t="array" ref="F38">INDEX( ComputeThermoProps($A38, $B38, ParametersRange), 1, COLUMN()-2 )</f>
        <v>3.0489589850638346E-4</v>
      </c>
      <c r="G38" s="2" cm="1">
        <f t="array" ref="G38">INDEX( ComputeThermoProps($A38, $B38, ParametersRange), 1, COLUMN()-2 )</f>
        <v>13.26497757802318</v>
      </c>
      <c r="H38" s="2" cm="1">
        <f t="array" ref="H38">INDEX( ComputeThermoProps($A38, $B38, ParametersRange), 1, COLUMN()-2 )</f>
        <v>13.103302128034629</v>
      </c>
      <c r="I38" s="2" cm="1">
        <f t="array" ref="I38">INDEX( ComputeThermoProps($A38, $B38, ParametersRange), 1, COLUMN()-2 )</f>
        <v>2.6799999999999997</v>
      </c>
      <c r="J38" s="2" cm="1">
        <f t="array" ref="J38">INDEX( ComputeThermoProps($A38, $B38, ParametersRange), 1, COLUMN()-2 )</f>
        <v>73.225960425309864</v>
      </c>
      <c r="K38" s="2" cm="1">
        <f t="array" ref="K38">INDEX( ComputeThermoProps($A38, $B38, ParametersRange), 1, COLUMN()-2 )</f>
        <v>6.9863227934353738</v>
      </c>
      <c r="L38" s="2" cm="1">
        <f t="array" ref="L38">INDEX( ComputeThermoProps($A38, $B38, ParametersRange), 1, COLUMN()-2 )</f>
        <v>-32.267513755564281</v>
      </c>
      <c r="M38" s="2" cm="1">
        <f t="array" ref="M38">INDEX( ComputeThermoProps($A38, $B38, ParametersRange), 1, COLUMN()-2 )</f>
        <v>73.225960425309864</v>
      </c>
      <c r="N38" s="2" cm="1">
        <f t="array" ref="N38">INDEX( ComputeThermoProps($A38, $B38, ParametersRange), 1, COLUMN()-2 )</f>
        <v>-32.267513755564281</v>
      </c>
      <c r="O38" s="2">
        <f t="shared" si="1"/>
        <v>-70.33677082021282</v>
      </c>
      <c r="P38" s="2">
        <f t="shared" si="2"/>
        <v>-6683.0840403976053</v>
      </c>
    </row>
    <row r="39" spans="1:16" x14ac:dyDescent="0.25">
      <c r="A39" s="2">
        <v>16.100000000000001</v>
      </c>
      <c r="B39" s="2">
        <f t="shared" si="0"/>
        <v>1.3917792794489802E-65</v>
      </c>
      <c r="C39" s="2" cm="1">
        <f t="array" ref="C39">INDEX( ComputeThermoProps($A39, $B39, ParametersRange), 1, COLUMN()-2 )</f>
        <v>34.599030645700793</v>
      </c>
      <c r="D39" s="2" cm="1">
        <f t="array" ref="D39">INDEX( ComputeThermoProps($A39, $B39, ParametersRange), 1, COLUMN()-2 )</f>
        <v>3.0109125179085273E-4</v>
      </c>
      <c r="E39" s="2" cm="1">
        <f t="array" ref="E39">INDEX( ComputeThermoProps($A39, $B39, ParametersRange), 1, COLUMN()-2 )</f>
        <v>2.9689493695143801E-4</v>
      </c>
      <c r="F39" s="2" cm="1">
        <f t="array" ref="F39">INDEX( ComputeThermoProps($A39, $B39, ParametersRange), 1, COLUMN()-2 )</f>
        <v>3.2757036397005604E-4</v>
      </c>
      <c r="G39" s="2" cm="1">
        <f t="array" ref="G39">INDEX( ComputeThermoProps($A39, $B39, ParametersRange), 1, COLUMN()-2 )</f>
        <v>14.243966682563114</v>
      </c>
      <c r="H39" s="2" cm="1">
        <f t="array" ref="H39">INDEX( ComputeThermoProps($A39, $B39, ParametersRange), 1, COLUMN()-2 )</f>
        <v>14.045448232071275</v>
      </c>
      <c r="I39" s="2" cm="1">
        <f t="array" ref="I39">INDEX( ComputeThermoProps($A39, $B39, ParametersRange), 1, COLUMN()-2 )</f>
        <v>2.68</v>
      </c>
      <c r="J39" s="2" cm="1">
        <f t="array" ref="J39">INDEX( ComputeThermoProps($A39, $B39, ParametersRange), 1, COLUMN()-2 )</f>
        <v>86.98743266548243</v>
      </c>
      <c r="K39" s="2" cm="1">
        <f t="array" ref="K39">INDEX( ComputeThermoProps($A39, $B39, ParametersRange), 1, COLUMN()-2 )</f>
        <v>7.8684330130719013</v>
      </c>
      <c r="L39" s="2" cm="1">
        <f t="array" ref="L39">INDEX( ComputeThermoProps($A39, $B39, ParametersRange), 1, COLUMN()-2 )</f>
        <v>-39.694338844975192</v>
      </c>
      <c r="M39" s="2" cm="1">
        <f t="array" ref="M39">INDEX( ComputeThermoProps($A39, $B39, ParametersRange), 1, COLUMN()-2 )</f>
        <v>86.98743266548243</v>
      </c>
      <c r="N39" s="2" cm="1">
        <f t="array" ref="N39">INDEX( ComputeThermoProps($A39, $B39, ParametersRange), 1, COLUMN()-2 )</f>
        <v>-39.694338844975192</v>
      </c>
      <c r="O39" s="2">
        <f t="shared" si="1"/>
        <v>-64.856429633488332</v>
      </c>
      <c r="P39" s="2">
        <f t="shared" si="2"/>
        <v>-6669.3225681574322</v>
      </c>
    </row>
    <row r="40" spans="1:16" x14ac:dyDescent="0.25">
      <c r="A40" s="2">
        <v>17.100000000000001</v>
      </c>
      <c r="B40" s="2">
        <f t="shared" si="0"/>
        <v>9.0394294665303682E-61</v>
      </c>
      <c r="C40" s="2" cm="1">
        <f t="array" ref="C40">INDEX( ComputeThermoProps($A40, $B40, ParametersRange), 1, COLUMN()-2 )</f>
        <v>34.610731729628469</v>
      </c>
      <c r="D40" s="2" cm="1">
        <f t="array" ref="D40">INDEX( ComputeThermoProps($A40, $B40, ParametersRange), 1, COLUMN()-2 )</f>
        <v>3.019075515748893E-4</v>
      </c>
      <c r="E40" s="2" cm="1">
        <f t="array" ref="E40">INDEX( ComputeThermoProps($A40, $B40, ParametersRange), 1, COLUMN()-2 )</f>
        <v>2.9716292413123921E-4</v>
      </c>
      <c r="F40" s="2" cm="1">
        <f t="array" ref="F40">INDEX( ComputeThermoProps($A40, $B40, ParametersRange), 1, COLUMN()-2 )</f>
        <v>3.4839875059678772E-4</v>
      </c>
      <c r="G40" s="2" cm="1">
        <f t="array" ref="G40">INDEX( ComputeThermoProps($A40, $B40, ParametersRange), 1, COLUMN()-2 )</f>
        <v>15.141118302856</v>
      </c>
      <c r="H40" s="2" cm="1">
        <f t="array" ref="H40">INDEX( ComputeThermoProps($A40, $B40, ParametersRange), 1, COLUMN()-2 )</f>
        <v>14.903168092427219</v>
      </c>
      <c r="I40" s="2" cm="1">
        <f t="array" ref="I40">INDEX( ComputeThermoProps($A40, $B40, ParametersRange), 1, COLUMN()-2 )</f>
        <v>2.68</v>
      </c>
      <c r="J40" s="2" cm="1">
        <f t="array" ref="J40">INDEX( ComputeThermoProps($A40, $B40, ParametersRange), 1, COLUMN()-2 )</f>
        <v>101.68659734115151</v>
      </c>
      <c r="K40" s="2" cm="1">
        <f t="array" ref="K40">INDEX( ComputeThermoProps($A40, $B40, ParametersRange), 1, COLUMN()-2 )</f>
        <v>8.7539189472684686</v>
      </c>
      <c r="L40" s="2" cm="1">
        <f t="array" ref="L40">INDEX( ComputeThermoProps($A40, $B40, ParametersRange), 1, COLUMN()-2 )</f>
        <v>-48.005416657139314</v>
      </c>
      <c r="M40" s="2" cm="1">
        <f t="array" ref="M40">INDEX( ComputeThermoProps($A40, $B40, ParametersRange), 1, COLUMN()-2 )</f>
        <v>101.68659734115151</v>
      </c>
      <c r="N40" s="2" cm="1">
        <f t="array" ref="N40">INDEX( ComputeThermoProps($A40, $B40, ParametersRange), 1, COLUMN()-2 )</f>
        <v>-48.005416657139314</v>
      </c>
      <c r="O40" s="2">
        <f t="shared" si="1"/>
        <v>-60.043858979630485</v>
      </c>
      <c r="P40" s="2">
        <f t="shared" si="2"/>
        <v>-6654.6234034817635</v>
      </c>
    </row>
    <row r="41" spans="1:16" x14ac:dyDescent="0.25">
      <c r="A41" s="2">
        <v>18.100000000000001</v>
      </c>
      <c r="B41" s="2">
        <f t="shared" si="0"/>
        <v>1.6299420770743086E-56</v>
      </c>
      <c r="C41" s="2" cm="1">
        <f t="array" ref="C41">INDEX( ComputeThermoProps($A41, $B41, ParametersRange), 1, COLUMN()-2 )</f>
        <v>34.623127601008797</v>
      </c>
      <c r="D41" s="2" cm="1">
        <f t="array" ref="D41">INDEX( ComputeThermoProps($A41, $B41, ParametersRange), 1, COLUMN()-2 )</f>
        <v>3.0274998846916199E-4</v>
      </c>
      <c r="E41" s="2" cm="1">
        <f t="array" ref="E41">INDEX( ComputeThermoProps($A41, $B41, ParametersRange), 1, COLUMN()-2 )</f>
        <v>2.9744751482374462E-4</v>
      </c>
      <c r="F41" s="2" cm="1">
        <f t="array" ref="F41">INDEX( ComputeThermoProps($A41, $B41, ParametersRange), 1, COLUMN()-2 )</f>
        <v>3.6749785199879595E-4</v>
      </c>
      <c r="G41" s="2" cm="1">
        <f t="array" ref="G41">INDEX( ComputeThermoProps($A41, $B41, ParametersRange), 1, COLUMN()-2 )</f>
        <v>15.961583072210287</v>
      </c>
      <c r="H41" s="2" cm="1">
        <f t="array" ref="H41">INDEX( ComputeThermoProps($A41, $B41, ParametersRange), 1, COLUMN()-2 )</f>
        <v>15.682026088550298</v>
      </c>
      <c r="I41" s="2" cm="1">
        <f t="array" ref="I41">INDEX( ComputeThermoProps($A41, $B41, ParametersRange), 1, COLUMN()-2 )</f>
        <v>2.68</v>
      </c>
      <c r="J41" s="2" cm="1">
        <f t="array" ref="J41">INDEX( ComputeThermoProps($A41, $B41, ParametersRange), 1, COLUMN()-2 )</f>
        <v>117.2440989082055</v>
      </c>
      <c r="K41" s="2" cm="1">
        <f t="array" ref="K41">INDEX( ComputeThermoProps($A41, $B41, ParametersRange), 1, COLUMN()-2 )</f>
        <v>9.6378824600455779</v>
      </c>
      <c r="L41" s="2" cm="1">
        <f t="array" ref="L41">INDEX( ComputeThermoProps($A41, $B41, ParametersRange), 1, COLUMN()-2 )</f>
        <v>-57.20157361861947</v>
      </c>
      <c r="M41" s="2" cm="1">
        <f t="array" ref="M41">INDEX( ComputeThermoProps($A41, $B41, ParametersRange), 1, COLUMN()-2 )</f>
        <v>117.2440989082055</v>
      </c>
      <c r="N41" s="2" cm="1">
        <f t="array" ref="N41">INDEX( ComputeThermoProps($A41, $B41, ParametersRange), 1, COLUMN()-2 )</f>
        <v>-57.20157361861947</v>
      </c>
      <c r="O41" s="2">
        <f t="shared" si="1"/>
        <v>-55.78782782875799</v>
      </c>
      <c r="P41" s="2">
        <f t="shared" si="2"/>
        <v>-6639.0659019147097</v>
      </c>
    </row>
    <row r="42" spans="1:16" x14ac:dyDescent="0.25">
      <c r="A42" s="2">
        <v>19.100000000000001</v>
      </c>
      <c r="B42" s="2">
        <f t="shared" si="0"/>
        <v>9.9906400720680629E-53</v>
      </c>
      <c r="C42" s="2" cm="1">
        <f t="array" ref="C42">INDEX( ComputeThermoProps($A42, $B42, ParametersRange), 1, COLUMN()-2 )</f>
        <v>34.63616140133913</v>
      </c>
      <c r="D42" s="2" cm="1">
        <f t="array" ref="D42">INDEX( ComputeThermoProps($A42, $B42, ParametersRange), 1, COLUMN()-2 )</f>
        <v>3.0361537110728631E-4</v>
      </c>
      <c r="E42" s="2" cm="1">
        <f t="array" ref="E42">INDEX( ComputeThermoProps($A42, $B42, ParametersRange), 1, COLUMN()-2 )</f>
        <v>2.9774752017322113E-4</v>
      </c>
      <c r="F42" s="2" cm="1">
        <f t="array" ref="F42">INDEX( ComputeThermoProps($A42, $B42, ParametersRange), 1, COLUMN()-2 )</f>
        <v>3.8500179842358381E-4</v>
      </c>
      <c r="G42" s="2" cm="1">
        <f t="array" ref="G42">INDEX( ComputeThermoProps($A42, $B42, ParametersRange), 1, COLUMN()-2 )</f>
        <v>16.711274223417121</v>
      </c>
      <c r="H42" s="2" cm="1">
        <f t="array" ref="H42">INDEX( ComputeThermoProps($A42, $B42, ParametersRange), 1, COLUMN()-2 )</f>
        <v>16.388302215433221</v>
      </c>
      <c r="I42" s="2" cm="1">
        <f t="array" ref="I42">INDEX( ComputeThermoProps($A42, $B42, ParametersRange), 1, COLUMN()-2 )</f>
        <v>2.68</v>
      </c>
      <c r="J42" s="2" cm="1">
        <f t="array" ref="J42">INDEX( ComputeThermoProps($A42, $B42, ParametersRange), 1, COLUMN()-2 )</f>
        <v>133.58617010430521</v>
      </c>
      <c r="K42" s="2" cm="1">
        <f t="array" ref="K42">INDEX( ComputeThermoProps($A42, $B42, ParametersRange), 1, COLUMN()-2 )</f>
        <v>10.516516830858141</v>
      </c>
      <c r="L42" s="2" cm="1">
        <f t="array" ref="L42">INDEX( ComputeThermoProps($A42, $B42, ParametersRange), 1, COLUMN()-2 )</f>
        <v>-67.279301365085288</v>
      </c>
      <c r="M42" s="2" cm="1">
        <f t="array" ref="M42">INDEX( ComputeThermoProps($A42, $B42, ParametersRange), 1, COLUMN()-2 )</f>
        <v>133.58617010430521</v>
      </c>
      <c r="N42" s="2" cm="1">
        <f t="array" ref="N42">INDEX( ComputeThermoProps($A42, $B42, ParametersRange), 1, COLUMN()-2 )</f>
        <v>-67.279301365085288</v>
      </c>
      <c r="O42" s="2">
        <f t="shared" si="1"/>
        <v>-52.000406686862874</v>
      </c>
      <c r="P42" s="2">
        <f t="shared" si="2"/>
        <v>-6622.7238307186099</v>
      </c>
    </row>
    <row r="43" spans="1:16" x14ac:dyDescent="0.25">
      <c r="A43" s="2">
        <v>20.100000000000001</v>
      </c>
      <c r="B43" s="2">
        <f t="shared" si="0"/>
        <v>2.448098308478274E-49</v>
      </c>
      <c r="C43" s="2" cm="1">
        <f t="array" ref="C43">INDEX( ComputeThermoProps($A43, $B43, ParametersRange), 1, COLUMN()-2 )</f>
        <v>34.649780984323797</v>
      </c>
      <c r="D43" s="2" cm="1">
        <f t="array" ref="D43">INDEX( ComputeThermoProps($A43, $B43, ParametersRange), 1, COLUMN()-2 )</f>
        <v>3.0450110522053226E-4</v>
      </c>
      <c r="E43" s="2" cm="1">
        <f t="array" ref="E43">INDEX( ComputeThermoProps($A43, $B43, ParametersRange), 1, COLUMN()-2 )</f>
        <v>2.9806185312337199E-4</v>
      </c>
      <c r="F43" s="2" cm="1">
        <f t="array" ref="F43">INDEX( ComputeThermoProps($A43, $B43, ParametersRange), 1, COLUMN()-2 )</f>
        <v>4.0104968484303558E-4</v>
      </c>
      <c r="G43" s="2" cm="1">
        <f t="array" ref="G43">INDEX( ComputeThermoProps($A43, $B43, ParametersRange), 1, COLUMN()-2 )</f>
        <v>17.396323773150563</v>
      </c>
      <c r="H43" s="2" cm="1">
        <f t="array" ref="H43">INDEX( ComputeThermoProps($A43, $B43, ParametersRange), 1, COLUMN()-2 )</f>
        <v>17.028445586770879</v>
      </c>
      <c r="I43" s="2" cm="1">
        <f t="array" ref="I43">INDEX( ComputeThermoProps($A43, $B43, ParametersRange), 1, COLUMN()-2 )</f>
        <v>2.68</v>
      </c>
      <c r="J43" s="2" cm="1">
        <f t="array" ref="J43">INDEX( ComputeThermoProps($A43, $B43, ParametersRange), 1, COLUMN()-2 )</f>
        <v>150.64510162576383</v>
      </c>
      <c r="K43" s="2" cm="1">
        <f t="array" ref="K43">INDEX( ComputeThermoProps($A43, $B43, ParametersRange), 1, COLUMN()-2 )</f>
        <v>11.38690786810055</v>
      </c>
      <c r="L43" s="2" cm="1">
        <f t="array" ref="L43">INDEX( ComputeThermoProps($A43, $B43, ParametersRange), 1, COLUMN()-2 )</f>
        <v>-78.231746523057254</v>
      </c>
      <c r="M43" s="2" cm="1">
        <f t="array" ref="M43">INDEX( ComputeThermoProps($A43, $B43, ParametersRange), 1, COLUMN()-2 )</f>
        <v>150.64510162576383</v>
      </c>
      <c r="N43" s="2" cm="1">
        <f t="array" ref="N43">INDEX( ComputeThermoProps($A43, $B43, ParametersRange), 1, COLUMN()-2 )</f>
        <v>-78.231746523057254</v>
      </c>
      <c r="O43" s="2">
        <f t="shared" si="1"/>
        <v>-48.611171146178286</v>
      </c>
      <c r="P43" s="2">
        <f t="shared" si="2"/>
        <v>-6605.6648991971506</v>
      </c>
    </row>
    <row r="44" spans="1:16" x14ac:dyDescent="0.25">
      <c r="A44" s="2">
        <v>21.1</v>
      </c>
      <c r="B44" s="2">
        <f t="shared" si="0"/>
        <v>2.7349304397228741E-46</v>
      </c>
      <c r="C44" s="2" cm="1">
        <f t="array" ref="C44">INDEX( ComputeThermoProps($A44, $B44, ParametersRange), 1, COLUMN()-2 )</f>
        <v>34.663938944548995</v>
      </c>
      <c r="D44" s="2" cm="1">
        <f t="array" ref="D44">INDEX( ComputeThermoProps($A44, $B44, ParametersRange), 1, COLUMN()-2 )</f>
        <v>3.0540508822040529E-4</v>
      </c>
      <c r="E44" s="2" cm="1">
        <f t="array" ref="E44">INDEX( ComputeThermoProps($A44, $B44, ParametersRange), 1, COLUMN()-2 )</f>
        <v>2.9838952901087279E-4</v>
      </c>
      <c r="F44" s="2" cm="1">
        <f t="array" ref="F44">INDEX( ComputeThermoProps($A44, $B44, ParametersRange), 1, COLUMN()-2 )</f>
        <v>4.1577796189530406E-4</v>
      </c>
      <c r="G44" s="2" cm="1">
        <f t="array" ref="G44">INDEX( ComputeThermoProps($A44, $B44, ParametersRange), 1, COLUMN()-2 )</f>
        <v>18.022747744808452</v>
      </c>
      <c r="H44" s="2" cm="1">
        <f t="array" ref="H44">INDEX( ComputeThermoProps($A44, $B44, ParametersRange), 1, COLUMN()-2 )</f>
        <v>17.608741368362875</v>
      </c>
      <c r="I44" s="2" cm="1">
        <f t="array" ref="I44">INDEX( ComputeThermoProps($A44, $B44, ParametersRange), 1, COLUMN()-2 )</f>
        <v>2.68</v>
      </c>
      <c r="J44" s="2" cm="1">
        <f t="array" ref="J44">INDEX( ComputeThermoProps($A44, $B44, ParametersRange), 1, COLUMN()-2 )</f>
        <v>168.35927935070461</v>
      </c>
      <c r="K44" s="2" cm="1">
        <f t="array" ref="K44">INDEX( ComputeThermoProps($A44, $B44, ParametersRange), 1, COLUMN()-2 )</f>
        <v>12.246862296889578</v>
      </c>
      <c r="L44" s="2" cm="1">
        <f t="array" ref="L44">INDEX( ComputeThermoProps($A44, $B44, ParametersRange), 1, COLUMN()-2 )</f>
        <v>-90.049515113665507</v>
      </c>
      <c r="M44" s="2" cm="1">
        <f t="array" ref="M44">INDEX( ComputeThermoProps($A44, $B44, ParametersRange), 1, COLUMN()-2 )</f>
        <v>168.35927935070461</v>
      </c>
      <c r="N44" s="2" cm="1">
        <f t="array" ref="N44">INDEX( ComputeThermoProps($A44, $B44, ParametersRange), 1, COLUMN()-2 )</f>
        <v>-90.049515113665507</v>
      </c>
      <c r="O44" s="2">
        <f t="shared" si="1"/>
        <v>-45.56305371504488</v>
      </c>
      <c r="P44" s="2">
        <f t="shared" si="2"/>
        <v>-6587.9507214722098</v>
      </c>
    </row>
    <row r="45" spans="1:16" x14ac:dyDescent="0.25">
      <c r="A45" s="2">
        <v>22.1</v>
      </c>
      <c r="B45" s="2">
        <f t="shared" si="0"/>
        <v>1.5512369901682654E-43</v>
      </c>
      <c r="C45" s="2" cm="1">
        <f t="array" ref="C45">INDEX( ComputeThermoProps($A45, $B45, ParametersRange), 1, COLUMN()-2 )</f>
        <v>34.678592443687926</v>
      </c>
      <c r="D45" s="2" cm="1">
        <f t="array" ref="D45">INDEX( ComputeThermoProps($A45, $B45, ParametersRange), 1, COLUMN()-2 )</f>
        <v>3.0632561931150917E-4</v>
      </c>
      <c r="E45" s="2" cm="1">
        <f t="array" ref="E45">INDEX( ComputeThermoProps($A45, $B45, ParametersRange), 1, COLUMN()-2 )</f>
        <v>2.9872966176511484E-4</v>
      </c>
      <c r="F45" s="2" cm="1">
        <f t="array" ref="F45">INDEX( ComputeThermoProps($A45, $B45, ParametersRange), 1, COLUMN()-2 )</f>
        <v>4.2931603917289318E-4</v>
      </c>
      <c r="G45" s="2" cm="1">
        <f t="array" ref="G45">INDEX( ComputeThermoProps($A45, $B45, ParametersRange), 1, COLUMN()-2 )</f>
        <v>18.59625250494592</v>
      </c>
      <c r="H45" s="2" cm="1">
        <f t="array" ref="H45">INDEX( ComputeThermoProps($A45, $B45, ParametersRange), 1, COLUMN()-2 )</f>
        <v>18.135121160897445</v>
      </c>
      <c r="I45" s="2" cm="1">
        <f t="array" ref="I45">INDEX( ComputeThermoProps($A45, $B45, ParametersRange), 1, COLUMN()-2 )</f>
        <v>2.68</v>
      </c>
      <c r="J45" s="2" cm="1">
        <f t="array" ref="J45">INDEX( ComputeThermoProps($A45, $B45, ParametersRange), 1, COLUMN()-2 )</f>
        <v>186.67296201659858</v>
      </c>
      <c r="K45" s="2" cm="1">
        <f t="array" ref="K45">INDEX( ComputeThermoProps($A45, $B45, ParametersRange), 1, COLUMN()-2 )</f>
        <v>13.094763859151916</v>
      </c>
      <c r="L45" s="2" cm="1">
        <f t="array" ref="L45">INDEX( ComputeThermoProps($A45, $B45, ParametersRange), 1, COLUMN()-2 )</f>
        <v>-102.7213192706588</v>
      </c>
      <c r="M45" s="2" cm="1">
        <f t="array" ref="M45">INDEX( ComputeThermoProps($A45, $B45, ParametersRange), 1, COLUMN()-2 )</f>
        <v>186.67296201659858</v>
      </c>
      <c r="N45" s="2" cm="1">
        <f t="array" ref="N45">INDEX( ComputeThermoProps($A45, $B45, ParametersRange), 1, COLUMN()-2 )</f>
        <v>-102.7213192706588</v>
      </c>
      <c r="O45" s="2">
        <f t="shared" si="1"/>
        <v>-42.809321847795758</v>
      </c>
      <c r="P45" s="2">
        <f t="shared" si="2"/>
        <v>-6569.637038806316</v>
      </c>
    </row>
    <row r="46" spans="1:16" x14ac:dyDescent="0.25">
      <c r="A46" s="2">
        <v>23.1</v>
      </c>
      <c r="B46" s="2">
        <f t="shared" si="0"/>
        <v>4.8826893939413668E-41</v>
      </c>
      <c r="C46" s="2" cm="1">
        <f t="array" ref="C46">INDEX( ComputeThermoProps($A46, $B46, ParametersRange), 1, COLUMN()-2 )</f>
        <v>34.69370292463416</v>
      </c>
      <c r="D46" s="2" cm="1">
        <f t="array" ref="D46">INDEX( ComputeThermoProps($A46, $B46, ParametersRange), 1, COLUMN()-2 )</f>
        <v>3.0726132467373286E-4</v>
      </c>
      <c r="E46" s="2" cm="1">
        <f t="array" ref="E46">INDEX( ComputeThermoProps($A46, $B46, ParametersRange), 1, COLUMN()-2 )</f>
        <v>2.9908145769053513E-4</v>
      </c>
      <c r="F46" s="2" cm="1">
        <f t="array" ref="F46">INDEX( ComputeThermoProps($A46, $B46, ParametersRange), 1, COLUMN()-2 )</f>
        <v>4.4178399571044E-4</v>
      </c>
      <c r="G46" s="2" cm="1">
        <f t="array" ref="G46">INDEX( ComputeThermoProps($A46, $B46, ParametersRange), 1, COLUMN()-2 )</f>
        <v>19.122133749100232</v>
      </c>
      <c r="H46" s="2" cm="1">
        <f t="array" ref="H46">INDEX( ComputeThermoProps($A46, $B46, ParametersRange), 1, COLUMN()-2 )</f>
        <v>18.613067042873382</v>
      </c>
      <c r="I46" s="2" cm="1">
        <f t="array" ref="I46">INDEX( ComputeThermoProps($A46, $B46, ParametersRange), 1, COLUMN()-2 )</f>
        <v>2.68</v>
      </c>
      <c r="J46" s="2" cm="1">
        <f t="array" ref="J46">INDEX( ComputeThermoProps($A46, $B46, ParametersRange), 1, COLUMN()-2 )</f>
        <v>205.53591492697535</v>
      </c>
      <c r="K46" s="2" cm="1">
        <f t="array" ref="K46">INDEX( ComputeThermoProps($A46, $B46, ParametersRange), 1, COLUMN()-2 )</f>
        <v>13.929454890902734</v>
      </c>
      <c r="L46" s="2" cm="1">
        <f t="array" ref="L46">INDEX( ComputeThermoProps($A46, $B46, ParametersRange), 1, COLUMN()-2 )</f>
        <v>-116.23449305287784</v>
      </c>
      <c r="M46" s="2" cm="1">
        <f t="array" ref="M46">INDEX( ComputeThermoProps($A46, $B46, ParametersRange), 1, COLUMN()-2 )</f>
        <v>205.53591492697535</v>
      </c>
      <c r="N46" s="2" cm="1">
        <f t="array" ref="N46">INDEX( ComputeThermoProps($A46, $B46, ParametersRange), 1, COLUMN()-2 )</f>
        <v>-116.23449305287784</v>
      </c>
      <c r="O46" s="2">
        <f t="shared" si="1"/>
        <v>-40.311340901926769</v>
      </c>
      <c r="P46" s="2">
        <f t="shared" si="2"/>
        <v>-6550.7740858959396</v>
      </c>
    </row>
    <row r="47" spans="1:16" x14ac:dyDescent="0.25">
      <c r="A47" s="2">
        <v>24.1</v>
      </c>
      <c r="B47" s="2">
        <f t="shared" si="0"/>
        <v>9.1855669015142465E-39</v>
      </c>
      <c r="C47" s="2" cm="1">
        <f t="array" ref="C47">INDEX( ComputeThermoProps($A47, $B47, ParametersRange), 1, COLUMN()-2 )</f>
        <v>34.709235772017834</v>
      </c>
      <c r="D47" s="2" cm="1">
        <f t="array" ref="D47">INDEX( ComputeThermoProps($A47, $B47, ParametersRange), 1, COLUMN()-2 )</f>
        <v>3.0821109613590205E-4</v>
      </c>
      <c r="E47" s="2" cm="1">
        <f t="array" ref="E47">INDEX( ComputeThermoProps($A47, $B47, ParametersRange), 1, COLUMN()-2 )</f>
        <v>2.9944420810426266E-4</v>
      </c>
      <c r="F47" s="2" cm="1">
        <f t="array" ref="F47">INDEX( ComputeThermoProps($A47, $B47, ParametersRange), 1, COLUMN()-2 )</f>
        <v>4.5329163633309319E-4</v>
      </c>
      <c r="G47" s="2" cm="1">
        <f t="array" ref="G47">INDEX( ComputeThermoProps($A47, $B47, ParametersRange), 1, COLUMN()-2 )</f>
        <v>19.605234717533314</v>
      </c>
      <c r="H47" s="2" cm="1">
        <f t="array" ref="H47">INDEX( ComputeThermoProps($A47, $B47, ParametersRange), 1, COLUMN()-2 )</f>
        <v>19.047575049346559</v>
      </c>
      <c r="I47" s="2" cm="1">
        <f t="array" ref="I47">INDEX( ComputeThermoProps($A47, $B47, ParametersRange), 1, COLUMN()-2 )</f>
        <v>2.68</v>
      </c>
      <c r="J47" s="2" cm="1">
        <f t="array" ref="J47">INDEX( ComputeThermoProps($A47, $B47, ParametersRange), 1, COLUMN()-2 )</f>
        <v>224.90297453462333</v>
      </c>
      <c r="K47" s="2" cm="1">
        <f t="array" ref="K47">INDEX( ComputeThermoProps($A47, $B47, ParametersRange), 1, COLUMN()-2 )</f>
        <v>14.750140072492909</v>
      </c>
      <c r="L47" s="2" cm="1">
        <f t="array" ref="L47">INDEX( ComputeThermoProps($A47, $B47, ParametersRange), 1, COLUMN()-2 )</f>
        <v>-130.5754012124558</v>
      </c>
      <c r="M47" s="2" cm="1">
        <f t="array" ref="M47">INDEX( ComputeThermoProps($A47, $B47, ParametersRange), 1, COLUMN()-2 )</f>
        <v>224.90297453462333</v>
      </c>
      <c r="N47" s="2" cm="1">
        <f t="array" ref="N47">INDEX( ComputeThermoProps($A47, $B47, ParametersRange), 1, COLUMN()-2 )</f>
        <v>-130.5754012124558</v>
      </c>
      <c r="O47" s="2">
        <f t="shared" si="1"/>
        <v>-38.036894035373209</v>
      </c>
      <c r="P47" s="2">
        <f t="shared" si="2"/>
        <v>-6531.4070262882915</v>
      </c>
    </row>
    <row r="48" spans="1:16" x14ac:dyDescent="0.25">
      <c r="A48" s="2">
        <v>25.1</v>
      </c>
      <c r="B48" s="2">
        <f t="shared" si="0"/>
        <v>1.0992495032885399E-36</v>
      </c>
      <c r="C48" s="2" cm="1">
        <f t="array" ref="C48">INDEX( ComputeThermoProps($A48, $B48, ParametersRange), 1, COLUMN()-2 )</f>
        <v>34.725159955855261</v>
      </c>
      <c r="D48" s="2" cm="1">
        <f t="array" ref="D48">INDEX( ComputeThermoProps($A48, $B48, ParametersRange), 1, COLUMN()-2 )</f>
        <v>3.0917404134294079E-4</v>
      </c>
      <c r="E48" s="2" cm="1">
        <f t="array" ref="E48">INDEX( ComputeThermoProps($A48, $B48, ParametersRange), 1, COLUMN()-2 )</f>
        <v>2.9981728162578022E-4</v>
      </c>
      <c r="F48" s="2" cm="1">
        <f t="array" ref="F48">INDEX( ComputeThermoProps($A48, $B48, ParametersRange), 1, COLUMN()-2 )</f>
        <v>4.6393837733460427E-4</v>
      </c>
      <c r="G48" s="2" cm="1">
        <f t="array" ref="G48">INDEX( ComputeThermoProps($A48, $B48, ParametersRange), 1, COLUMN()-2 )</f>
        <v>20.049940948766015</v>
      </c>
      <c r="H48" s="2" cm="1">
        <f t="array" ref="H48">INDEX( ComputeThermoProps($A48, $B48, ParametersRange), 1, COLUMN()-2 )</f>
        <v>19.443154948925976</v>
      </c>
      <c r="I48" s="2" cm="1">
        <f t="array" ref="I48">INDEX( ComputeThermoProps($A48, $B48, ParametersRange), 1, COLUMN()-2 )</f>
        <v>2.6799999999999997</v>
      </c>
      <c r="J48" s="2" cm="1">
        <f t="array" ref="J48">INDEX( ComputeThermoProps($A48, $B48, ParametersRange), 1, COLUMN()-2 )</f>
        <v>244.73359103363941</v>
      </c>
      <c r="K48" s="2" cm="1">
        <f t="array" ref="K48">INDEX( ComputeThermoProps($A48, $B48, ParametersRange), 1, COLUMN()-2 )</f>
        <v>15.556308859472816</v>
      </c>
      <c r="L48" s="2" cm="1">
        <f t="array" ref="L48">INDEX( ComputeThermoProps($A48, $B48, ParametersRange), 1, COLUMN()-2 )</f>
        <v>-145.72976133912829</v>
      </c>
      <c r="M48" s="2" cm="1">
        <f t="array" ref="M48">INDEX( ComputeThermoProps($A48, $B48, ParametersRange), 1, COLUMN()-2 )</f>
        <v>244.73359103363941</v>
      </c>
      <c r="N48" s="2" cm="1">
        <f t="array" ref="N48">INDEX( ComputeThermoProps($A48, $B48, ParametersRange), 1, COLUMN()-2 )</f>
        <v>-145.72976133912829</v>
      </c>
      <c r="O48" s="2">
        <f t="shared" si="1"/>
        <v>-35.958903721950328</v>
      </c>
      <c r="P48" s="2">
        <f t="shared" si="2"/>
        <v>-6511.5764097892752</v>
      </c>
    </row>
    <row r="49" spans="1:16" x14ac:dyDescent="0.25">
      <c r="A49" s="2">
        <v>26.1</v>
      </c>
      <c r="B49" s="2">
        <f t="shared" si="0"/>
        <v>8.8217110523094814E-35</v>
      </c>
      <c r="C49" s="2" cm="1">
        <f t="array" ref="C49">INDEX( ComputeThermoProps($A49, $B49, ParametersRange), 1, COLUMN()-2 )</f>
        <v>34.741447680567191</v>
      </c>
      <c r="D49" s="2" cm="1">
        <f t="array" ref="D49">INDEX( ComputeThermoProps($A49, $B49, ParametersRange), 1, COLUMN()-2 )</f>
        <v>3.1014944351376013E-4</v>
      </c>
      <c r="E49" s="2" cm="1">
        <f t="array" ref="E49">INDEX( ComputeThermoProps($A49, $B49, ParametersRange), 1, COLUMN()-2 )</f>
        <v>3.0020011659811683E-4</v>
      </c>
      <c r="F49" s="2" cm="1">
        <f t="array" ref="F49">INDEX( ComputeThermoProps($A49, $B49, ParametersRange), 1, COLUMN()-2 )</f>
        <v>4.7381362289381076E-4</v>
      </c>
      <c r="G49" s="2" cm="1">
        <f t="array" ref="G49">INDEX( ComputeThermoProps($A49, $B49, ParametersRange), 1, COLUMN()-2 )</f>
        <v>20.460196680624158</v>
      </c>
      <c r="H49" s="2" cm="1">
        <f t="array" ref="H49">INDEX( ComputeThermoProps($A49, $B49, ParametersRange), 1, COLUMN()-2 )</f>
        <v>19.803851200111122</v>
      </c>
      <c r="I49" s="2" cm="1">
        <f t="array" ref="I49">INDEX( ComputeThermoProps($A49, $B49, ParametersRange), 1, COLUMN()-2 )</f>
        <v>2.68</v>
      </c>
      <c r="J49" s="2" cm="1">
        <f t="array" ref="J49">INDEX( ComputeThermoProps($A49, $B49, ParametersRange), 1, COLUMN()-2 )</f>
        <v>264.99137753026866</v>
      </c>
      <c r="K49" s="2" cm="1">
        <f t="array" ref="K49">INDEX( ComputeThermoProps($A49, $B49, ParametersRange), 1, COLUMN()-2 )</f>
        <v>16.347673330686884</v>
      </c>
      <c r="L49" s="2" cm="1">
        <f t="array" ref="L49">INDEX( ComputeThermoProps($A49, $B49, ParametersRange), 1, COLUMN()-2 )</f>
        <v>-161.68289640065905</v>
      </c>
      <c r="M49" s="2" cm="1">
        <f t="array" ref="M49">INDEX( ComputeThermoProps($A49, $B49, ParametersRange), 1, COLUMN()-2 )</f>
        <v>264.99137753026866</v>
      </c>
      <c r="N49" s="2" cm="1">
        <f t="array" ref="N49">INDEX( ComputeThermoProps($A49, $B49, ParametersRange), 1, COLUMN()-2 )</f>
        <v>-161.68289640065905</v>
      </c>
      <c r="O49" s="2">
        <f t="shared" si="1"/>
        <v>-34.054447171273395</v>
      </c>
      <c r="P49" s="2">
        <f t="shared" si="2"/>
        <v>-6491.3186232926464</v>
      </c>
    </row>
    <row r="50" spans="1:16" x14ac:dyDescent="0.25">
      <c r="A50" s="2">
        <v>27.1</v>
      </c>
      <c r="B50" s="2">
        <f t="shared" si="0"/>
        <v>4.9660405692412144E-33</v>
      </c>
      <c r="C50" s="2" cm="1">
        <f t="array" ref="C50">INDEX( ComputeThermoProps($A50, $B50, ParametersRange), 1, COLUMN()-2 )</f>
        <v>34.758074052077831</v>
      </c>
      <c r="D50" s="2" cm="1">
        <f t="array" ref="D50">INDEX( ComputeThermoProps($A50, $B50, ParametersRange), 1, COLUMN()-2 )</f>
        <v>3.1113672901135351E-4</v>
      </c>
      <c r="E50" s="2" cm="1">
        <f t="array" ref="E50">INDEX( ComputeThermoProps($A50, $B50, ParametersRange), 1, COLUMN()-2 )</f>
        <v>3.0059221391283913E-4</v>
      </c>
      <c r="F50" s="2" cm="1">
        <f t="array" ref="F50">INDEX( ComputeThermoProps($A50, $B50, ParametersRange), 1, COLUMN()-2 )</f>
        <v>4.8299740899886709E-4</v>
      </c>
      <c r="G50" s="2" cm="1">
        <f t="array" ref="G50">INDEX( ComputeThermoProps($A50, $B50, ParametersRange), 1, COLUMN()-2 )</f>
        <v>20.839533075034499</v>
      </c>
      <c r="H50" s="2" cm="1">
        <f t="array" ref="H50">INDEX( ComputeThermoProps($A50, $B50, ParametersRange), 1, COLUMN()-2 )</f>
        <v>20.133275180462135</v>
      </c>
      <c r="I50" s="2" cm="1">
        <f t="array" ref="I50">INDEX( ComputeThermoProps($A50, $B50, ParametersRange), 1, COLUMN()-2 )</f>
        <v>2.68</v>
      </c>
      <c r="J50" s="2" cm="1">
        <f t="array" ref="J50">INDEX( ComputeThermoProps($A50, $B50, ParametersRange), 1, COLUMN()-2 )</f>
        <v>285.64368216671159</v>
      </c>
      <c r="K50" s="2" cm="1">
        <f t="array" ref="K50">INDEX( ComputeThermoProps($A50, $B50, ParametersRange), 1, COLUMN()-2 )</f>
        <v>17.124118590227585</v>
      </c>
      <c r="L50" s="2" cm="1">
        <f t="array" ref="L50">INDEX( ComputeThermoProps($A50, $B50, ParametersRange), 1, COLUMN()-2 )</f>
        <v>-178.419931628456</v>
      </c>
      <c r="M50" s="2" cm="1">
        <f t="array" ref="M50">INDEX( ComputeThermoProps($A50, $B50, ParametersRange), 1, COLUMN()-2 )</f>
        <v>285.64368216671159</v>
      </c>
      <c r="N50" s="2" cm="1">
        <f t="array" ref="N50">INDEX( ComputeThermoProps($A50, $B50, ParametersRange), 1, COLUMN()-2 )</f>
        <v>-178.419931628456</v>
      </c>
      <c r="O50" s="2">
        <f t="shared" si="1"/>
        <v>-32.303989736870534</v>
      </c>
      <c r="P50" s="2">
        <f t="shared" si="2"/>
        <v>-6470.6663186562037</v>
      </c>
    </row>
    <row r="51" spans="1:16" x14ac:dyDescent="0.25">
      <c r="A51" s="2">
        <v>28.1</v>
      </c>
      <c r="B51" s="2">
        <f t="shared" si="0"/>
        <v>2.0380648112416206E-31</v>
      </c>
      <c r="C51" s="2" cm="1">
        <f t="array" ref="C51">INDEX( ComputeThermoProps($A51, $B51, ParametersRange), 1, COLUMN()-2 )</f>
        <v>34.775016769576595</v>
      </c>
      <c r="D51" s="2" cm="1">
        <f t="array" ref="D51">INDEX( ComputeThermoProps($A51, $B51, ParametersRange), 1, COLUMN()-2 )</f>
        <v>3.1213544125393265E-4</v>
      </c>
      <c r="E51" s="2" cm="1">
        <f t="array" ref="E51">INDEX( ComputeThermoProps($A51, $B51, ParametersRange), 1, COLUMN()-2 )</f>
        <v>3.0099313037823837E-4</v>
      </c>
      <c r="F51" s="2" cm="1">
        <f t="array" ref="F51">INDEX( ComputeThermoProps($A51, $B51, ParametersRange), 1, COLUMN()-2 )</f>
        <v>4.9156117498565341E-4</v>
      </c>
      <c r="G51" s="2" cm="1">
        <f t="array" ref="G51">INDEX( ComputeThermoProps($A51, $B51, ParametersRange), 1, COLUMN()-2 )</f>
        <v>21.191102102461166</v>
      </c>
      <c r="H51" s="2" cm="1">
        <f t="array" ref="H51">INDEX( ComputeThermoProps($A51, $B51, ParametersRange), 1, COLUMN()-2 )</f>
        <v>20.434642514034898</v>
      </c>
      <c r="I51" s="2" cm="1">
        <f t="array" ref="I51">INDEX( ComputeThermoProps($A51, $B51, ParametersRange), 1, COLUMN()-2 )</f>
        <v>2.6799999999999997</v>
      </c>
      <c r="J51" s="2" cm="1">
        <f t="array" ref="J51">INDEX( ComputeThermoProps($A51, $B51, ParametersRange), 1, COLUMN()-2 )</f>
        <v>306.66119170935514</v>
      </c>
      <c r="K51" s="2" cm="1">
        <f t="array" ref="K51">INDEX( ComputeThermoProps($A51, $B51, ParametersRange), 1, COLUMN()-2 )</f>
        <v>17.885663301219633</v>
      </c>
      <c r="L51" s="2" cm="1">
        <f t="array" ref="L51">INDEX( ComputeThermoProps($A51, $B51, ParametersRange), 1, COLUMN()-2 )</f>
        <v>-195.92594705491658</v>
      </c>
      <c r="M51" s="2" cm="1">
        <f t="array" ref="M51">INDEX( ComputeThermoProps($A51, $B51, ParametersRange), 1, COLUMN()-2 )</f>
        <v>306.66119170935514</v>
      </c>
      <c r="N51" s="2" cm="1">
        <f t="array" ref="N51">INDEX( ComputeThermoProps($A51, $B51, ParametersRange), 1, COLUMN()-2 )</f>
        <v>-195.92594705491658</v>
      </c>
      <c r="O51" s="2">
        <f t="shared" si="1"/>
        <v>-30.690782009379127</v>
      </c>
      <c r="P51" s="2">
        <f t="shared" si="2"/>
        <v>-6449.6488091135598</v>
      </c>
    </row>
    <row r="52" spans="1:16" x14ac:dyDescent="0.25">
      <c r="A52" s="2">
        <v>29.1</v>
      </c>
      <c r="B52" s="2">
        <f t="shared" si="0"/>
        <v>6.3040373791350412E-30</v>
      </c>
      <c r="C52" s="2" cm="1">
        <f t="array" ref="C52">INDEX( ComputeThermoProps($A52, $B52, ParametersRange), 1, COLUMN()-2 )</f>
        <v>34.792255844663323</v>
      </c>
      <c r="D52" s="2" cm="1">
        <f t="array" ref="D52">INDEX( ComputeThermoProps($A52, $B52, ParametersRange), 1, COLUMN()-2 )</f>
        <v>3.1314521971455766E-4</v>
      </c>
      <c r="E52" s="2" cm="1">
        <f t="array" ref="E52">INDEX( ComputeThermoProps($A52, $B52, ParametersRange), 1, COLUMN()-2 )</f>
        <v>3.0140247268681985E-4</v>
      </c>
      <c r="F52" s="2" cm="1">
        <f t="array" ref="F52">INDEX( ComputeThermoProps($A52, $B52, ParametersRange), 1, COLUMN()-2 )</f>
        <v>4.9956857445613136E-4</v>
      </c>
      <c r="G52" s="2" cm="1">
        <f t="array" ref="G52">INDEX( ComputeThermoProps($A52, $B52, ParametersRange), 1, COLUMN()-2 )</f>
        <v>21.517712194883721</v>
      </c>
      <c r="H52" s="2" cm="1">
        <f t="array" ref="H52">INDEX( ComputeThermoProps($A52, $B52, ParametersRange), 1, COLUMN()-2 )</f>
        <v>20.710811642001222</v>
      </c>
      <c r="I52" s="2" cm="1">
        <f t="array" ref="I52">INDEX( ComputeThermoProps($A52, $B52, ParametersRange), 1, COLUMN()-2 )</f>
        <v>2.68</v>
      </c>
      <c r="J52" s="2" cm="1">
        <f t="array" ref="J52">INDEX( ComputeThermoProps($A52, $B52, ParametersRange), 1, COLUMN()-2 )</f>
        <v>328.01757015197586</v>
      </c>
      <c r="K52" s="2" cm="1">
        <f t="array" ref="K52">INDEX( ComputeThermoProps($A52, $B52, ParametersRange), 1, COLUMN()-2 )</f>
        <v>18.632428348851587</v>
      </c>
      <c r="L52" s="2" cm="1">
        <f t="array" ref="L52">INDEX( ComputeThermoProps($A52, $B52, ParametersRange), 1, COLUMN()-2 )</f>
        <v>-214.18609479960534</v>
      </c>
      <c r="M52" s="2" cm="1">
        <f t="array" ref="M52">INDEX( ComputeThermoProps($A52, $B52, ParametersRange), 1, COLUMN()-2 )</f>
        <v>328.01757015197586</v>
      </c>
      <c r="N52" s="2" cm="1">
        <f t="array" ref="N52">INDEX( ComputeThermoProps($A52, $B52, ParametersRange), 1, COLUMN()-2 )</f>
        <v>-214.18609479960534</v>
      </c>
      <c r="O52" s="2">
        <f t="shared" si="1"/>
        <v>-29.200381220406832</v>
      </c>
      <c r="P52" s="2">
        <f t="shared" si="2"/>
        <v>-6428.2924306709392</v>
      </c>
    </row>
    <row r="53" spans="1:16" x14ac:dyDescent="0.25">
      <c r="A53" s="2">
        <v>30.1</v>
      </c>
      <c r="B53" s="2">
        <f t="shared" si="0"/>
        <v>1.5126273630190961E-28</v>
      </c>
      <c r="C53" s="2" cm="1">
        <f t="array" ref="C53">INDEX( ComputeThermoProps($A53, $B53, ParametersRange), 1, COLUMN()-2 )</f>
        <v>34.809773348239204</v>
      </c>
      <c r="D53" s="2" cm="1">
        <f t="array" ref="D53">INDEX( ComputeThermoProps($A53, $B53, ParametersRange), 1, COLUMN()-2 )</f>
        <v>3.1416578300742386E-4</v>
      </c>
      <c r="E53" s="2" cm="1">
        <f t="array" ref="E53">INDEX( ComputeThermoProps($A53, $B53, ParametersRange), 1, COLUMN()-2 )</f>
        <v>3.0181989198759321E-4</v>
      </c>
      <c r="F53" s="2" cm="1">
        <f t="array" ref="F53">INDEX( ComputeThermoProps($A53, $B53, ParametersRange), 1, COLUMN()-2 )</f>
        <v>5.0707627351554297E-4</v>
      </c>
      <c r="G53" s="2" cm="1">
        <f t="array" ref="G53">INDEX( ComputeThermoProps($A53, $B53, ParametersRange), 1, COLUMN()-2 )</f>
        <v>21.821863367450792</v>
      </c>
      <c r="H53" s="2" cm="1">
        <f t="array" ref="H53">INDEX( ComputeThermoProps($A53, $B53, ParametersRange), 1, COLUMN()-2 )</f>
        <v>20.964321389437814</v>
      </c>
      <c r="I53" s="2" cm="1">
        <f t="array" ref="I53">INDEX( ComputeThermoProps($A53, $B53, ParametersRange), 1, COLUMN()-2 )</f>
        <v>2.68</v>
      </c>
      <c r="J53" s="2" cm="1">
        <f t="array" ref="J53">INDEX( ComputeThermoProps($A53, $B53, ParametersRange), 1, COLUMN()-2 )</f>
        <v>349.68913284837856</v>
      </c>
      <c r="K53" s="2" cm="1">
        <f t="array" ref="K53">INDEX( ComputeThermoProps($A53, $B53, ParametersRange), 1, COLUMN()-2 )</f>
        <v>19.364612001257175</v>
      </c>
      <c r="L53" s="2" cm="1">
        <f t="array" ref="L53">INDEX( ComputeThermoProps($A53, $B53, ParametersRange), 1, COLUMN()-2 )</f>
        <v>-233.18568838946243</v>
      </c>
      <c r="M53" s="2" cm="1">
        <f t="array" ref="M53">INDEX( ComputeThermoProps($A53, $B53, ParametersRange), 1, COLUMN()-2 )</f>
        <v>349.68913284837856</v>
      </c>
      <c r="N53" s="2" cm="1">
        <f t="array" ref="N53">INDEX( ComputeThermoProps($A53, $B53, ParametersRange), 1, COLUMN()-2 )</f>
        <v>-233.18568838946243</v>
      </c>
      <c r="O53" s="2">
        <f t="shared" si="1"/>
        <v>-27.82026804759936</v>
      </c>
      <c r="P53" s="2">
        <f t="shared" si="2"/>
        <v>-6406.6208679745359</v>
      </c>
    </row>
    <row r="54" spans="1:16" x14ac:dyDescent="0.25">
      <c r="A54" s="2">
        <v>31.1</v>
      </c>
      <c r="B54" s="2">
        <f t="shared" si="0"/>
        <v>2.8871054864220608E-27</v>
      </c>
      <c r="C54" s="2" cm="1">
        <f t="array" ref="C54">INDEX( ComputeThermoProps($A54, $B54, ParametersRange), 1, COLUMN()-2 )</f>
        <v>34.827553184124199</v>
      </c>
      <c r="D54" s="2" cm="1">
        <f t="array" ref="D54">INDEX( ComputeThermoProps($A54, $B54, ParametersRange), 1, COLUMN()-2 )</f>
        <v>3.1519691522658496E-4</v>
      </c>
      <c r="E54" s="2" cm="1">
        <f t="array" ref="E54">INDEX( ComputeThermoProps($A54, $B54, ParametersRange), 1, COLUMN()-2 )</f>
        <v>3.0224507903925282E-4</v>
      </c>
      <c r="F54" s="2" cm="1">
        <f t="array" ref="F54">INDEX( ComputeThermoProps($A54, $B54, ParametersRange), 1, COLUMN()-2 )</f>
        <v>5.1413470577392712E-4</v>
      </c>
      <c r="G54" s="2" cm="1">
        <f t="array" ref="G54">INDEX( ComputeThermoProps($A54, $B54, ParametersRange), 1, COLUMN()-2 )</f>
        <v>22.105780457566155</v>
      </c>
      <c r="H54" s="2" cm="1">
        <f t="array" ref="H54">INDEX( ComputeThermoProps($A54, $B54, ParametersRange), 1, COLUMN()-2 )</f>
        <v>21.197426240096402</v>
      </c>
      <c r="I54" s="2" cm="1">
        <f t="array" ref="I54">INDEX( ComputeThermoProps($A54, $B54, ParametersRange), 1, COLUMN()-2 )</f>
        <v>2.6799999999999997</v>
      </c>
      <c r="J54" s="2" cm="1">
        <f t="array" ref="J54">INDEX( ComputeThermoProps($A54, $B54, ParametersRange), 1, COLUMN()-2 )</f>
        <v>371.65455490565716</v>
      </c>
      <c r="K54" s="2" cm="1">
        <f t="array" ref="K54">INDEX( ComputeThermoProps($A54, $B54, ParametersRange), 1, COLUMN()-2 )</f>
        <v>20.08247025190601</v>
      </c>
      <c r="L54" s="2" cm="1">
        <f t="array" ref="L54">INDEX( ComputeThermoProps($A54, $B54, ParametersRange), 1, COLUMN()-2 )</f>
        <v>-252.91026992861975</v>
      </c>
      <c r="M54" s="2" cm="1">
        <f t="array" ref="M54">INDEX( ComputeThermoProps($A54, $B54, ParametersRange), 1, COLUMN()-2 )</f>
        <v>371.65455490565716</v>
      </c>
      <c r="N54" s="2" cm="1">
        <f t="array" ref="N54">INDEX( ComputeThermoProps($A54, $B54, ParametersRange), 1, COLUMN()-2 )</f>
        <v>-252.91026992861975</v>
      </c>
      <c r="O54" s="2">
        <f t="shared" si="1"/>
        <v>-26.539537347974463</v>
      </c>
      <c r="P54" s="2">
        <f t="shared" si="2"/>
        <v>-6384.6554459172576</v>
      </c>
    </row>
    <row r="55" spans="1:16" x14ac:dyDescent="0.25">
      <c r="A55" s="2">
        <v>32.1</v>
      </c>
      <c r="B55" s="2">
        <f t="shared" si="0"/>
        <v>4.4807767058663126E-26</v>
      </c>
      <c r="C55" s="2" cm="1">
        <f t="array" ref="C55">INDEX( ComputeThermoProps($A55, $B55, ParametersRange), 1, COLUMN()-2 )</f>
        <v>34.845580887631669</v>
      </c>
      <c r="D55" s="2" cm="1">
        <f t="array" ref="D55">INDEX( ComputeThermoProps($A55, $B55, ParametersRange), 1, COLUMN()-2 )</f>
        <v>3.1623845490560054E-4</v>
      </c>
      <c r="E55" s="2" cm="1">
        <f t="array" ref="E55">INDEX( ComputeThermoProps($A55, $B55, ParametersRange), 1, COLUMN()-2 )</f>
        <v>3.0267775990453611E-4</v>
      </c>
      <c r="F55" s="2" cm="1">
        <f t="array" ref="F55">INDEX( ComputeThermoProps($A55, $B55, ParametersRange), 1, COLUMN()-2 )</f>
        <v>5.2078876982284414E-4</v>
      </c>
      <c r="G55" s="2" cm="1">
        <f t="array" ref="G55">INDEX( ComputeThermoProps($A55, $B55, ParametersRange), 1, COLUMN()-2 )</f>
        <v>22.371443845684258</v>
      </c>
      <c r="H55" s="2" cm="1">
        <f t="array" ref="H55">INDEX( ComputeThermoProps($A55, $B55, ParametersRange), 1, COLUMN()-2 )</f>
        <v>21.412128740203734</v>
      </c>
      <c r="I55" s="2" cm="1">
        <f t="array" ref="I55">INDEX( ComputeThermoProps($A55, $B55, ParametersRange), 1, COLUMN()-2 )</f>
        <v>2.6799999999999997</v>
      </c>
      <c r="J55" s="2" cm="1">
        <f t="array" ref="J55">INDEX( ComputeThermoProps($A55, $B55, ParametersRange), 1, COLUMN()-2 )</f>
        <v>393.89461159731485</v>
      </c>
      <c r="K55" s="2" cm="1">
        <f t="array" ref="K55">INDEX( ComputeThermoProps($A55, $B55, ParametersRange), 1, COLUMN()-2 )</f>
        <v>20.786301288143704</v>
      </c>
      <c r="L55" s="2" cm="1">
        <f t="array" ref="L55">INDEX( ComputeThermoProps($A55, $B55, ParametersRange), 1, COLUMN()-2 )</f>
        <v>-273.34565975209807</v>
      </c>
      <c r="M55" s="2" cm="1">
        <f t="array" ref="M55">INDEX( ComputeThermoProps($A55, $B55, ParametersRange), 1, COLUMN()-2 )</f>
        <v>393.89461159731485</v>
      </c>
      <c r="N55" s="2" cm="1">
        <f t="array" ref="N55">INDEX( ComputeThermoProps($A55, $B55, ParametersRange), 1, COLUMN()-2 )</f>
        <v>-273.34565975209807</v>
      </c>
      <c r="O55" s="2">
        <f t="shared" si="1"/>
        <v>-25.348646698092399</v>
      </c>
      <c r="P55" s="2">
        <f t="shared" si="2"/>
        <v>-6362.4153892255999</v>
      </c>
    </row>
    <row r="56" spans="1:16" x14ac:dyDescent="0.25">
      <c r="A56" s="2">
        <v>33.1</v>
      </c>
      <c r="B56" s="2">
        <f t="shared" si="0"/>
        <v>5.7648695448559556E-25</v>
      </c>
      <c r="C56" s="2" cm="1">
        <f t="array" ref="C56">INDEX( ComputeThermoProps($A56, $B56, ParametersRange), 1, COLUMN()-2 )</f>
        <v>34.863843446978372</v>
      </c>
      <c r="D56" s="2" cm="1">
        <f t="array" ref="D56">INDEX( ComputeThermoProps($A56, $B56, ParametersRange), 1, COLUMN()-2 )</f>
        <v>3.17290286066721E-4</v>
      </c>
      <c r="E56" s="2" cm="1">
        <f t="array" ref="E56">INDEX( ComputeThermoProps($A56, $B56, ParametersRange), 1, COLUMN()-2 )</f>
        <v>3.0311769213879706E-4</v>
      </c>
      <c r="F56" s="2" cm="1">
        <f t="array" ref="F56">INDEX( ComputeThermoProps($A56, $B56, ParametersRange), 1, COLUMN()-2 )</f>
        <v>5.270784625416088E-4</v>
      </c>
      <c r="G56" s="2" cm="1">
        <f t="array" ref="G56">INDEX( ComputeThermoProps($A56, $B56, ParametersRange), 1, COLUMN()-2 )</f>
        <v>22.62061736101488</v>
      </c>
      <c r="H56" s="2" cm="1">
        <f t="array" ref="H56">INDEX( ComputeThermoProps($A56, $B56, ParametersRange), 1, COLUMN()-2 )</f>
        <v>21.610208790898128</v>
      </c>
      <c r="I56" s="2" cm="1">
        <f t="array" ref="I56">INDEX( ComputeThermoProps($A56, $B56, ParametersRange), 1, COLUMN()-2 )</f>
        <v>2.6799999999999997</v>
      </c>
      <c r="J56" s="2" cm="1">
        <f t="array" ref="J56">INDEX( ComputeThermoProps($A56, $B56, ParametersRange), 1, COLUMN()-2 )</f>
        <v>416.39194809501726</v>
      </c>
      <c r="K56" s="2" cm="1">
        <f t="array" ref="K56">INDEX( ComputeThermoProps($A56, $B56, ParametersRange), 1, COLUMN()-2 )</f>
        <v>21.476433243119395</v>
      </c>
      <c r="L56" s="2" cm="1">
        <f t="array" ref="L56">INDEX( ComputeThermoProps($A56, $B56, ParametersRange), 1, COLUMN()-2 )</f>
        <v>-294.47799225223474</v>
      </c>
      <c r="M56" s="2" cm="1">
        <f t="array" ref="M56">INDEX( ComputeThermoProps($A56, $B56, ParametersRange), 1, COLUMN()-2 )</f>
        <v>416.39194809501726</v>
      </c>
      <c r="N56" s="2" cm="1">
        <f t="array" ref="N56">INDEX( ComputeThermoProps($A56, $B56, ParametersRange), 1, COLUMN()-2 )</f>
        <v>-294.47799225223474</v>
      </c>
      <c r="O56" s="2">
        <f t="shared" si="1"/>
        <v>-24.239210516051891</v>
      </c>
      <c r="P56" s="2">
        <f t="shared" si="2"/>
        <v>-6339.9180527278977</v>
      </c>
    </row>
    <row r="57" spans="1:16" x14ac:dyDescent="0.25">
      <c r="A57" s="2">
        <v>34.1</v>
      </c>
      <c r="B57" s="2">
        <f t="shared" si="0"/>
        <v>6.2541686990519955E-24</v>
      </c>
      <c r="C57" s="2" cm="1">
        <f t="array" ref="C57">INDEX( ComputeThermoProps($A57, $B57, ParametersRange), 1, COLUMN()-2 )</f>
        <v>34.882329145302414</v>
      </c>
      <c r="D57" s="2" cm="1">
        <f t="array" ref="D57">INDEX( ComputeThermoProps($A57, $B57, ParametersRange), 1, COLUMN()-2 )</f>
        <v>3.1835233093397119E-4</v>
      </c>
      <c r="E57" s="2" cm="1">
        <f t="array" ref="E57">INDEX( ComputeThermoProps($A57, $B57, ParametersRange), 1, COLUMN()-2 )</f>
        <v>3.0356466142386011E-4</v>
      </c>
      <c r="F57" s="2" cm="1">
        <f t="array" ref="F57">INDEX( ComputeThermoProps($A57, $B57, ParametersRange), 1, COLUMN()-2 )</f>
        <v>5.330394472002688E-4</v>
      </c>
      <c r="G57" s="2" cm="1">
        <f t="array" ref="G57">INDEX( ComputeThermoProps($A57, $B57, ParametersRange), 1, COLUMN()-2 )</f>
        <v>22.854873323519755</v>
      </c>
      <c r="H57" s="2" cm="1">
        <f t="array" ref="H57">INDEX( ComputeThermoProps($A57, $B57, ParametersRange), 1, COLUMN()-2 )</f>
        <v>21.7932498310448</v>
      </c>
      <c r="I57" s="2" cm="1">
        <f t="array" ref="I57">INDEX( ComputeThermoProps($A57, $B57, ParametersRange), 1, COLUMN()-2 )</f>
        <v>2.68</v>
      </c>
      <c r="J57" s="2" cm="1">
        <f t="array" ref="J57">INDEX( ComputeThermoProps($A57, $B57, ParametersRange), 1, COLUMN()-2 )</f>
        <v>439.13087567540617</v>
      </c>
      <c r="K57" s="2" cm="1">
        <f t="array" ref="K57">INDEX( ComputeThermoProps($A57, $B57, ParametersRange), 1, COLUMN()-2 )</f>
        <v>22.153214559777627</v>
      </c>
      <c r="L57" s="2" cm="1">
        <f t="array" ref="L57">INDEX( ComputeThermoProps($A57, $B57, ParametersRange), 1, COLUMN()-2 )</f>
        <v>-316.29374081301097</v>
      </c>
      <c r="M57" s="2" cm="1">
        <f t="array" ref="M57">INDEX( ComputeThermoProps($A57, $B57, ParametersRange), 1, COLUMN()-2 )</f>
        <v>439.13087567540617</v>
      </c>
      <c r="N57" s="2" cm="1">
        <f t="array" ref="N57">INDEX( ComputeThermoProps($A57, $B57, ParametersRange), 1, COLUMN()-2 )</f>
        <v>-316.29374081301097</v>
      </c>
      <c r="O57" s="2">
        <f t="shared" si="1"/>
        <v>-23.203830408337847</v>
      </c>
      <c r="P57" s="2">
        <f t="shared" si="2"/>
        <v>-6317.1791251475088</v>
      </c>
    </row>
    <row r="58" spans="1:16" x14ac:dyDescent="0.25">
      <c r="A58" s="2">
        <v>35.1</v>
      </c>
      <c r="B58" s="2">
        <f t="shared" si="0"/>
        <v>5.8082524302438808E-23</v>
      </c>
      <c r="C58" s="2" cm="1">
        <f t="array" ref="C58">INDEX( ComputeThermoProps($A58, $B58, ParametersRange), 1, COLUMN()-2 )</f>
        <v>34.901027421099045</v>
      </c>
      <c r="D58" s="2" cm="1">
        <f t="array" ref="D58">INDEX( ComputeThermoProps($A58, $B58, ParametersRange), 1, COLUMN()-2 )</f>
        <v>3.1942454401792035E-4</v>
      </c>
      <c r="E58" s="2" cm="1">
        <f t="array" ref="E58">INDEX( ComputeThermoProps($A58, $B58, ParametersRange), 1, COLUMN()-2 )</f>
        <v>3.0401847859926138E-4</v>
      </c>
      <c r="F58" s="2" cm="1">
        <f t="array" ref="F58">INDEX( ComputeThermoProps($A58, $B58, ParametersRange), 1, COLUMN()-2 )</f>
        <v>5.3870356032883517E-4</v>
      </c>
      <c r="G58" s="2" cm="1">
        <f t="array" ref="G58">INDEX( ComputeThermoProps($A58, $B58, ParametersRange), 1, COLUMN()-2 )</f>
        <v>23.075614892689909</v>
      </c>
      <c r="H58" s="2" cm="1">
        <f t="array" ref="H58">INDEX( ComputeThermoProps($A58, $B58, ParametersRange), 1, COLUMN()-2 )</f>
        <v>21.962662117863008</v>
      </c>
      <c r="I58" s="2" cm="1">
        <f t="array" ref="I58">INDEX( ComputeThermoProps($A58, $B58, ParametersRange), 1, COLUMN()-2 )</f>
        <v>2.68</v>
      </c>
      <c r="J58" s="2" cm="1">
        <f t="array" ref="J58">INDEX( ComputeThermoProps($A58, $B58, ParametersRange), 1, COLUMN()-2 )</f>
        <v>462.09719160172813</v>
      </c>
      <c r="K58" s="2" cm="1">
        <f t="array" ref="K58">INDEX( ComputeThermoProps($A58, $B58, ParametersRange), 1, COLUMN()-2 )</f>
        <v>22.817006432708634</v>
      </c>
      <c r="L58" s="2" cm="1">
        <f t="array" ref="L58">INDEX( ComputeThermoProps($A58, $B58, ParametersRange), 1, COLUMN()-2 )</f>
        <v>-338.77973418634497</v>
      </c>
      <c r="M58" s="2" cm="1">
        <f t="array" ref="M58">INDEX( ComputeThermoProps($A58, $B58, ParametersRange), 1, COLUMN()-2 )</f>
        <v>462.09719160172813</v>
      </c>
      <c r="N58" s="2" cm="1">
        <f t="array" ref="N58">INDEX( ComputeThermoProps($A58, $B58, ParametersRange), 1, COLUMN()-2 )</f>
        <v>-338.77973418634497</v>
      </c>
      <c r="O58" s="2">
        <f t="shared" si="1"/>
        <v>-22.23595451719094</v>
      </c>
      <c r="P58" s="2">
        <f t="shared" si="2"/>
        <v>-6294.2128092211869</v>
      </c>
    </row>
    <row r="59" spans="1:16" x14ac:dyDescent="0.25">
      <c r="A59" s="2">
        <v>36.1</v>
      </c>
      <c r="B59" s="2">
        <f t="shared" si="0"/>
        <v>4.6799342856308233E-22</v>
      </c>
      <c r="C59" s="2" cm="1">
        <f t="array" ref="C59">INDEX( ComputeThermoProps($A59, $B59, ParametersRange), 1, COLUMN()-2 )</f>
        <v>34.919928745012122</v>
      </c>
      <c r="D59" s="2" cm="1">
        <f t="array" ref="D59">INDEX( ComputeThermoProps($A59, $B59, ParametersRange), 1, COLUMN()-2 )</f>
        <v>3.205069072464999E-4</v>
      </c>
      <c r="E59" s="2" cm="1">
        <f t="array" ref="E59">INDEX( ComputeThermoProps($A59, $B59, ParametersRange), 1, COLUMN()-2 )</f>
        <v>3.0447897704594812E-4</v>
      </c>
      <c r="F59" s="2" cm="1">
        <f t="array" ref="F59">INDEX( ComputeThermoProps($A59, $B59, ParametersRange), 1, COLUMN()-2 )</f>
        <v>5.4409925929767592E-4</v>
      </c>
      <c r="G59" s="2" cm="1">
        <f t="array" ref="G59">INDEX( ComputeThermoProps($A59, $B59, ParametersRange), 1, COLUMN()-2 )</f>
        <v>23.284095809334246</v>
      </c>
      <c r="H59" s="2" cm="1">
        <f t="array" ref="H59">INDEX( ComputeThermoProps($A59, $B59, ParametersRange), 1, COLUMN()-2 )</f>
        <v>22.119703236265774</v>
      </c>
      <c r="I59" s="2" cm="1">
        <f t="array" ref="I59">INDEX( ComputeThermoProps($A59, $B59, ParametersRange), 1, COLUMN()-2 )</f>
        <v>2.6800000000000006</v>
      </c>
      <c r="J59" s="2" cm="1">
        <f t="array" ref="J59">INDEX( ComputeThermoProps($A59, $B59, ParametersRange), 1, COLUMN()-2 )</f>
        <v>485.27802003933664</v>
      </c>
      <c r="K59" s="2" cm="1">
        <f t="array" ref="K59">INDEX( ComputeThermoProps($A59, $B59, ParametersRange), 1, COLUMN()-2 )</f>
        <v>23.468176903277431</v>
      </c>
      <c r="L59" s="2" cm="1">
        <f t="array" ref="L59">INDEX( ComputeThermoProps($A59, $B59, ParametersRange), 1, COLUMN()-2 )</f>
        <v>-361.92316616897864</v>
      </c>
      <c r="M59" s="2" cm="1">
        <f t="array" ref="M59">INDEX( ComputeThermoProps($A59, $B59, ParametersRange), 1, COLUMN()-2 )</f>
        <v>485.27802003933664</v>
      </c>
      <c r="N59" s="2" cm="1">
        <f t="array" ref="N59">INDEX( ComputeThermoProps($A59, $B59, ParametersRange), 1, COLUMN()-2 )</f>
        <v>-361.92316616897864</v>
      </c>
      <c r="O59" s="2">
        <f t="shared" si="1"/>
        <v>-21.329760245128501</v>
      </c>
      <c r="P59" s="2">
        <f t="shared" si="2"/>
        <v>-6271.0319807835785</v>
      </c>
    </row>
    <row r="60" spans="1:16" x14ac:dyDescent="0.25">
      <c r="A60" s="2">
        <v>37.1</v>
      </c>
      <c r="B60" s="2">
        <f t="shared" si="0"/>
        <v>3.3108846790533031E-21</v>
      </c>
      <c r="C60" s="2" cm="1">
        <f t="array" ref="C60">INDEX( ComputeThermoProps($A60, $B60, ParametersRange), 1, COLUMN()-2 )</f>
        <v>34.939024511077328</v>
      </c>
      <c r="D60" s="2" cm="1">
        <f t="array" ref="D60">INDEX( ComputeThermoProps($A60, $B60, ParametersRange), 1, COLUMN()-2 )</f>
        <v>3.2159942601336005E-4</v>
      </c>
      <c r="E60" s="2" cm="1">
        <f t="array" ref="E60">INDEX( ComputeThermoProps($A60, $B60, ParametersRange), 1, COLUMN()-2 )</f>
        <v>3.0494601038106461E-4</v>
      </c>
      <c r="F60" s="2" cm="1">
        <f t="array" ref="F60">INDEX( ComputeThermoProps($A60, $B60, ParametersRange), 1, COLUMN()-2 )</f>
        <v>5.4925201862783286E-4</v>
      </c>
      <c r="G60" s="2" cm="1">
        <f t="array" ref="G60">INDEX( ComputeThermoProps($A60, $B60, ParametersRange), 1, COLUMN()-2 )</f>
        <v>23.481437878643654</v>
      </c>
      <c r="H60" s="2" cm="1">
        <f t="array" ref="H60">INDEX( ComputeThermoProps($A60, $B60, ParametersRange), 1, COLUMN()-2 )</f>
        <v>22.26549620398179</v>
      </c>
      <c r="I60" s="2" cm="1">
        <f t="array" ref="I60">INDEX( ComputeThermoProps($A60, $B60, ParametersRange), 1, COLUMN()-2 )</f>
        <v>2.68</v>
      </c>
      <c r="J60" s="2" cm="1">
        <f t="array" ref="J60">INDEX( ComputeThermoProps($A60, $B60, ParametersRange), 1, COLUMN()-2 )</f>
        <v>508.66167156517974</v>
      </c>
      <c r="K60" s="2" cm="1">
        <f t="array" ref="K60">INDEX( ComputeThermoProps($A60, $B60, ParametersRange), 1, COLUMN()-2 )</f>
        <v>24.107096270135326</v>
      </c>
      <c r="L60" s="2" cm="1">
        <f t="array" ref="L60">INDEX( ComputeThermoProps($A60, $B60, ParametersRange), 1, COLUMN()-2 )</f>
        <v>-385.71160005684089</v>
      </c>
      <c r="M60" s="2" cm="1">
        <f t="array" ref="M60">INDEX( ComputeThermoProps($A60, $B60, ParametersRange), 1, COLUMN()-2 )</f>
        <v>508.66167156517974</v>
      </c>
      <c r="N60" s="2" cm="1">
        <f t="array" ref="N60">INDEX( ComputeThermoProps($A60, $B60, ParametersRange), 1, COLUMN()-2 )</f>
        <v>-385.71160005684089</v>
      </c>
      <c r="O60" s="2">
        <f t="shared" si="1"/>
        <v>-20.480055945832955</v>
      </c>
      <c r="P60" s="2">
        <f t="shared" si="2"/>
        <v>-6247.648329257735</v>
      </c>
    </row>
    <row r="61" spans="1:16" x14ac:dyDescent="0.25">
      <c r="A61" s="2">
        <v>38.1</v>
      </c>
      <c r="B61" s="2">
        <f t="shared" si="0"/>
        <v>2.0787482816467839E-20</v>
      </c>
      <c r="C61" s="2" cm="1">
        <f t="array" ref="C61">INDEX( ComputeThermoProps($A61, $B61, ParametersRange), 1, COLUMN()-2 )</f>
        <v>34.958306940697732</v>
      </c>
      <c r="D61" s="2" cm="1">
        <f t="array" ref="D61">INDEX( ComputeThermoProps($A61, $B61, ParametersRange), 1, COLUMN()-2 )</f>
        <v>3.2270212590720796E-4</v>
      </c>
      <c r="E61" s="2" cm="1">
        <f t="array" ref="E61">INDEX( ComputeThermoProps($A61, $B61, ParametersRange), 1, COLUMN()-2 )</f>
        <v>3.0541945042655469E-4</v>
      </c>
      <c r="F61" s="2" cm="1">
        <f t="array" ref="F61">INDEX( ComputeThermoProps($A61, $B61, ParametersRange), 1, COLUMN()-2 )</f>
        <v>5.5418467780437024E-4</v>
      </c>
      <c r="G61" s="2" cm="1">
        <f t="array" ref="G61">INDEX( ComputeThermoProps($A61, $B61, ParametersRange), 1, COLUMN()-2 )</f>
        <v>23.668646318507719</v>
      </c>
      <c r="H61" s="2" cm="1">
        <f t="array" ref="H61">INDEX( ComputeThermoProps($A61, $B61, ParametersRange), 1, COLUMN()-2 )</f>
        <v>22.40104533125314</v>
      </c>
      <c r="I61" s="2" cm="1">
        <f t="array" ref="I61">INDEX( ComputeThermoProps($A61, $B61, ParametersRange), 1, COLUMN()-2 )</f>
        <v>2.68</v>
      </c>
      <c r="J61" s="2" cm="1">
        <f t="array" ref="J61">INDEX( ComputeThermoProps($A61, $B61, ParametersRange), 1, COLUMN()-2 )</f>
        <v>532.2375190655298</v>
      </c>
      <c r="K61" s="2" cm="1">
        <f t="array" ref="K61">INDEX( ComputeThermoProps($A61, $B61, ParametersRange), 1, COLUMN()-2 )</f>
        <v>24.734133546425166</v>
      </c>
      <c r="L61" s="2" cm="1">
        <f t="array" ref="L61">INDEX( ComputeThermoProps($A61, $B61, ParametersRange), 1, COLUMN()-2 )</f>
        <v>-410.13296905326905</v>
      </c>
      <c r="M61" s="2" cm="1">
        <f t="array" ref="M61">INDEX( ComputeThermoProps($A61, $B61, ParametersRange), 1, COLUMN()-2 )</f>
        <v>532.2375190655298</v>
      </c>
      <c r="N61" s="2" cm="1">
        <f t="array" ref="N61">INDEX( ComputeThermoProps($A61, $B61, ParametersRange), 1, COLUMN()-2 )</f>
        <v>-410.13296905326905</v>
      </c>
      <c r="O61" s="2">
        <f t="shared" si="1"/>
        <v>-19.682198096772606</v>
      </c>
      <c r="P61" s="2">
        <f t="shared" si="2"/>
        <v>-6224.0724817573846</v>
      </c>
    </row>
    <row r="62" spans="1:16" x14ac:dyDescent="0.25">
      <c r="A62" s="2">
        <v>39.1</v>
      </c>
      <c r="B62" s="2">
        <f t="shared" si="0"/>
        <v>1.1694423522989679E-19</v>
      </c>
      <c r="C62" s="2" cm="1">
        <f t="array" ref="C62">INDEX( ComputeThermoProps($A62, $B62, ParametersRange), 1, COLUMN()-2 )</f>
        <v>34.97776899781271</v>
      </c>
      <c r="D62" s="2" cm="1">
        <f t="array" ref="D62">INDEX( ComputeThermoProps($A62, $B62, ParametersRange), 1, COLUMN()-2 )</f>
        <v>3.2381505002390329E-4</v>
      </c>
      <c r="E62" s="2" cm="1">
        <f t="array" ref="E62">INDEX( ComputeThermoProps($A62, $B62, ParametersRange), 1, COLUMN()-2 )</f>
        <v>3.0589918541828505E-4</v>
      </c>
      <c r="F62" s="2" cm="1">
        <f t="array" ref="F62">INDEX( ComputeThermoProps($A62, $B62, ParametersRange), 1, COLUMN()-2 )</f>
        <v>5.5891774706854649E-4</v>
      </c>
      <c r="G62" s="2" cm="1">
        <f t="array" ref="G62">INDEX( ComputeThermoProps($A62, $B62, ParametersRange), 1, COLUMN()-2 )</f>
        <v>23.846623256068327</v>
      </c>
      <c r="H62" s="2" cm="1">
        <f t="array" ref="H62">INDEX( ComputeThermoProps($A62, $B62, ParametersRange), 1, COLUMN()-2 )</f>
        <v>22.527250133894512</v>
      </c>
      <c r="I62" s="2" cm="1">
        <f t="array" ref="I62">INDEX( ComputeThermoProps($A62, $B62, ParametersRange), 1, COLUMN()-2 )</f>
        <v>2.68</v>
      </c>
      <c r="J62" s="2" cm="1">
        <f t="array" ref="J62">INDEX( ComputeThermoProps($A62, $B62, ParametersRange), 1, COLUMN()-2 )</f>
        <v>555.99588804619009</v>
      </c>
      <c r="K62" s="2" cm="1">
        <f t="array" ref="K62">INDEX( ComputeThermoProps($A62, $B62, ParametersRange), 1, COLUMN()-2 )</f>
        <v>25.349653749689132</v>
      </c>
      <c r="L62" s="2" cm="1">
        <f t="array" ref="L62">INDEX( ComputeThermoProps($A62, $B62, ParametersRange), 1, COLUMN()-2 )</f>
        <v>-435.17557356665503</v>
      </c>
      <c r="M62" s="2" cm="1">
        <f t="array" ref="M62">INDEX( ComputeThermoProps($A62, $B62, ParametersRange), 1, COLUMN()-2 )</f>
        <v>555.99588804619009</v>
      </c>
      <c r="N62" s="2" cm="1">
        <f t="array" ref="N62">INDEX( ComputeThermoProps($A62, $B62, ParametersRange), 1, COLUMN()-2 )</f>
        <v>-435.17557356665503</v>
      </c>
      <c r="O62" s="2">
        <f t="shared" si="1"/>
        <v>-18.932021181888619</v>
      </c>
      <c r="P62" s="2">
        <f t="shared" si="2"/>
        <v>-6200.3141127767249</v>
      </c>
    </row>
    <row r="63" spans="1:16" x14ac:dyDescent="0.25">
      <c r="A63" s="2">
        <v>40.1</v>
      </c>
      <c r="B63" s="2">
        <f t="shared" si="0"/>
        <v>5.9459593304923537E-19</v>
      </c>
      <c r="C63" s="2" cm="1">
        <f t="array" ref="C63">INDEX( ComputeThermoProps($A63, $B63, ParametersRange), 1, COLUMN()-2 )</f>
        <v>34.997404313895025</v>
      </c>
      <c r="D63" s="2" cm="1">
        <f t="array" ref="D63">INDEX( ComputeThermoProps($A63, $B63, ParametersRange), 1, COLUMN()-2 )</f>
        <v>3.2493825675404081E-4</v>
      </c>
      <c r="E63" s="2" cm="1">
        <f t="array" ref="E63">INDEX( ComputeThermoProps($A63, $B63, ParametersRange), 1, COLUMN()-2 )</f>
        <v>3.0638511842620992E-4</v>
      </c>
      <c r="F63" s="2" cm="1">
        <f t="array" ref="F63">INDEX( ComputeThermoProps($A63, $B63, ParametersRange), 1, COLUMN()-2 )</f>
        <v>5.6346967600956455E-4</v>
      </c>
      <c r="G63" s="2" cm="1">
        <f t="array" ref="G63">INDEX( ComputeThermoProps($A63, $B63, ParametersRange), 1, COLUMN()-2 )</f>
        <v>24.016179584335813</v>
      </c>
      <c r="H63" s="2" cm="1">
        <f t="array" ref="H63">INDEX( ComputeThermoProps($A63, $B63, ParametersRange), 1, COLUMN()-2 )</f>
        <v>22.644917528629382</v>
      </c>
      <c r="I63" s="2" cm="1">
        <f t="array" ref="I63">INDEX( ComputeThermoProps($A63, $B63, ParametersRange), 1, COLUMN()-2 )</f>
        <v>2.68</v>
      </c>
      <c r="J63" s="2" cm="1">
        <f t="array" ref="J63">INDEX( ComputeThermoProps($A63, $B63, ParametersRange), 1, COLUMN()-2 )</f>
        <v>579.92795960164722</v>
      </c>
      <c r="K63" s="2" cm="1">
        <f t="array" ref="K63">INDEX( ComputeThermoProps($A63, $B63, ParametersRange), 1, COLUMN()-2 )</f>
        <v>25.954015853949599</v>
      </c>
      <c r="L63" s="2" cm="1">
        <f t="array" ref="L63">INDEX( ComputeThermoProps($A63, $B63, ParametersRange), 1, COLUMN()-2 )</f>
        <v>-460.82807614173174</v>
      </c>
      <c r="M63" s="2" cm="1">
        <f t="array" ref="M63">INDEX( ComputeThermoProps($A63, $B63, ParametersRange), 1, COLUMN()-2 )</f>
        <v>579.92795960164722</v>
      </c>
      <c r="N63" s="2" cm="1">
        <f t="array" ref="N63">INDEX( ComputeThermoProps($A63, $B63, ParametersRange), 1, COLUMN()-2 )</f>
        <v>-460.82807614173174</v>
      </c>
      <c r="O63" s="2">
        <f t="shared" si="1"/>
        <v>-18.225778065632788</v>
      </c>
      <c r="P63" s="2">
        <f t="shared" si="2"/>
        <v>-6176.3820412212681</v>
      </c>
    </row>
    <row r="64" spans="1:16" x14ac:dyDescent="0.25">
      <c r="A64" s="2">
        <v>41.1</v>
      </c>
      <c r="B64" s="2">
        <f t="shared" si="0"/>
        <v>2.7536638834830766E-18</v>
      </c>
      <c r="C64" s="2" cm="1">
        <f t="array" ref="C64">INDEX( ComputeThermoProps($A64, $B64, ParametersRange), 1, COLUMN()-2 )</f>
        <v>35.017207121572177</v>
      </c>
      <c r="D64" s="2" cm="1">
        <f t="array" ref="D64">INDEX( ComputeThermoProps($A64, $B64, ParametersRange), 1, COLUMN()-2 )</f>
        <v>3.2607181795926612E-4</v>
      </c>
      <c r="E64" s="2" cm="1">
        <f t="array" ref="E64">INDEX( ComputeThermoProps($A64, $B64, ParametersRange), 1, COLUMN()-2 )</f>
        <v>3.0687716595962429E-4</v>
      </c>
      <c r="F64" s="2" cm="1">
        <f t="array" ref="F64">INDEX( ComputeThermoProps($A64, $B64, ParametersRange), 1, COLUMN()-2 )</f>
        <v>5.6785708937289391E-4</v>
      </c>
      <c r="G64" s="2" cm="1">
        <f t="array" ref="G64">INDEX( ComputeThermoProps($A64, $B64, ParametersRange), 1, COLUMN()-2 )</f>
        <v>24.17804537311968</v>
      </c>
      <c r="H64" s="2" cm="1">
        <f t="array" ref="H64">INDEX( ComputeThermoProps($A64, $B64, ParametersRange), 1, COLUMN()-2 )</f>
        <v>22.754772519080642</v>
      </c>
      <c r="I64" s="2" cm="1">
        <f t="array" ref="I64">INDEX( ComputeThermoProps($A64, $B64, ParametersRange), 1, COLUMN()-2 )</f>
        <v>2.68</v>
      </c>
      <c r="J64" s="2" cm="1">
        <f t="array" ref="J64">INDEX( ComputeThermoProps($A64, $B64, ParametersRange), 1, COLUMN()-2 )</f>
        <v>604.02568449586624</v>
      </c>
      <c r="K64" s="2" cm="1">
        <f t="array" ref="K64">INDEX( ComputeThermoProps($A64, $B64, ParametersRange), 1, COLUMN()-2 )</f>
        <v>26.547571267931332</v>
      </c>
      <c r="L64" s="2" cm="1">
        <f t="array" ref="L64">INDEX( ComputeThermoProps($A64, $B64, ParametersRange), 1, COLUMN()-2 )</f>
        <v>-487.0794946161115</v>
      </c>
      <c r="M64" s="2" cm="1">
        <f t="array" ref="M64">INDEX( ComputeThermoProps($A64, $B64, ParametersRange), 1, COLUMN()-2 )</f>
        <v>604.02568449586624</v>
      </c>
      <c r="N64" s="2" cm="1">
        <f t="array" ref="N64">INDEX( ComputeThermoProps($A64, $B64, ParametersRange), 1, COLUMN()-2 )</f>
        <v>-487.0794946161115</v>
      </c>
      <c r="O64" s="2">
        <f t="shared" si="1"/>
        <v>-17.560089071507235</v>
      </c>
      <c r="P64" s="2">
        <f t="shared" si="2"/>
        <v>-6152.2843163270481</v>
      </c>
    </row>
    <row r="65" spans="1:16" x14ac:dyDescent="0.25">
      <c r="A65" s="2">
        <v>42.1</v>
      </c>
      <c r="B65" s="2">
        <f t="shared" si="0"/>
        <v>1.1697732402092181E-17</v>
      </c>
      <c r="C65" s="2" cm="1">
        <f t="array" ref="C65">INDEX( ComputeThermoProps($A65, $B65, ParametersRange), 1, COLUMN()-2 )</f>
        <v>35.037172195814861</v>
      </c>
      <c r="D65" s="2" cm="1">
        <f t="array" ref="D65">INDEX( ComputeThermoProps($A65, $B65, ParametersRange), 1, COLUMN()-2 )</f>
        <v>3.2721581744598536E-4</v>
      </c>
      <c r="E65" s="2" cm="1">
        <f t="array" ref="E65">INDEX( ComputeThermoProps($A65, $B65, ParametersRange), 1, COLUMN()-2 )</f>
        <v>3.0737525673474255E-4</v>
      </c>
      <c r="F65" s="2" cm="1">
        <f t="array" ref="F65">INDEX( ComputeThermoProps($A65, $B65, ParametersRange), 1, COLUMN()-2 )</f>
        <v>5.7209499346391952E-4</v>
      </c>
      <c r="G65" s="2" cm="1">
        <f t="array" ref="G65">INDEX( ComputeThermoProps($A65, $B65, ParametersRange), 1, COLUMN()-2 )</f>
        <v>24.332878983864568</v>
      </c>
      <c r="H65" s="2" cm="1">
        <f t="array" ref="H65">INDEX( ComputeThermoProps($A65, $B65, ParametersRange), 1, COLUMN()-2 )</f>
        <v>22.857467536682975</v>
      </c>
      <c r="I65" s="2" cm="1">
        <f t="array" ref="I65">INDEX( ComputeThermoProps($A65, $B65, ParametersRange), 1, COLUMN()-2 )</f>
        <v>2.68</v>
      </c>
      <c r="J65" s="2" cm="1">
        <f t="array" ref="J65">INDEX( ComputeThermoProps($A65, $B65, ParametersRange), 1, COLUMN()-2 )</f>
        <v>628.28170699505756</v>
      </c>
      <c r="K65" s="2" cm="1">
        <f t="array" ref="K65">INDEX( ComputeThermoProps($A65, $B65, ParametersRange), 1, COLUMN()-2 )</f>
        <v>27.130662730805795</v>
      </c>
      <c r="L65" s="2" cm="1">
        <f t="array" ref="L65">INDEX( ComputeThermoProps($A65, $B65, ParametersRange), 1, COLUMN()-2 )</f>
        <v>-513.91919397186643</v>
      </c>
      <c r="M65" s="2" cm="1">
        <f t="array" ref="M65">INDEX( ComputeThermoProps($A65, $B65, ParametersRange), 1, COLUMN()-2 )</f>
        <v>628.28170699505756</v>
      </c>
      <c r="N65" s="2" cm="1">
        <f t="array" ref="N65">INDEX( ComputeThermoProps($A65, $B65, ParametersRange), 1, COLUMN()-2 )</f>
        <v>-513.91919397186643</v>
      </c>
      <c r="O65" s="2">
        <f t="shared" si="1"/>
        <v>-16.931898317801217</v>
      </c>
      <c r="P65" s="2">
        <f t="shared" si="2"/>
        <v>-6128.0282938278569</v>
      </c>
    </row>
    <row r="66" spans="1:16" x14ac:dyDescent="0.25">
      <c r="A66" s="2">
        <v>43.1</v>
      </c>
      <c r="B66" s="2">
        <f t="shared" si="0"/>
        <v>4.5873710355331305E-17</v>
      </c>
      <c r="C66" s="2" cm="1">
        <f t="array" ref="C66">INDEX( ComputeThermoProps($A66, $B66, ParametersRange), 1, COLUMN()-2 )</f>
        <v>35.057294801766375</v>
      </c>
      <c r="D66" s="2" cm="1">
        <f t="array" ref="D66">INDEX( ComputeThermoProps($A66, $B66, ParametersRange), 1, COLUMN()-2 )</f>
        <v>3.283703497200727E-4</v>
      </c>
      <c r="E66" s="2" cm="1">
        <f t="array" ref="E66">INDEX( ComputeThermoProps($A66, $B66, ParametersRange), 1, COLUMN()-2 )</f>
        <v>3.0787933058470029E-4</v>
      </c>
      <c r="F66" s="2" cm="1">
        <f t="array" ref="F66">INDEX( ComputeThermoProps($A66, $B66, ParametersRange), 1, COLUMN()-2 )</f>
        <v>5.7619695795326387E-4</v>
      </c>
      <c r="G66" s="2" cm="1">
        <f t="array" ref="G66">INDEX( ComputeThermoProps($A66, $B66, ParametersRange), 1, COLUMN()-2 )</f>
        <v>24.481275098293821</v>
      </c>
      <c r="H66" s="2" cm="1">
        <f t="array" ref="H66">INDEX( ComputeThermoProps($A66, $B66, ParametersRange), 1, COLUMN()-2 )</f>
        <v>22.95359065015441</v>
      </c>
      <c r="I66" s="2" cm="1">
        <f t="array" ref="I66">INDEX( ComputeThermoProps($A66, $B66, ParametersRange), 1, COLUMN()-2 )</f>
        <v>2.68</v>
      </c>
      <c r="J66" s="2" cm="1">
        <f t="array" ref="J66">INDEX( ComputeThermoProps($A66, $B66, ParametersRange), 1, COLUMN()-2 )</f>
        <v>652.68929726106569</v>
      </c>
      <c r="K66" s="2" cm="1">
        <f t="array" ref="K66">INDEX( ComputeThermoProps($A66, $B66, ParametersRange), 1, COLUMN()-2 )</f>
        <v>27.703623538648014</v>
      </c>
      <c r="L66" s="2" cm="1">
        <f t="array" ref="L66">INDEX( ComputeThermoProps($A66, $B66, ParametersRange), 1, COLUMN()-2 )</f>
        <v>-541.3368772546637</v>
      </c>
      <c r="M66" s="2" cm="1">
        <f t="array" ref="M66">INDEX( ComputeThermoProps($A66, $B66, ParametersRange), 1, COLUMN()-2 )</f>
        <v>652.68929726106569</v>
      </c>
      <c r="N66" s="2" cm="1">
        <f t="array" ref="N66">INDEX( ComputeThermoProps($A66, $B66, ParametersRange), 1, COLUMN()-2 )</f>
        <v>-541.3368772546637</v>
      </c>
      <c r="O66" s="2">
        <f t="shared" si="1"/>
        <v>-16.338436131861073</v>
      </c>
      <c r="P66" s="2">
        <f t="shared" si="2"/>
        <v>-6103.620703561849</v>
      </c>
    </row>
    <row r="67" spans="1:16" x14ac:dyDescent="0.25">
      <c r="A67" s="2">
        <v>44.1</v>
      </c>
      <c r="B67" s="2">
        <f t="shared" si="0"/>
        <v>1.670372848208396E-16</v>
      </c>
      <c r="C67" s="2" cm="1">
        <f t="array" ref="C67">INDEX( ComputeThermoProps($A67, $B67, ParametersRange), 1, COLUMN()-2 )</f>
        <v>35.077570648403636</v>
      </c>
      <c r="D67" s="2" cm="1">
        <f t="array" ref="D67">INDEX( ComputeThermoProps($A67, $B67, ParametersRange), 1, COLUMN()-2 )</f>
        <v>3.2953551893789487E-4</v>
      </c>
      <c r="E67" s="2" cm="1">
        <f t="array" ref="E67">INDEX( ComputeThermoProps($A67, $B67, ParametersRange), 1, COLUMN()-2 )</f>
        <v>3.083893374946015E-4</v>
      </c>
      <c r="F67" s="2" cm="1">
        <f t="array" ref="F67">INDEX( ComputeThermoProps($A67, $B67, ParametersRange), 1, COLUMN()-2 )</f>
        <v>5.8017527507671861E-4</v>
      </c>
      <c r="G67" s="2" cm="1">
        <f t="array" ref="G67">INDEX( ComputeThermoProps($A67, $B67, ParametersRange), 1, COLUMN()-2 )</f>
        <v>24.6237717503273</v>
      </c>
      <c r="H67" s="2" cm="1">
        <f t="array" ref="H67">INDEX( ComputeThermoProps($A67, $B67, ParametersRange), 1, COLUMN()-2 )</f>
        <v>23.043672746344683</v>
      </c>
      <c r="I67" s="2" cm="1">
        <f t="array" ref="I67">INDEX( ComputeThermoProps($A67, $B67, ParametersRange), 1, COLUMN()-2 )</f>
        <v>2.68</v>
      </c>
      <c r="J67" s="2" cm="1">
        <f t="array" ref="J67">INDEX( ComputeThermoProps($A67, $B67, ParametersRange), 1, COLUMN()-2 )</f>
        <v>677.24229126348962</v>
      </c>
      <c r="K67" s="2" cm="1">
        <f t="array" ref="K67">INDEX( ComputeThermoProps($A67, $B67, ParametersRange), 1, COLUMN()-2 )</f>
        <v>28.266777032168651</v>
      </c>
      <c r="L67" s="2" cm="1">
        <f t="array" ref="L67">INDEX( ComputeThermoProps($A67, $B67, ParametersRange), 1, COLUMN()-2 )</f>
        <v>-569.32257585514799</v>
      </c>
      <c r="M67" s="2" cm="1">
        <f t="array" ref="M67">INDEX( ComputeThermoProps($A67, $B67, ParametersRange), 1, COLUMN()-2 )</f>
        <v>677.24229126348962</v>
      </c>
      <c r="N67" s="2" cm="1">
        <f t="array" ref="N67">INDEX( ComputeThermoProps($A67, $B67, ParametersRange), 1, COLUMN()-2 )</f>
        <v>-569.32257585514799</v>
      </c>
      <c r="O67" s="2">
        <f t="shared" si="1"/>
        <v>-15.77718657804631</v>
      </c>
      <c r="P67" s="2">
        <f t="shared" si="2"/>
        <v>-6079.0677095594256</v>
      </c>
    </row>
    <row r="68" spans="1:16" x14ac:dyDescent="0.25">
      <c r="A68" s="2">
        <v>45.1</v>
      </c>
      <c r="B68" s="2">
        <f t="shared" si="0"/>
        <v>5.6772849731957492E-16</v>
      </c>
      <c r="C68" s="2" cm="1">
        <f t="array" ref="C68">INDEX( ComputeThermoProps($A68, $B68, ParametersRange), 1, COLUMN()-2 )</f>
        <v>35.097995847322984</v>
      </c>
      <c r="D68" s="2" cm="1">
        <f t="array" ref="D68">INDEX( ComputeThermoProps($A68, $B68, ParametersRange), 1, COLUMN()-2 )</f>
        <v>3.307114380513237E-4</v>
      </c>
      <c r="E68" s="2" cm="1">
        <f t="array" ref="E68">INDEX( ComputeThermoProps($A68, $B68, ParametersRange), 1, COLUMN()-2 )</f>
        <v>3.0890523674645729E-4</v>
      </c>
      <c r="F68" s="2" cm="1">
        <f t="array" ref="F68">INDEX( ComputeThermoProps($A68, $B68, ParametersRange), 1, COLUMN()-2 )</f>
        <v>5.8404110004137719E-4</v>
      </c>
      <c r="G68" s="2" cm="1">
        <f t="array" ref="G68">INDEX( ComputeThermoProps($A68, $B68, ParametersRange), 1, COLUMN()-2 )</f>
        <v>24.760856527688482</v>
      </c>
      <c r="H68" s="2" cm="1">
        <f t="array" ref="H68">INDEX( ComputeThermoProps($A68, $B68, ParametersRange), 1, COLUMN()-2 )</f>
        <v>23.128193850203779</v>
      </c>
      <c r="I68" s="2" cm="1">
        <f t="array" ref="I68">INDEX( ComputeThermoProps($A68, $B68, ParametersRange), 1, COLUMN()-2 )</f>
        <v>2.68</v>
      </c>
      <c r="J68" s="2" cm="1">
        <f t="array" ref="J68">INDEX( ComputeThermoProps($A68, $B68, ParametersRange), 1, COLUMN()-2 )</f>
        <v>701.93503730042403</v>
      </c>
      <c r="K68" s="2" cm="1">
        <f t="array" ref="K68">INDEX( ComputeThermoProps($A68, $B68, ParametersRange), 1, COLUMN()-2 )</f>
        <v>28.820436290143295</v>
      </c>
      <c r="L68" s="2" cm="1">
        <f t="array" ref="L68">INDEX( ComputeThermoProps($A68, $B68, ParametersRange), 1, COLUMN()-2 )</f>
        <v>-597.86663938503864</v>
      </c>
      <c r="M68" s="2" cm="1">
        <f t="array" ref="M68">INDEX( ComputeThermoProps($A68, $B68, ParametersRange), 1, COLUMN()-2 )</f>
        <v>701.93503730042403</v>
      </c>
      <c r="N68" s="2" cm="1">
        <f t="array" ref="N68">INDEX( ComputeThermoProps($A68, $B68, ParametersRange), 1, COLUMN()-2 )</f>
        <v>-597.86663938503864</v>
      </c>
      <c r="O68" s="2">
        <f t="shared" si="1"/>
        <v>-15.245859305672385</v>
      </c>
      <c r="P68" s="2">
        <f t="shared" si="2"/>
        <v>-6054.3749635224904</v>
      </c>
    </row>
    <row r="69" spans="1:16" x14ac:dyDescent="0.25">
      <c r="A69" s="2">
        <v>46.1</v>
      </c>
      <c r="B69" s="2">
        <f t="shared" si="0"/>
        <v>1.8098181489378448E-15</v>
      </c>
      <c r="C69" s="2" cm="1">
        <f t="array" ref="C69">INDEX( ComputeThermoProps($A69, $B69, ParametersRange), 1, COLUMN()-2 )</f>
        <v>35.11856687603408</v>
      </c>
      <c r="D69" s="2" cm="1">
        <f t="array" ref="D69">INDEX( ComputeThermoProps($A69, $B69, ParametersRange), 1, COLUMN()-2 )</f>
        <v>3.318982280911695E-4</v>
      </c>
      <c r="E69" s="2" cm="1">
        <f t="array" ref="E69">INDEX( ComputeThermoProps($A69, $B69, ParametersRange), 1, COLUMN()-2 )</f>
        <v>3.0942699616081298E-4</v>
      </c>
      <c r="F69" s="2" cm="1">
        <f t="array" ref="F69">INDEX( ComputeThermoProps($A69, $B69, ParametersRange), 1, COLUMN()-2 )</f>
        <v>5.8780457434197929E-4</v>
      </c>
      <c r="G69" s="2" cm="1">
        <f t="array" ref="G69">INDEX( ComputeThermoProps($A69, $B69, ParametersRange), 1, COLUMN()-2 )</f>
        <v>24.892972019431607</v>
      </c>
      <c r="H69" s="2" cm="1">
        <f t="array" ref="H69">INDEX( ComputeThermoProps($A69, $B69, ParametersRange), 1, COLUMN()-2 )</f>
        <v>23.207588668933973</v>
      </c>
      <c r="I69" s="2" cm="1">
        <f t="array" ref="I69">INDEX( ComputeThermoProps($A69, $B69, ParametersRange), 1, COLUMN()-2 )</f>
        <v>2.6800000000000006</v>
      </c>
      <c r="J69" s="2" cm="1">
        <f t="array" ref="J69">INDEX( ComputeThermoProps($A69, $B69, ParametersRange), 1, COLUMN()-2 )</f>
        <v>726.76234833329806</v>
      </c>
      <c r="K69" s="2" cm="1">
        <f t="array" ref="K69">INDEX( ComputeThermoProps($A69, $B69, ParametersRange), 1, COLUMN()-2 )</f>
        <v>29.364903984031525</v>
      </c>
      <c r="L69" s="2" cm="1">
        <f t="array" ref="L69">INDEX( ComputeThermoProps($A69, $B69, ParametersRange), 1, COLUMN()-2 )</f>
        <v>-626.95972533055522</v>
      </c>
      <c r="M69" s="2" cm="1">
        <f t="array" ref="M69">INDEX( ComputeThermoProps($A69, $B69, ParametersRange), 1, COLUMN()-2 )</f>
        <v>726.76234833329818</v>
      </c>
      <c r="N69" s="2" cm="1">
        <f t="array" ref="N69">INDEX( ComputeThermoProps($A69, $B69, ParametersRange), 1, COLUMN()-2 )</f>
        <v>-626.9597253305551</v>
      </c>
      <c r="O69" s="2">
        <f t="shared" si="1"/>
        <v>-14.742365060976397</v>
      </c>
      <c r="P69" s="2">
        <f t="shared" si="2"/>
        <v>-6029.5476524896167</v>
      </c>
    </row>
    <row r="70" spans="1:16" x14ac:dyDescent="0.25">
      <c r="A70" s="2">
        <v>47.1</v>
      </c>
      <c r="B70" s="2">
        <f t="shared" si="0"/>
        <v>5.4350767525250891E-15</v>
      </c>
      <c r="C70" s="2" cm="1">
        <f t="array" ref="C70">INDEX( ComputeThermoProps($A70, $B70, ParametersRange), 1, COLUMN()-2 )</f>
        <v>35.139280545223635</v>
      </c>
      <c r="D70" s="2" cm="1">
        <f t="array" ref="D70">INDEX( ComputeThermoProps($A70, $B70, ParametersRange), 1, COLUMN()-2 )</f>
        <v>3.3309601758667399E-4</v>
      </c>
      <c r="E70" s="2" cm="1">
        <f t="array" ref="E70">INDEX( ComputeThermoProps($A70, $B70, ParametersRange), 1, COLUMN()-2 )</f>
        <v>3.0995459142355302E-4</v>
      </c>
      <c r="F70" s="2" cm="1">
        <f t="array" ref="F70">INDEX( ComputeThermoProps($A70, $B70, ParametersRange), 1, COLUMN()-2 )</f>
        <v>5.914749347350084E-4</v>
      </c>
      <c r="G70" s="2" cm="1">
        <f t="array" ref="G70">INDEX( ComputeThermoProps($A70, $B70, ParametersRange), 1, COLUMN()-2 )</f>
        <v>25.020520629514863</v>
      </c>
      <c r="H70" s="2" cm="1">
        <f t="array" ref="H70">INDEX( ComputeThermoProps($A70, $B70, ParametersRange), 1, COLUMN()-2 )</f>
        <v>23.282251481460275</v>
      </c>
      <c r="I70" s="2" cm="1">
        <f t="array" ref="I70">INDEX( ComputeThermoProps($A70, $B70, ParametersRange), 1, COLUMN()-2 )</f>
        <v>2.6799999999999997</v>
      </c>
      <c r="J70" s="2" cm="1">
        <f t="array" ref="J70">INDEX( ComputeThermoProps($A70, $B70, ParametersRange), 1, COLUMN()-2 )</f>
        <v>751.71945944230572</v>
      </c>
      <c r="K70" s="2" cm="1">
        <f t="array" ref="K70">INDEX( ComputeThermoProps($A70, $B70, ParametersRange), 1, COLUMN()-2 )</f>
        <v>29.900472358135641</v>
      </c>
      <c r="L70" s="2" cm="1">
        <f t="array" ref="L70">INDEX( ComputeThermoProps($A70, $B70, ParametersRange), 1, COLUMN()-2 )</f>
        <v>-656.59278862588303</v>
      </c>
      <c r="M70" s="2" cm="1">
        <f t="array" ref="M70">INDEX( ComputeThermoProps($A70, $B70, ParametersRange), 1, COLUMN()-2 )</f>
        <v>751.71945944230595</v>
      </c>
      <c r="N70" s="2" cm="1">
        <f t="array" ref="N70">INDEX( ComputeThermoProps($A70, $B70, ParametersRange), 1, COLUMN()-2 )</f>
        <v>-656.5927886258828</v>
      </c>
      <c r="O70" s="2">
        <f t="shared" si="1"/>
        <v>-14.264794318557859</v>
      </c>
      <c r="P70" s="2">
        <f t="shared" si="2"/>
        <v>-6004.5905413806086</v>
      </c>
    </row>
    <row r="71" spans="1:16" x14ac:dyDescent="0.25">
      <c r="A71" s="2">
        <v>48.1</v>
      </c>
      <c r="B71" s="2">
        <f t="shared" si="0"/>
        <v>1.543836916640625E-14</v>
      </c>
      <c r="C71" s="2" cm="1">
        <f t="array" ref="C71">INDEX( ComputeThermoProps($A71, $B71, ParametersRange), 1, COLUMN()-2 )</f>
        <v>35.160133969519535</v>
      </c>
      <c r="D71" s="2" cm="1">
        <f t="array" ref="D71">INDEX( ComputeThermoProps($A71, $B71, ParametersRange), 1, COLUMN()-2 )</f>
        <v>3.34304942062189E-4</v>
      </c>
      <c r="E71" s="2" cm="1">
        <f t="array" ref="E71">INDEX( ComputeThermoProps($A71, $B71, ParametersRange), 1, COLUMN()-2 )</f>
        <v>3.1048800548785137E-4</v>
      </c>
      <c r="F71" s="2" cm="1">
        <f t="array" ref="F71">INDEX( ComputeThermoProps($A71, $B71, ParametersRange), 1, COLUMN()-2 )</f>
        <v>5.9506060871060439E-4</v>
      </c>
      <c r="G71" s="2" cm="1">
        <f t="array" ref="G71">INDEX( ComputeThermoProps($A71, $B71, ParametersRange), 1, COLUMN()-2 )</f>
        <v>25.143868795235374</v>
      </c>
      <c r="H71" s="2" cm="1">
        <f t="array" ref="H71">INDEX( ComputeThermoProps($A71, $B71, ParametersRange), 1, COLUMN()-2 )</f>
        <v>23.352540421100279</v>
      </c>
      <c r="I71" s="2" cm="1">
        <f t="array" ref="I71">INDEX( ComputeThermoProps($A71, $B71, ParametersRange), 1, COLUMN()-2 )</f>
        <v>2.68</v>
      </c>
      <c r="J71" s="2" cm="1">
        <f t="array" ref="J71">INDEX( ComputeThermoProps($A71, $B71, ParametersRange), 1, COLUMN()-2 )</f>
        <v>776.8019897969798</v>
      </c>
      <c r="K71" s="2" cm="1">
        <f t="array" ref="K71">INDEX( ComputeThermoProps($A71, $B71, ParametersRange), 1, COLUMN()-2 )</f>
        <v>30.427423306744018</v>
      </c>
      <c r="L71" s="2" cm="1">
        <f t="array" ref="L71">INDEX( ComputeThermoProps($A71, $B71, ParametersRange), 1, COLUMN()-2 )</f>
        <v>-686.75707125740746</v>
      </c>
      <c r="M71" s="2" cm="1">
        <f t="array" ref="M71">INDEX( ComputeThermoProps($A71, $B71, ParametersRange), 1, COLUMN()-2 )</f>
        <v>776.80198979698037</v>
      </c>
      <c r="N71" s="2" cm="1">
        <f t="array" ref="N71">INDEX( ComputeThermoProps($A71, $B71, ParametersRange), 1, COLUMN()-2 )</f>
        <v>-686.75707125740689</v>
      </c>
      <c r="O71" s="2">
        <f t="shared" si="1"/>
        <v>-13.811398578316217</v>
      </c>
      <c r="P71" s="2">
        <f t="shared" si="2"/>
        <v>-5979.5080110259341</v>
      </c>
    </row>
    <row r="72" spans="1:16" x14ac:dyDescent="0.25">
      <c r="A72" s="2">
        <v>49.1</v>
      </c>
      <c r="B72" s="2">
        <f t="shared" si="0"/>
        <v>4.1631882785267622E-14</v>
      </c>
      <c r="C72" s="2" cm="1">
        <f t="array" ref="C72">INDEX( ComputeThermoProps($A72, $B72, ParametersRange), 1, COLUMN()-2 )</f>
        <v>35.181124541345099</v>
      </c>
      <c r="D72" s="2" cm="1">
        <f t="array" ref="D72">INDEX( ComputeThermoProps($A72, $B72, ParametersRange), 1, COLUMN()-2 )</f>
        <v>3.3552514365850229E-4</v>
      </c>
      <c r="E72" s="2" cm="1">
        <f t="array" ref="E72">INDEX( ComputeThermoProps($A72, $B72, ParametersRange), 1, COLUMN()-2 )</f>
        <v>3.1102722804252899E-4</v>
      </c>
      <c r="F72" s="2" cm="1">
        <f t="array" ref="F72">INDEX( ComputeThermoProps($A72, $B72, ParametersRange), 1, COLUMN()-2 )</f>
        <v>5.9856929974971156E-4</v>
      </c>
      <c r="G72" s="2" cm="1">
        <f t="array" ref="G72">INDEX( ComputeThermoProps($A72, $B72, ParametersRange), 1, COLUMN()-2 )</f>
        <v>25.263350752582628</v>
      </c>
      <c r="H72" s="2" cm="1">
        <f t="array" ref="H72">INDEX( ComputeThermoProps($A72, $B72, ParametersRange), 1, COLUMN()-2 )</f>
        <v>23.418781287042304</v>
      </c>
      <c r="I72" s="2" cm="1">
        <f t="array" ref="I72">INDEX( ComputeThermoProps($A72, $B72, ParametersRange), 1, COLUMN()-2 )</f>
        <v>2.6799999999999997</v>
      </c>
      <c r="J72" s="2" cm="1">
        <f t="array" ref="J72">INDEX( ComputeThermoProps($A72, $B72, ParametersRange), 1, COLUMN()-2 )</f>
        <v>802.00590861310332</v>
      </c>
      <c r="K72" s="2" cm="1">
        <f t="array" ref="K72">INDEX( ComputeThermoProps($A72, $B72, ParametersRange), 1, COLUMN()-2 )</f>
        <v>30.946028525396223</v>
      </c>
      <c r="L72" s="2" cm="1">
        <f t="array" ref="L72">INDEX( ComputeThermoProps($A72, $B72, ParametersRange), 1, COLUMN()-2 )</f>
        <v>-717.44409198385131</v>
      </c>
      <c r="M72" s="2" cm="1">
        <f t="array" ref="M72">INDEX( ComputeThermoProps($A72, $B72, ParametersRange), 1, COLUMN()-2 )</f>
        <v>802.00590861310479</v>
      </c>
      <c r="N72" s="2" cm="1">
        <f t="array" ref="N72">INDEX( ComputeThermoProps($A72, $B72, ParametersRange), 1, COLUMN()-2 )</f>
        <v>-717.44409198384983</v>
      </c>
      <c r="O72" s="2">
        <f t="shared" si="1"/>
        <v>-13.380573947874636</v>
      </c>
      <c r="P72" s="2">
        <f t="shared" si="2"/>
        <v>-5954.3040922098098</v>
      </c>
    </row>
    <row r="73" spans="1:16" x14ac:dyDescent="0.25">
      <c r="A73" s="2">
        <v>50.1</v>
      </c>
      <c r="B73" s="2">
        <f t="shared" si="0"/>
        <v>1.0694323293216522E-13</v>
      </c>
      <c r="C73" s="2" cm="1">
        <f t="array" ref="C73">INDEX( ComputeThermoProps($A73, $B73, ParametersRange), 1, COLUMN()-2 )</f>
        <v>35.202249907505426</v>
      </c>
      <c r="D73" s="2" cm="1">
        <f t="array" ref="D73">INDEX( ComputeThermoProps($A73, $B73, ParametersRange), 1, COLUMN()-2 )</f>
        <v>3.3675677080577203E-4</v>
      </c>
      <c r="E73" s="2" cm="1">
        <f t="array" ref="E73">INDEX( ComputeThermoProps($A73, $B73, ParametersRange), 1, COLUMN()-2 )</f>
        <v>3.1157225503917411E-4</v>
      </c>
      <c r="F73" s="2" cm="1">
        <f t="array" ref="F73">INDEX( ComputeThermoProps($A73, $B73, ParametersRange), 1, COLUMN()-2 )</f>
        <v>6.0200806220488264E-4</v>
      </c>
      <c r="G73" s="2" cm="1">
        <f t="array" ref="G73">INDEX( ComputeThermoProps($A73, $B73, ParametersRange), 1, COLUMN()-2 )</f>
        <v>25.379271844128606</v>
      </c>
      <c r="H73" s="2" cm="1">
        <f t="array" ref="H73">INDEX( ComputeThermoProps($A73, $B73, ParametersRange), 1, COLUMN()-2 )</f>
        <v>23.48127089117412</v>
      </c>
      <c r="I73" s="2" cm="1">
        <f t="array" ref="I73">INDEX( ComputeThermoProps($A73, $B73, ParametersRange), 1, COLUMN()-2 )</f>
        <v>2.68</v>
      </c>
      <c r="J73" s="2" cm="1">
        <f t="array" ref="J73">INDEX( ComputeThermoProps($A73, $B73, ParametersRange), 1, COLUMN()-2 )</f>
        <v>827.32750463375396</v>
      </c>
      <c r="K73" s="2" cm="1">
        <f t="array" ref="K73">INDEX( ComputeThermoProps($A73, $B73, ParametersRange), 1, COLUMN()-2 )</f>
        <v>31.456549717978049</v>
      </c>
      <c r="L73" s="2" cm="1">
        <f t="array" ref="L73">INDEX( ComputeThermoProps($A73, $B73, ParametersRange), 1, COLUMN()-2 )</f>
        <v>-748.6456362369463</v>
      </c>
      <c r="M73" s="2" cm="1">
        <f t="array" ref="M73">INDEX( ComputeThermoProps($A73, $B73, ParametersRange), 1, COLUMN()-2 )</f>
        <v>827.32750463375771</v>
      </c>
      <c r="N73" s="2" cm="1">
        <f t="array" ref="N73">INDEX( ComputeThermoProps($A73, $B73, ParametersRange), 1, COLUMN()-2 )</f>
        <v>-748.64563623694255</v>
      </c>
      <c r="O73" s="2">
        <f t="shared" si="1"/>
        <v>-12.970846691159775</v>
      </c>
      <c r="P73" s="2">
        <f t="shared" si="2"/>
        <v>-5928.9824961891572</v>
      </c>
    </row>
    <row r="74" spans="1:16" x14ac:dyDescent="0.25">
      <c r="A74" s="2">
        <v>51.1</v>
      </c>
      <c r="B74" s="2">
        <f t="shared" si="0"/>
        <v>2.6250617640061087E-13</v>
      </c>
      <c r="C74" s="2" cm="1">
        <f t="array" ref="C74">INDEX( ComputeThermoProps($A74, $B74, ParametersRange), 1, COLUMN()-2 )</f>
        <v>35.223507948192378</v>
      </c>
      <c r="D74" s="2" cm="1">
        <f t="array" ref="D74">INDEX( ComputeThermoProps($A74, $B74, ParametersRange), 1, COLUMN()-2 )</f>
        <v>3.3799997795831753E-4</v>
      </c>
      <c r="E74" s="2" cm="1">
        <f t="array" ref="E74">INDEX( ComputeThermoProps($A74, $B74, ParametersRange), 1, COLUMN()-2 )</f>
        <v>3.121230882714516E-4</v>
      </c>
      <c r="F74" s="2" cm="1">
        <f t="array" ref="F74">INDEX( ComputeThermoProps($A74, $B74, ParametersRange), 1, COLUMN()-2 )</f>
        <v>6.0538336761392956E-4</v>
      </c>
      <c r="G74" s="2" cm="1">
        <f t="array" ref="G74">INDEX( ComputeThermoProps($A74, $B74, ParametersRange), 1, COLUMN()-2 )</f>
        <v>25.491911448293852</v>
      </c>
      <c r="H74" s="2" cm="1">
        <f t="array" ref="H74">INDEX( ComputeThermoProps($A74, $B74, ParametersRange), 1, COLUMN()-2 )</f>
        <v>23.54028001790304</v>
      </c>
      <c r="I74" s="2" cm="1">
        <f t="array" ref="I74">INDEX( ComputeThermoProps($A74, $B74, ParametersRange), 1, COLUMN()-2 )</f>
        <v>2.6799999999999997</v>
      </c>
      <c r="J74" s="2" cm="1">
        <f t="array" ref="J74">INDEX( ComputeThermoProps($A74, $B74, ParametersRange), 1, COLUMN()-2 )</f>
        <v>852.76335873030371</v>
      </c>
      <c r="K74" s="2" cm="1">
        <f t="array" ref="K74">INDEX( ComputeThermoProps($A74, $B74, ParametersRange), 1, COLUMN()-2 )</f>
        <v>31.959238845033155</v>
      </c>
      <c r="L74" s="2" cm="1">
        <f t="array" ref="L74">INDEX( ComputeThermoProps($A74, $B74, ParametersRange), 1, COLUMN()-2 )</f>
        <v>-780.35374625089059</v>
      </c>
      <c r="M74" s="2" cm="1">
        <f t="array" ref="M74">INDEX( ComputeThermoProps($A74, $B74, ParametersRange), 1, COLUMN()-2 )</f>
        <v>852.76335873031292</v>
      </c>
      <c r="N74" s="2" cm="1">
        <f t="array" ref="N74">INDEX( ComputeThermoProps($A74, $B74, ParametersRange), 1, COLUMN()-2 )</f>
        <v>-780.35374625088139</v>
      </c>
      <c r="O74" s="2">
        <f t="shared" si="1"/>
        <v>-12.580860473800323</v>
      </c>
      <c r="P74" s="2">
        <f t="shared" si="2"/>
        <v>-5903.5466420926023</v>
      </c>
    </row>
    <row r="75" spans="1:16" x14ac:dyDescent="0.25">
      <c r="A75" s="2">
        <v>52.1</v>
      </c>
      <c r="B75" s="2">
        <f t="shared" si="0"/>
        <v>6.1749710044184206E-13</v>
      </c>
      <c r="C75" s="2" cm="1">
        <f t="array" ref="C75">INDEX( ComputeThermoProps($A75, $B75, ParametersRange), 1, COLUMN()-2 )</f>
        <v>35.244896758134146</v>
      </c>
      <c r="D75" s="2" cm="1">
        <f t="array" ref="D75">INDEX( ComputeThermoProps($A75, $B75, ParametersRange), 1, COLUMN()-2 )</f>
        <v>3.3925492538327726E-4</v>
      </c>
      <c r="E75" s="2" cm="1">
        <f t="array" ref="E75">INDEX( ComputeThermoProps($A75, $B75, ParametersRange), 1, COLUMN()-2 )</f>
        <v>3.1267973500031105E-4</v>
      </c>
      <c r="F75" s="2" cm="1">
        <f t="array" ref="F75">INDEX( ComputeThermoProps($A75, $B75, ParametersRange), 1, COLUMN()-2 )</f>
        <v>6.0870116355013276E-4</v>
      </c>
      <c r="G75" s="2" cm="1">
        <f t="array" ref="G75">INDEX( ComputeThermoProps($A75, $B75, ParametersRange), 1, COLUMN()-2 )</f>
        <v>25.601525578654968</v>
      </c>
      <c r="H75" s="2" cm="1">
        <f t="array" ref="H75">INDEX( ComputeThermoProps($A75, $B75, ParametersRange), 1, COLUMN()-2 )</f>
        <v>23.596056046920143</v>
      </c>
      <c r="I75" s="2" cm="1">
        <f t="array" ref="I75">INDEX( ComputeThermoProps($A75, $B75, ParametersRange), 1, COLUMN()-2 )</f>
        <v>2.6799999999999997</v>
      </c>
      <c r="J75" s="2" cm="1">
        <f t="array" ref="J75">INDEX( ComputeThermoProps($A75, $B75, ParametersRange), 1, COLUMN()-2 )</f>
        <v>878.31031926869093</v>
      </c>
      <c r="K75" s="2" cm="1">
        <f t="array" ref="K75">INDEX( ComputeThermoProps($A75, $B75, ParametersRange), 1, COLUMN()-2 )</f>
        <v>32.454338401620795</v>
      </c>
      <c r="L75" s="2" cm="1">
        <f t="array" ref="L75">INDEX( ComputeThermoProps($A75, $B75, ParametersRange), 1, COLUMN()-2 )</f>
        <v>-812.56071145575254</v>
      </c>
      <c r="M75" s="2" cm="1">
        <f t="array" ref="M75">INDEX( ComputeThermoProps($A75, $B75, ParametersRange), 1, COLUMN()-2 )</f>
        <v>878.31031926871265</v>
      </c>
      <c r="N75" s="2" cm="1">
        <f t="array" ref="N75">INDEX( ComputeThermoProps($A75, $B75, ParametersRange), 1, COLUMN()-2 )</f>
        <v>-812.56071145573083</v>
      </c>
      <c r="O75" s="2">
        <f t="shared" si="1"/>
        <v>-12.209365077363948</v>
      </c>
      <c r="P75" s="2">
        <f t="shared" si="2"/>
        <v>-5877.9996815542017</v>
      </c>
    </row>
    <row r="76" spans="1:16" x14ac:dyDescent="0.25">
      <c r="A76" s="2">
        <v>53.1</v>
      </c>
      <c r="B76" s="2">
        <f t="shared" si="0"/>
        <v>1.3957049256827776E-12</v>
      </c>
      <c r="C76" s="2" cm="1">
        <f t="array" ref="C76">INDEX( ComputeThermoProps($A76, $B76, ParametersRange), 1, COLUMN()-2 )</f>
        <v>35.266414629648985</v>
      </c>
      <c r="D76" s="2" cm="1">
        <f t="array" ref="D76">INDEX( ComputeThermoProps($A76, $B76, ParametersRange), 1, COLUMN()-2 )</f>
        <v>3.4052177902221353E-4</v>
      </c>
      <c r="E76" s="2" cm="1">
        <f t="array" ref="E76">INDEX( ComputeThermoProps($A76, $B76, ParametersRange), 1, COLUMN()-2 )</f>
        <v>3.1324220762111792E-4</v>
      </c>
      <c r="F76" s="2" cm="1">
        <f t="array" ref="F76">INDEX( ComputeThermoProps($A76, $B76, ParametersRange), 1, COLUMN()-2 )</f>
        <v>6.1196692650002235E-4</v>
      </c>
      <c r="G76" s="2" cm="1">
        <f t="array" ref="G76">INDEX( ComputeThermoProps($A76, $B76, ParametersRange), 1, COLUMN()-2 )</f>
        <v>25.708349217795039</v>
      </c>
      <c r="H76" s="2" cm="1">
        <f t="array" ref="H76">INDEX( ComputeThermoProps($A76, $B76, ParametersRange), 1, COLUMN()-2 )</f>
        <v>23.648825300984448</v>
      </c>
      <c r="I76" s="2" cm="1">
        <f t="array" ref="I76">INDEX( ComputeThermoProps($A76, $B76, ParametersRange), 1, COLUMN()-2 )</f>
        <v>2.6799999999999997</v>
      </c>
      <c r="J76" s="2" cm="1">
        <f t="array" ref="J76">INDEX( ComputeThermoProps($A76, $B76, ParametersRange), 1, COLUMN()-2 )</f>
        <v>903.96547993224272</v>
      </c>
      <c r="K76" s="2" cm="1">
        <f t="array" ref="K76">INDEX( ComputeThermoProps($A76, $B76, ParametersRange), 1, COLUMN()-2 )</f>
        <v>32.94208171547664</v>
      </c>
      <c r="L76" s="2" cm="1">
        <f t="array" ref="L76">INDEX( ComputeThermoProps($A76, $B76, ParametersRange), 1, COLUMN()-2 )</f>
        <v>-845.25905915956685</v>
      </c>
      <c r="M76" s="2" cm="1">
        <f t="array" ref="M76">INDEX( ComputeThermoProps($A76, $B76, ParametersRange), 1, COLUMN()-2 )</f>
        <v>903.96547993229194</v>
      </c>
      <c r="N76" s="2" cm="1">
        <f t="array" ref="N76">INDEX( ComputeThermoProps($A76, $B76, ParametersRange), 1, COLUMN()-2 )</f>
        <v>-845.25905915951762</v>
      </c>
      <c r="O76" s="2">
        <f t="shared" si="1"/>
        <v>-11.855206388799646</v>
      </c>
      <c r="P76" s="2">
        <f t="shared" si="2"/>
        <v>-5852.3445208906232</v>
      </c>
    </row>
    <row r="77" spans="1:16" x14ac:dyDescent="0.25">
      <c r="A77" s="2">
        <v>54.1</v>
      </c>
      <c r="B77" s="2">
        <f t="shared" si="0"/>
        <v>3.0386627353531568E-12</v>
      </c>
      <c r="C77" s="2" cm="1">
        <f t="array" ref="C77">INDEX( ComputeThermoProps($A77, $B77, ParametersRange), 1, COLUMN()-2 )</f>
        <v>35.288060037391347</v>
      </c>
      <c r="D77" s="2" cm="1">
        <f t="array" ref="D77">INDEX( ComputeThermoProps($A77, $B77, ParametersRange), 1, COLUMN()-2 )</f>
        <v>3.4180071034759163E-4</v>
      </c>
      <c r="E77" s="2" cm="1">
        <f t="array" ref="E77">INDEX( ComputeThermoProps($A77, $B77, ParametersRange), 1, COLUMN()-2 )</f>
        <v>3.1381052336675611E-4</v>
      </c>
      <c r="F77" s="2" cm="1">
        <f t="array" ref="F77">INDEX( ComputeThermoProps($A77, $B77, ParametersRange), 1, COLUMN()-2 )</f>
        <v>6.151857079453913E-4</v>
      </c>
      <c r="G77" s="2" cm="1">
        <f t="array" ref="G77">INDEX( ComputeThermoProps($A77, $B77, ParametersRange), 1, COLUMN()-2 )</f>
        <v>25.812598352815854</v>
      </c>
      <c r="H77" s="2" cm="1">
        <f t="array" ref="H77">INDEX( ComputeThermoProps($A77, $B77, ParametersRange), 1, COLUMN()-2 )</f>
        <v>23.698795097047945</v>
      </c>
      <c r="I77" s="2" cm="1">
        <f t="array" ref="I77">INDEX( ComputeThermoProps($A77, $B77, ParametersRange), 1, COLUMN()-2 )</f>
        <v>2.68</v>
      </c>
      <c r="J77" s="2" cm="1">
        <f t="array" ref="J77">INDEX( ComputeThermoProps($A77, $B77, ParametersRange), 1, COLUMN()-2 )</f>
        <v>929.72615972538631</v>
      </c>
      <c r="K77" s="2" cm="1">
        <f t="array" ref="K77">INDEX( ComputeThermoProps($A77, $B77, ParametersRange), 1, COLUMN()-2 )</f>
        <v>33.422693258051538</v>
      </c>
      <c r="L77" s="2" cm="1">
        <f t="array" ref="L77">INDEX( ComputeThermoProps($A77, $B77, ParametersRange), 1, COLUMN()-2 )</f>
        <v>-878.44154553520195</v>
      </c>
      <c r="M77" s="2" cm="1">
        <f t="array" ref="M77">INDEX( ComputeThermoProps($A77, $B77, ParametersRange), 1, COLUMN()-2 )</f>
        <v>929.72615972549352</v>
      </c>
      <c r="N77" s="2" cm="1">
        <f t="array" ref="N77">INDEX( ComputeThermoProps($A77, $B77, ParametersRange), 1, COLUMN()-2 )</f>
        <v>-878.44154553509475</v>
      </c>
      <c r="O77" s="2">
        <f t="shared" si="1"/>
        <v>-11.517317500085678</v>
      </c>
      <c r="P77" s="2">
        <f t="shared" si="2"/>
        <v>-5826.5838410974211</v>
      </c>
    </row>
    <row r="78" spans="1:16" x14ac:dyDescent="0.25">
      <c r="A78" s="2">
        <v>55.1</v>
      </c>
      <c r="B78" s="2">
        <f t="shared" si="0"/>
        <v>6.3868868601352157E-12</v>
      </c>
      <c r="C78" s="2" cm="1">
        <f t="array" ref="C78">INDEX( ComputeThermoProps($A78, $B78, ParametersRange), 1, COLUMN()-2 )</f>
        <v>35.309831624610226</v>
      </c>
      <c r="D78" s="2" cm="1">
        <f t="array" ref="D78">INDEX( ComputeThermoProps($A78, $B78, ParametersRange), 1, COLUMN()-2 )</f>
        <v>3.4309189630741952E-4</v>
      </c>
      <c r="E78" s="2" cm="1">
        <f t="array" ref="E78">INDEX( ComputeThermoProps($A78, $B78, ParametersRange), 1, COLUMN()-2 )</f>
        <v>3.1438470404399554E-4</v>
      </c>
      <c r="F78" s="2" cm="1">
        <f t="array" ref="F78">INDEX( ComputeThermoProps($A78, $B78, ParametersRange), 1, COLUMN()-2 )</f>
        <v>6.1836217658515688E-4</v>
      </c>
      <c r="G78" s="2" cm="1">
        <f t="array" ref="G78">INDEX( ComputeThermoProps($A78, $B78, ParametersRange), 1, COLUMN()-2 )</f>
        <v>25.914471837370805</v>
      </c>
      <c r="H78" s="2" cm="1">
        <f t="array" ref="H78">INDEX( ComputeThermoProps($A78, $B78, ParametersRange), 1, COLUMN()-2 )</f>
        <v>23.74615561233847</v>
      </c>
      <c r="I78" s="2" cm="1">
        <f t="array" ref="I78">INDEX( ComputeThermoProps($A78, $B78, ParametersRange), 1, COLUMN()-2 )</f>
        <v>2.68</v>
      </c>
      <c r="J78" s="2" cm="1">
        <f t="array" ref="J78">INDEX( ComputeThermoProps($A78, $B78, ParametersRange), 1, COLUMN()-2 )</f>
        <v>955.58988492637673</v>
      </c>
      <c r="K78" s="2" cm="1">
        <f t="array" ref="K78">INDEX( ComputeThermoProps($A78, $B78, ParametersRange), 1, COLUMN()-2 )</f>
        <v>33.896388962796458</v>
      </c>
      <c r="L78" s="2" cm="1">
        <f t="array" ref="L78">INDEX( ComputeThermoProps($A78, $B78, ParametersRange), 1, COLUMN()-2 )</f>
        <v>-912.10114692370814</v>
      </c>
      <c r="M78" s="2" cm="1">
        <f t="array" ref="M78">INDEX( ComputeThermoProps($A78, $B78, ParametersRange), 1, COLUMN()-2 )</f>
        <v>955.58988492660228</v>
      </c>
      <c r="N78" s="2" cm="1">
        <f t="array" ref="N78">INDEX( ComputeThermoProps($A78, $B78, ParametersRange), 1, COLUMN()-2 )</f>
        <v>-912.10114692348259</v>
      </c>
      <c r="O78" s="2">
        <f t="shared" si="1"/>
        <v>-11.194710777039786</v>
      </c>
      <c r="P78" s="2">
        <f t="shared" si="2"/>
        <v>-5800.7201158963126</v>
      </c>
    </row>
    <row r="79" spans="1:16" x14ac:dyDescent="0.25">
      <c r="A79" s="2">
        <v>56.1</v>
      </c>
      <c r="B79" s="2">
        <f t="shared" si="0"/>
        <v>1.2987609544028913E-11</v>
      </c>
      <c r="C79" s="2" cm="1">
        <f t="array" ref="C79">INDEX( ComputeThermoProps($A79, $B79, ParametersRange), 1, COLUMN()-2 )</f>
        <v>35.331728190746887</v>
      </c>
      <c r="D79" s="2" cm="1">
        <f t="array" ref="D79">INDEX( ComputeThermoProps($A79, $B79, ParametersRange), 1, COLUMN()-2 )</f>
        <v>3.44395519216253E-4</v>
      </c>
      <c r="E79" s="2" cm="1">
        <f t="array" ref="E79">INDEX( ComputeThermoProps($A79, $B79, ParametersRange), 1, COLUMN()-2 )</f>
        <v>3.1496477579900472E-4</v>
      </c>
      <c r="F79" s="2" cm="1">
        <f t="array" ref="F79">INDEX( ComputeThermoProps($A79, $B79, ParametersRange), 1, COLUMN()-2 )</f>
        <v>6.21500654253804E-4</v>
      </c>
      <c r="G79" s="2" cm="1">
        <f t="array" ref="G79">INDEX( ComputeThermoProps($A79, $B79, ParametersRange), 1, COLUMN()-2 )</f>
        <v>26.01415297896882</v>
      </c>
      <c r="H79" s="2" cm="1">
        <f t="array" ref="H79">INDEX( ComputeThermoProps($A79, $B79, ParametersRange), 1, COLUMN()-2 )</f>
        <v>23.791081484649144</v>
      </c>
      <c r="I79" s="2" cm="1">
        <f t="array" ref="I79">INDEX( ComputeThermoProps($A79, $B79, ParametersRange), 1, COLUMN()-2 )</f>
        <v>2.68</v>
      </c>
      <c r="J79" s="2" cm="1">
        <f t="array" ref="J79">INDEX( ComputeThermoProps($A79, $B79, ParametersRange), 1, COLUMN()-2 )</f>
        <v>981.5543727660463</v>
      </c>
      <c r="K79" s="2" cm="1">
        <f t="array" ref="K79">INDEX( ComputeThermoProps($A79, $B79, ParametersRange), 1, COLUMN()-2 )</f>
        <v>34.363376545834505</v>
      </c>
      <c r="L79" s="2" cm="1">
        <f t="array" ref="L79">INDEX( ComputeThermoProps($A79, $B79, ParametersRange), 1, COLUMN()-2 )</f>
        <v>-946.23105145526949</v>
      </c>
      <c r="M79" s="2" cm="1">
        <f t="array" ref="M79">INDEX( ComputeThermoProps($A79, $B79, ParametersRange), 1, COLUMN()-2 )</f>
        <v>981.55437276650514</v>
      </c>
      <c r="N79" s="2" cm="1">
        <f t="array" ref="N79">INDEX( ComputeThermoProps($A79, $B79, ParametersRange), 1, COLUMN()-2 )</f>
        <v>-946.23105145481065</v>
      </c>
      <c r="O79" s="2">
        <f t="shared" si="1"/>
        <v>-10.8864707763613</v>
      </c>
      <c r="P79" s="2">
        <f t="shared" si="2"/>
        <v>-5774.7556280564095</v>
      </c>
    </row>
    <row r="80" spans="1:16" x14ac:dyDescent="0.25">
      <c r="A80" s="2">
        <v>57.1</v>
      </c>
      <c r="B80" s="2">
        <f t="shared" si="0"/>
        <v>2.5600714895693397E-11</v>
      </c>
      <c r="C80" s="2" cm="1">
        <f t="array" ref="C80">INDEX( ComputeThermoProps($A80, $B80, ParametersRange), 1, COLUMN()-2 )</f>
        <v>35.353748680243456</v>
      </c>
      <c r="D80" s="2" cm="1">
        <f t="array" ref="D80">INDEX( ComputeThermoProps($A80, $B80, ParametersRange), 1, COLUMN()-2 )</f>
        <v>3.4571176679000661E-4</v>
      </c>
      <c r="E80" s="2" cm="1">
        <f t="array" ref="E80">INDEX( ComputeThermoProps($A80, $B80, ParametersRange), 1, COLUMN()-2 )</f>
        <v>3.1555076890945266E-4</v>
      </c>
      <c r="F80" s="2" cm="1">
        <f t="array" ref="F80">INDEX( ComputeThermoProps($A80, $B80, ParametersRange), 1, COLUMN()-2 )</f>
        <v>6.2460515046857713E-4</v>
      </c>
      <c r="G80" s="2" cm="1">
        <f t="array" ref="G80">INDEX( ComputeThermoProps($A80, $B80, ParametersRange), 1, COLUMN()-2 )</f>
        <v>26.111811059621726</v>
      </c>
      <c r="H80" s="2" cm="1">
        <f t="array" ref="H80">INDEX( ComputeThermoProps($A80, $B80, ParametersRange), 1, COLUMN()-2 )</f>
        <v>23.833733326430025</v>
      </c>
      <c r="I80" s="2" cm="1">
        <f t="array" ref="I80">INDEX( ComputeThermoProps($A80, $B80, ParametersRange), 1, COLUMN()-2 )</f>
        <v>2.6800000000000006</v>
      </c>
      <c r="J80" s="2" cm="1">
        <f t="array" ref="J80">INDEX( ComputeThermoProps($A80, $B80, ParametersRange), 1, COLUMN()-2 )</f>
        <v>1007.6175166648979</v>
      </c>
      <c r="K80" s="2" cm="1">
        <f t="array" ref="K80">INDEX( ComputeThermoProps($A80, $B80, ParametersRange), 1, COLUMN()-2 )</f>
        <v>34.823855825898086</v>
      </c>
      <c r="L80" s="2" cm="1">
        <f t="array" ref="L80">INDEX( ComputeThermoProps($A80, $B80, ParametersRange), 1, COLUMN()-2 )</f>
        <v>-980.82465099388276</v>
      </c>
      <c r="M80" s="2" cm="1">
        <f t="array" ref="M80">INDEX( ComputeThermoProps($A80, $B80, ParametersRange), 1, COLUMN()-2 )</f>
        <v>1007.617516665803</v>
      </c>
      <c r="N80" s="2" cm="1">
        <f t="array" ref="N80">INDEX( ComputeThermoProps($A80, $B80, ParametersRange), 1, COLUMN()-2 )</f>
        <v>-980.82465099297769</v>
      </c>
      <c r="O80" s="2">
        <f t="shared" si="1"/>
        <v>-10.591747906917847</v>
      </c>
      <c r="P80" s="2">
        <f t="shared" si="2"/>
        <v>-5748.6924841571117</v>
      </c>
    </row>
    <row r="81" spans="1:16" x14ac:dyDescent="0.25">
      <c r="A81" s="2">
        <v>58.1</v>
      </c>
      <c r="B81" s="2">
        <f t="shared" si="0"/>
        <v>4.9005774173239167E-11</v>
      </c>
      <c r="C81" s="2" cm="1">
        <f t="array" ref="C81">INDEX( ComputeThermoProps($A81, $B81, ParametersRange), 1, COLUMN()-2 )</f>
        <v>35.375892172411383</v>
      </c>
      <c r="D81" s="2" cm="1">
        <f t="array" ref="D81">INDEX( ComputeThermoProps($A81, $B81, ParametersRange), 1, COLUMN()-2 )</f>
        <v>3.4704083210651505E-4</v>
      </c>
      <c r="E81" s="2" cm="1">
        <f t="array" ref="E81">INDEX( ComputeThermoProps($A81, $B81, ParametersRange), 1, COLUMN()-2 )</f>
        <v>3.1614271759989573E-4</v>
      </c>
      <c r="F81" s="2" cm="1">
        <f t="array" ref="F81">INDEX( ComputeThermoProps($A81, $B81, ParametersRange), 1, COLUMN()-2 )</f>
        <v>6.2767939137513002E-4</v>
      </c>
      <c r="G81" s="2" cm="1">
        <f t="array" ref="G81">INDEX( ComputeThermoProps($A81, $B81, ParametersRange), 1, COLUMN()-2 )</f>
        <v>26.207602613434553</v>
      </c>
      <c r="H81" s="2" cm="1">
        <f t="array" ref="H81">INDEX( ComputeThermoProps($A81, $B81, ParametersRange), 1, COLUMN()-2 )</f>
        <v>23.874259007788343</v>
      </c>
      <c r="I81" s="2" cm="1">
        <f t="array" ref="I81">INDEX( ComputeThermoProps($A81, $B81, ParametersRange), 1, COLUMN()-2 )</f>
        <v>2.68</v>
      </c>
      <c r="J81" s="2" cm="1">
        <f t="array" ref="J81">INDEX( ComputeThermoProps($A81, $B81, ParametersRange), 1, COLUMN()-2 )</f>
        <v>1033.777372835689</v>
      </c>
      <c r="K81" s="2" cm="1">
        <f t="array" ref="K81">INDEX( ComputeThermoProps($A81, $B81, ParametersRange), 1, COLUMN()-2 )</f>
        <v>35.278019040105185</v>
      </c>
      <c r="L81" s="2" cm="1">
        <f t="array" ref="L81">INDEX( ComputeThermoProps($A81, $B81, ParametersRange), 1, COLUMN()-2 )</f>
        <v>-1015.8755333944223</v>
      </c>
      <c r="M81" s="2" cm="1">
        <f t="array" ref="M81">INDEX( ComputeThermoProps($A81, $B81, ParametersRange), 1, COLUMN()-2 )</f>
        <v>1033.7773728374227</v>
      </c>
      <c r="N81" s="2" cm="1">
        <f t="array" ref="N81">INDEX( ComputeThermoProps($A81, $B81, ParametersRange), 1, COLUMN()-2 )</f>
        <v>-1015.8755333926886</v>
      </c>
      <c r="O81" s="2">
        <f t="shared" si="1"/>
        <v>-10.30975274560754</v>
      </c>
      <c r="P81" s="2">
        <f t="shared" si="2"/>
        <v>-5722.5326279854926</v>
      </c>
    </row>
    <row r="82" spans="1:16" x14ac:dyDescent="0.25">
      <c r="A82" s="2">
        <v>59.1</v>
      </c>
      <c r="B82" s="2">
        <f t="shared" si="0"/>
        <v>9.1253403146746043E-11</v>
      </c>
      <c r="C82" s="2" cm="1">
        <f t="array" ref="C82">INDEX( ComputeThermoProps($A82, $B82, ParametersRange), 1, COLUMN()-2 )</f>
        <v>35.398157872282738</v>
      </c>
      <c r="D82" s="2" cm="1">
        <f t="array" ref="D82">INDEX( ComputeThermoProps($A82, $B82, ParametersRange), 1, COLUMN()-2 )</f>
        <v>3.4838291361722576E-4</v>
      </c>
      <c r="E82" s="2" cm="1">
        <f t="array" ref="E82">INDEX( ComputeThermoProps($A82, $B82, ParametersRange), 1, COLUMN()-2 )</f>
        <v>3.1674065987903166E-4</v>
      </c>
      <c r="F82" s="2" cm="1">
        <f t="array" ref="F82">INDEX( ComputeThermoProps($A82, $B82, ParametersRange), 1, COLUMN()-2 )</f>
        <v>6.3072684630334226E-4</v>
      </c>
      <c r="G82" s="2" cm="1">
        <f t="array" ref="G82">INDEX( ComputeThermoProps($A82, $B82, ParametersRange), 1, COLUMN()-2 )</f>
        <v>26.301672596787213</v>
      </c>
      <c r="H82" s="2" cm="1">
        <f t="array" ref="H82">INDEX( ComputeThermoProps($A82, $B82, ParametersRange), 1, COLUMN()-2 )</f>
        <v>23.912794826045424</v>
      </c>
      <c r="I82" s="2" cm="1">
        <f t="array" ref="I82">INDEX( ComputeThermoProps($A82, $B82, ParametersRange), 1, COLUMN()-2 )</f>
        <v>2.68</v>
      </c>
      <c r="J82" s="2" cm="1">
        <f t="array" ref="J82">INDEX( ComputeThermoProps($A82, $B82, ParametersRange), 1, COLUMN()-2 )</f>
        <v>1060.032148148151</v>
      </c>
      <c r="K82" s="2" cm="1">
        <f t="array" ref="K82">INDEX( ComputeThermoProps($A82, $B82, ParametersRange), 1, COLUMN()-2 )</f>
        <v>35.726051154449756</v>
      </c>
      <c r="L82" s="2" cm="1">
        <f t="array" ref="L82">INDEX( ComputeThermoProps($A82, $B82, ParametersRange), 1, COLUMN()-2 )</f>
        <v>-1051.3774750798295</v>
      </c>
      <c r="M82" s="2" cm="1">
        <f t="array" ref="M82">INDEX( ComputeThermoProps($A82, $B82, ParametersRange), 1, COLUMN()-2 )</f>
        <v>1060.0321481513813</v>
      </c>
      <c r="N82" s="2" cm="1">
        <f t="array" ref="N82">INDEX( ComputeThermoProps($A82, $B82, ParametersRange), 1, COLUMN()-2 )</f>
        <v>-1051.3774750765992</v>
      </c>
      <c r="O82" s="2">
        <f t="shared" si="1"/>
        <v>-10.039750930265534</v>
      </c>
      <c r="P82" s="2">
        <f t="shared" si="2"/>
        <v>-5696.2778526715338</v>
      </c>
    </row>
    <row r="83" spans="1:16" x14ac:dyDescent="0.25">
      <c r="A83" s="2">
        <v>60.1</v>
      </c>
      <c r="B83" s="2">
        <f t="shared" si="0"/>
        <v>1.6555467063566959E-10</v>
      </c>
      <c r="C83" s="2" cm="1">
        <f t="array" ref="C83">INDEX( ComputeThermoProps($A83, $B83, ParametersRange), 1, COLUMN()-2 )</f>
        <v>35.420545102315707</v>
      </c>
      <c r="D83" s="2" cm="1">
        <f t="array" ref="D83">INDEX( ComputeThermoProps($A83, $B83, ParametersRange), 1, COLUMN()-2 )</f>
        <v>3.497382152002812E-4</v>
      </c>
      <c r="E83" s="2" cm="1">
        <f t="array" ref="E83">INDEX( ComputeThermoProps($A83, $B83, ParametersRange), 1, COLUMN()-2 )</f>
        <v>3.173446373959662E-4</v>
      </c>
      <c r="F83" s="2" cm="1">
        <f t="array" ref="F83">INDEX( ComputeThermoProps($A83, $B83, ParametersRange), 1, COLUMN()-2 )</f>
        <v>6.3375075206824067E-4</v>
      </c>
      <c r="G83" s="2" cm="1">
        <f t="array" ref="G83">INDEX( ComputeThermoProps($A83, $B83, ParametersRange), 1, COLUMN()-2 )</f>
        <v>26.394155457418755</v>
      </c>
      <c r="H83" s="2" cm="1">
        <f t="array" ref="H83">INDEX( ComputeThermoProps($A83, $B83, ParametersRange), 1, COLUMN()-2 )</f>
        <v>23.949466569475941</v>
      </c>
      <c r="I83" s="2" cm="1">
        <f t="array" ref="I83">INDEX( ComputeThermoProps($A83, $B83, ParametersRange), 1, COLUMN()-2 )</f>
        <v>2.680000000000001</v>
      </c>
      <c r="J83" s="2" cm="1">
        <f t="array" ref="J83">INDEX( ComputeThermoProps($A83, $B83, ParametersRange), 1, COLUMN()-2 )</f>
        <v>1086.3801890923871</v>
      </c>
      <c r="K83" s="2" cm="1">
        <f t="array" ref="K83">INDEX( ComputeThermoProps($A83, $B83, ParametersRange), 1, COLUMN()-2 )</f>
        <v>36.168130166610965</v>
      </c>
      <c r="L83" s="2" cm="1">
        <f t="array" ref="L83">INDEX( ComputeThermoProps($A83, $B83, ParametersRange), 1, COLUMN()-2 )</f>
        <v>-1087.3244339209318</v>
      </c>
      <c r="M83" s="2" cm="1">
        <f t="array" ref="M83">INDEX( ComputeThermoProps($A83, $B83, ParametersRange), 1, COLUMN()-2 )</f>
        <v>1086.3801890982511</v>
      </c>
      <c r="N83" s="2" cm="1">
        <f t="array" ref="N83">INDEX( ComputeThermoProps($A83, $B83, ParametersRange), 1, COLUMN()-2 )</f>
        <v>-1087.3244339150679</v>
      </c>
      <c r="O83" s="2">
        <f t="shared" si="1"/>
        <v>-9.7810585624040005</v>
      </c>
      <c r="P83" s="2">
        <f t="shared" si="2"/>
        <v>-5669.9298117246635</v>
      </c>
    </row>
    <row r="84" spans="1:16" x14ac:dyDescent="0.25">
      <c r="A84" s="2">
        <v>61.1</v>
      </c>
      <c r="B84" s="2">
        <f t="shared" si="0"/>
        <v>2.9306363943289423E-10</v>
      </c>
      <c r="C84" s="2" cm="1">
        <f t="array" ref="C84">INDEX( ComputeThermoProps($A84, $B84, ParametersRange), 1, COLUMN()-2 )</f>
        <v>35.443053294880642</v>
      </c>
      <c r="D84" s="2" cm="1">
        <f t="array" ref="D84">INDEX( ComputeThermoProps($A84, $B84, ParametersRange), 1, COLUMN()-2 )</f>
        <v>3.5110694620576392E-4</v>
      </c>
      <c r="E84" s="2" cm="1">
        <f t="array" ref="E84">INDEX( ComputeThermoProps($A84, $B84, ParametersRange), 1, COLUMN()-2 )</f>
        <v>3.1795469531404528E-4</v>
      </c>
      <c r="F84" s="2" cm="1">
        <f t="array" ref="F84">INDEX( ComputeThermoProps($A84, $B84, ParametersRange), 1, COLUMN()-2 )</f>
        <v>6.3675413434776383E-4</v>
      </c>
      <c r="G84" s="2" cm="1">
        <f t="array" ref="G84">INDEX( ComputeThermoProps($A84, $B84, ParametersRange), 1, COLUMN()-2 )</f>
        <v>26.485176075225237</v>
      </c>
      <c r="H84" s="2" cm="1">
        <f t="array" ref="H84">INDEX( ComputeThermoProps($A84, $B84, ParametersRange), 1, COLUMN()-2 )</f>
        <v>23.984390455214633</v>
      </c>
      <c r="I84" s="2" cm="1">
        <f t="array" ref="I84">INDEX( ComputeThermoProps($A84, $B84, ParametersRange), 1, COLUMN()-2 )</f>
        <v>2.68</v>
      </c>
      <c r="J84" s="2" cm="1">
        <f t="array" ref="J84">INDEX( ComputeThermoProps($A84, $B84, ParametersRange), 1, COLUMN()-2 )</f>
        <v>1112.8199717440291</v>
      </c>
      <c r="K84" s="2" cm="1">
        <f t="array" ref="K84">INDEX( ComputeThermoProps($A84, $B84, ParametersRange), 1, COLUMN()-2 )</f>
        <v>36.604427400325889</v>
      </c>
      <c r="L84" s="2" cm="1">
        <f t="array" ref="L84">INDEX( ComputeThermoProps($A84, $B84, ParametersRange), 1, COLUMN()-2 )</f>
        <v>-1123.7105424158829</v>
      </c>
      <c r="M84" s="2" cm="1">
        <f t="array" ref="M84">INDEX( ComputeThermoProps($A84, $B84, ParametersRange), 1, COLUMN()-2 )</f>
        <v>1112.8199717544162</v>
      </c>
      <c r="N84" s="2" cm="1">
        <f t="array" ref="N84">INDEX( ComputeThermoProps($A84, $B84, ParametersRange), 1, COLUMN()-2 )</f>
        <v>-1123.7105424054957</v>
      </c>
      <c r="O84" s="2">
        <f t="shared" si="1"/>
        <v>-9.5330380613746772</v>
      </c>
      <c r="P84" s="2">
        <f t="shared" si="2"/>
        <v>-5643.4900290684982</v>
      </c>
    </row>
    <row r="85" spans="1:16" x14ac:dyDescent="0.25">
      <c r="A85" s="2">
        <v>62.1</v>
      </c>
      <c r="B85" s="2">
        <f t="shared" si="0"/>
        <v>5.0688049645109539E-10</v>
      </c>
      <c r="C85" s="2" cm="1">
        <f t="array" ref="C85">INDEX( ComputeThermoProps($A85, $B85, ParametersRange), 1, COLUMN()-2 )</f>
        <v>35.465681985446658</v>
      </c>
      <c r="D85" s="2" cm="1">
        <f t="array" ref="D85">INDEX( ComputeThermoProps($A85, $B85, ParametersRange), 1, COLUMN()-2 )</f>
        <v>3.52489321501386E-4</v>
      </c>
      <c r="E85" s="2" cm="1">
        <f t="array" ref="E85">INDEX( ComputeThermoProps($A85, $B85, ParametersRange), 1, COLUMN()-2 )</f>
        <v>3.1857088220057969E-4</v>
      </c>
      <c r="F85" s="2" cm="1">
        <f t="array" ref="F85">INDEX( ComputeThermoProps($A85, $B85, ParametersRange), 1, COLUMN()-2 )</f>
        <v>6.3973982665889179E-4</v>
      </c>
      <c r="G85" s="2" cm="1">
        <f t="array" ref="G85">INDEX( ComputeThermoProps($A85, $B85, ParametersRange), 1, COLUMN()-2 )</f>
        <v>26.574850597346131</v>
      </c>
      <c r="H85" s="2" cm="1">
        <f t="array" ref="H85">INDEX( ComputeThermoProps($A85, $B85, ParametersRange), 1, COLUMN()-2 )</f>
        <v>24.017673962675975</v>
      </c>
      <c r="I85" s="2" cm="1">
        <f t="array" ref="I85">INDEX( ComputeThermoProps($A85, $B85, ParametersRange), 1, COLUMN()-2 )</f>
        <v>2.68</v>
      </c>
      <c r="J85" s="2" cm="1">
        <f t="array" ref="J85">INDEX( ComputeThermoProps($A85, $B85, ParametersRange), 1, COLUMN()-2 )</f>
        <v>1139.3500926277059</v>
      </c>
      <c r="K85" s="2" cm="1">
        <f t="array" ref="K85">INDEX( ComputeThermoProps($A85, $B85, ParametersRange), 1, COLUMN()-2 )</f>
        <v>37.035107790452251</v>
      </c>
      <c r="L85" s="2" cm="1">
        <f t="array" ref="L85">INDEX( ComputeThermoProps($A85, $B85, ParametersRange), 1, COLUMN()-2 )</f>
        <v>-1160.530101159379</v>
      </c>
      <c r="M85" s="2" cm="1">
        <f t="array" ref="M85">INDEX( ComputeThermoProps($A85, $B85, ParametersRange), 1, COLUMN()-2 )</f>
        <v>1139.3500926456827</v>
      </c>
      <c r="N85" s="2" cm="1">
        <f t="array" ref="N85">INDEX( ComputeThermoProps($A85, $B85, ParametersRange), 1, COLUMN()-2 )</f>
        <v>-1160.5301011414022</v>
      </c>
      <c r="O85" s="2">
        <f t="shared" si="1"/>
        <v>-9.2950944190678246</v>
      </c>
      <c r="P85" s="2">
        <f t="shared" si="2"/>
        <v>-5616.9599081772321</v>
      </c>
    </row>
    <row r="86" spans="1:16" x14ac:dyDescent="0.25">
      <c r="A86" s="2">
        <v>63.1</v>
      </c>
      <c r="B86" s="2">
        <f t="shared" si="0"/>
        <v>8.5768573958285365E-10</v>
      </c>
      <c r="C86" s="2" cm="1">
        <f t="array" ref="C86">INDEX( ComputeThermoProps($A86, $B86, ParametersRange), 1, COLUMN()-2 )</f>
        <v>35.488430806400125</v>
      </c>
      <c r="D86" s="2" cm="1">
        <f t="array" ref="D86">INDEX( ComputeThermoProps($A86, $B86, ParametersRange), 1, COLUMN()-2 )</f>
        <v>3.5388556159464071E-4</v>
      </c>
      <c r="E86" s="2" cm="1">
        <f t="array" ref="E86">INDEX( ComputeThermoProps($A86, $B86, ParametersRange), 1, COLUMN()-2 )</f>
        <v>3.1919324993104527E-4</v>
      </c>
      <c r="F86" s="2" cm="1">
        <f t="array" ref="F86">INDEX( ComputeThermoProps($A86, $B86, ParametersRange), 1, COLUMN()-2 )</f>
        <v>6.4271048863495303E-4</v>
      </c>
      <c r="G86" s="2" cm="1">
        <f t="array" ref="G86">INDEX( ComputeThermoProps($A86, $B86, ParametersRange), 1, COLUMN()-2 )</f>
        <v>26.663287238925946</v>
      </c>
      <c r="H86" s="2" cm="1">
        <f t="array" ref="H86">INDEX( ComputeThermoProps($A86, $B86, ParametersRange), 1, COLUMN()-2 )</f>
        <v>24.049416622954496</v>
      </c>
      <c r="I86" s="2" cm="1">
        <f t="array" ref="I86">INDEX( ComputeThermoProps($A86, $B86, ParametersRange), 1, COLUMN()-2 )</f>
        <v>2.68</v>
      </c>
      <c r="J86" s="2" cm="1">
        <f t="array" ref="J86">INDEX( ComputeThermoProps($A86, $B86, ParametersRange), 1, COLUMN()-2 )</f>
        <v>1165.9692603896381</v>
      </c>
      <c r="K86" s="2" cm="1">
        <f t="array" ref="K86">INDEX( ComputeThermoProps($A86, $B86, ParametersRange), 1, COLUMN()-2 )</f>
        <v>37.460330158188277</v>
      </c>
      <c r="L86" s="2" cm="1">
        <f t="array" ref="L86">INDEX( ComputeThermoProps($A86, $B86, ParametersRange), 1, COLUMN()-2 )</f>
        <v>-1197.7775725920424</v>
      </c>
      <c r="M86" s="2" cm="1">
        <f t="array" ref="M86">INDEX( ComputeThermoProps($A86, $B86, ParametersRange), 1, COLUMN()-2 )</f>
        <v>1165.9692604200759</v>
      </c>
      <c r="N86" s="2" cm="1">
        <f t="array" ref="N86">INDEX( ComputeThermoProps($A86, $B86, ParametersRange), 1, COLUMN()-2 )</f>
        <v>-1197.7775725616045</v>
      </c>
      <c r="O86" s="2">
        <f t="shared" si="1"/>
        <v>-9.0666718107127906</v>
      </c>
      <c r="P86" s="2">
        <f t="shared" si="2"/>
        <v>-5590.3407404028385</v>
      </c>
    </row>
    <row r="87" spans="1:16" x14ac:dyDescent="0.25">
      <c r="A87" s="2">
        <v>64.099999999999994</v>
      </c>
      <c r="B87" s="2">
        <f t="shared" si="0"/>
        <v>1.4215085529703069E-9</v>
      </c>
      <c r="C87" s="2" cm="1">
        <f t="array" ref="C87">INDEX( ComputeThermoProps($A87, $B87, ParametersRange), 1, COLUMN()-2 )</f>
        <v>35.511299481433845</v>
      </c>
      <c r="D87" s="2" cm="1">
        <f t="array" ref="D87">INDEX( ComputeThermoProps($A87, $B87, ParametersRange), 1, COLUMN()-2 )</f>
        <v>3.5529589269474169E-4</v>
      </c>
      <c r="E87" s="2" cm="1">
        <f t="array" ref="E87">INDEX( ComputeThermoProps($A87, $B87, ParametersRange), 1, COLUMN()-2 )</f>
        <v>3.1982185360651991E-4</v>
      </c>
      <c r="F87" s="2" cm="1">
        <f t="array" ref="F87">INDEX( ComputeThermoProps($A87, $B87, ParametersRange), 1, COLUMN()-2 )</f>
        <v>6.456686211978402E-4</v>
      </c>
      <c r="G87" s="2" cm="1">
        <f t="array" ref="G87">INDEX( ComputeThermoProps($A87, $B87, ParametersRange), 1, COLUMN()-2 )</f>
        <v>26.750586949974874</v>
      </c>
      <c r="H87" s="2" cm="1">
        <f t="array" ref="H87">INDEX( ComputeThermoProps($A87, $B87, ParametersRange), 1, COLUMN()-2 )</f>
        <v>24.079710684282741</v>
      </c>
      <c r="I87" s="2" cm="1">
        <f t="array" ref="I87">INDEX( ComputeThermoProps($A87, $B87, ParametersRange), 1, COLUMN()-2 )</f>
        <v>2.68</v>
      </c>
      <c r="J87" s="2" cm="1">
        <f t="array" ref="J87">INDEX( ComputeThermoProps($A87, $B87, ParametersRange), 1, COLUMN()-2 )</f>
        <v>1192.6762882000714</v>
      </c>
      <c r="K87" s="2" cm="1">
        <f t="array" ref="K87">INDEX( ComputeThermoProps($A87, $B87, ParametersRange), 1, COLUMN()-2 )</f>
        <v>37.880247476131494</v>
      </c>
      <c r="L87" s="2" cm="1">
        <f t="array" ref="L87">INDEX( ComputeThermoProps($A87, $B87, ParametersRange), 1, COLUMN()-2 )</f>
        <v>-1235.4475750199572</v>
      </c>
      <c r="M87" s="2" cm="1">
        <f t="array" ref="M87">INDEX( ComputeThermoProps($A87, $B87, ParametersRange), 1, COLUMN()-2 )</f>
        <v>1192.6762882505511</v>
      </c>
      <c r="N87" s="2" cm="1">
        <f t="array" ref="N87">INDEX( ComputeThermoProps($A87, $B87, ParametersRange), 1, COLUMN()-2 )</f>
        <v>-1235.4475749694775</v>
      </c>
      <c r="O87" s="2">
        <f t="shared" si="1"/>
        <v>-8.8472505228911373</v>
      </c>
      <c r="P87" s="2">
        <f t="shared" si="2"/>
        <v>-5563.6337125723639</v>
      </c>
    </row>
    <row r="88" spans="1:16" x14ac:dyDescent="0.25">
      <c r="A88" s="2">
        <v>65.099999999999994</v>
      </c>
      <c r="B88" s="2">
        <f t="shared" ref="B88:B151" si="3">IF(
  A88 &lt;= $B$5,
  $B$6 * EXP( ($B$5/A88) * ( $B$13*(1 - A88/$B$5) + $B$14*(1 - A88/$B$5)^1.5 + $B$15*(1 - A88/$B$5)^5 ) ),
  $B$6 * ( 1 + $B$17 * MAX(A88/$B$5 - 1, 0)^$B$18 + $B$19 * MAX(A88/$B$5 - 1, 0)^$B$20 )
)</f>
        <v>2.3102332777003973E-9</v>
      </c>
      <c r="C88" s="2" cm="1">
        <f t="array" ref="C88">INDEX( ComputeThermoProps($A88, $B88, ParametersRange), 1, COLUMN()-2 )</f>
        <v>35.534287820452775</v>
      </c>
      <c r="D88" s="2" cm="1">
        <f t="array" ref="D88">INDEX( ComputeThermoProps($A88, $B88, ParametersRange), 1, COLUMN()-2 )</f>
        <v>3.5672054682436995E-4</v>
      </c>
      <c r="E88" s="2" cm="1">
        <f t="array" ref="E88">INDEX( ComputeThermoProps($A88, $B88, ParametersRange), 1, COLUMN()-2 )</f>
        <v>3.204567514832368E-4</v>
      </c>
      <c r="F88" s="2" cm="1">
        <f t="array" ref="F88">INDEX( ComputeThermoProps($A88, $B88, ParametersRange), 1, COLUMN()-2 )</f>
        <v>6.4861658096309932E-4</v>
      </c>
      <c r="G88" s="2" cm="1">
        <f t="array" ref="G88">INDEX( ComputeThermoProps($A88, $B88, ParametersRange), 1, COLUMN()-2 )</f>
        <v>26.836844046121623</v>
      </c>
      <c r="H88" s="2" cm="1">
        <f t="array" ref="H88">INDEX( ComputeThermoProps($A88, $B88, ParametersRange), 1, COLUMN()-2 )</f>
        <v>24.108641735505586</v>
      </c>
      <c r="I88" s="2" cm="1">
        <f t="array" ref="I88">INDEX( ComputeThermoProps($A88, $B88, ParametersRange), 1, COLUMN()-2 )</f>
        <v>2.68</v>
      </c>
      <c r="J88" s="2" cm="1">
        <f t="array" ref="J88">INDEX( ComputeThermoProps($A88, $B88, ParametersRange), 1, COLUMN()-2 )</f>
        <v>1219.4700868149118</v>
      </c>
      <c r="K88" s="2" cm="1">
        <f t="array" ref="K88">INDEX( ComputeThermoProps($A88, $B88, ParametersRange), 1, COLUMN()-2 )</f>
        <v>38.295007123026522</v>
      </c>
      <c r="L88" s="2" cm="1">
        <f t="array" ref="L88">INDEX( ComputeThermoProps($A88, $B88, ParametersRange), 1, COLUMN()-2 )</f>
        <v>-1273.5348768941146</v>
      </c>
      <c r="M88" s="2" cm="1">
        <f t="array" ref="M88">INDEX( ComputeThermoProps($A88, $B88, ParametersRange), 1, COLUMN()-2 )</f>
        <v>1219.4700868970044</v>
      </c>
      <c r="N88" s="2" cm="1">
        <f t="array" ref="N88">INDEX( ComputeThermoProps($A88, $B88, ParametersRange), 1, COLUMN()-2 )</f>
        <v>-1273.534876812022</v>
      </c>
      <c r="O88" s="2">
        <f t="shared" ref="O88:O151" si="4">LOG10(B88)</f>
        <v>-8.6363441646520673</v>
      </c>
      <c r="P88" s="2">
        <f t="shared" ref="P88:P151" si="5">M88-$B$11</f>
        <v>-5536.8399139259109</v>
      </c>
    </row>
    <row r="89" spans="1:16" x14ac:dyDescent="0.25">
      <c r="A89" s="2">
        <v>66.099999999999994</v>
      </c>
      <c r="B89" s="2">
        <f t="shared" si="3"/>
        <v>3.6855547592994827E-9</v>
      </c>
      <c r="C89" s="2" cm="1">
        <f t="array" ref="C89">INDEX( ComputeThermoProps($A89, $B89, ParametersRange), 1, COLUMN()-2 )</f>
        <v>35.557395714947766</v>
      </c>
      <c r="D89" s="2" cm="1">
        <f t="array" ref="D89">INDEX( ComputeThermoProps($A89, $B89, ParametersRange), 1, COLUMN()-2 )</f>
        <v>3.581597619590173E-4</v>
      </c>
      <c r="E89" s="2" cm="1">
        <f t="array" ref="E89">INDEX( ComputeThermoProps($A89, $B89, ParametersRange), 1, COLUMN()-2 )</f>
        <v>3.2109800491329934E-4</v>
      </c>
      <c r="F89" s="2" cm="1">
        <f t="array" ref="F89">INDEX( ComputeThermoProps($A89, $B89, ParametersRange), 1, COLUMN()-2 )</f>
        <v>6.515565935744387E-4</v>
      </c>
      <c r="G89" s="2" cm="1">
        <f t="array" ref="G89">INDEX( ComputeThermoProps($A89, $B89, ParametersRange), 1, COLUMN()-2 )</f>
        <v>26.922146790899884</v>
      </c>
      <c r="H89" s="2" cm="1">
        <f t="array" ref="H89">INDEX( ComputeThermoProps($A89, $B89, ParametersRange), 1, COLUMN()-2 )</f>
        <v>24.136289278442472</v>
      </c>
      <c r="I89" s="2" cm="1">
        <f t="array" ref="I89">INDEX( ComputeThermoProps($A89, $B89, ParametersRange), 1, COLUMN()-2 )</f>
        <v>2.6799999999999997</v>
      </c>
      <c r="J89" s="2" cm="1">
        <f t="array" ref="J89">INDEX( ComputeThermoProps($A89, $B89, ParametersRange), 1, COLUMN()-2 )</f>
        <v>1246.3496582336184</v>
      </c>
      <c r="K89" s="2" cm="1">
        <f t="array" ref="K89">INDEX( ComputeThermoProps($A89, $B89, ParametersRange), 1, COLUMN()-2 )</f>
        <v>38.704751128185308</v>
      </c>
      <c r="L89" s="2" cm="1">
        <f t="array" ref="L89">INDEX( ComputeThermoProps($A89, $B89, ParametersRange), 1, COLUMN()-2 )</f>
        <v>-1312.0343913394302</v>
      </c>
      <c r="M89" s="2" cm="1">
        <f t="array" ref="M89">INDEX( ComputeThermoProps($A89, $B89, ParametersRange), 1, COLUMN()-2 )</f>
        <v>1246.349658364667</v>
      </c>
      <c r="N89" s="2" cm="1">
        <f t="array" ref="N89">INDEX( ComputeThermoProps($A89, $B89, ParametersRange), 1, COLUMN()-2 )</f>
        <v>-1312.0343912083815</v>
      </c>
      <c r="O89" s="2">
        <f t="shared" si="4"/>
        <v>-8.4334971317482079</v>
      </c>
      <c r="P89" s="2">
        <f t="shared" si="5"/>
        <v>-5509.9603424582474</v>
      </c>
    </row>
    <row r="90" spans="1:16" x14ac:dyDescent="0.25">
      <c r="A90" s="2">
        <v>67.099999999999994</v>
      </c>
      <c r="B90" s="2">
        <f t="shared" si="3"/>
        <v>5.7772039886216731E-9</v>
      </c>
      <c r="C90" s="2" cm="1">
        <f t="array" ref="C90">INDEX( ComputeThermoProps($A90, $B90, ParametersRange), 1, COLUMN()-2 )</f>
        <v>35.580623133794155</v>
      </c>
      <c r="D90" s="2" cm="1">
        <f t="array" ref="D90">INDEX( ComputeThermoProps($A90, $B90, ParametersRange), 1, COLUMN()-2 )</f>
        <v>3.5961378212418383E-4</v>
      </c>
      <c r="E90" s="2" cm="1">
        <f t="array" ref="E90">INDEX( ComputeThermoProps($A90, $B90, ParametersRange), 1, COLUMN()-2 )</f>
        <v>3.2174567829567296E-4</v>
      </c>
      <c r="F90" s="2" cm="1">
        <f t="array" ref="F90">INDEX( ComputeThermoProps($A90, $B90, ParametersRange), 1, COLUMN()-2 )</f>
        <v>6.5449076488350774E-4</v>
      </c>
      <c r="G90" s="2" cm="1">
        <f t="array" ref="G90">INDEX( ComputeThermoProps($A90, $B90, ParametersRange), 1, COLUMN()-2 )</f>
        <v>27.006577885143095</v>
      </c>
      <c r="H90" s="2" cm="1">
        <f t="array" ref="H90">INDEX( ComputeThermoProps($A90, $B90, ParametersRange), 1, COLUMN()-2 )</f>
        <v>24.162727214664052</v>
      </c>
      <c r="I90" s="2" cm="1">
        <f t="array" ref="I90">INDEX( ComputeThermoProps($A90, $B90, ParametersRange), 1, COLUMN()-2 )</f>
        <v>2.68</v>
      </c>
      <c r="J90" s="2" cm="1">
        <f t="array" ref="J90">INDEX( ComputeThermoProps($A90, $B90, ParametersRange), 1, COLUMN()-2 )</f>
        <v>1273.3140898971146</v>
      </c>
      <c r="K90" s="2" cm="1">
        <f t="array" ref="K90">INDEX( ComputeThermoProps($A90, $B90, ParametersRange), 1, COLUMN()-2 )</f>
        <v>39.109616405665562</v>
      </c>
      <c r="L90" s="2" cm="1">
        <f t="array" ref="L90">INDEX( ComputeThermoProps($A90, $B90, ParametersRange), 1, COLUMN()-2 )</f>
        <v>-1350.9411709230444</v>
      </c>
      <c r="M90" s="2" cm="1">
        <f t="array" ref="M90">INDEX( ComputeThermoProps($A90, $B90, ParametersRange), 1, COLUMN()-2 )</f>
        <v>1273.3140901026711</v>
      </c>
      <c r="N90" s="2" cm="1">
        <f t="array" ref="N90">INDEX( ComputeThermoProps($A90, $B90, ParametersRange), 1, COLUMN()-2 )</f>
        <v>-1350.9411707174879</v>
      </c>
      <c r="O90" s="2">
        <f t="shared" si="4"/>
        <v>-8.2382822975843091</v>
      </c>
      <c r="P90" s="2">
        <f t="shared" si="5"/>
        <v>-5482.995910720244</v>
      </c>
    </row>
    <row r="91" spans="1:16" x14ac:dyDescent="0.25">
      <c r="A91" s="2">
        <v>68.099999999999994</v>
      </c>
      <c r="B91" s="2">
        <f t="shared" si="3"/>
        <v>8.9063773669870646E-9</v>
      </c>
      <c r="C91" s="2" cm="1">
        <f t="array" ref="C91">INDEX( ComputeThermoProps($A91, $B91, ParametersRange), 1, COLUMN()-2 )</f>
        <v>35.603970119436781</v>
      </c>
      <c r="D91" s="2" cm="1">
        <f t="array" ref="D91">INDEX( ComputeThermoProps($A91, $B91, ParametersRange), 1, COLUMN()-2 )</f>
        <v>3.6108285757190724E-4</v>
      </c>
      <c r="E91" s="2" cm="1">
        <f t="array" ref="E91">INDEX( ComputeThermoProps($A91, $B91, ParametersRange), 1, COLUMN()-2 )</f>
        <v>3.2239983903671095E-4</v>
      </c>
      <c r="F91" s="2" cm="1">
        <f t="array" ref="F91">INDEX( ComputeThermoProps($A91, $B91, ParametersRange), 1, COLUMN()-2 )</f>
        <v>6.5742109228444793E-4</v>
      </c>
      <c r="G91" s="2" cm="1">
        <f t="array" ref="G91">INDEX( ComputeThermoProps($A91, $B91, ParametersRange), 1, COLUMN()-2 )</f>
        <v>27.09021495940387</v>
      </c>
      <c r="H91" s="2" cm="1">
        <f t="array" ref="H91">INDEX( ComputeThermoProps($A91, $B91, ParametersRange), 1, COLUMN()-2 )</f>
        <v>24.188024325254521</v>
      </c>
      <c r="I91" s="2" cm="1">
        <f t="array" ref="I91">INDEX( ComputeThermoProps($A91, $B91, ParametersRange), 1, COLUMN()-2 )</f>
        <v>2.68</v>
      </c>
      <c r="J91" s="2" cm="1">
        <f t="array" ref="J91">INDEX( ComputeThermoProps($A91, $B91, ParametersRange), 1, COLUMN()-2 )</f>
        <v>1300.3625493754989</v>
      </c>
      <c r="K91" s="2" cm="1">
        <f t="array" ref="K91">INDEX( ComputeThermoProps($A91, $B91, ParametersRange), 1, COLUMN()-2 )</f>
        <v>39.509734978373693</v>
      </c>
      <c r="L91" s="2" cm="1">
        <f t="array" ref="L91">INDEX( ComputeThermoProps($A91, $B91, ParametersRange), 1, COLUMN()-2 )</f>
        <v>-1390.2504026517493</v>
      </c>
      <c r="M91" s="2" cm="1">
        <f t="array" ref="M91">INDEX( ComputeThermoProps($A91, $B91, ParametersRange), 1, COLUMN()-2 )</f>
        <v>1300.3625496926013</v>
      </c>
      <c r="N91" s="2" cm="1">
        <f t="array" ref="N91">INDEX( ComputeThermoProps($A91, $B91, ParametersRange), 1, COLUMN()-2 )</f>
        <v>-1390.2504023346469</v>
      </c>
      <c r="O91" s="2">
        <f t="shared" si="4"/>
        <v>-8.0502989075735272</v>
      </c>
      <c r="P91" s="2">
        <f t="shared" si="5"/>
        <v>-5455.9474511303133</v>
      </c>
    </row>
    <row r="92" spans="1:16" x14ac:dyDescent="0.25">
      <c r="A92" s="2">
        <v>69.099999999999994</v>
      </c>
      <c r="B92" s="2">
        <f t="shared" si="3"/>
        <v>1.3515413697901337E-8</v>
      </c>
      <c r="C92" s="2" cm="1">
        <f t="array" ref="C92">INDEX( ComputeThermoProps($A92, $B92, ParametersRange), 1, COLUMN()-2 )</f>
        <v>35.627436784426855</v>
      </c>
      <c r="D92" s="2" cm="1">
        <f t="array" ref="D92">INDEX( ComputeThermoProps($A92, $B92, ParametersRange), 1, COLUMN()-2 )</f>
        <v>3.6256724490561423E-4</v>
      </c>
      <c r="E92" s="2" cm="1">
        <f t="array" ref="E92">INDEX( ComputeThermoProps($A92, $B92, ParametersRange), 1, COLUMN()-2 )</f>
        <v>3.2306055751953234E-4</v>
      </c>
      <c r="F92" s="2" cm="1">
        <f t="array" ref="F92">INDEX( ComputeThermoProps($A92, $B92, ParametersRange), 1, COLUMN()-2 )</f>
        <v>6.6034947399089879E-4</v>
      </c>
      <c r="G92" s="2" cm="1">
        <f t="array" ref="G92">INDEX( ComputeThermoProps($A92, $B92, ParametersRange), 1, COLUMN()-2 )</f>
        <v>27.173130978214449</v>
      </c>
      <c r="H92" s="2" cm="1">
        <f t="array" ref="H92">INDEX( ComputeThermoProps($A92, $B92, ParametersRange), 1, COLUMN()-2 )</f>
        <v>24.212244671077574</v>
      </c>
      <c r="I92" s="2" cm="1">
        <f t="array" ref="I92">INDEX( ComputeThermoProps($A92, $B92, ParametersRange), 1, COLUMN()-2 )</f>
        <v>2.68</v>
      </c>
      <c r="J92" s="2" cm="1">
        <f t="array" ref="J92">INDEX( ComputeThermoProps($A92, $B92, ParametersRange), 1, COLUMN()-2 )</f>
        <v>1327.494279500562</v>
      </c>
      <c r="K92" s="2" cm="1">
        <f t="array" ref="K92">INDEX( ComputeThermoProps($A92, $B92, ParametersRange), 1, COLUMN()-2 )</f>
        <v>39.905234192317167</v>
      </c>
      <c r="L92" s="2" cm="1">
        <f t="array" ref="L92">INDEX( ComputeThermoProps($A92, $B92, ParametersRange), 1, COLUMN()-2 )</f>
        <v>-1429.9574031885541</v>
      </c>
      <c r="M92" s="2" cm="1">
        <f t="array" ref="M92">INDEX( ComputeThermoProps($A92, $B92, ParametersRange), 1, COLUMN()-2 )</f>
        <v>1327.4942799820815</v>
      </c>
      <c r="N92" s="2" cm="1">
        <f t="array" ref="N92">INDEX( ComputeThermoProps($A92, $B92, ParametersRange), 1, COLUMN()-2 )</f>
        <v>-1429.9574027070346</v>
      </c>
      <c r="O92" s="2">
        <f t="shared" si="4"/>
        <v>-7.8691706562940791</v>
      </c>
      <c r="P92" s="2">
        <f t="shared" si="5"/>
        <v>-5428.8157208408338</v>
      </c>
    </row>
    <row r="93" spans="1:16" x14ac:dyDescent="0.25">
      <c r="A93" s="2">
        <v>70.099999999999994</v>
      </c>
      <c r="B93" s="2">
        <f t="shared" si="3"/>
        <v>2.0204870479776375E-8</v>
      </c>
      <c r="C93" s="2" cm="1">
        <f t="array" ref="C93">INDEX( ComputeThermoProps($A93, $B93, ParametersRange), 1, COLUMN()-2 )</f>
        <v>35.651023308279989</v>
      </c>
      <c r="D93" s="2" cm="1">
        <f t="array" ref="D93">INDEX( ComputeThermoProps($A93, $B93, ParametersRange), 1, COLUMN()-2 )</f>
        <v>3.6406720725641622E-4</v>
      </c>
      <c r="E93" s="2" cm="1">
        <f t="array" ref="E93">INDEX( ComputeThermoProps($A93, $B93, ParametersRange), 1, COLUMN()-2 )</f>
        <v>3.2372790708166233E-4</v>
      </c>
      <c r="F93" s="2" cm="1">
        <f t="array" ref="F93">INDEX( ComputeThermoProps($A93, $B93, ParametersRange), 1, COLUMN()-2 )</f>
        <v>6.6327771817881469E-4</v>
      </c>
      <c r="G93" s="2" cm="1">
        <f t="array" ref="G93">INDEX( ComputeThermoProps($A93, $B93, ParametersRange), 1, COLUMN()-2 )</f>
        <v>27.255394635962659</v>
      </c>
      <c r="H93" s="2" cm="1">
        <f t="array" ref="H93">INDEX( ComputeThermoProps($A93, $B93, ParametersRange), 1, COLUMN()-2 )</f>
        <v>24.235447978621693</v>
      </c>
      <c r="I93" s="2" cm="1">
        <f t="array" ref="I93">INDEX( ComputeThermoProps($A93, $B93, ParametersRange), 1, COLUMN()-2 )</f>
        <v>2.68</v>
      </c>
      <c r="J93" s="2" cm="1">
        <f t="array" ref="J93">INDEX( ComputeThermoProps($A93, $B93, ParametersRange), 1, COLUMN()-2 )</f>
        <v>1354.7085939028241</v>
      </c>
      <c r="K93" s="2" cm="1">
        <f t="array" ref="K93">INDEX( ComputeThermoProps($A93, $B93, ParametersRange), 1, COLUMN()-2 )</f>
        <v>40.296236921277078</v>
      </c>
      <c r="L93" s="2" cm="1">
        <f t="array" ref="L93">INDEX( ComputeThermoProps($A93, $B93, ParametersRange), 1, COLUMN()-2 )</f>
        <v>-1470.0576142786988</v>
      </c>
      <c r="M93" s="2" cm="1">
        <f t="array" ref="M93">INDEX( ComputeThermoProps($A93, $B93, ParametersRange), 1, COLUMN()-2 )</f>
        <v>1354.7085946231484</v>
      </c>
      <c r="N93" s="2" cm="1">
        <f t="array" ref="N93">INDEX( ComputeThermoProps($A93, $B93, ParametersRange), 1, COLUMN()-2 )</f>
        <v>-1470.0576135583744</v>
      </c>
      <c r="O93" s="2">
        <f t="shared" si="4"/>
        <v>-7.6945439291905835</v>
      </c>
      <c r="P93" s="2">
        <f t="shared" si="5"/>
        <v>-5401.6014061997666</v>
      </c>
    </row>
    <row r="94" spans="1:16" x14ac:dyDescent="0.25">
      <c r="A94" s="2">
        <v>71.099999999999994</v>
      </c>
      <c r="B94" s="2">
        <f t="shared" si="3"/>
        <v>2.9779253543240484E-8</v>
      </c>
      <c r="C94" s="2" cm="1">
        <f t="array" ref="C94">INDEX( ComputeThermoProps($A94, $B94, ParametersRange), 1, COLUMN()-2 )</f>
        <v>35.674729934627671</v>
      </c>
      <c r="D94" s="2" cm="1">
        <f t="array" ref="D94">INDEX( ComputeThermoProps($A94, $B94, ParametersRange), 1, COLUMN()-2 )</f>
        <v>3.6558301443944844E-4</v>
      </c>
      <c r="E94" s="2" cm="1">
        <f t="array" ref="E94">INDEX( ComputeThermoProps($A94, $B94, ParametersRange), 1, COLUMN()-2 )</f>
        <v>3.2440196400041659E-4</v>
      </c>
      <c r="F94" s="2" cm="1">
        <f t="array" ref="F94">INDEX( ComputeThermoProps($A94, $B94, ParametersRange), 1, COLUMN()-2 )</f>
        <v>6.6620755084991076E-4</v>
      </c>
      <c r="G94" s="2" cm="1">
        <f t="array" ref="G94">INDEX( ComputeThermoProps($A94, $B94, ParametersRange), 1, COLUMN()-2 )</f>
        <v>27.337070697374045</v>
      </c>
      <c r="H94" s="2" cm="1">
        <f t="array" ref="H94">INDEX( ComputeThermoProps($A94, $B94, ParametersRange), 1, COLUMN()-2 )</f>
        <v>24.25768997458502</v>
      </c>
      <c r="I94" s="2" cm="1">
        <f t="array" ref="I94">INDEX( ComputeThermoProps($A94, $B94, ParametersRange), 1, COLUMN()-2 )</f>
        <v>2.68</v>
      </c>
      <c r="J94" s="2" cm="1">
        <f t="array" ref="J94">INDEX( ComputeThermoProps($A94, $B94, ParametersRange), 1, COLUMN()-2 )</f>
        <v>1382.0048729169403</v>
      </c>
      <c r="K94" s="2" cm="1">
        <f t="array" ref="K94">INDEX( ComputeThermoProps($A94, $B94, ParametersRange), 1, COLUMN()-2 )</f>
        <v>40.682861762202535</v>
      </c>
      <c r="L94" s="2" cm="1">
        <f t="array" ref="L94">INDEX( ComputeThermoProps($A94, $B94, ParametersRange), 1, COLUMN()-2 )</f>
        <v>-1510.5465983756596</v>
      </c>
      <c r="M94" s="2" cm="1">
        <f t="array" ref="M94">INDEX( ComputeThermoProps($A94, $B94, ParametersRange), 1, COLUMN()-2 )</f>
        <v>1382.0048739793071</v>
      </c>
      <c r="N94" s="2" cm="1">
        <f t="array" ref="N94">INDEX( ComputeThermoProps($A94, $B94, ParametersRange), 1, COLUMN()-2 )</f>
        <v>-1510.5465973132928</v>
      </c>
      <c r="O94" s="2">
        <f t="shared" si="4"/>
        <v>-7.5260861926185854</v>
      </c>
      <c r="P94" s="2">
        <f t="shared" si="5"/>
        <v>-5374.3051268436075</v>
      </c>
    </row>
    <row r="95" spans="1:16" x14ac:dyDescent="0.25">
      <c r="A95" s="2">
        <v>72.099999999999994</v>
      </c>
      <c r="B95" s="2">
        <f t="shared" si="3"/>
        <v>4.3302750446821911E-8</v>
      </c>
      <c r="C95" s="2" cm="1">
        <f t="array" ref="C95">INDEX( ComputeThermoProps($A95, $B95, ParametersRange), 1, COLUMN()-2 )</f>
        <v>35.698556968637597</v>
      </c>
      <c r="D95" s="2" cm="1">
        <f t="array" ref="D95">INDEX( ComputeThermoProps($A95, $B95, ParametersRange), 1, COLUMN()-2 )</f>
        <v>3.6711494317218145E-4</v>
      </c>
      <c r="E95" s="2" cm="1">
        <f t="array" ref="E95">INDEX( ComputeThermoProps($A95, $B95, ParametersRange), 1, COLUMN()-2 )</f>
        <v>3.2508280748556623E-4</v>
      </c>
      <c r="F95" s="2" cm="1">
        <f t="array" ref="F95">INDEX( ComputeThermoProps($A95, $B95, ParametersRange), 1, COLUMN()-2 )</f>
        <v>6.6914062385649428E-4</v>
      </c>
      <c r="G95" s="2" cm="1">
        <f t="array" ref="G95">INDEX( ComputeThermoProps($A95, $B95, ParametersRange), 1, COLUMN()-2 )</f>
        <v>27.418220342087658</v>
      </c>
      <c r="H95" s="2" cm="1">
        <f t="array" ref="H95">INDEX( ComputeThermoProps($A95, $B95, ParametersRange), 1, COLUMN()-2 )</f>
        <v>24.279022717098499</v>
      </c>
      <c r="I95" s="2" cm="1">
        <f t="array" ref="I95">INDEX( ComputeThermoProps($A95, $B95, ParametersRange), 1, COLUMN()-2 )</f>
        <v>2.6799999999999997</v>
      </c>
      <c r="J95" s="2" cm="1">
        <f t="array" ref="J95">INDEX( ComputeThermoProps($A95, $B95, ParametersRange), 1, COLUMN()-2 )</f>
        <v>1409.3825598229994</v>
      </c>
      <c r="K95" s="2" cm="1">
        <f t="array" ref="K95">INDEX( ComputeThermoProps($A95, $B95, ParametersRange), 1, COLUMN()-2 )</f>
        <v>41.065223221651067</v>
      </c>
      <c r="L95" s="2" cm="1">
        <f t="array" ref="L95">INDEX( ComputeThermoProps($A95, $B95, ParametersRange), 1, COLUMN()-2 )</f>
        <v>-1551.4200344580422</v>
      </c>
      <c r="M95" s="2" cm="1">
        <f t="array" ref="M95">INDEX( ComputeThermoProps($A95, $B95, ParametersRange), 1, COLUMN()-2 )</f>
        <v>1409.382561368845</v>
      </c>
      <c r="N95" s="2" cm="1">
        <f t="array" ref="N95">INDEX( ComputeThermoProps($A95, $B95, ParametersRange), 1, COLUMN()-2 )</f>
        <v>-1551.4200329121966</v>
      </c>
      <c r="O95" s="2">
        <f t="shared" si="4"/>
        <v>-7.3634845178281294</v>
      </c>
      <c r="P95" s="2">
        <f t="shared" si="5"/>
        <v>-5346.9274394540698</v>
      </c>
    </row>
    <row r="96" spans="1:16" x14ac:dyDescent="0.25">
      <c r="A96" s="2">
        <v>73.099999999999994</v>
      </c>
      <c r="B96" s="2">
        <f t="shared" si="3"/>
        <v>6.2166407936683745E-8</v>
      </c>
      <c r="C96" s="2" cm="1">
        <f t="array" ref="C96">INDEX( ComputeThermoProps($A96, $B96, ParametersRange), 1, COLUMN()-2 )</f>
        <v>35.722504774680495</v>
      </c>
      <c r="D96" s="2" cm="1">
        <f t="array" ref="D96">INDEX( ComputeThermoProps($A96, $B96, ParametersRange), 1, COLUMN()-2 )</f>
        <v>3.6866327723075211E-4</v>
      </c>
      <c r="E96" s="2" cm="1">
        <f t="array" ref="E96">INDEX( ComputeThermoProps($A96, $B96, ParametersRange), 1, COLUMN()-2 )</f>
        <v>3.2577051967889E-4</v>
      </c>
      <c r="F96" s="2" cm="1">
        <f t="array" ref="F96">INDEX( ComputeThermoProps($A96, $B96, ParametersRange), 1, COLUMN()-2 )</f>
        <v>6.7207852112192903E-4</v>
      </c>
      <c r="G96" s="2" cm="1">
        <f t="array" ref="G96">INDEX( ComputeThermoProps($A96, $B96, ParametersRange), 1, COLUMN()-2 )</f>
        <v>27.498901432764047</v>
      </c>
      <c r="H96" s="2" cm="1">
        <f t="array" ref="H96">INDEX( ComputeThermoProps($A96, $B96, ParametersRange), 1, COLUMN()-2 )</f>
        <v>24.299494860571524</v>
      </c>
      <c r="I96" s="2" cm="1">
        <f t="array" ref="I96">INDEX( ComputeThermoProps($A96, $B96, ParametersRange), 1, COLUMN()-2 )</f>
        <v>2.6800000000000006</v>
      </c>
      <c r="J96" s="2" cm="1">
        <f t="array" ref="J96">INDEX( ComputeThermoProps($A96, $B96, ParametersRange), 1, COLUMN()-2 )</f>
        <v>1436.8411573945341</v>
      </c>
      <c r="K96" s="2" cm="1">
        <f t="array" ref="K96">INDEX( ComputeThermoProps($A96, $B96, ParametersRange), 1, COLUMN()-2 )</f>
        <v>41.443431893613017</v>
      </c>
      <c r="L96" s="2" cm="1">
        <f t="array" ref="L96">INDEX( ComputeThermoProps($A96, $B96, ParametersRange), 1, COLUMN()-2 )</f>
        <v>-1592.6737140285773</v>
      </c>
      <c r="M96" s="2" cm="1">
        <f t="array" ref="M96">INDEX( ComputeThermoProps($A96, $B96, ParametersRange), 1, COLUMN()-2 )</f>
        <v>1436.8411596152739</v>
      </c>
      <c r="N96" s="2" cm="1">
        <f t="array" ref="N96">INDEX( ComputeThermoProps($A96, $B96, ParametersRange), 1, COLUMN()-2 )</f>
        <v>-1592.6737118078374</v>
      </c>
      <c r="O96" s="2">
        <f t="shared" si="4"/>
        <v>-7.2064442260586725</v>
      </c>
      <c r="P96" s="2">
        <f t="shared" si="5"/>
        <v>-5319.4688412076412</v>
      </c>
    </row>
    <row r="97" spans="1:16" x14ac:dyDescent="0.25">
      <c r="A97" s="2">
        <v>74.099999999999994</v>
      </c>
      <c r="B97" s="2">
        <f t="shared" si="3"/>
        <v>8.8168277585033267E-8</v>
      </c>
      <c r="C97" s="2" cm="1">
        <f t="array" ref="C97">INDEX( ComputeThermoProps($A97, $B97, ParametersRange), 1, COLUMN()-2 )</f>
        <v>35.746573774223769</v>
      </c>
      <c r="D97" s="2" cm="1">
        <f t="array" ref="D97">INDEX( ComputeThermoProps($A97, $B97, ParametersRange), 1, COLUMN()-2 )</f>
        <v>3.7022830766435629E-4</v>
      </c>
      <c r="E97" s="2" cm="1">
        <f t="array" ref="E97">INDEX( ComputeThermoProps($A97, $B97, ParametersRange), 1, COLUMN()-2 )</f>
        <v>3.2646518566026289E-4</v>
      </c>
      <c r="F97" s="2" cm="1">
        <f t="array" ref="F97">INDEX( ComputeThermoProps($A97, $B97, ParametersRange), 1, COLUMN()-2 )</f>
        <v>6.7502276509834801E-4</v>
      </c>
      <c r="G97" s="2" cm="1">
        <f t="array" ref="G97">INDEX( ComputeThermoProps($A97, $B97, ParametersRange), 1, COLUMN()-2 )</f>
        <v>27.579168790825179</v>
      </c>
      <c r="H97" s="2" cm="1">
        <f t="array" ref="H97">INDEX( ComputeThermoProps($A97, $B97, ParametersRange), 1, COLUMN()-2 )</f>
        <v>24.319151921292416</v>
      </c>
      <c r="I97" s="2" cm="1">
        <f t="array" ref="I97">INDEX( ComputeThermoProps($A97, $B97, ParametersRange), 1, COLUMN()-2 )</f>
        <v>2.6799999999999997</v>
      </c>
      <c r="J97" s="2" cm="1">
        <f t="array" ref="J97">INDEX( ComputeThermoProps($A97, $B97, ParametersRange), 1, COLUMN()-2 )</f>
        <v>1464.3802247269541</v>
      </c>
      <c r="K97" s="2" cm="1">
        <f t="array" ref="K97">INDEX( ComputeThermoProps($A97, $B97, ParametersRange), 1, COLUMN()-2 )</f>
        <v>41.81759462906502</v>
      </c>
      <c r="L97" s="2" cm="1">
        <f t="array" ref="L97">INDEX( ComputeThermoProps($A97, $B97, ParametersRange), 1, COLUMN()-2 )</f>
        <v>-1634.3035372867637</v>
      </c>
      <c r="M97" s="2" cm="1">
        <f t="array" ref="M97">INDEX( ComputeThermoProps($A97, $B97, ParametersRange), 1, COLUMN()-2 )</f>
        <v>1464.3802278786679</v>
      </c>
      <c r="N97" s="2" cm="1">
        <f t="array" ref="N97">INDEX( ComputeThermoProps($A97, $B97, ParametersRange), 1, COLUMN()-2 )</f>
        <v>-1634.3035341350499</v>
      </c>
      <c r="O97" s="2">
        <f t="shared" si="4"/>
        <v>-7.0546876433023398</v>
      </c>
      <c r="P97" s="2">
        <f t="shared" si="5"/>
        <v>-5291.9297729442469</v>
      </c>
    </row>
    <row r="98" spans="1:16" x14ac:dyDescent="0.25">
      <c r="A98" s="2">
        <v>75.099999999999994</v>
      </c>
      <c r="B98" s="2">
        <f t="shared" si="3"/>
        <v>1.2360813262357693E-7</v>
      </c>
      <c r="C98" s="2" cm="1">
        <f t="array" ref="C98">INDEX( ComputeThermoProps($A98, $B98, ParametersRange), 1, COLUMN()-2 )</f>
        <v>35.770764443933778</v>
      </c>
      <c r="D98" s="2" cm="1">
        <f t="array" ref="D98">INDEX( ComputeThermoProps($A98, $B98, ParametersRange), 1, COLUMN()-2 )</f>
        <v>3.7181033301795043E-4</v>
      </c>
      <c r="E98" s="2" cm="1">
        <f t="array" ref="E98">INDEX( ComputeThermoProps($A98, $B98, ParametersRange), 1, COLUMN()-2 )</f>
        <v>3.27166893459977E-4</v>
      </c>
      <c r="F98" s="2" cm="1">
        <f t="array" ref="F98">INDEX( ComputeThermoProps($A98, $B98, ParametersRange), 1, COLUMN()-2 )</f>
        <v>6.779748226753028E-4</v>
      </c>
      <c r="G98" s="2" cm="1">
        <f t="array" ref="G98">INDEX( ComputeThermoProps($A98, $B98, ParametersRange), 1, COLUMN()-2 )</f>
        <v>27.659074447596929</v>
      </c>
      <c r="H98" s="2" cm="1">
        <f t="array" ref="H98">INDEX( ComputeThermoProps($A98, $B98, ParametersRange), 1, COLUMN()-2 )</f>
        <v>24.338036518639839</v>
      </c>
      <c r="I98" s="2" cm="1">
        <f t="array" ref="I98">INDEX( ComputeThermoProps($A98, $B98, ParametersRange), 1, COLUMN()-2 )</f>
        <v>2.68</v>
      </c>
      <c r="J98" s="2" cm="1">
        <f t="array" ref="J98">INDEX( ComputeThermoProps($A98, $B98, ParametersRange), 1, COLUMN()-2 )</f>
        <v>1491.9993743227367</v>
      </c>
      <c r="K98" s="2" cm="1">
        <f t="array" ref="K98">INDEX( ComputeThermoProps($A98, $B98, ParametersRange), 1, COLUMN()-2 )</f>
        <v>42.187814697600764</v>
      </c>
      <c r="L98" s="2" cm="1">
        <f t="array" ref="L98">INDEX( ComputeThermoProps($A98, $B98, ParametersRange), 1, COLUMN()-2 )</f>
        <v>-1676.3055094670804</v>
      </c>
      <c r="M98" s="2" cm="1">
        <f t="array" ref="M98">INDEX( ComputeThermoProps($A98, $B98, ParametersRange), 1, COLUMN()-2 )</f>
        <v>1491.9993787442941</v>
      </c>
      <c r="N98" s="2" cm="1">
        <f t="array" ref="N98">INDEX( ComputeThermoProps($A98, $B98, ParametersRange), 1, COLUMN()-2 )</f>
        <v>-1676.305505045523</v>
      </c>
      <c r="O98" s="2">
        <f t="shared" si="4"/>
        <v>-6.9079529545113587</v>
      </c>
      <c r="P98" s="2">
        <f t="shared" si="5"/>
        <v>-5264.3106220786212</v>
      </c>
    </row>
    <row r="99" spans="1:16" x14ac:dyDescent="0.25">
      <c r="A99" s="2">
        <v>76.099999999999994</v>
      </c>
      <c r="B99" s="2">
        <f t="shared" si="3"/>
        <v>1.7139843489671264E-7</v>
      </c>
      <c r="C99" s="2" cm="1">
        <f t="array" ref="C99">INDEX( ComputeThermoProps($A99, $B99, ParametersRange), 1, COLUMN()-2 )</f>
        <v>35.795077313970985</v>
      </c>
      <c r="D99" s="2" cm="1">
        <f t="array" ref="D99">INDEX( ComputeThermoProps($A99, $B99, ParametersRange), 1, COLUMN()-2 )</f>
        <v>3.7340965955848932E-4</v>
      </c>
      <c r="E99" s="2" cm="1">
        <f t="array" ref="E99">INDEX( ComputeThermoProps($A99, $B99, ParametersRange), 1, COLUMN()-2 )</f>
        <v>3.2787573407703558E-4</v>
      </c>
      <c r="F99" s="2" cm="1">
        <f t="array" ref="F99">INDEX( ComputeThermoProps($A99, $B99, ParametersRange), 1, COLUMN()-2 )</f>
        <v>6.8093611052024252E-4</v>
      </c>
      <c r="G99" s="2" cm="1">
        <f t="array" ref="G99">INDEX( ComputeThermoProps($A99, $B99, ParametersRange), 1, COLUMN()-2 )</f>
        <v>27.738667870254105</v>
      </c>
      <c r="H99" s="2" cm="1">
        <f t="array" ref="H99">INDEX( ComputeThermoProps($A99, $B99, ParametersRange), 1, COLUMN()-2 )</f>
        <v>24.35618859199348</v>
      </c>
      <c r="I99" s="2" cm="1">
        <f t="array" ref="I99">INDEX( ComputeThermoProps($A99, $B99, ParametersRange), 1, COLUMN()-2 )</f>
        <v>2.68</v>
      </c>
      <c r="J99" s="2" cm="1">
        <f t="array" ref="J99">INDEX( ComputeThermoProps($A99, $B99, ParametersRange), 1, COLUMN()-2 )</f>
        <v>1519.6982694120081</v>
      </c>
      <c r="K99" s="2" cm="1">
        <f t="array" ref="K99">INDEX( ComputeThermoProps($A99, $B99, ParametersRange), 1, COLUMN()-2 )</f>
        <v>42.55419194148498</v>
      </c>
      <c r="L99" s="2" cm="1">
        <f t="array" ref="L99">INDEX( ComputeThermoProps($A99, $B99, ParametersRange), 1, COLUMN()-2 )</f>
        <v>-1718.6757373349985</v>
      </c>
      <c r="M99" s="2" cm="1">
        <f t="array" ref="M99">INDEX( ComputeThermoProps($A99, $B99, ParametersRange), 1, COLUMN()-2 )</f>
        <v>1519.6982755472284</v>
      </c>
      <c r="N99" s="2" cm="1">
        <f t="array" ref="N99">INDEX( ComputeThermoProps($A99, $B99, ParametersRange), 1, COLUMN()-2 )</f>
        <v>-1718.6757311997783</v>
      </c>
      <c r="O99" s="2">
        <f t="shared" si="4"/>
        <v>-6.7659931481002458</v>
      </c>
      <c r="P99" s="2">
        <f t="shared" si="5"/>
        <v>-5236.6117252756867</v>
      </c>
    </row>
    <row r="100" spans="1:16" x14ac:dyDescent="0.25">
      <c r="A100" s="2">
        <v>77.099999999999994</v>
      </c>
      <c r="B100" s="2">
        <f t="shared" si="3"/>
        <v>2.3519330634352406E-7</v>
      </c>
      <c r="C100" s="2" cm="1">
        <f t="array" ref="C100">INDEX( ComputeThermoProps($A100, $B100, ParametersRange), 1, COLUMN()-2 )</f>
        <v>35.819512966463307</v>
      </c>
      <c r="D100" s="2" cm="1">
        <f t="array" ref="D100">INDEX( ComputeThermoProps($A100, $B100, ParametersRange), 1, COLUMN()-2 )</f>
        <v>3.7502660148325701E-4</v>
      </c>
      <c r="E100" s="2" cm="1">
        <f t="array" ref="E100">INDEX( ComputeThermoProps($A100, $B100, ParametersRange), 1, COLUMN()-2 )</f>
        <v>3.2859180150320212E-4</v>
      </c>
      <c r="F100" s="2" cm="1">
        <f t="array" ref="F100">INDEX( ComputeThermoProps($A100, $B100, ParametersRange), 1, COLUMN()-2 )</f>
        <v>6.8390799958864307E-4</v>
      </c>
      <c r="G100" s="2" cm="1">
        <f t="array" ref="G100">INDEX( ComputeThermoProps($A100, $B100, ParametersRange), 1, COLUMN()-2 )</f>
        <v>27.817996152094533</v>
      </c>
      <c r="H100" s="2" cm="1">
        <f t="array" ref="H100">INDEX( ComputeThermoProps($A100, $B100, ParametersRange), 1, COLUMN()-2 )</f>
        <v>24.373645585869127</v>
      </c>
      <c r="I100" s="2" cm="1">
        <f t="array" ref="I100">INDEX( ComputeThermoProps($A100, $B100, ParametersRange), 1, COLUMN()-2 )</f>
        <v>2.6800000000000006</v>
      </c>
      <c r="J100" s="2" cm="1">
        <f t="array" ref="J100">INDEX( ComputeThermoProps($A100, $B100, ParametersRange), 1, COLUMN()-2 )</f>
        <v>1547.4766214892547</v>
      </c>
      <c r="K100" s="2" cm="1">
        <f t="array" ref="K100">INDEX( ComputeThermoProps($A100, $B100, ParametersRange), 1, COLUMN()-2 )</f>
        <v>42.916822922472825</v>
      </c>
      <c r="L100" s="2" cm="1">
        <f t="array" ref="L100">INDEX( ComputeThermoProps($A100, $B100, ParametersRange), 1, COLUMN()-2 )</f>
        <v>-1761.4104258333998</v>
      </c>
      <c r="M100" s="2" cm="1">
        <f t="array" ref="M100">INDEX( ComputeThermoProps($A100, $B100, ParametersRange), 1, COLUMN()-2 )</f>
        <v>1547.4766299137643</v>
      </c>
      <c r="N100" s="2" cm="1">
        <f t="array" ref="N100">INDEX( ComputeThermoProps($A100, $B100, ParametersRange), 1, COLUMN()-2 )</f>
        <v>-1761.4104174088902</v>
      </c>
      <c r="O100" s="2">
        <f t="shared" si="4"/>
        <v>-6.6285750425424892</v>
      </c>
      <c r="P100" s="2">
        <f t="shared" si="5"/>
        <v>-5208.8333709091503</v>
      </c>
    </row>
    <row r="101" spans="1:16" x14ac:dyDescent="0.25">
      <c r="A101" s="2">
        <v>78.099999999999994</v>
      </c>
      <c r="B101" s="2">
        <f t="shared" si="3"/>
        <v>3.1953733759130972E-7</v>
      </c>
      <c r="C101" s="2" cm="1">
        <f t="array" ref="C101">INDEX( ComputeThermoProps($A101, $B101, ParametersRange), 1, COLUMN()-2 )</f>
        <v>35.844072034144702</v>
      </c>
      <c r="D101" s="2" cm="1">
        <f t="array" ref="D101">INDEX( ComputeThermoProps($A101, $B101, ParametersRange), 1, COLUMN()-2 )</f>
        <v>3.766614812231415E-4</v>
      </c>
      <c r="E101" s="2" cm="1">
        <f t="array" ref="E101">INDEX( ComputeThermoProps($A101, $B101, ParametersRange), 1, COLUMN()-2 )</f>
        <v>3.2931519275261113E-4</v>
      </c>
      <c r="F101" s="2" cm="1">
        <f t="array" ref="F101">INDEX( ComputeThermoProps($A101, $B101, ParametersRange), 1, COLUMN()-2 )</f>
        <v>6.8689182052188516E-4</v>
      </c>
      <c r="G101" s="2" cm="1">
        <f t="array" ref="G101">INDEX( ComputeThermoProps($A101, $B101, ParametersRange), 1, COLUMN()-2 )</f>
        <v>27.897104237231567</v>
      </c>
      <c r="H101" s="2" cm="1">
        <f t="array" ref="H101">INDEX( ComputeThermoProps($A101, $B101, ParametersRange), 1, COLUMN()-2 )</f>
        <v>24.390442657663417</v>
      </c>
      <c r="I101" s="2" cm="1">
        <f t="array" ref="I101">INDEX( ComputeThermoProps($A101, $B101, ParametersRange), 1, COLUMN()-2 )</f>
        <v>2.68</v>
      </c>
      <c r="J101" s="2" cm="1">
        <f t="array" ref="J101">INDEX( ComputeThermoProps($A101, $B101, ParametersRange), 1, COLUMN()-2 )</f>
        <v>1575.3341880487262</v>
      </c>
      <c r="K101" s="2" cm="1">
        <f t="array" ref="K101">INDEX( ComputeThermoProps($A101, $B101, ParametersRange), 1, COLUMN()-2 )</f>
        <v>43.275801061729403</v>
      </c>
      <c r="L101" s="2" cm="1">
        <f t="array" ref="L101">INDEX( ComputeThermoProps($A101, $B101, ParametersRange), 1, COLUMN()-2 )</f>
        <v>-1804.50587487234</v>
      </c>
      <c r="M101" s="2" cm="1">
        <f t="array" ref="M101">INDEX( ComputeThermoProps($A101, $B101, ParametersRange), 1, COLUMN()-2 )</f>
        <v>1575.3341995022456</v>
      </c>
      <c r="N101" s="2" cm="1">
        <f t="array" ref="N101">INDEX( ComputeThermoProps($A101, $B101, ParametersRange), 1, COLUMN()-2 )</f>
        <v>-1804.5058634188206</v>
      </c>
      <c r="O101" s="2">
        <f t="shared" si="4"/>
        <v>-6.4954783877013424</v>
      </c>
      <c r="P101" s="2">
        <f t="shared" si="5"/>
        <v>-5180.9758013206692</v>
      </c>
    </row>
    <row r="102" spans="1:16" x14ac:dyDescent="0.25">
      <c r="A102" s="2">
        <v>79.099999999999994</v>
      </c>
      <c r="B102" s="2">
        <f t="shared" si="3"/>
        <v>4.3003615063413345E-7</v>
      </c>
      <c r="C102" s="2" cm="1">
        <f t="array" ref="C102">INDEX( ComputeThermoProps($A102, $B102, ParametersRange), 1, COLUMN()-2 )</f>
        <v>35.868755199147472</v>
      </c>
      <c r="D102" s="2" cm="1">
        <f t="array" ref="D102">INDEX( ComputeThermoProps($A102, $B102, ParametersRange), 1, COLUMN()-2 )</f>
        <v>3.7831462962854834E-4</v>
      </c>
      <c r="E102" s="2" cm="1">
        <f t="array" ref="E102">INDEX( ComputeThermoProps($A102, $B102, ParametersRange), 1, COLUMN()-2 )</f>
        <v>3.3004600789679608E-4</v>
      </c>
      <c r="F102" s="2" cm="1">
        <f t="array" ref="F102">INDEX( ComputeThermoProps($A102, $B102, ParametersRange), 1, COLUMN()-2 )</f>
        <v>6.8988886680049287E-4</v>
      </c>
      <c r="G102" s="2" cm="1">
        <f t="array" ref="G102">INDEX( ComputeThermoProps($A102, $B102, ParametersRange), 1, COLUMN()-2 )</f>
        <v>27.976035052255195</v>
      </c>
      <c r="H102" s="2" cm="1">
        <f t="array" ref="H102">INDEX( ComputeThermoProps($A102, $B102, ParametersRange), 1, COLUMN()-2 )</f>
        <v>24.406612810198588</v>
      </c>
      <c r="I102" s="2" cm="1">
        <f t="array" ref="I102">INDEX( ComputeThermoProps($A102, $B102, ParametersRange), 1, COLUMN()-2 )</f>
        <v>2.68</v>
      </c>
      <c r="J102" s="2" cm="1">
        <f t="array" ref="J102">INDEX( ComputeThermoProps($A102, $B102, ParametersRange), 1, COLUMN()-2 )</f>
        <v>1603.270770502802</v>
      </c>
      <c r="K102" s="2" cm="1">
        <f t="array" ref="K102">INDEX( ComputeThermoProps($A102, $B102, ParametersRange), 1, COLUMN()-2 )</f>
        <v>43.63121677317578</v>
      </c>
      <c r="L102" s="2" cm="1">
        <f t="array" ref="L102">INDEX( ComputeThermoProps($A102, $B102, ParametersRange), 1, COLUMN()-2 )</f>
        <v>-1847.958476255402</v>
      </c>
      <c r="M102" s="2" cm="1">
        <f t="array" ref="M102">INDEX( ComputeThermoProps($A102, $B102, ParametersRange), 1, COLUMN()-2 )</f>
        <v>1603.2707859276634</v>
      </c>
      <c r="N102" s="2" cm="1">
        <f t="array" ref="N102">INDEX( ComputeThermoProps($A102, $B102, ParametersRange), 1, COLUMN()-2 )</f>
        <v>-1847.9584608305406</v>
      </c>
      <c r="O102" s="2">
        <f t="shared" si="4"/>
        <v>-6.3664950342785573</v>
      </c>
      <c r="P102" s="2">
        <f t="shared" si="5"/>
        <v>-5153.0392148952515</v>
      </c>
    </row>
    <row r="103" spans="1:16" x14ac:dyDescent="0.25">
      <c r="A103" s="2">
        <v>80.099999999999994</v>
      </c>
      <c r="B103" s="2">
        <f t="shared" si="3"/>
        <v>5.7355072698490321E-7</v>
      </c>
      <c r="C103" s="2" cm="1">
        <f t="array" ref="C103">INDEX( ComputeThermoProps($A103, $B103, ParametersRange), 1, COLUMN()-2 )</f>
        <v>35.893563191937538</v>
      </c>
      <c r="D103" s="2" cm="1">
        <f t="array" ref="D103">INDEX( ComputeThermoProps($A103, $B103, ParametersRange), 1, COLUMN()-2 )</f>
        <v>3.7998638631028299E-4</v>
      </c>
      <c r="E103" s="2" cm="1">
        <f t="array" ref="E103">INDEX( ComputeThermoProps($A103, $B103, ParametersRange), 1, COLUMN()-2 )</f>
        <v>3.3078435010499912E-4</v>
      </c>
      <c r="F103" s="2" cm="1">
        <f t="array" ref="F103">INDEX( ComputeThermoProps($A103, $B103, ParametersRange), 1, COLUMN()-2 )</f>
        <v>6.9290039971109472E-4</v>
      </c>
      <c r="G103" s="2" cm="1">
        <f t="array" ref="G103">INDEX( ComputeThermoProps($A103, $B103, ParametersRange), 1, COLUMN()-2 )</f>
        <v>28.054829710112628</v>
      </c>
      <c r="H103" s="2" cm="1">
        <f t="array" ref="H103">INDEX( ComputeThermoProps($A103, $B103, ParametersRange), 1, COLUMN()-2 )</f>
        <v>24.4221870764292</v>
      </c>
      <c r="I103" s="2" cm="1">
        <f t="array" ref="I103">INDEX( ComputeThermoProps($A103, $B103, ParametersRange), 1, COLUMN()-2 )</f>
        <v>2.6800000000000006</v>
      </c>
      <c r="J103" s="2" cm="1">
        <f t="array" ref="J103">INDEX( ComputeThermoProps($A103, $B103, ParametersRange), 1, COLUMN()-2 )</f>
        <v>1631.2862122690422</v>
      </c>
      <c r="K103" s="2" cm="1">
        <f t="array" ref="K103">INDEX( ComputeThermoProps($A103, $B103, ParametersRange), 1, COLUMN()-2 )</f>
        <v>43.983157590577953</v>
      </c>
      <c r="L103" s="2" cm="1">
        <f t="array" ref="L103">INDEX( ComputeThermoProps($A103, $B103, ParametersRange), 1, COLUMN()-2 )</f>
        <v>-1891.7647107362516</v>
      </c>
      <c r="M103" s="2" cm="1">
        <f t="array" ref="M103">INDEX( ComputeThermoProps($A103, $B103, ParametersRange), 1, COLUMN()-2 )</f>
        <v>1631.2862328558215</v>
      </c>
      <c r="N103" s="2" cm="1">
        <f t="array" ref="N103">INDEX( ComputeThermoProps($A103, $B103, ParametersRange), 1, COLUMN()-2 )</f>
        <v>-1891.7646901494722</v>
      </c>
      <c r="O103" s="2">
        <f t="shared" si="4"/>
        <v>-6.2414281654255372</v>
      </c>
      <c r="P103" s="2">
        <f t="shared" si="5"/>
        <v>-5125.0237679670936</v>
      </c>
    </row>
    <row r="104" spans="1:16" x14ac:dyDescent="0.25">
      <c r="A104" s="2">
        <v>81.099999999999994</v>
      </c>
      <c r="B104" s="2">
        <f t="shared" si="3"/>
        <v>7.5841762108561162E-7</v>
      </c>
      <c r="C104" s="2" cm="1">
        <f t="array" ref="C104">INDEX( ComputeThermoProps($A104, $B104, ParametersRange), 1, COLUMN()-2 )</f>
        <v>35.918496790383429</v>
      </c>
      <c r="D104" s="2" cm="1">
        <f t="array" ref="D104">INDEX( ComputeThermoProps($A104, $B104, ParametersRange), 1, COLUMN()-2 )</f>
        <v>3.8167709987655784E-4</v>
      </c>
      <c r="E104" s="2" cm="1">
        <f t="array" ref="E104">INDEX( ComputeThermoProps($A104, $B104, ParametersRange), 1, COLUMN()-2 )</f>
        <v>3.3153032568967398E-4</v>
      </c>
      <c r="F104" s="2" cm="1">
        <f t="array" ref="F104">INDEX( ComputeThermoProps($A104, $B104, ParametersRange), 1, COLUMN()-2 )</f>
        <v>6.9592765134528028E-4</v>
      </c>
      <c r="G104" s="2" cm="1">
        <f t="array" ref="G104">INDEX( ComputeThermoProps($A104, $B104, ParametersRange), 1, COLUMN()-2 )</f>
        <v>28.133527632494058</v>
      </c>
      <c r="H104" s="2" cm="1">
        <f t="array" ref="H104">INDEX( ComputeThermoProps($A104, $B104, ParametersRange), 1, COLUMN()-2 )</f>
        <v>24.437194638653398</v>
      </c>
      <c r="I104" s="2" cm="1">
        <f t="array" ref="I104">INDEX( ComputeThermoProps($A104, $B104, ParametersRange), 1, COLUMN()-2 )</f>
        <v>2.68</v>
      </c>
      <c r="J104" s="2" cm="1">
        <f t="array" ref="J104">INDEX( ComputeThermoProps($A104, $B104, ParametersRange), 1, COLUMN()-2 )</f>
        <v>1659.3803970130234</v>
      </c>
      <c r="K104" s="2" cm="1">
        <f t="array" ref="K104">INDEX( ComputeThermoProps($A104, $B104, ParametersRange), 1, COLUMN()-2 )</f>
        <v>44.331708288684204</v>
      </c>
      <c r="L104" s="2" cm="1">
        <f t="array" ref="L104">INDEX( ComputeThermoProps($A104, $B104, ParametersRange), 1, COLUMN()-2 )</f>
        <v>-1935.9211451992653</v>
      </c>
      <c r="M104" s="2" cm="1">
        <f t="array" ref="M104">INDEX( ComputeThermoProps($A104, $B104, ParametersRange), 1, COLUMN()-2 )</f>
        <v>1659.3804242542442</v>
      </c>
      <c r="N104" s="2" cm="1">
        <f t="array" ref="N104">INDEX( ComputeThermoProps($A104, $B104, ParametersRange), 1, COLUMN()-2 )</f>
        <v>-1935.9211179580445</v>
      </c>
      <c r="O104" s="2">
        <f t="shared" si="4"/>
        <v>-6.1200915851487041</v>
      </c>
      <c r="P104" s="2">
        <f t="shared" si="5"/>
        <v>-5096.9295765686711</v>
      </c>
    </row>
    <row r="105" spans="1:16" x14ac:dyDescent="0.25">
      <c r="A105" s="2">
        <v>82.1</v>
      </c>
      <c r="B105" s="2">
        <f t="shared" si="3"/>
        <v>9.94697305128431E-7</v>
      </c>
      <c r="C105" s="2" cm="1">
        <f t="array" ref="C105">INDEX( ComputeThermoProps($A105, $B105, ParametersRange), 1, COLUMN()-2 )</f>
        <v>35.94355681895037</v>
      </c>
      <c r="D105" s="2" cm="1">
        <f t="array" ref="D105">INDEX( ComputeThermoProps($A105, $B105, ParametersRange), 1, COLUMN()-2 )</f>
        <v>3.8338712823807647E-4</v>
      </c>
      <c r="E105" s="2" cm="1">
        <f t="array" ref="E105">INDEX( ComputeThermoProps($A105, $B105, ParametersRange), 1, COLUMN()-2 )</f>
        <v>3.3228404415710291E-4</v>
      </c>
      <c r="F105" s="2" cm="1">
        <f t="array" ref="F105">INDEX( ComputeThermoProps($A105, $B105, ParametersRange), 1, COLUMN()-2 )</f>
        <v>6.9897182817279298E-4</v>
      </c>
      <c r="G105" s="2" cm="1">
        <f t="array" ref="G105">INDEX( ComputeThermoProps($A105, $B105, ParametersRange), 1, COLUMN()-2 )</f>
        <v>28.212166694168207</v>
      </c>
      <c r="H105" s="2" cm="1">
        <f t="array" ref="H105">INDEX( ComputeThermoProps($A105, $B105, ParametersRange), 1, COLUMN()-2 )</f>
        <v>24.451662961807031</v>
      </c>
      <c r="I105" s="2" cm="1">
        <f t="array" ref="I105">INDEX( ComputeThermoProps($A105, $B105, ParametersRange), 1, COLUMN()-2 )</f>
        <v>2.68</v>
      </c>
      <c r="J105" s="2" cm="1">
        <f t="array" ref="J105">INDEX( ComputeThermoProps($A105, $B105, ParametersRange), 1, COLUMN()-2 )</f>
        <v>1687.5532470352539</v>
      </c>
      <c r="K105" s="2" cm="1">
        <f t="array" ref="K105">INDEX( ComputeThermoProps($A105, $B105, ParametersRange), 1, COLUMN()-2 )</f>
        <v>44.676950998705294</v>
      </c>
      <c r="L105" s="2" cm="1">
        <f t="array" ref="L105">INDEX( ComputeThermoProps($A105, $B105, ParametersRange), 1, COLUMN()-2 )</f>
        <v>-1980.4244299584504</v>
      </c>
      <c r="M105" s="2" cm="1">
        <f t="array" ref="M105">INDEX( ComputeThermoProps($A105, $B105, ParametersRange), 1, COLUMN()-2 )</f>
        <v>1687.553282788213</v>
      </c>
      <c r="N105" s="2" cm="1">
        <f t="array" ref="N105">INDEX( ComputeThermoProps($A105, $B105, ParametersRange), 1, COLUMN()-2 )</f>
        <v>-1980.4243942054914</v>
      </c>
      <c r="O105" s="2">
        <f t="shared" si="4"/>
        <v>-6.0023090586637196</v>
      </c>
      <c r="P105" s="2">
        <f t="shared" si="5"/>
        <v>-5068.7567180347014</v>
      </c>
    </row>
    <row r="106" spans="1:16" x14ac:dyDescent="0.25">
      <c r="A106" s="2">
        <v>83.1</v>
      </c>
      <c r="B106" s="2">
        <f t="shared" si="3"/>
        <v>1.2944530397103907E-6</v>
      </c>
      <c r="C106" s="2" cm="1">
        <f t="array" ref="C106">INDEX( ComputeThermoProps($A106, $B106, ParametersRange), 1, COLUMN()-2 )</f>
        <v>35.968744148011915</v>
      </c>
      <c r="D106" s="2" cm="1">
        <f t="array" ref="D106">INDEX( ComputeThermoProps($A106, $B106, ParametersRange), 1, COLUMN()-2 )</f>
        <v>3.8511683893220541E-4</v>
      </c>
      <c r="E106" s="2" cm="1">
        <f t="array" ref="E106">INDEX( ComputeThermoProps($A106, $B106, ParametersRange), 1, COLUMN()-2 )</f>
        <v>3.3304561826308837E-4</v>
      </c>
      <c r="F106" s="2" cm="1">
        <f t="array" ref="F106">INDEX( ComputeThermoProps($A106, $B106, ParametersRange), 1, COLUMN()-2 )</f>
        <v>7.0203411446537298E-4</v>
      </c>
      <c r="G106" s="2" cm="1">
        <f t="array" ref="G106">INDEX( ComputeThermoProps($A106, $B106, ParametersRange), 1, COLUMN()-2 )</f>
        <v>28.29078335981546</v>
      </c>
      <c r="H106" s="2" cm="1">
        <f t="array" ref="H106">INDEX( ComputeThermoProps($A106, $B106, ParametersRange), 1, COLUMN()-2 )</f>
        <v>24.465617918294839</v>
      </c>
      <c r="I106" s="2" cm="1">
        <f t="array" ref="I106">INDEX( ComputeThermoProps($A106, $B106, ParametersRange), 1, COLUMN()-2 )</f>
        <v>2.68</v>
      </c>
      <c r="J106" s="2" cm="1">
        <f t="array" ref="J106">INDEX( ComputeThermoProps($A106, $B106, ParametersRange), 1, COLUMN()-2 )</f>
        <v>1715.8047217915584</v>
      </c>
      <c r="K106" s="2" cm="1">
        <f t="array" ref="K106">INDEX( ComputeThermoProps($A106, $B106, ParametersRange), 1, COLUMN()-2 )</f>
        <v>45.018965318419831</v>
      </c>
      <c r="L106" s="2" cm="1">
        <f t="array" ref="L106">INDEX( ComputeThermoProps($A106, $B106, ParametersRange), 1, COLUMN()-2 )</f>
        <v>-2025.2712961691293</v>
      </c>
      <c r="M106" s="2" cm="1">
        <f t="array" ref="M106">INDEX( ComputeThermoProps($A106, $B106, ParametersRange), 1, COLUMN()-2 )</f>
        <v>1715.8047683514087</v>
      </c>
      <c r="N106" s="2" cm="1">
        <f t="array" ref="N106">INDEX( ComputeThermoProps($A106, $B106, ParametersRange), 1, COLUMN()-2 )</f>
        <v>-2025.271249609279</v>
      </c>
      <c r="O106" s="2">
        <f t="shared" si="4"/>
        <v>-5.8879137003195536</v>
      </c>
      <c r="P106" s="2">
        <f t="shared" si="5"/>
        <v>-5040.5052324715061</v>
      </c>
    </row>
    <row r="107" spans="1:16" x14ac:dyDescent="0.25">
      <c r="A107" s="2">
        <v>84.1</v>
      </c>
      <c r="B107" s="2">
        <f t="shared" si="3"/>
        <v>1.672062838716687E-6</v>
      </c>
      <c r="C107" s="2" cm="1">
        <f t="array" ref="C107">INDEX( ComputeThermoProps($A107, $B107, ParametersRange), 1, COLUMN()-2 )</f>
        <v>35.994059693272355</v>
      </c>
      <c r="D107" s="2" cm="1">
        <f t="array" ref="D107">INDEX( ComputeThermoProps($A107, $B107, ParametersRange), 1, COLUMN()-2 )</f>
        <v>3.8686660944069261E-4</v>
      </c>
      <c r="E107" s="2" cm="1">
        <f t="array" ref="E107">INDEX( ComputeThermoProps($A107, $B107, ParametersRange), 1, COLUMN()-2 )</f>
        <v>3.3381516407368536E-4</v>
      </c>
      <c r="F107" s="2" cm="1">
        <f t="array" ref="F107">INDEX( ComputeThermoProps($A107, $B107, ParametersRange), 1, COLUMN()-2 )</f>
        <v>7.0511567523965247E-4</v>
      </c>
      <c r="G107" s="2" cm="1">
        <f t="array" ref="G107">INDEX( ComputeThermoProps($A107, $B107, ParametersRange), 1, COLUMN()-2 )</f>
        <v>28.369412800046636</v>
      </c>
      <c r="H107" s="2" cm="1">
        <f t="array" ref="H107">INDEX( ComputeThermoProps($A107, $B107, ParametersRange), 1, COLUMN()-2 )</f>
        <v>24.479083894609072</v>
      </c>
      <c r="I107" s="2" cm="1">
        <f t="array" ref="I107">INDEX( ComputeThermoProps($A107, $B107, ParametersRange), 1, COLUMN()-2 )</f>
        <v>2.68</v>
      </c>
      <c r="J107" s="2" cm="1">
        <f t="array" ref="J107">INDEX( ComputeThermoProps($A107, $B107, ParametersRange), 1, COLUMN()-2 )</f>
        <v>1744.1348165373001</v>
      </c>
      <c r="K107" s="2" cm="1">
        <f t="array" ref="K107">INDEX( ComputeThermoProps($A107, $B107, ParametersRange), 1, COLUMN()-2 )</f>
        <v>45.357828417175448</v>
      </c>
      <c r="L107" s="2" cm="1">
        <f t="array" ref="L107">INDEX( ComputeThermoProps($A107, $B107, ParametersRange), 1, COLUMN()-2 )</f>
        <v>-2070.4585533471545</v>
      </c>
      <c r="M107" s="2" cm="1">
        <f t="array" ref="M107">INDEX( ComputeThermoProps($A107, $B107, ParametersRange), 1, COLUMN()-2 )</f>
        <v>1744.1348767216298</v>
      </c>
      <c r="N107" s="2" cm="1">
        <f t="array" ref="N107">INDEX( ComputeThermoProps($A107, $B107, ParametersRange), 1, COLUMN()-2 )</f>
        <v>-2070.4584931628251</v>
      </c>
      <c r="O107" s="2">
        <f t="shared" si="4"/>
        <v>-5.7767474051296039</v>
      </c>
      <c r="P107" s="2">
        <f t="shared" si="5"/>
        <v>-5012.1751241012853</v>
      </c>
    </row>
    <row r="108" spans="1:16" x14ac:dyDescent="0.25">
      <c r="A108" s="2">
        <v>85.1</v>
      </c>
      <c r="B108" s="2">
        <f t="shared" si="3"/>
        <v>2.1445673001302014E-6</v>
      </c>
      <c r="C108" s="2" cm="1">
        <f t="array" ref="C108">INDEX( ComputeThermoProps($A108, $B108, ParametersRange), 1, COLUMN()-2 )</f>
        <v>36.019504415293575</v>
      </c>
      <c r="D108" s="2" cm="1">
        <f t="array" ref="D108">INDEX( ComputeThermoProps($A108, $B108, ParametersRange), 1, COLUMN()-2 )</f>
        <v>3.8863682751329127E-4</v>
      </c>
      <c r="E108" s="2" cm="1">
        <f t="array" ref="E108">INDEX( ComputeThermoProps($A108, $B108, ParametersRange), 1, COLUMN()-2 )</f>
        <v>3.3459280103097781E-4</v>
      </c>
      <c r="F108" s="2" cm="1">
        <f t="array" ref="F108">INDEX( ComputeThermoProps($A108, $B108, ParametersRange), 1, COLUMN()-2 )</f>
        <v>7.0821765892097499E-4</v>
      </c>
      <c r="G108" s="2" cm="1">
        <f t="array" ref="G108">INDEX( ComputeThermoProps($A108, $B108, ParametersRange), 1, COLUMN()-2 )</f>
        <v>28.44808899489648</v>
      </c>
      <c r="H108" s="2" cm="1">
        <f t="array" ref="H108">INDEX( ComputeThermoProps($A108, $B108, ParametersRange), 1, COLUMN()-2 )</f>
        <v>24.492083886351239</v>
      </c>
      <c r="I108" s="2" cm="1">
        <f t="array" ref="I108">INDEX( ComputeThermoProps($A108, $B108, ParametersRange), 1, COLUMN()-2 )</f>
        <v>2.68</v>
      </c>
      <c r="J108" s="2" cm="1">
        <f t="array" ref="J108">INDEX( ComputeThermoProps($A108, $B108, ParametersRange), 1, COLUMN()-2 )</f>
        <v>1772.5435610867096</v>
      </c>
      <c r="K108" s="2" cm="1">
        <f t="array" ref="K108">INDEX( ComputeThermoProps($A108, $B108, ParametersRange), 1, COLUMN()-2 )</f>
        <v>45.693615136044535</v>
      </c>
      <c r="L108" s="2" cm="1">
        <f t="array" ref="L108">INDEX( ComputeThermoProps($A108, $B108, ParametersRange), 1, COLUMN()-2 )</f>
        <v>-2115.98308699068</v>
      </c>
      <c r="M108" s="2" cm="1">
        <f t="array" ref="M108">INDEX( ComputeThermoProps($A108, $B108, ParametersRange), 1, COLUMN()-2 )</f>
        <v>1772.5436383329609</v>
      </c>
      <c r="N108" s="2" cm="1">
        <f t="array" ref="N108">INDEX( ComputeThermoProps($A108, $B108, ParametersRange), 1, COLUMN()-2 )</f>
        <v>-2115.9830097444287</v>
      </c>
      <c r="O108" s="2">
        <f t="shared" si="4"/>
        <v>-5.6686603203194945</v>
      </c>
      <c r="P108" s="2">
        <f t="shared" si="5"/>
        <v>-4983.7663624899542</v>
      </c>
    </row>
    <row r="109" spans="1:16" x14ac:dyDescent="0.25">
      <c r="A109" s="2">
        <v>86.1</v>
      </c>
      <c r="B109" s="2">
        <f t="shared" si="3"/>
        <v>2.7320563105399358E-6</v>
      </c>
      <c r="C109" s="2" cm="1">
        <f t="array" ref="C109">INDEX( ComputeThermoProps($A109, $B109, ParametersRange), 1, COLUMN()-2 )</f>
        <v>36.045079319121129</v>
      </c>
      <c r="D109" s="2" cm="1">
        <f t="array" ref="D109">INDEX( ComputeThermoProps($A109, $B109, ParametersRange), 1, COLUMN()-2 )</f>
        <v>3.9042789154756802E-4</v>
      </c>
      <c r="E109" s="2" cm="1">
        <f t="array" ref="E109">INDEX( ComputeThermoProps($A109, $B109, ParametersRange), 1, COLUMN()-2 )</f>
        <v>3.3537865202390915E-4</v>
      </c>
      <c r="F109" s="2" cm="1">
        <f t="array" ref="F109">INDEX( ComputeThermoProps($A109, $B109, ParametersRange), 1, COLUMN()-2 )</f>
        <v>7.1134120039811834E-4</v>
      </c>
      <c r="G109" s="2" cm="1">
        <f t="array" ref="G109">INDEX( ComputeThermoProps($A109, $B109, ParametersRange), 1, COLUMN()-2 )</f>
        <v>28.526844851754142</v>
      </c>
      <c r="H109" s="2" cm="1">
        <f t="array" ref="H109">INDEX( ComputeThermoProps($A109, $B109, ParametersRange), 1, COLUMN()-2 )</f>
        <v>24.504639601832491</v>
      </c>
      <c r="I109" s="2" cm="1">
        <f t="array" ref="I109">INDEX( ComputeThermoProps($A109, $B109, ParametersRange), 1, COLUMN()-2 )</f>
        <v>2.6800000000000006</v>
      </c>
      <c r="J109" s="2" cm="1">
        <f t="array" ref="J109">INDEX( ComputeThermoProps($A109, $B109, ParametersRange), 1, COLUMN()-2 )</f>
        <v>1801.031018679372</v>
      </c>
      <c r="K109" s="2" cm="1">
        <f t="array" ref="K109">INDEX( ComputeThermoProps($A109, $B109, ParametersRange), 1, COLUMN()-2 )</f>
        <v>46.026398083381451</v>
      </c>
      <c r="L109" s="2" cm="1">
        <f t="array" ref="L109">INDEX( ComputeThermoProps($A109, $B109, ParametersRange), 1, COLUMN()-2 )</f>
        <v>-2161.8418562997708</v>
      </c>
      <c r="M109" s="2" cm="1">
        <f t="array" ref="M109">INDEX( ComputeThermoProps($A109, $B109, ParametersRange), 1, COLUMN()-2 )</f>
        <v>1801.0311171565584</v>
      </c>
      <c r="N109" s="2" cm="1">
        <f t="array" ref="N109">INDEX( ComputeThermoProps($A109, $B109, ParametersRange), 1, COLUMN()-2 )</f>
        <v>-2161.8417578225844</v>
      </c>
      <c r="O109" s="2">
        <f t="shared" si="4"/>
        <v>-5.5635103536344506</v>
      </c>
      <c r="P109" s="2">
        <f t="shared" si="5"/>
        <v>-4955.2788836663567</v>
      </c>
    </row>
    <row r="110" spans="1:16" x14ac:dyDescent="0.25">
      <c r="A110" s="2">
        <v>87.1</v>
      </c>
      <c r="B110" s="2">
        <f t="shared" si="3"/>
        <v>3.458097903235903E-6</v>
      </c>
      <c r="C110" s="2" cm="1">
        <f t="array" ref="C110">INDEX( ComputeThermoProps($A110, $B110, ParametersRange), 1, COLUMN()-2 )</f>
        <v>36.070785454004472</v>
      </c>
      <c r="D110" s="2" cm="1">
        <f t="array" ref="D110">INDEX( ComputeThermoProps($A110, $B110, ParametersRange), 1, COLUMN()-2 )</f>
        <v>3.9224021091912936E-4</v>
      </c>
      <c r="E110" s="2" cm="1">
        <f t="array" ref="E110">INDEX( ComputeThermoProps($A110, $B110, ParametersRange), 1, COLUMN()-2 )</f>
        <v>3.3617284346421132E-4</v>
      </c>
      <c r="F110" s="2" cm="1">
        <f t="array" ref="F110">INDEX( ComputeThermoProps($A110, $B110, ParametersRange), 1, COLUMN()-2 )</f>
        <v>7.144874230762074E-4</v>
      </c>
      <c r="G110" s="2" cm="1">
        <f t="array" ref="G110">INDEX( ComputeThermoProps($A110, $B110, ParametersRange), 1, COLUMN()-2 )</f>
        <v>28.605712281755967</v>
      </c>
      <c r="H110" s="2" cm="1">
        <f t="array" ref="H110">INDEX( ComputeThermoProps($A110, $B110, ParametersRange), 1, COLUMN()-2 )</f>
        <v>24.516771532788365</v>
      </c>
      <c r="I110" s="2" cm="1">
        <f t="array" ref="I110">INDEX( ComputeThermoProps($A110, $B110, ParametersRange), 1, COLUMN()-2 )</f>
        <v>2.68</v>
      </c>
      <c r="J110" s="2" cm="1">
        <f t="array" ref="J110">INDEX( ComputeThermoProps($A110, $B110, ParametersRange), 1, COLUMN()-2 )</f>
        <v>1829.5972849466887</v>
      </c>
      <c r="K110" s="2" cm="1">
        <f t="array" ref="K110">INDEX( ComputeThermoProps($A110, $B110, ParametersRange), 1, COLUMN()-2 )</f>
        <v>46.356247726016754</v>
      </c>
      <c r="L110" s="2" cm="1">
        <f t="array" ref="L110">INDEX( ComputeThermoProps($A110, $B110, ParametersRange), 1, COLUMN()-2 )</f>
        <v>-2208.0318919893703</v>
      </c>
      <c r="M110" s="2" cm="1">
        <f t="array" ref="M110">INDEX( ComputeThermoProps($A110, $B110, ParametersRange), 1, COLUMN()-2 )</f>
        <v>1829.5974096829962</v>
      </c>
      <c r="N110" s="2" cm="1">
        <f t="array" ref="N110">INDEX( ComputeThermoProps($A110, $B110, ParametersRange), 1, COLUMN()-2 )</f>
        <v>-2208.0317672530628</v>
      </c>
      <c r="O110" s="2">
        <f t="shared" si="4"/>
        <v>-5.4611627154480926</v>
      </c>
      <c r="P110" s="2">
        <f t="shared" si="5"/>
        <v>-4926.7125911399189</v>
      </c>
    </row>
    <row r="111" spans="1:16" x14ac:dyDescent="0.25">
      <c r="A111" s="2">
        <v>88.1</v>
      </c>
      <c r="B111" s="2">
        <f t="shared" si="3"/>
        <v>4.350212861060431E-6</v>
      </c>
      <c r="C111" s="2" cm="1">
        <f t="array" ref="C111">INDEX( ComputeThermoProps($A111, $B111, ParametersRange), 1, COLUMN()-2 )</f>
        <v>36.096623913207182</v>
      </c>
      <c r="D111" s="2" cm="1">
        <f t="array" ref="D111">INDEX( ComputeThermoProps($A111, $B111, ParametersRange), 1, COLUMN()-2 )</f>
        <v>3.940742064150321E-4</v>
      </c>
      <c r="E111" s="2" cm="1">
        <f t="array" ref="E111">INDEX( ComputeThermoProps($A111, $B111, ParametersRange), 1, COLUMN()-2 )</f>
        <v>3.369755053674773E-4</v>
      </c>
      <c r="F111" s="2" cm="1">
        <f t="array" ref="F111">INDEX( ComputeThermoProps($A111, $B111, ParametersRange), 1, COLUMN()-2 )</f>
        <v>7.1765744193605851E-4</v>
      </c>
      <c r="G111" s="2" cm="1">
        <f t="array" ref="G111">INDEX( ComputeThermoProps($A111, $B111, ParametersRange), 1, COLUMN()-2 )</f>
        <v>28.68472231533984</v>
      </c>
      <c r="H111" s="2" cm="1">
        <f t="array" ref="H111">INDEX( ComputeThermoProps($A111, $B111, ParametersRange), 1, COLUMN()-2 )</f>
        <v>24.528499052174151</v>
      </c>
      <c r="I111" s="2" cm="1">
        <f t="array" ref="I111">INDEX( ComputeThermoProps($A111, $B111, ParametersRange), 1, COLUMN()-2 )</f>
        <v>2.6800000000000006</v>
      </c>
      <c r="J111" s="2" cm="1">
        <f t="array" ref="J111">INDEX( ComputeThermoProps($A111, $B111, ParametersRange), 1, COLUMN()-2 )</f>
        <v>1858.2424869717513</v>
      </c>
      <c r="K111" s="2" cm="1">
        <f t="array" ref="K111">INDEX( ComputeThermoProps($A111, $B111, ParametersRange), 1, COLUMN()-2 )</f>
        <v>46.683232476312504</v>
      </c>
      <c r="L111" s="2" cm="1">
        <f t="array" ref="L111">INDEX( ComputeThermoProps($A111, $B111, ParametersRange), 1, COLUMN()-2 )</f>
        <v>-2254.5502941913801</v>
      </c>
      <c r="M111" s="2" cm="1">
        <f t="array" ref="M111">INDEX( ComputeThermoProps($A111, $B111, ParametersRange), 1, COLUMN()-2 )</f>
        <v>1858.2426439997489</v>
      </c>
      <c r="N111" s="2" cm="1">
        <f t="array" ref="N111">INDEX( ComputeThermoProps($A111, $B111, ParametersRange), 1, COLUMN()-2 )</f>
        <v>-2254.5501371633823</v>
      </c>
      <c r="O111" s="2">
        <f t="shared" si="4"/>
        <v>-5.3614894919827849</v>
      </c>
      <c r="P111" s="2">
        <f t="shared" si="5"/>
        <v>-4898.0673568231659</v>
      </c>
    </row>
    <row r="112" spans="1:16" x14ac:dyDescent="0.25">
      <c r="A112" s="2">
        <v>89.1</v>
      </c>
      <c r="B112" s="2">
        <f t="shared" si="3"/>
        <v>5.4403990086783627E-6</v>
      </c>
      <c r="C112" s="2" cm="1">
        <f t="array" ref="C112">INDEX( ComputeThermoProps($A112, $B112, ParametersRange), 1, COLUMN()-2 )</f>
        <v>36.122595833903155</v>
      </c>
      <c r="D112" s="2" cm="1">
        <f t="array" ref="D112">INDEX( ComputeThermoProps($A112, $B112, ParametersRange), 1, COLUMN()-2 )</f>
        <v>3.9593031059618897E-4</v>
      </c>
      <c r="E112" s="2" cm="1">
        <f t="array" ref="E112">INDEX( ComputeThermoProps($A112, $B112, ParametersRange), 1, COLUMN()-2 )</f>
        <v>3.3778677143945504E-4</v>
      </c>
      <c r="F112" s="2" cm="1">
        <f t="array" ref="F112">INDEX( ComputeThermoProps($A112, $B112, ParametersRange), 1, COLUMN()-2 )</f>
        <v>7.2085236533767983E-4</v>
      </c>
      <c r="G112" s="2" cm="1">
        <f t="array" ref="G112">INDEX( ComputeThermoProps($A112, $B112, ParametersRange), 1, COLUMN()-2 )</f>
        <v>28.763905166186813</v>
      </c>
      <c r="H112" s="2" cm="1">
        <f t="array" ref="H112">INDEX( ComputeThermoProps($A112, $B112, ParametersRange), 1, COLUMN()-2 )</f>
        <v>24.539840472042979</v>
      </c>
      <c r="I112" s="2" cm="1">
        <f t="array" ref="I112">INDEX( ComputeThermoProps($A112, $B112, ParametersRange), 1, COLUMN()-2 )</f>
        <v>2.68</v>
      </c>
      <c r="J112" s="2" cm="1">
        <f t="array" ref="J112">INDEX( ComputeThermoProps($A112, $B112, ParametersRange), 1, COLUMN()-2 )</f>
        <v>1886.9667824366845</v>
      </c>
      <c r="K112" s="2" cm="1">
        <f t="array" ref="K112">INDEX( ComputeThermoProps($A112, $B112, ParametersRange), 1, COLUMN()-2 )</f>
        <v>47.007418775291768</v>
      </c>
      <c r="L112" s="2" cm="1">
        <f t="array" ref="L112">INDEX( ComputeThermoProps($A112, $B112, ParametersRange), 1, COLUMN()-2 )</f>
        <v>-2301.3942304418119</v>
      </c>
      <c r="M112" s="2" cm="1">
        <f t="array" ref="M112">INDEX( ComputeThermoProps($A112, $B112, ParametersRange), 1, COLUMN()-2 )</f>
        <v>1886.9669789580191</v>
      </c>
      <c r="N112" s="2" cm="1">
        <f t="array" ref="N112">INDEX( ComputeThermoProps($A112, $B112, ParametersRange), 1, COLUMN()-2 )</f>
        <v>-2301.3940339204773</v>
      </c>
      <c r="O112" s="2">
        <f t="shared" si="4"/>
        <v>-5.2643692471929064</v>
      </c>
      <c r="P112" s="2">
        <f t="shared" si="5"/>
        <v>-4869.3430218648955</v>
      </c>
    </row>
    <row r="113" spans="1:16" x14ac:dyDescent="0.25">
      <c r="A113" s="2">
        <v>90.1</v>
      </c>
      <c r="B113" s="2">
        <f t="shared" si="3"/>
        <v>6.7657095376585508E-6</v>
      </c>
      <c r="C113" s="2" cm="1">
        <f t="array" ref="C113">INDEX( ComputeThermoProps($A113, $B113, ParametersRange), 1, COLUMN()-2 )</f>
        <v>36.148702397135246</v>
      </c>
      <c r="D113" s="2" cm="1">
        <f t="array" ref="D113">INDEX( ComputeThermoProps($A113, $B113, ParametersRange), 1, COLUMN()-2 )</f>
        <v>3.9780896824123977E-4</v>
      </c>
      <c r="E113" s="2" cm="1">
        <f t="array" ref="E113">INDEX( ComputeThermoProps($A113, $B113, ParametersRange), 1, COLUMN()-2 )</f>
        <v>3.3860677916702189E-4</v>
      </c>
      <c r="F113" s="2" cm="1">
        <f t="array" ref="F113">INDEX( ComputeThermoProps($A113, $B113, ParametersRange), 1, COLUMN()-2 )</f>
        <v>7.2407329755147575E-4</v>
      </c>
      <c r="G113" s="2" cm="1">
        <f t="array" ref="G113">INDEX( ComputeThermoProps($A113, $B113, ParametersRange), 1, COLUMN()-2 )</f>
        <v>28.843290323156133</v>
      </c>
      <c r="H113" s="2" cm="1">
        <f t="array" ref="H113">INDEX( ComputeThermoProps($A113, $B113, ParametersRange), 1, COLUMN()-2 )</f>
        <v>24.550813120383442</v>
      </c>
      <c r="I113" s="2" cm="1">
        <f t="array" ref="I113">INDEX( ComputeThermoProps($A113, $B113, ParametersRange), 1, COLUMN()-2 )</f>
        <v>2.6799999999999997</v>
      </c>
      <c r="J113" s="2" cm="1">
        <f t="array" ref="J113">INDEX( ComputeThermoProps($A113, $B113, ParametersRange), 1, COLUMN()-2 )</f>
        <v>1915.7703588297356</v>
      </c>
      <c r="K113" s="2" cm="1">
        <f t="array" ref="K113">INDEX( ComputeThermoProps($A113, $B113, ParametersRange), 1, COLUMN()-2 )</f>
        <v>47.328871171726902</v>
      </c>
      <c r="L113" s="2" cm="1">
        <f t="array" ref="L113">INDEX( ComputeThermoProps($A113, $B113, ParametersRange), 1, COLUMN()-2 )</f>
        <v>-2348.5609337428582</v>
      </c>
      <c r="M113" s="2" cm="1">
        <f t="array" ref="M113">INDEX( ComputeThermoProps($A113, $B113, ParametersRange), 1, COLUMN()-2 )</f>
        <v>1915.7706034013563</v>
      </c>
      <c r="N113" s="2" cm="1">
        <f t="array" ref="N113">INDEX( ComputeThermoProps($A113, $B113, ParametersRange), 1, COLUMN()-2 )</f>
        <v>-2348.5606891712373</v>
      </c>
      <c r="O113" s="2">
        <f t="shared" si="4"/>
        <v>-5.169686651079501</v>
      </c>
      <c r="P113" s="2">
        <f t="shared" si="5"/>
        <v>-4840.5393974215585</v>
      </c>
    </row>
    <row r="114" spans="1:16" x14ac:dyDescent="0.25">
      <c r="A114" s="2">
        <v>91.1</v>
      </c>
      <c r="B114" s="2">
        <f t="shared" si="3"/>
        <v>8.3688901548242851E-6</v>
      </c>
      <c r="C114" s="2" cm="1">
        <f t="array" ref="C114">INDEX( ComputeThermoProps($A114, $B114, ParametersRange), 1, COLUMN()-2 )</f>
        <v>36.174944827911709</v>
      </c>
      <c r="D114" s="2" cm="1">
        <f t="array" ref="D114">INDEX( ComputeThermoProps($A114, $B114, ParametersRange), 1, COLUMN()-2 )</f>
        <v>3.9971063677241079E-4</v>
      </c>
      <c r="E114" s="2" cm="1">
        <f t="array" ref="E114">INDEX( ComputeThermoProps($A114, $B114, ParametersRange), 1, COLUMN()-2 )</f>
        <v>3.3943566991638925E-4</v>
      </c>
      <c r="F114" s="2" cm="1">
        <f t="array" ref="F114">INDEX( ComputeThermoProps($A114, $B114, ParametersRange), 1, COLUMN()-2 )</f>
        <v>7.2732134070673438E-4</v>
      </c>
      <c r="G114" s="2" cm="1">
        <f t="array" ref="G114">INDEX( ComputeThermoProps($A114, $B114, ParametersRange), 1, COLUMN()-2 )</f>
        <v>28.922906617580175</v>
      </c>
      <c r="H114" s="2" cm="1">
        <f t="array" ref="H114">INDEX( ComputeThermoProps($A114, $B114, ParametersRange), 1, COLUMN()-2 )</f>
        <v>24.561433398274591</v>
      </c>
      <c r="I114" s="2" cm="1">
        <f t="array" ref="I114">INDEX( ComputeThermoProps($A114, $B114, ParametersRange), 1, COLUMN()-2 )</f>
        <v>2.6800000000000006</v>
      </c>
      <c r="J114" s="2" cm="1">
        <f t="array" ref="J114">INDEX( ComputeThermoProps($A114, $B114, ParametersRange), 1, COLUMN()-2 )</f>
        <v>1944.653432793684</v>
      </c>
      <c r="K114" s="2" cm="1">
        <f t="array" ref="K114">INDEX( ComputeThermoProps($A114, $B114, ParametersRange), 1, COLUMN()-2 )</f>
        <v>47.647652398622704</v>
      </c>
      <c r="L114" s="2" cm="1">
        <f t="array" ref="L114">INDEX( ComputeThermoProps($A114, $B114, ParametersRange), 1, COLUMN()-2 )</f>
        <v>-2396.0477007208442</v>
      </c>
      <c r="M114" s="2" cm="1">
        <f t="array" ref="M114">INDEX( ComputeThermoProps($A114, $B114, ParametersRange), 1, COLUMN()-2 )</f>
        <v>1944.6537355378236</v>
      </c>
      <c r="N114" s="2" cm="1">
        <f t="array" ref="N114">INDEX( ComputeThermoProps($A114, $B114, ParametersRange), 1, COLUMN()-2 )</f>
        <v>-2396.0473979767044</v>
      </c>
      <c r="O114" s="2">
        <f t="shared" si="4"/>
        <v>-5.0773321324003478</v>
      </c>
      <c r="P114" s="2">
        <f t="shared" si="5"/>
        <v>-4811.6562652850916</v>
      </c>
    </row>
    <row r="115" spans="1:16" x14ac:dyDescent="0.25">
      <c r="A115" s="2">
        <v>92.1</v>
      </c>
      <c r="B115" s="2">
        <f t="shared" si="3"/>
        <v>1.029908034298704E-5</v>
      </c>
      <c r="C115" s="2" cm="1">
        <f t="array" ref="C115">INDEX( ComputeThermoProps($A115, $B115, ParametersRange), 1, COLUMN()-2 )</f>
        <v>36.201324395395908</v>
      </c>
      <c r="D115" s="2" cm="1">
        <f t="array" ref="D115">INDEX( ComputeThermoProps($A115, $B115, ParametersRange), 1, COLUMN()-2 )</f>
        <v>4.016357867323311E-4</v>
      </c>
      <c r="E115" s="2" cm="1">
        <f t="array" ref="E115">INDEX( ComputeThermoProps($A115, $B115, ParametersRange), 1, COLUMN()-2 )</f>
        <v>3.4027358903741703E-4</v>
      </c>
      <c r="F115" s="2" cm="1">
        <f t="array" ref="F115">INDEX( ComputeThermoProps($A115, $B115, ParametersRange), 1, COLUMN()-2 )</f>
        <v>7.3059759704097865E-4</v>
      </c>
      <c r="G115" s="2" cm="1">
        <f t="array" ref="G115">INDEX( ComputeThermoProps($A115, $B115, ParametersRange), 1, COLUMN()-2 )</f>
        <v>29.002782301310386</v>
      </c>
      <c r="H115" s="2" cm="1">
        <f t="array" ref="H115">INDEX( ComputeThermoProps($A115, $B115, ParametersRange), 1, COLUMN()-2 )</f>
        <v>24.571716843337089</v>
      </c>
      <c r="I115" s="2" cm="1">
        <f t="array" ref="I115">INDEX( ComputeThermoProps($A115, $B115, ParametersRange), 1, COLUMN()-2 )</f>
        <v>2.6800000000000006</v>
      </c>
      <c r="J115" s="2" cm="1">
        <f t="array" ref="J115">INDEX( ComputeThermoProps($A115, $B115, ParametersRange), 1, COLUMN()-2 )</f>
        <v>1973.6162495640851</v>
      </c>
      <c r="K115" s="2" cm="1">
        <f t="array" ref="K115">INDEX( ComputeThermoProps($A115, $B115, ParametersRange), 1, COLUMN()-2 )</f>
        <v>47.963823446548467</v>
      </c>
      <c r="L115" s="2" cm="1">
        <f t="array" ref="L115">INDEX( ComputeThermoProps($A115, $B115, ParametersRange), 1, COLUMN()-2 )</f>
        <v>-2443.8518898630282</v>
      </c>
      <c r="M115" s="2" cm="1">
        <f t="array" ref="M115">INDEX( ComputeThermoProps($A115, $B115, ParametersRange), 1, COLUMN()-2 )</f>
        <v>1973.6166224044337</v>
      </c>
      <c r="N115" s="2" cm="1">
        <f t="array" ref="N115">INDEX( ComputeThermoProps($A115, $B115, ParametersRange), 1, COLUMN()-2 )</f>
        <v>-2443.8515170226797</v>
      </c>
      <c r="O115" s="2">
        <f t="shared" si="4"/>
        <v>-4.9872015539159689</v>
      </c>
      <c r="P115" s="2">
        <f t="shared" si="5"/>
        <v>-4782.6933784184812</v>
      </c>
    </row>
    <row r="116" spans="1:16" x14ac:dyDescent="0.25">
      <c r="A116" s="2">
        <v>93.1</v>
      </c>
      <c r="B116" s="2">
        <f t="shared" si="3"/>
        <v>1.261258457694267E-5</v>
      </c>
      <c r="C116" s="2" cm="1">
        <f t="array" ref="C116">INDEX( ComputeThermoProps($A116, $B116, ParametersRange), 1, COLUMN()-2 )</f>
        <v>36.227842412931558</v>
      </c>
      <c r="D116" s="2" cm="1">
        <f t="array" ref="D116">INDEX( ComputeThermoProps($A116, $B116, ParametersRange), 1, COLUMN()-2 )</f>
        <v>4.0358490225190005E-4</v>
      </c>
      <c r="E116" s="2" cm="1">
        <f t="array" ref="E116">INDEX( ComputeThermoProps($A116, $B116, ParametersRange), 1, COLUMN()-2 )</f>
        <v>3.4112068596600485E-4</v>
      </c>
      <c r="F116" s="2" cm="1">
        <f t="array" ref="F116">INDEX( ComputeThermoProps($A116, $B116, ParametersRange), 1, COLUMN()-2 )</f>
        <v>7.3390317082371211E-4</v>
      </c>
      <c r="G116" s="2" cm="1">
        <f t="array" ref="G116">INDEX( ComputeThermoProps($A116, $B116, ParametersRange), 1, COLUMN()-2 )</f>
        <v>29.08294511100064</v>
      </c>
      <c r="H116" s="2" cm="1">
        <f t="array" ref="H116">INDEX( ComputeThermoProps($A116, $B116, ParametersRange), 1, COLUMN()-2 )</f>
        <v>24.581678181767266</v>
      </c>
      <c r="I116" s="2" cm="1">
        <f t="array" ref="I116">INDEX( ComputeThermoProps($A116, $B116, ParametersRange), 1, COLUMN()-2 )</f>
        <v>2.6799999999999997</v>
      </c>
      <c r="J116" s="2" cm="1">
        <f t="array" ref="J116">INDEX( ComputeThermoProps($A116, $B116, ParametersRange), 1, COLUMN()-2 )</f>
        <v>2002.659082213466</v>
      </c>
      <c r="K116" s="2" cm="1">
        <f t="array" ref="K116">INDEX( ComputeThermoProps($A116, $B116, ParametersRange), 1, COLUMN()-2 )</f>
        <v>48.277443630124004</v>
      </c>
      <c r="L116" s="2" cm="1">
        <f t="array" ref="L116">INDEX( ComputeThermoProps($A116, $B116, ParametersRange), 1, COLUMN()-2 )</f>
        <v>-2491.9709197510783</v>
      </c>
      <c r="M116" s="2" cm="1">
        <f t="array" ref="M116">INDEX( ComputeThermoProps($A116, $B116, ParametersRange), 1, COLUMN()-2 )</f>
        <v>2002.6595391401925</v>
      </c>
      <c r="N116" s="2" cm="1">
        <f t="array" ref="N116">INDEX( ComputeThermoProps($A116, $B116, ParametersRange), 1, COLUMN()-2 )</f>
        <v>-2491.9704628243521</v>
      </c>
      <c r="O116" s="2">
        <f t="shared" si="4"/>
        <v>-4.8991959084714773</v>
      </c>
      <c r="P116" s="2">
        <f t="shared" si="5"/>
        <v>-4753.6504616827224</v>
      </c>
    </row>
    <row r="117" spans="1:16" x14ac:dyDescent="0.25">
      <c r="A117" s="2">
        <v>94.1</v>
      </c>
      <c r="B117" s="2">
        <f t="shared" si="3"/>
        <v>1.5373719950363008E-5</v>
      </c>
      <c r="C117" s="2" cm="1">
        <f t="array" ref="C117">INDEX( ComputeThermoProps($A117, $B117, ParametersRange), 1, COLUMN()-2 )</f>
        <v>36.254500238486315</v>
      </c>
      <c r="D117" s="2" cm="1">
        <f t="array" ref="D117">INDEX( ComputeThermoProps($A117, $B117, ParametersRange), 1, COLUMN()-2 )</f>
        <v>4.0555848155137244E-4</v>
      </c>
      <c r="E117" s="2" cm="1">
        <f t="array" ref="E117">INDEX( ComputeThermoProps($A117, $B117, ParametersRange), 1, COLUMN()-2 )</f>
        <v>3.4197711434326281E-4</v>
      </c>
      <c r="F117" s="2" cm="1">
        <f t="array" ref="F117">INDEX( ComputeThermoProps($A117, $B117, ParametersRange), 1, COLUMN()-2 )</f>
        <v>7.3723917021078903E-4</v>
      </c>
      <c r="G117" s="2" cm="1">
        <f t="array" ref="G117">INDEX( ComputeThermoProps($A117, $B117, ParametersRange), 1, COLUMN()-2 )</f>
        <v>29.163422327772615</v>
      </c>
      <c r="H117" s="2" cm="1">
        <f t="array" ref="H117">INDEX( ComputeThermoProps($A117, $B117, ParametersRange), 1, COLUMN()-2 )</f>
        <v>24.59133137562614</v>
      </c>
      <c r="I117" s="2" cm="1">
        <f t="array" ref="I117">INDEX( ComputeThermoProps($A117, $B117, ParametersRange), 1, COLUMN()-2 )</f>
        <v>2.68</v>
      </c>
      <c r="J117" s="2" cm="1">
        <f t="array" ref="J117">INDEX( ComputeThermoProps($A117, $B117, ParametersRange), 1, COLUMN()-2 )</f>
        <v>2031.7822313403155</v>
      </c>
      <c r="K117" s="2" cm="1">
        <f t="array" ref="K117">INDEX( ComputeThermoProps($A117, $B117, ParametersRange), 1, COLUMN()-2 )</f>
        <v>48.588570656857058</v>
      </c>
      <c r="L117" s="2" cm="1">
        <f t="array" ref="L117">INDEX( ComputeThermoProps($A117, $B117, ParametersRange), 1, COLUMN()-2 )</f>
        <v>-2540.4022674699336</v>
      </c>
      <c r="M117" s="2" cm="1">
        <f t="array" ref="M117">INDEX( ComputeThermoProps($A117, $B117, ParametersRange), 1, COLUMN()-2 )</f>
        <v>2031.7827887068493</v>
      </c>
      <c r="N117" s="2" cm="1">
        <f t="array" ref="N117">INDEX( ComputeThermoProps($A117, $B117, ParametersRange), 1, COLUMN()-2 )</f>
        <v>-2540.4017101033996</v>
      </c>
      <c r="O117" s="2">
        <f t="shared" si="4"/>
        <v>-4.8132210343581887</v>
      </c>
      <c r="P117" s="2">
        <f t="shared" si="5"/>
        <v>-4724.5272121160651</v>
      </c>
    </row>
    <row r="118" spans="1:16" x14ac:dyDescent="0.25">
      <c r="A118" s="2">
        <v>95.1</v>
      </c>
      <c r="B118" s="2">
        <f t="shared" si="3"/>
        <v>1.8655747345298927E-5</v>
      </c>
      <c r="C118" s="2" cm="1">
        <f t="array" ref="C118">INDEX( ComputeThermoProps($A118, $B118, ParametersRange), 1, COLUMN()-2 )</f>
        <v>36.281299274961619</v>
      </c>
      <c r="D118" s="2" cm="1">
        <f t="array" ref="D118">INDEX( ComputeThermoProps($A118, $B118, ParametersRange), 1, COLUMN()-2 )</f>
        <v>4.0755703747761196E-4</v>
      </c>
      <c r="E118" s="2" cm="1">
        <f t="array" ref="E118">INDEX( ComputeThermoProps($A118, $B118, ParametersRange), 1, COLUMN()-2 )</f>
        <v>3.4284303213423533E-4</v>
      </c>
      <c r="F118" s="2" cm="1">
        <f t="array" ref="F118">INDEX( ComputeThermoProps($A118, $B118, ParametersRange), 1, COLUMN()-2 )</f>
        <v>7.4060670929468439E-4</v>
      </c>
      <c r="G118" s="2" cm="1">
        <f t="array" ref="G118">INDEX( ComputeThermoProps($A118, $B118, ParametersRange), 1, COLUMN()-2 )</f>
        <v>29.244240843779256</v>
      </c>
      <c r="H118" s="2" cm="1">
        <f t="array" ref="H118">INDEX( ComputeThermoProps($A118, $B118, ParametersRange), 1, COLUMN()-2 )</f>
        <v>24.60068967376349</v>
      </c>
      <c r="I118" s="2" cm="1">
        <f t="array" ref="I118">INDEX( ComputeThermoProps($A118, $B118, ParametersRange), 1, COLUMN()-2 )</f>
        <v>2.6799999999999997</v>
      </c>
      <c r="J118" s="2" cm="1">
        <f t="array" ref="J118">INDEX( ComputeThermoProps($A118, $B118, ParametersRange), 1, COLUMN()-2 )</f>
        <v>2060.9860245938471</v>
      </c>
      <c r="K118" s="2" cm="1">
        <f t="array" ref="K118">INDEX( ComputeThermoProps($A118, $B118, ParametersRange), 1, COLUMN()-2 )</f>
        <v>48.897260689919527</v>
      </c>
      <c r="L118" s="2" cm="1">
        <f t="array" ref="L118">INDEX( ComputeThermoProps($A118, $B118, ParametersRange), 1, COLUMN()-2 )</f>
        <v>-2589.1434670174995</v>
      </c>
      <c r="M118" s="2" cm="1">
        <f t="array" ref="M118">INDEX( ComputeThermoProps($A118, $B118, ParametersRange), 1, COLUMN()-2 )</f>
        <v>2060.9867014485999</v>
      </c>
      <c r="N118" s="2" cm="1">
        <f t="array" ref="N118">INDEX( ComputeThermoProps($A118, $B118, ParametersRange), 1, COLUMN()-2 )</f>
        <v>-2589.1427901627467</v>
      </c>
      <c r="O118" s="2">
        <f t="shared" si="4"/>
        <v>-4.7291873485294369</v>
      </c>
      <c r="P118" s="2">
        <f t="shared" si="5"/>
        <v>-4695.323299374315</v>
      </c>
    </row>
    <row r="119" spans="1:16" x14ac:dyDescent="0.25">
      <c r="A119" s="2">
        <v>96.1</v>
      </c>
      <c r="B119" s="2">
        <f t="shared" si="3"/>
        <v>2.2541894020356098E-5</v>
      </c>
      <c r="C119" s="2" cm="1">
        <f t="array" ref="C119">INDEX( ComputeThermoProps($A119, $B119, ParametersRange), 1, COLUMN()-2 )</f>
        <v>36.308240970618328</v>
      </c>
      <c r="D119" s="2" cm="1">
        <f t="array" ref="D119">INDEX( ComputeThermoProps($A119, $B119, ParametersRange), 1, COLUMN()-2 )</f>
        <v>4.0958109806262541E-4</v>
      </c>
      <c r="E119" s="2" cm="1">
        <f t="array" ref="E119">INDEX( ComputeThermoProps($A119, $B119, ParametersRange), 1, COLUMN()-2 )</f>
        <v>3.437186017542961E-4</v>
      </c>
      <c r="F119" s="2" cm="1">
        <f t="array" ref="F119">INDEX( ComputeThermoProps($A119, $B119, ParametersRange), 1, COLUMN()-2 )</f>
        <v>7.4400691005004017E-4</v>
      </c>
      <c r="G119" s="2" cm="1">
        <f t="array" ref="G119">INDEX( ComputeThermoProps($A119, $B119, ParametersRange), 1, COLUMN()-2 )</f>
        <v>29.325427223207388</v>
      </c>
      <c r="H119" s="2" cm="1">
        <f t="array" ref="H119">INDEX( ComputeThermoProps($A119, $B119, ParametersRange), 1, COLUMN()-2 )</f>
        <v>24.609765657366875</v>
      </c>
      <c r="I119" s="2" cm="1">
        <f t="array" ref="I119">INDEX( ComputeThermoProps($A119, $B119, ParametersRange), 1, COLUMN()-2 )</f>
        <v>2.68</v>
      </c>
      <c r="J119" s="2" cm="1">
        <f t="array" ref="J119">INDEX( ComputeThermoProps($A119, $B119, ParametersRange), 1, COLUMN()-2 )</f>
        <v>2090.2708163078141</v>
      </c>
      <c r="K119" s="2" cm="1">
        <f t="array" ref="K119">INDEX( ComputeThermoProps($A119, $B119, ParametersRange), 1, COLUMN()-2 )</f>
        <v>49.20356840893411</v>
      </c>
      <c r="L119" s="2" cm="1">
        <f t="array" ref="L119">INDEX( ComputeThermoProps($A119, $B119, ParametersRange), 1, COLUMN()-2 )</f>
        <v>-2638.1921077907537</v>
      </c>
      <c r="M119" s="2" cm="1">
        <f t="array" ref="M119">INDEX( ComputeThermoProps($A119, $B119, ParametersRange), 1, COLUMN()-2 )</f>
        <v>2090.2716347643341</v>
      </c>
      <c r="N119" s="2" cm="1">
        <f t="array" ref="N119">INDEX( ComputeThermoProps($A119, $B119, ParametersRange), 1, COLUMN()-2 )</f>
        <v>-2638.1912893342337</v>
      </c>
      <c r="O119" s="2">
        <f t="shared" si="4"/>
        <v>-4.6470095963630476</v>
      </c>
      <c r="P119" s="2">
        <f t="shared" si="5"/>
        <v>-4666.0383660585812</v>
      </c>
    </row>
    <row r="120" spans="1:16" x14ac:dyDescent="0.25">
      <c r="A120" s="2">
        <v>97.1</v>
      </c>
      <c r="B120" s="2">
        <f t="shared" si="3"/>
        <v>2.7126476311805692E-5</v>
      </c>
      <c r="C120" s="2" cm="1">
        <f t="array" ref="C120">INDEX( ComputeThermoProps($A120, $B120, ParametersRange), 1, COLUMN()-2 )</f>
        <v>36.335326819571762</v>
      </c>
      <c r="D120" s="2" cm="1">
        <f t="array" ref="D120">INDEX( ComputeThermoProps($A120, $B120, ParametersRange), 1, COLUMN()-2 )</f>
        <v>4.1163120708441161E-4</v>
      </c>
      <c r="E120" s="2" cm="1">
        <f t="array" ref="E120">INDEX( ComputeThermoProps($A120, $B120, ParametersRange), 1, COLUMN()-2 )</f>
        <v>3.4460399020198895E-4</v>
      </c>
      <c r="F120" s="2" cm="1">
        <f t="array" ref="F120">INDEX( ComputeThermoProps($A120, $B120, ParametersRange), 1, COLUMN()-2 )</f>
        <v>7.4744090398100793E-4</v>
      </c>
      <c r="G120" s="2" cm="1">
        <f t="array" ref="G120">INDEX( ComputeThermoProps($A120, $B120, ParametersRange), 1, COLUMN()-2 )</f>
        <v>29.407007750205622</v>
      </c>
      <c r="H120" s="2" cm="1">
        <f t="array" ref="H120">INDEX( ComputeThermoProps($A120, $B120, ParametersRange), 1, COLUMN()-2 )</f>
        <v>24.61857127499951</v>
      </c>
      <c r="I120" s="2" cm="1">
        <f t="array" ref="I120">INDEX( ComputeThermoProps($A120, $B120, ParametersRange), 1, COLUMN()-2 )</f>
        <v>2.68</v>
      </c>
      <c r="J120" s="2" cm="1">
        <f t="array" ref="J120">INDEX( ComputeThermoProps($A120, $B120, ParametersRange), 1, COLUMN()-2 )</f>
        <v>2119.6369871904794</v>
      </c>
      <c r="K120" s="2" cm="1">
        <f t="array" ref="K120">INDEX( ComputeThermoProps($A120, $B120, ParametersRange), 1, COLUMN()-2 )</f>
        <v>49.50754706819594</v>
      </c>
      <c r="L120" s="2" cm="1">
        <f t="array" ref="L120">INDEX( ComputeThermoProps($A120, $B120, ParametersRange), 1, COLUMN()-2 )</f>
        <v>-2687.5458331313462</v>
      </c>
      <c r="M120" s="2" cm="1">
        <f t="array" ref="M120">INDEX( ComputeThermoProps($A120, $B120, ParametersRange), 1, COLUMN()-2 )</f>
        <v>2119.6379728398615</v>
      </c>
      <c r="N120" s="2" cm="1">
        <f t="array" ref="N120">INDEX( ComputeThermoProps($A120, $B120, ParametersRange), 1, COLUMN()-2 )</f>
        <v>-2687.5448474819641</v>
      </c>
      <c r="O120" s="2">
        <f t="shared" si="4"/>
        <v>-4.5666066167701933</v>
      </c>
      <c r="P120" s="2">
        <f t="shared" si="5"/>
        <v>-4636.6720279830533</v>
      </c>
    </row>
    <row r="121" spans="1:16" x14ac:dyDescent="0.25">
      <c r="A121" s="2">
        <v>98.1</v>
      </c>
      <c r="B121" s="2">
        <f t="shared" si="3"/>
        <v>3.251613204037623E-5</v>
      </c>
      <c r="C121" s="2" cm="1">
        <f t="array" ref="C121">INDEX( ComputeThermoProps($A121, $B121, ParametersRange), 1, COLUMN()-2 )</f>
        <v>36.362558362355202</v>
      </c>
      <c r="D121" s="2" cm="1">
        <f t="array" ref="D121">INDEX( ComputeThermoProps($A121, $B121, ParametersRange), 1, COLUMN()-2 )</f>
        <v>4.1370792466590296E-4</v>
      </c>
      <c r="E121" s="2" cm="1">
        <f t="array" ref="E121">INDEX( ComputeThermoProps($A121, $B121, ParametersRange), 1, COLUMN()-2 )</f>
        <v>3.4549936919855083E-4</v>
      </c>
      <c r="F121" s="2" cm="1">
        <f t="array" ref="F121">INDEX( ComputeThermoProps($A121, $B121, ParametersRange), 1, COLUMN()-2 )</f>
        <v>7.5090983388027203E-4</v>
      </c>
      <c r="G121" s="2" cm="1">
        <f t="array" ref="G121">INDEX( ComputeThermoProps($A121, $B121, ParametersRange), 1, COLUMN()-2 )</f>
        <v>29.489008479943323</v>
      </c>
      <c r="H121" s="2" cm="1">
        <f t="array" ref="H121">INDEX( ComputeThermoProps($A121, $B121, ParametersRange), 1, COLUMN()-2 )</f>
        <v>24.627117878728047</v>
      </c>
      <c r="I121" s="2" cm="1">
        <f t="array" ref="I121">INDEX( ComputeThermoProps($A121, $B121, ParametersRange), 1, COLUMN()-2 )</f>
        <v>2.68</v>
      </c>
      <c r="J121" s="2" cm="1">
        <f t="array" ref="J121">INDEX( ComputeThermoProps($A121, $B121, ParametersRange), 1, COLUMN()-2 )</f>
        <v>2149.0849440683569</v>
      </c>
      <c r="K121" s="2" cm="1">
        <f t="array" ref="K121">INDEX( ComputeThermoProps($A121, $B121, ParametersRange), 1, COLUMN()-2 )</f>
        <v>49.809248552462691</v>
      </c>
      <c r="L121" s="2" cm="1">
        <f t="array" ref="L121">INDEX( ComputeThermoProps($A121, $B121, ParametersRange), 1, COLUMN()-2 )</f>
        <v>-2737.2023389282326</v>
      </c>
      <c r="M121" s="2" cm="1">
        <f t="array" ref="M121">INDEX( ComputeThermoProps($A121, $B121, ParametersRange), 1, COLUMN()-2 )</f>
        <v>2149.086126438106</v>
      </c>
      <c r="N121" s="2" cm="1">
        <f t="array" ref="N121">INDEX( ComputeThermoProps($A121, $B121, ParametersRange), 1, COLUMN()-2 )</f>
        <v>-2737.2011565584835</v>
      </c>
      <c r="O121" s="2">
        <f t="shared" si="4"/>
        <v>-4.4879011215475035</v>
      </c>
      <c r="P121" s="2">
        <f t="shared" si="5"/>
        <v>-4607.2238743848084</v>
      </c>
    </row>
    <row r="122" spans="1:16" x14ac:dyDescent="0.25">
      <c r="A122" s="2">
        <v>99.1</v>
      </c>
      <c r="B122" s="2">
        <f t="shared" si="3"/>
        <v>3.8831173202551702E-5</v>
      </c>
      <c r="C122" s="2" cm="1">
        <f t="array" ref="C122">INDEX( ComputeThermoProps($A122, $B122, ParametersRange), 1, COLUMN()-2 )</f>
        <v>36.389937186551599</v>
      </c>
      <c r="D122" s="2" cm="1">
        <f t="array" ref="D122">INDEX( ComputeThermoProps($A122, $B122, ParametersRange), 1, COLUMN()-2 )</f>
        <v>4.1581182793071485E-4</v>
      </c>
      <c r="E122" s="2" cm="1">
        <f t="array" ref="E122">INDEX( ComputeThermoProps($A122, $B122, ParametersRange), 1, COLUMN()-2 )</f>
        <v>3.4640491533437988E-4</v>
      </c>
      <c r="F122" s="2" cm="1">
        <f t="array" ref="F122">INDEX( ComputeThermoProps($A122, $B122, ParametersRange), 1, COLUMN()-2 )</f>
        <v>7.5441485588261274E-4</v>
      </c>
      <c r="G122" s="2" cm="1">
        <f t="array" ref="G122">INDEX( ComputeThermoProps($A122, $B122, ParametersRange), 1, COLUMN()-2 )</f>
        <v>29.571455299871218</v>
      </c>
      <c r="H122" s="2" cm="1">
        <f t="array" ref="H122">INDEX( ComputeThermoProps($A122, $B122, ParametersRange), 1, COLUMN()-2 )</f>
        <v>24.635416266160558</v>
      </c>
      <c r="I122" s="2" cm="1">
        <f t="array" ref="I122">INDEX( ComputeThermoProps($A122, $B122, ParametersRange), 1, COLUMN()-2 )</f>
        <v>2.68</v>
      </c>
      <c r="J122" s="2" cm="1">
        <f t="array" ref="J122">INDEX( ComputeThermoProps($A122, $B122, ParametersRange), 1, COLUMN()-2 )</f>
        <v>2178.6151196815918</v>
      </c>
      <c r="K122" s="2" cm="1">
        <f t="array" ref="K122">INDEX( ComputeThermoProps($A122, $B122, ParametersRange), 1, COLUMN()-2 )</f>
        <v>50.108723430439412</v>
      </c>
      <c r="L122" s="2" cm="1">
        <f t="array" ref="L122">INDEX( ComputeThermoProps($A122, $B122, ParametersRange), 1, COLUMN()-2 )</f>
        <v>-2787.1593722749535</v>
      </c>
      <c r="M122" s="2" cm="1">
        <f t="array" ref="M122">INDEX( ComputeThermoProps($A122, $B122, ParametersRange), 1, COLUMN()-2 )</f>
        <v>2178.6165327455456</v>
      </c>
      <c r="N122" s="2" cm="1">
        <f t="array" ref="N122">INDEX( ComputeThermoProps($A122, $B122, ParametersRange), 1, COLUMN()-2 )</f>
        <v>-2787.1579592109997</v>
      </c>
      <c r="O122" s="2">
        <f t="shared" si="4"/>
        <v>-4.410819487957756</v>
      </c>
      <c r="P122" s="2">
        <f t="shared" si="5"/>
        <v>-4577.6934680773693</v>
      </c>
    </row>
    <row r="123" spans="1:16" x14ac:dyDescent="0.25">
      <c r="A123" s="2">
        <v>100.1</v>
      </c>
      <c r="B123" s="2">
        <f t="shared" si="3"/>
        <v>4.6207070607271006E-5</v>
      </c>
      <c r="C123" s="2" cm="1">
        <f t="array" ref="C123">INDEX( ComputeThermoProps($A123, $B123, ParametersRange), 1, COLUMN()-2 )</f>
        <v>36.417464927493135</v>
      </c>
      <c r="D123" s="2" cm="1">
        <f t="array" ref="D123">INDEX( ComputeThermoProps($A123, $B123, ParametersRange), 1, COLUMN()-2 )</f>
        <v>4.1794351165093608E-4</v>
      </c>
      <c r="E123" s="2" cm="1">
        <f t="array" ref="E123">INDEX( ComputeThermoProps($A123, $B123, ParametersRange), 1, COLUMN()-2 )</f>
        <v>3.4732081022271068E-4</v>
      </c>
      <c r="F123" s="2" cm="1">
        <f t="array" ref="F123">INDEX( ComputeThermoProps($A123, $B123, ParametersRange), 1, COLUMN()-2 )</f>
        <v>7.579571410808141E-4</v>
      </c>
      <c r="G123" s="2" cm="1">
        <f t="array" ref="G123">INDEX( ComputeThermoProps($A123, $B123, ParametersRange), 1, COLUMN()-2 )</f>
        <v>29.654373972343077</v>
      </c>
      <c r="H123" s="2" cm="1">
        <f t="array" ref="H123">INDEX( ComputeThermoProps($A123, $B123, ParametersRange), 1, COLUMN()-2 )</f>
        <v>24.643476708219865</v>
      </c>
      <c r="I123" s="2" cm="1">
        <f t="array" ref="I123">INDEX( ComputeThermoProps($A123, $B123, ParametersRange), 1, COLUMN()-2 )</f>
        <v>2.6799999999999997</v>
      </c>
      <c r="J123" s="2" cm="1">
        <f t="array" ref="J123">INDEX( ComputeThermoProps($A123, $B123, ParametersRange), 1, COLUMN()-2 )</f>
        <v>2208.2279725290668</v>
      </c>
      <c r="K123" s="2" cm="1">
        <f t="array" ref="K123">INDEX( ComputeThermoProps($A123, $B123, ParametersRange), 1, COLUMN()-2 )</f>
        <v>50.406021006077935</v>
      </c>
      <c r="L123" s="2" cm="1">
        <f t="array" ref="L123">INDEX( ComputeThermoProps($A123, $B123, ParametersRange), 1, COLUMN()-2 )</f>
        <v>-2837.4147301793341</v>
      </c>
      <c r="M123" s="2" cm="1">
        <f t="array" ref="M123">INDEX( ComputeThermoProps($A123, $B123, ParametersRange), 1, COLUMN()-2 )</f>
        <v>2208.2296552734401</v>
      </c>
      <c r="N123" s="2" cm="1">
        <f t="array" ref="N123">INDEX( ComputeThermoProps($A123, $B123, ParametersRange), 1, COLUMN()-2 )</f>
        <v>-2837.4130474349608</v>
      </c>
      <c r="O123" s="2">
        <f t="shared" si="4"/>
        <v>-4.3352915636047351</v>
      </c>
      <c r="P123" s="2">
        <f t="shared" si="5"/>
        <v>-4548.0803455494752</v>
      </c>
    </row>
    <row r="124" spans="1:16" x14ac:dyDescent="0.25">
      <c r="A124" s="2">
        <v>101.1</v>
      </c>
      <c r="B124" s="2">
        <f t="shared" si="3"/>
        <v>5.4796083306529869E-5</v>
      </c>
      <c r="C124" s="2" cm="1">
        <f t="array" ref="C124">INDEX( ComputeThermoProps($A124, $B124, ParametersRange), 1, COLUMN()-2 )</f>
        <v>36.445143269028655</v>
      </c>
      <c r="D124" s="2" cm="1">
        <f t="array" ref="D124">INDEX( ComputeThermoProps($A124, $B124, ParametersRange), 1, COLUMN()-2 )</f>
        <v>4.2010358895472246E-4</v>
      </c>
      <c r="E124" s="2" cm="1">
        <f t="array" ref="E124">INDEX( ComputeThermoProps($A124, $B124, ParametersRange), 1, COLUMN()-2 )</f>
        <v>3.4824724066080345E-4</v>
      </c>
      <c r="F124" s="2" cm="1">
        <f t="array" ref="F124">INDEX( ComputeThermoProps($A124, $B124, ParametersRange), 1, COLUMN()-2 )</f>
        <v>7.6153787744805568E-4</v>
      </c>
      <c r="G124" s="2" cm="1">
        <f t="array" ref="G124">INDEX( ComputeThermoProps($A124, $B124, ParametersRange), 1, COLUMN()-2 )</f>
        <v>29.737790187835337</v>
      </c>
      <c r="H124" s="2" cm="1">
        <f t="array" ref="H124">INDEX( ComputeThermoProps($A124, $B124, ParametersRange), 1, COLUMN()-2 )</f>
        <v>24.651308983174914</v>
      </c>
      <c r="I124" s="2" cm="1">
        <f t="array" ref="I124">INDEX( ComputeThermoProps($A124, $B124, ParametersRange), 1, COLUMN()-2 )</f>
        <v>2.6800000000000006</v>
      </c>
      <c r="J124" s="2" cm="1">
        <f t="array" ref="J124">INDEX( ComputeThermoProps($A124, $B124, ParametersRange), 1, COLUMN()-2 )</f>
        <v>2237.9239867615665</v>
      </c>
      <c r="K124" s="2" cm="1">
        <f t="array" ref="K124">INDEX( ComputeThermoProps($A124, $B124, ParametersRange), 1, COLUMN()-2 )</f>
        <v>50.701189367804545</v>
      </c>
      <c r="L124" s="2" cm="1">
        <f t="array" ref="L124">INDEX( ComputeThermoProps($A124, $B124, ParametersRange), 1, COLUMN()-2 )</f>
        <v>-2887.9662583234726</v>
      </c>
      <c r="M124" s="2" cm="1">
        <f t="array" ref="M124">INDEX( ComputeThermoProps($A124, $B124, ParametersRange), 1, COLUMN()-2 )</f>
        <v>2237.9259838126732</v>
      </c>
      <c r="N124" s="2" cm="1">
        <f t="array" ref="N124">INDEX( ComputeThermoProps($A124, $B124, ParametersRange), 1, COLUMN()-2 )</f>
        <v>-2887.964261272366</v>
      </c>
      <c r="O124" s="2">
        <f t="shared" si="4"/>
        <v>-4.2612504827410245</v>
      </c>
      <c r="P124" s="2">
        <f t="shared" si="5"/>
        <v>-4518.3840170102412</v>
      </c>
    </row>
    <row r="125" spans="1:16" x14ac:dyDescent="0.25">
      <c r="A125" s="2">
        <v>102.1</v>
      </c>
      <c r="B125" s="2">
        <f t="shared" si="3"/>
        <v>6.4769046972442296E-5</v>
      </c>
      <c r="C125" s="2" cm="1">
        <f t="array" ref="C125">INDEX( ComputeThermoProps($A125, $B125, ParametersRange), 1, COLUMN()-2 )</f>
        <v>36.472973944359182</v>
      </c>
      <c r="D125" s="2" cm="1">
        <f t="array" ref="D125">INDEX( ComputeThermoProps($A125, $B125, ParametersRange), 1, COLUMN()-2 )</f>
        <v>4.2229269203550578E-4</v>
      </c>
      <c r="E125" s="2" cm="1">
        <f t="array" ref="E125">INDEX( ComputeThermoProps($A125, $B125, ParametersRange), 1, COLUMN()-2 )</f>
        <v>3.4918439879895712E-4</v>
      </c>
      <c r="F125" s="2" cm="1">
        <f t="array" ref="F125">INDEX( ComputeThermoProps($A125, $B125, ParametersRange), 1, COLUMN()-2 )</f>
        <v>7.6515827141908864E-4</v>
      </c>
      <c r="G125" s="2" cm="1">
        <f t="array" ref="G125">INDEX( ComputeThermoProps($A125, $B125, ParametersRange), 1, COLUMN()-2 )</f>
        <v>29.821729603315699</v>
      </c>
      <c r="H125" s="2" cm="1">
        <f t="array" ref="H125">INDEX( ComputeThermoProps($A125, $B125, ParametersRange), 1, COLUMN()-2 )</f>
        <v>24.658922399261694</v>
      </c>
      <c r="I125" s="2" cm="1">
        <f t="array" ref="I125">INDEX( ComputeThermoProps($A125, $B125, ParametersRange), 1, COLUMN()-2 )</f>
        <v>2.68</v>
      </c>
      <c r="J125" s="2" cm="1">
        <f t="array" ref="J125">INDEX( ComputeThermoProps($A125, $B125, ParametersRange), 1, COLUMN()-2 )</f>
        <v>2267.7036721215122</v>
      </c>
      <c r="K125" s="2" cm="1">
        <f t="array" ref="K125">INDEX( ComputeThermoProps($A125, $B125, ParametersRange), 1, COLUMN()-2 )</f>
        <v>50.994275435783734</v>
      </c>
      <c r="L125" s="2" cm="1">
        <f t="array" ref="L125">INDEX( ComputeThermoProps($A125, $B125, ParametersRange), 1, COLUMN()-2 )</f>
        <v>-2938.8118498720069</v>
      </c>
      <c r="M125" s="2" cm="1">
        <f t="array" ref="M125">INDEX( ComputeThermoProps($A125, $B125, ParametersRange), 1, COLUMN()-2 )</f>
        <v>2267.7060344412748</v>
      </c>
      <c r="N125" s="2" cm="1">
        <f t="array" ref="N125">INDEX( ComputeThermoProps($A125, $B125, ParametersRange), 1, COLUMN()-2 )</f>
        <v>-2938.8094875522443</v>
      </c>
      <c r="O125" s="2">
        <f t="shared" si="4"/>
        <v>-4.1886324932140466</v>
      </c>
      <c r="P125" s="2">
        <f t="shared" si="5"/>
        <v>-4488.60396638164</v>
      </c>
    </row>
    <row r="126" spans="1:16" x14ac:dyDescent="0.25">
      <c r="A126" s="2">
        <v>103.1</v>
      </c>
      <c r="B126" s="2">
        <f t="shared" si="3"/>
        <v>7.6317336806217933E-5</v>
      </c>
      <c r="C126" s="2" cm="1">
        <f t="array" ref="C126">INDEX( ComputeThermoProps($A126, $B126, ParametersRange), 1, COLUMN()-2 )</f>
        <v>36.500958736942039</v>
      </c>
      <c r="D126" s="2" cm="1">
        <f t="array" ref="D126">INDEX( ComputeThermoProps($A126, $B126, ParametersRange), 1, COLUMN()-2 )</f>
        <v>4.245114729469928E-4</v>
      </c>
      <c r="E126" s="2" cm="1">
        <f t="array" ref="E126">INDEX( ComputeThermoProps($A126, $B126, ParametersRange), 1, COLUMN()-2 )</f>
        <v>3.5013248231769616E-4</v>
      </c>
      <c r="F126" s="2" cm="1">
        <f t="array" ref="F126">INDEX( ComputeThermoProps($A126, $B126, ParametersRange), 1, COLUMN()-2 )</f>
        <v>7.6881955001660736E-4</v>
      </c>
      <c r="G126" s="2" cm="1">
        <f t="array" ref="G126">INDEX( ComputeThermoProps($A126, $B126, ParametersRange), 1, COLUMN()-2 )</f>
        <v>29.906217900370084</v>
      </c>
      <c r="H126" s="2" cm="1">
        <f t="array" ref="H126">INDEX( ComputeThermoProps($A126, $B126, ParametersRange), 1, COLUMN()-2 )</f>
        <v>24.666325829780316</v>
      </c>
      <c r="I126" s="2" cm="1">
        <f t="array" ref="I126">INDEX( ComputeThermoProps($A126, $B126, ParametersRange), 1, COLUMN()-2 )</f>
        <v>2.68</v>
      </c>
      <c r="J126" s="2" cm="1">
        <f t="array" ref="J126">INDEX( ComputeThermoProps($A126, $B126, ParametersRange), 1, COLUMN()-2 )</f>
        <v>2297.567563928003</v>
      </c>
      <c r="K126" s="2" cm="1">
        <f t="array" ref="K126">INDEX( ComputeThermoProps($A126, $B126, ParametersRange), 1, COLUMN()-2 )</f>
        <v>51.285325007320658</v>
      </c>
      <c r="L126" s="2" cm="1">
        <f t="array" ref="L126">INDEX( ComputeThermoProps($A126, $B126, ParametersRange), 1, COLUMN()-2 )</f>
        <v>-2989.9494443267567</v>
      </c>
      <c r="M126" s="2" cm="1">
        <f t="array" ref="M126">INDEX( ComputeThermoProps($A126, $B126, ParametersRange), 1, COLUMN()-2 )</f>
        <v>2297.5703495839648</v>
      </c>
      <c r="N126" s="2" cm="1">
        <f t="array" ref="N126">INDEX( ComputeThermoProps($A126, $B126, ParametersRange), 1, COLUMN()-2 )</f>
        <v>-2989.9466586707949</v>
      </c>
      <c r="O126" s="2">
        <f t="shared" si="4"/>
        <v>-4.1173767933163337</v>
      </c>
      <c r="P126" s="2">
        <f t="shared" si="5"/>
        <v>-4458.7396512389496</v>
      </c>
    </row>
    <row r="127" spans="1:16" x14ac:dyDescent="0.25">
      <c r="A127" s="2">
        <v>104.1</v>
      </c>
      <c r="B127" s="2">
        <f t="shared" si="3"/>
        <v>8.96550221403603E-5</v>
      </c>
      <c r="C127" s="2" cm="1">
        <f t="array" ref="C127">INDEX( ComputeThermoProps($A127, $B127, ParametersRange), 1, COLUMN()-2 )</f>
        <v>36.529099481464094</v>
      </c>
      <c r="D127" s="2" cm="1">
        <f t="array" ref="D127">INDEX( ComputeThermoProps($A127, $B127, ParametersRange), 1, COLUMN()-2 )</f>
        <v>4.267606043839449E-4</v>
      </c>
      <c r="E127" s="2" cm="1">
        <f t="array" ref="E127">INDEX( ComputeThermoProps($A127, $B127, ParametersRange), 1, COLUMN()-2 )</f>
        <v>3.5109169461348478E-4</v>
      </c>
      <c r="F127" s="2" cm="1">
        <f t="array" ref="F127">INDEX( ComputeThermoProps($A127, $B127, ParametersRange), 1, COLUMN()-2 )</f>
        <v>7.7252296244177882E-4</v>
      </c>
      <c r="G127" s="2" cm="1">
        <f t="array" ref="G127">INDEX( ComputeThermoProps($A127, $B127, ParametersRange), 1, COLUMN()-2 )</f>
        <v>29.991280820780343</v>
      </c>
      <c r="H127" s="2" cm="1">
        <f t="array" ref="H127">INDEX( ComputeThermoProps($A127, $B127, ParametersRange), 1, COLUMN()-2 )</f>
        <v>24.673527731541498</v>
      </c>
      <c r="I127" s="2" cm="1">
        <f t="array" ref="I127">INDEX( ComputeThermoProps($A127, $B127, ParametersRange), 1, COLUMN()-2 )</f>
        <v>2.68</v>
      </c>
      <c r="J127" s="2" cm="1">
        <f t="array" ref="J127">INDEX( ComputeThermoProps($A127, $B127, ParametersRange), 1, COLUMN()-2 )</f>
        <v>2327.5162231060581</v>
      </c>
      <c r="K127" s="2" cm="1">
        <f t="array" ref="K127">INDEX( ComputeThermoProps($A127, $B127, ParametersRange), 1, COLUMN()-2 )</f>
        <v>51.574382800499428</v>
      </c>
      <c r="L127" s="2" cm="1">
        <f t="array" ref="L127">INDEX( ComputeThermoProps($A127, $B127, ParametersRange), 1, COLUMN()-2 )</f>
        <v>-3041.3770264259319</v>
      </c>
      <c r="M127" s="2" cm="1">
        <f t="array" ref="M127">INDEX( ComputeThermoProps($A127, $B127, ParametersRange), 1, COLUMN()-2 )</f>
        <v>2327.5194981232808</v>
      </c>
      <c r="N127" s="2" cm="1">
        <f t="array" ref="N127">INDEX( ComputeThermoProps($A127, $B127, ParametersRange), 1, COLUMN()-2 )</f>
        <v>-3041.3737514087093</v>
      </c>
      <c r="O127" s="2">
        <f t="shared" si="4"/>
        <v>-4.0474253778613472</v>
      </c>
      <c r="P127" s="2">
        <f t="shared" si="5"/>
        <v>-4428.7905026996341</v>
      </c>
    </row>
    <row r="128" spans="1:16" x14ac:dyDescent="0.25">
      <c r="A128" s="2">
        <v>105.1</v>
      </c>
      <c r="B128" s="2">
        <f t="shared" si="3"/>
        <v>1.0502123163019102E-4</v>
      </c>
      <c r="C128" s="2" cm="1">
        <f t="array" ref="C128">INDEX( ComputeThermoProps($A128, $B128, ParametersRange), 1, COLUMN()-2 )</f>
        <v>36.557398064884978</v>
      </c>
      <c r="D128" s="2" cm="1">
        <f t="array" ref="D128">INDEX( ComputeThermoProps($A128, $B128, ParametersRange), 1, COLUMN()-2 )</f>
        <v>4.2904078052334555E-4</v>
      </c>
      <c r="E128" s="2" cm="1">
        <f t="array" ref="E128">INDEX( ComputeThermoProps($A128, $B128, ParametersRange), 1, COLUMN()-2 )</f>
        <v>3.5206224499336657E-4</v>
      </c>
      <c r="F128" s="2" cm="1">
        <f t="array" ref="F128">INDEX( ComputeThermoProps($A128, $B128, ParametersRange), 1, COLUMN()-2 )</f>
        <v>7.7626978191243118E-4</v>
      </c>
      <c r="G128" s="2" cm="1">
        <f t="array" ref="G128">INDEX( ComputeThermoProps($A128, $B128, ParametersRange), 1, COLUMN()-2 )</f>
        <v>30.076944210139676</v>
      </c>
      <c r="H128" s="2" cm="1">
        <f t="array" ref="H128">INDEX( ComputeThermoProps($A128, $B128, ParametersRange), 1, COLUMN()-2 )</f>
        <v>24.680536167787043</v>
      </c>
      <c r="I128" s="2" cm="1">
        <f t="array" ref="I128">INDEX( ComputeThermoProps($A128, $B128, ParametersRange), 1, COLUMN()-2 )</f>
        <v>2.68</v>
      </c>
      <c r="J128" s="2" cm="1">
        <f t="array" ref="J128">INDEX( ComputeThermoProps($A128, $B128, ParametersRange), 1, COLUMN()-2 )</f>
        <v>2357.5502362591255</v>
      </c>
      <c r="K128" s="2" cm="1">
        <f t="array" ref="K128">INDEX( ComputeThermoProps($A128, $B128, ParametersRange), 1, COLUMN()-2 )</f>
        <v>51.861492496149602</v>
      </c>
      <c r="L128" s="2" cm="1">
        <f t="array" ref="L128">INDEX( ComputeThermoProps($A128, $B128, ParametersRange), 1, COLUMN()-2 )</f>
        <v>-3093.0926250861971</v>
      </c>
      <c r="M128" s="2" cm="1">
        <f t="array" ref="M128">INDEX( ComputeThermoProps($A128, $B128, ParametersRange), 1, COLUMN()-2 )</f>
        <v>2357.5540755620955</v>
      </c>
      <c r="N128" s="2" cm="1">
        <f t="array" ref="N128">INDEX( ComputeThermoProps($A128, $B128, ParametersRange), 1, COLUMN()-2 )</f>
        <v>-3093.0887857832272</v>
      </c>
      <c r="O128" s="2">
        <f t="shared" si="4"/>
        <v>-3.9787228928566245</v>
      </c>
      <c r="P128" s="2">
        <f t="shared" si="5"/>
        <v>-4398.7559252608189</v>
      </c>
    </row>
    <row r="129" spans="1:16" x14ac:dyDescent="0.25">
      <c r="A129" s="2">
        <v>106.1</v>
      </c>
      <c r="B129" s="2">
        <f t="shared" si="3"/>
        <v>1.2268274984276629E-4</v>
      </c>
      <c r="C129" s="2" cm="1">
        <f t="array" ref="C129">INDEX( ComputeThermoProps($A129, $B129, ParametersRange), 1, COLUMN()-2 )</f>
        <v>36.585856427551441</v>
      </c>
      <c r="D129" s="2" cm="1">
        <f t="array" ref="D129">INDEX( ComputeThermoProps($A129, $B129, ParametersRange), 1, COLUMN()-2 )</f>
        <v>4.3135271792932431E-4</v>
      </c>
      <c r="E129" s="2" cm="1">
        <f t="array" ref="E129">INDEX( ComputeThermoProps($A129, $B129, ParametersRange), 1, COLUMN()-2 )</f>
        <v>3.5304434887894185E-4</v>
      </c>
      <c r="F129" s="2" cm="1">
        <f t="array" ref="F129">INDEX( ComputeThermoProps($A129, $B129, ParametersRange), 1, COLUMN()-2 )</f>
        <v>7.8006130774696146E-4</v>
      </c>
      <c r="G129" s="2" cm="1">
        <f t="array" ref="G129">INDEX( ComputeThermoProps($A129, $B129, ParametersRange), 1, COLUMN()-2 )</f>
        <v>30.163234069243213</v>
      </c>
      <c r="H129" s="2" cm="1">
        <f t="array" ref="H129">INDEX( ComputeThermoProps($A129, $B129, ParametersRange), 1, COLUMN()-2 )</f>
        <v>24.687358835197795</v>
      </c>
      <c r="I129" s="2" cm="1">
        <f t="array" ref="I129">INDEX( ComputeThermoProps($A129, $B129, ParametersRange), 1, COLUMN()-2 )</f>
        <v>2.68</v>
      </c>
      <c r="J129" s="2" cm="1">
        <f t="array" ref="J129">INDEX( ComputeThermoProps($A129, $B129, ParametersRange), 1, COLUMN()-2 )</f>
        <v>2387.6702157841041</v>
      </c>
      <c r="K129" s="2" cm="1">
        <f t="array" ref="K129">INDEX( ComputeThermoProps($A129, $B129, ParametersRange), 1, COLUMN()-2 )</f>
        <v>52.146696778228815</v>
      </c>
      <c r="L129" s="2" cm="1">
        <f t="array" ref="L129">INDEX( ComputeThermoProps($A129, $B129, ParametersRange), 1, COLUMN()-2 )</f>
        <v>-3145.0943123859729</v>
      </c>
      <c r="M129" s="2" cm="1">
        <f t="array" ref="M129">INDEX( ComputeThermoProps($A129, $B129, ParametersRange), 1, COLUMN()-2 )</f>
        <v>2387.674704237576</v>
      </c>
      <c r="N129" s="2" cm="1">
        <f t="array" ref="N129">INDEX( ComputeThermoProps($A129, $B129, ParametersRange), 1, COLUMN()-2 )</f>
        <v>-3145.0898239325011</v>
      </c>
      <c r="O129" s="2">
        <f t="shared" si="4"/>
        <v>-3.9112164981920352</v>
      </c>
      <c r="P129" s="2">
        <f t="shared" si="5"/>
        <v>-4368.6352965853384</v>
      </c>
    </row>
    <row r="130" spans="1:16" x14ac:dyDescent="0.25">
      <c r="A130" s="2">
        <v>107.1</v>
      </c>
      <c r="B130" s="2">
        <f t="shared" si="3"/>
        <v>1.4293686816096979E-4</v>
      </c>
      <c r="C130" s="2" cm="1">
        <f t="array" ref="C130">INDEX( ComputeThermoProps($A130, $B130, ParametersRange), 1, COLUMN()-2 )</f>
        <v>36.614476564383949</v>
      </c>
      <c r="D130" s="2" cm="1">
        <f t="array" ref="D130">INDEX( ComputeThermoProps($A130, $B130, ParametersRange), 1, COLUMN()-2 )</f>
        <v>4.3369715646420523E-4</v>
      </c>
      <c r="E130" s="2" cm="1">
        <f t="array" ref="E130">INDEX( ComputeThermoProps($A130, $B130, ParametersRange), 1, COLUMN()-2 )</f>
        <v>3.540382280201223E-4</v>
      </c>
      <c r="F130" s="2" cm="1">
        <f t="array" ref="F130">INDEX( ComputeThermoProps($A130, $B130, ParametersRange), 1, COLUMN()-2 )</f>
        <v>7.8389886709050638E-4</v>
      </c>
      <c r="G130" s="2" cm="1">
        <f t="array" ref="G130">INDEX( ComputeThermoProps($A130, $B130, ParametersRange), 1, COLUMN()-2 )</f>
        <v>30.250176589772895</v>
      </c>
      <c r="H130" s="2" cm="1">
        <f t="array" ref="H130">INDEX( ComputeThermoProps($A130, $B130, ParametersRange), 1, COLUMN()-2 )</f>
        <v>24.694003079134546</v>
      </c>
      <c r="I130" s="2" cm="1">
        <f t="array" ref="I130">INDEX( ComputeThermoProps($A130, $B130, ParametersRange), 1, COLUMN()-2 )</f>
        <v>2.6800000000000006</v>
      </c>
      <c r="J130" s="2" cm="1">
        <f t="array" ref="J130">INDEX( ComputeThermoProps($A130, $B130, ParametersRange), 1, COLUMN()-2 )</f>
        <v>2417.8768000282507</v>
      </c>
      <c r="K130" s="2" cm="1">
        <f t="array" ref="K130">INDEX( ComputeThermoProps($A130, $B130, ParametersRange), 1, COLUMN()-2 )</f>
        <v>52.430037372704909</v>
      </c>
      <c r="L130" s="2" cm="1">
        <f t="array" ref="L130">INDEX( ComputeThermoProps($A130, $B130, ParametersRange), 1, COLUMN()-2 )</f>
        <v>-3197.3802025884447</v>
      </c>
      <c r="M130" s="2" cm="1">
        <f t="array" ref="M130">INDEX( ComputeThermoProps($A130, $B130, ParametersRange), 1, COLUMN()-2 )</f>
        <v>2417.8820335868604</v>
      </c>
      <c r="N130" s="2" cm="1">
        <f t="array" ref="N130">INDEX( ComputeThermoProps($A130, $B130, ParametersRange), 1, COLUMN()-2 )</f>
        <v>-3197.374969029835</v>
      </c>
      <c r="O130" s="2">
        <f t="shared" si="4"/>
        <v>-3.8448557378029902</v>
      </c>
      <c r="P130" s="2">
        <f t="shared" si="5"/>
        <v>-4338.4279672360544</v>
      </c>
    </row>
    <row r="131" spans="1:16" x14ac:dyDescent="0.25">
      <c r="A131" s="2">
        <v>108.1</v>
      </c>
      <c r="B131" s="2">
        <f t="shared" si="3"/>
        <v>1.6611451525153564E-4</v>
      </c>
      <c r="C131" s="2" cm="1">
        <f t="array" ref="C131">INDEX( ComputeThermoProps($A131, $B131, ParametersRange), 1, COLUMN()-2 )</f>
        <v>36.643260526136935</v>
      </c>
      <c r="D131" s="2" cm="1">
        <f t="array" ref="D131">INDEX( ComputeThermoProps($A131, $B131, ParametersRange), 1, COLUMN()-2 )</f>
        <v>4.3607486028583703E-4</v>
      </c>
      <c r="E131" s="2" cm="1">
        <f t="array" ref="E131">INDEX( ComputeThermoProps($A131, $B131, ParametersRange), 1, COLUMN()-2 )</f>
        <v>3.5504411071914305E-4</v>
      </c>
      <c r="F131" s="2" cm="1">
        <f t="array" ref="F131">INDEX( ComputeThermoProps($A131, $B131, ParametersRange), 1, COLUMN()-2 )</f>
        <v>7.8778381707609983E-4</v>
      </c>
      <c r="G131" s="2" cm="1">
        <f t="array" ref="G131">INDEX( ComputeThermoProps($A131, $B131, ParametersRange), 1, COLUMN()-2 )</f>
        <v>30.337798204936671</v>
      </c>
      <c r="H131" s="2" cm="1">
        <f t="array" ref="H131">INDEX( ComputeThermoProps($A131, $B131, ParametersRange), 1, COLUMN()-2 )</f>
        <v>24.700475917800546</v>
      </c>
      <c r="I131" s="2" cm="1">
        <f t="array" ref="I131">INDEX( ComputeThermoProps($A131, $B131, ParametersRange), 1, COLUMN()-2 )</f>
        <v>2.68</v>
      </c>
      <c r="J131" s="2" cm="1">
        <f t="array" ref="J131">INDEX( ComputeThermoProps($A131, $B131, ParametersRange), 1, COLUMN()-2 )</f>
        <v>2448.1706534875234</v>
      </c>
      <c r="K131" s="2" cm="1">
        <f t="array" ref="K131">INDEX( ComputeThermoProps($A131, $B131, ParametersRange), 1, COLUMN()-2 )</f>
        <v>52.711555085017153</v>
      </c>
      <c r="L131" s="2" cm="1">
        <f t="array" ref="L131">INDEX( ComputeThermoProps($A131, $B131, ParametersRange), 1, COLUMN()-2 )</f>
        <v>-3249.9484512028307</v>
      </c>
      <c r="M131" s="2" cm="1">
        <f t="array" ref="M131">INDEX( ComputeThermoProps($A131, $B131, ParametersRange), 1, COLUMN()-2 )</f>
        <v>2448.1767404649831</v>
      </c>
      <c r="N131" s="2" cm="1">
        <f t="array" ref="N131">INDEX( ComputeThermoProps($A131, $B131, ParametersRange), 1, COLUMN()-2 )</f>
        <v>-3249.942364225371</v>
      </c>
      <c r="O131" s="2">
        <f t="shared" si="4"/>
        <v>-3.7795924168067807</v>
      </c>
      <c r="P131" s="2">
        <f t="shared" si="5"/>
        <v>-4308.1332603579322</v>
      </c>
    </row>
    <row r="132" spans="1:16" x14ac:dyDescent="0.25">
      <c r="A132" s="2">
        <v>109.1</v>
      </c>
      <c r="B132" s="2">
        <f t="shared" si="3"/>
        <v>1.9258369492459383E-4</v>
      </c>
      <c r="C132" s="2" cm="1">
        <f t="array" ref="C132">INDEX( ComputeThermoProps($A132, $B132, ParametersRange), 1, COLUMN()-2 )</f>
        <v>36.672210420734437</v>
      </c>
      <c r="D132" s="2" cm="1">
        <f t="array" ref="D132">INDEX( ComputeThermoProps($A132, $B132, ParametersRange), 1, COLUMN()-2 )</f>
        <v>4.3848661884800998E-4</v>
      </c>
      <c r="E132" s="2" cm="1">
        <f t="array" ref="E132">INDEX( ComputeThermoProps($A132, $B132, ParametersRange), 1, COLUMN()-2 )</f>
        <v>3.5606223206532901E-4</v>
      </c>
      <c r="F132" s="2" cm="1">
        <f t="array" ref="F132">INDEX( ComputeThermoProps($A132, $B132, ParametersRange), 1, COLUMN()-2 )</f>
        <v>7.9171754656845916E-4</v>
      </c>
      <c r="G132" s="2" cm="1">
        <f t="array" ref="G132">INDEX( ComputeThermoProps($A132, $B132, ParametersRange), 1, COLUMN()-2 )</f>
        <v>30.426125622000111</v>
      </c>
      <c r="H132" s="2" cm="1">
        <f t="array" ref="H132">INDEX( ComputeThermoProps($A132, $B132, ParametersRange), 1, COLUMN()-2 )</f>
        <v>24.706784053140382</v>
      </c>
      <c r="I132" s="2" cm="1">
        <f t="array" ref="I132">INDEX( ComputeThermoProps($A132, $B132, ParametersRange), 1, COLUMN()-2 )</f>
        <v>2.68</v>
      </c>
      <c r="J132" s="2" cm="1">
        <f t="array" ref="J132">INDEX( ComputeThermoProps($A132, $B132, ParametersRange), 1, COLUMN()-2 )</f>
        <v>2478.5524670460295</v>
      </c>
      <c r="K132" s="2" cm="1">
        <f t="array" ref="K132">INDEX( ComputeThermoProps($A132, $B132, ParametersRange), 1, COLUMN()-2 )</f>
        <v>52.991289836191982</v>
      </c>
      <c r="L132" s="2" cm="1">
        <f t="array" ref="L132">INDEX( ComputeThermoProps($A132, $B132, ParametersRange), 1, COLUMN()-2 )</f>
        <v>-3302.7972540825153</v>
      </c>
      <c r="M132" s="2" cm="1">
        <f t="array" ref="M132">INDEX( ComputeThermoProps($A132, $B132, ParametersRange), 1, COLUMN()-2 )</f>
        <v>2478.5595295158132</v>
      </c>
      <c r="N132" s="2" cm="1">
        <f t="array" ref="N132">INDEX( ComputeThermoProps($A132, $B132, ParametersRange), 1, COLUMN()-2 )</f>
        <v>-3302.7901916127316</v>
      </c>
      <c r="O132" s="2">
        <f t="shared" si="4"/>
        <v>-3.7153804851451921</v>
      </c>
      <c r="P132" s="2">
        <f t="shared" si="5"/>
        <v>-4277.7504713071012</v>
      </c>
    </row>
    <row r="133" spans="1:16" x14ac:dyDescent="0.25">
      <c r="A133" s="2">
        <v>110.1</v>
      </c>
      <c r="B133" s="2">
        <f t="shared" si="3"/>
        <v>2.2275326206937498E-4</v>
      </c>
      <c r="C133" s="2" cm="1">
        <f t="array" ref="C133">INDEX( ComputeThermoProps($A133, $B133, ParametersRange), 1, COLUMN()-2 )</f>
        <v>36.70132841468282</v>
      </c>
      <c r="D133" s="2" cm="1">
        <f t="array" ref="D133">INDEX( ComputeThermoProps($A133, $B133, ParametersRange), 1, COLUMN()-2 )</f>
        <v>4.4093324801664624E-4</v>
      </c>
      <c r="E133" s="2" cm="1">
        <f t="array" ref="E133">INDEX( ComputeThermoProps($A133, $B133, ParametersRange), 1, COLUMN()-2 )</f>
        <v>3.5709283418115161E-4</v>
      </c>
      <c r="F133" s="2" cm="1">
        <f t="array" ref="F133">INDEX( ComputeThermoProps($A133, $B133, ParametersRange), 1, COLUMN()-2 )</f>
        <v>7.9570147857637775E-4</v>
      </c>
      <c r="G133" s="2" cm="1">
        <f t="array" ref="G133">INDEX( ComputeThermoProps($A133, $B133, ParametersRange), 1, COLUMN()-2 )</f>
        <v>30.515185878520395</v>
      </c>
      <c r="H133" s="2" cm="1">
        <f t="array" ref="H133">INDEX( ComputeThermoProps($A133, $B133, ParametersRange), 1, COLUMN()-2 )</f>
        <v>24.712933896321026</v>
      </c>
      <c r="I133" s="2" cm="1">
        <f t="array" ref="I133">INDEX( ComputeThermoProps($A133, $B133, ParametersRange), 1, COLUMN()-2 )</f>
        <v>2.6799999999999997</v>
      </c>
      <c r="J133" s="2" cm="1">
        <f t="array" ref="J133">INDEX( ComputeThermoProps($A133, $B133, ParametersRange), 1, COLUMN()-2 )</f>
        <v>2509.0229582563761</v>
      </c>
      <c r="K133" s="2" cm="1">
        <f t="array" ref="K133">INDEX( ComputeThermoProps($A133, $B133, ParametersRange), 1, COLUMN()-2 )</f>
        <v>53.269280697685517</v>
      </c>
      <c r="L133" s="2" cm="1">
        <f t="array" ref="L133">INDEX( ComputeThermoProps($A133, $B133, ParametersRange), 1, COLUMN()-2 )</f>
        <v>-3355.9248465587989</v>
      </c>
      <c r="M133" s="2" cm="1">
        <f t="array" ref="M133">INDEX( ComputeThermoProps($A133, $B133, ParametersRange), 1, COLUMN()-2 )</f>
        <v>2509.0311335970027</v>
      </c>
      <c r="N133" s="2" cm="1">
        <f t="array" ref="N133">INDEX( ComputeThermoProps($A133, $B133, ParametersRange), 1, COLUMN()-2 )</f>
        <v>-3355.9166712181723</v>
      </c>
      <c r="O133" s="2">
        <f t="shared" si="4"/>
        <v>-3.6521759272984688</v>
      </c>
      <c r="P133" s="2">
        <f t="shared" si="5"/>
        <v>-4247.2788672259121</v>
      </c>
    </row>
    <row r="134" spans="1:16" x14ac:dyDescent="0.25">
      <c r="A134" s="2">
        <v>111.1</v>
      </c>
      <c r="B134" s="2">
        <f t="shared" si="3"/>
        <v>2.5707707052053969E-4</v>
      </c>
      <c r="C134" s="2" cm="1">
        <f t="array" ref="C134">INDEX( ComputeThermoProps($A134, $B134, ParametersRange), 1, COLUMN()-2 )</f>
        <v>36.730616734562602</v>
      </c>
      <c r="D134" s="2" cm="1">
        <f t="array" ref="D134">INDEX( ComputeThermoProps($A134, $B134, ParametersRange), 1, COLUMN()-2 )</f>
        <v>4.4341559119785376E-4</v>
      </c>
      <c r="E134" s="2" cm="1">
        <f t="array" ref="E134">INDEX( ComputeThermoProps($A134, $B134, ParametersRange), 1, COLUMN()-2 )</f>
        <v>3.5813616648014353E-4</v>
      </c>
      <c r="F134" s="2" cm="1">
        <f t="array" ref="F134">INDEX( ComputeThermoProps($A134, $B134, ParametersRange), 1, COLUMN()-2 )</f>
        <v>7.9973707228521733E-4</v>
      </c>
      <c r="G134" s="2" cm="1">
        <f t="array" ref="G134">INDEX( ComputeThermoProps($A134, $B134, ParametersRange), 1, COLUMN()-2 )</f>
        <v>30.605006381708293</v>
      </c>
      <c r="H134" s="2" cm="1">
        <f t="array" ref="H134">INDEX( ComputeThermoProps($A134, $B134, ParametersRange), 1, COLUMN()-2 )</f>
        <v>24.718931580722437</v>
      </c>
      <c r="I134" s="2" cm="1">
        <f t="array" ref="I134">INDEX( ComputeThermoProps($A134, $B134, ParametersRange), 1, COLUMN()-2 )</f>
        <v>2.68</v>
      </c>
      <c r="J134" s="2" cm="1">
        <f t="array" ref="J134">INDEX( ComputeThermoProps($A134, $B134, ParametersRange), 1, COLUMN()-2 )</f>
        <v>2539.5828716608612</v>
      </c>
      <c r="K134" s="2" cm="1">
        <f t="array" ref="K134">INDEX( ComputeThermoProps($A134, $B134, ParametersRange), 1, COLUMN()-2 )</f>
        <v>53.545565925021116</v>
      </c>
      <c r="L134" s="2" cm="1">
        <f t="array" ref="L134">INDEX( ComputeThermoProps($A134, $B134, ParametersRange), 1, COLUMN()-2 )</f>
        <v>-3409.3295026089845</v>
      </c>
      <c r="M134" s="2" cm="1">
        <f t="array" ref="M134">INDEX( ComputeThermoProps($A134, $B134, ParametersRange), 1, COLUMN()-2 )</f>
        <v>2539.5923142602096</v>
      </c>
      <c r="N134" s="2" cm="1">
        <f t="array" ref="N134">INDEX( ComputeThermoProps($A134, $B134, ParametersRange), 1, COLUMN()-2 )</f>
        <v>-3409.3200600096361</v>
      </c>
      <c r="O134" s="2">
        <f t="shared" si="4"/>
        <v>-3.5899366576647544</v>
      </c>
      <c r="P134" s="2">
        <f t="shared" si="5"/>
        <v>-4216.7176865627052</v>
      </c>
    </row>
    <row r="135" spans="1:16" x14ac:dyDescent="0.25">
      <c r="A135" s="2">
        <v>112.1</v>
      </c>
      <c r="B135" s="2">
        <f t="shared" si="3"/>
        <v>2.9605853023164042E-4</v>
      </c>
      <c r="C135" s="2" cm="1">
        <f t="array" ref="C135">INDEX( ComputeThermoProps($A135, $B135, ParametersRange), 1, COLUMN()-2 )</f>
        <v>36.760077668601532</v>
      </c>
      <c r="D135" s="2" cm="1">
        <f t="array" ref="D135">INDEX( ComputeThermoProps($A135, $B135, ParametersRange), 1, COLUMN()-2 )</f>
        <v>4.4593452049194662E-4</v>
      </c>
      <c r="E135" s="2" cm="1">
        <f t="array" ref="E135">INDEX( ComputeThermoProps($A135, $B135, ParametersRange), 1, COLUMN()-2 )</f>
        <v>3.5919248593728573E-4</v>
      </c>
      <c r="F135" s="2" cm="1">
        <f t="array" ref="F135">INDEX( ComputeThermoProps($A135, $B135, ParametersRange), 1, COLUMN()-2 )</f>
        <v>8.0382582485103045E-4</v>
      </c>
      <c r="G135" s="2" cm="1">
        <f t="array" ref="G135">INDEX( ComputeThermoProps($A135, $B135, ParametersRange), 1, COLUMN()-2 )</f>
        <v>30.695614936457474</v>
      </c>
      <c r="H135" s="2" cm="1">
        <f t="array" ref="H135">INDEX( ComputeThermoProps($A135, $B135, ParametersRange), 1, COLUMN()-2 )</f>
        <v>24.724782966424232</v>
      </c>
      <c r="I135" s="2" cm="1">
        <f t="array" ref="I135">INDEX( ComputeThermoProps($A135, $B135, ParametersRange), 1, COLUMN()-2 )</f>
        <v>2.68</v>
      </c>
      <c r="J135" s="2" cm="1">
        <f t="array" ref="J135">INDEX( ComputeThermoProps($A135, $B135, ParametersRange), 1, COLUMN()-2 )</f>
        <v>2570.2329791535963</v>
      </c>
      <c r="K135" s="2" cm="1">
        <f t="array" ref="K135">INDEX( ComputeThermoProps($A135, $B135, ParametersRange), 1, COLUMN()-2 )</f>
        <v>53.820182990287961</v>
      </c>
      <c r="L135" s="2" cm="1">
        <f t="array" ref="L135">INDEX( ComputeThermoProps($A135, $B135, ParametersRange), 1, COLUMN()-2 )</f>
        <v>-3463.009534057684</v>
      </c>
      <c r="M135" s="2" cm="1">
        <f t="array" ref="M135">INDEX( ComputeThermoProps($A135, $B135, ParametersRange), 1, COLUMN()-2 )</f>
        <v>2570.2438622881618</v>
      </c>
      <c r="N135" s="2" cm="1">
        <f t="array" ref="N135">INDEX( ComputeThermoProps($A135, $B135, ParametersRange), 1, COLUMN()-2 )</f>
        <v>-3462.9986509231185</v>
      </c>
      <c r="O135" s="2">
        <f t="shared" si="4"/>
        <v>-3.5286224212255881</v>
      </c>
      <c r="P135" s="2">
        <f t="shared" si="5"/>
        <v>-4186.066138534753</v>
      </c>
    </row>
    <row r="136" spans="1:16" x14ac:dyDescent="0.25">
      <c r="A136" s="2">
        <v>113.1</v>
      </c>
      <c r="B136" s="2">
        <f t="shared" si="3"/>
        <v>3.4025561505163617E-4</v>
      </c>
      <c r="C136" s="2" cm="1">
        <f t="array" ref="C136">INDEX( ComputeThermoProps($A136, $B136, ParametersRange), 1, COLUMN()-2 )</f>
        <v>36.789713568331337</v>
      </c>
      <c r="D136" s="2" cm="1">
        <f t="array" ref="D136">INDEX( ComputeThermoProps($A136, $B136, ParametersRange), 1, COLUMN()-2 )</f>
        <v>4.4849093802251156E-4</v>
      </c>
      <c r="E136" s="2" cm="1">
        <f t="array" ref="E136">INDEX( ComputeThermoProps($A136, $B136, ParametersRange), 1, COLUMN()-2 )</f>
        <v>3.6026205737249589E-4</v>
      </c>
      <c r="F136" s="2" cm="1">
        <f t="array" ref="F136">INDEX( ComputeThermoProps($A136, $B136, ParametersRange), 1, COLUMN()-2 )</f>
        <v>8.0796927432053717E-4</v>
      </c>
      <c r="G136" s="2" cm="1">
        <f t="array" ref="G136">INDEX( ComputeThermoProps($A136, $B136, ParametersRange), 1, COLUMN()-2 )</f>
        <v>30.787039814082366</v>
      </c>
      <c r="H136" s="2" cm="1">
        <f t="array" ref="H136">INDEX( ComputeThermoProps($A136, $B136, ParametersRange), 1, COLUMN()-2 )</f>
        <v>24.730493670027137</v>
      </c>
      <c r="I136" s="2" cm="1">
        <f t="array" ref="I136">INDEX( ComputeThermoProps($A136, $B136, ParametersRange), 1, COLUMN()-2 )</f>
        <v>2.6800000000000006</v>
      </c>
      <c r="J136" s="2" cm="1">
        <f t="array" ref="J136">INDEX( ComputeThermoProps($A136, $B136, ParametersRange), 1, COLUMN()-2 )</f>
        <v>2600.9740803836889</v>
      </c>
      <c r="K136" s="2" cm="1">
        <f t="array" ref="K136">INDEX( ComputeThermoProps($A136, $B136, ParametersRange), 1, COLUMN()-2 )</f>
        <v>54.093168613562604</v>
      </c>
      <c r="L136" s="2" cm="1">
        <f t="array" ref="L136">INDEX( ComputeThermoProps($A136, $B136, ParametersRange), 1, COLUMN()-2 )</f>
        <v>-3516.9632898102413</v>
      </c>
      <c r="M136" s="2" cm="1">
        <f t="array" ref="M136">INDEX( ComputeThermoProps($A136, $B136, ParametersRange), 1, COLUMN()-2 )</f>
        <v>2600.9865982903066</v>
      </c>
      <c r="N136" s="2" cm="1">
        <f t="array" ref="N136">INDEX( ComputeThermoProps($A136, $B136, ParametersRange), 1, COLUMN()-2 )</f>
        <v>-3516.9507719036237</v>
      </c>
      <c r="O136" s="2">
        <f t="shared" si="4"/>
        <v>-3.4681946991420567</v>
      </c>
      <c r="P136" s="2">
        <f t="shared" si="5"/>
        <v>-4155.3234025326083</v>
      </c>
    </row>
    <row r="137" spans="1:16" x14ac:dyDescent="0.25">
      <c r="A137" s="2">
        <v>114.1</v>
      </c>
      <c r="B137" s="2">
        <f t="shared" si="3"/>
        <v>3.9028636676888604E-4</v>
      </c>
      <c r="C137" s="2" cm="1">
        <f t="array" ref="C137">INDEX( ComputeThermoProps($A137, $B137, ParametersRange), 1, COLUMN()-2 )</f>
        <v>36.819526850330618</v>
      </c>
      <c r="D137" s="2" cm="1">
        <f t="array" ref="D137">INDEX( ComputeThermoProps($A137, $B137, ParametersRange), 1, COLUMN()-2 )</f>
        <v>4.5108577724562723E-4</v>
      </c>
      <c r="E137" s="2" cm="1">
        <f t="array" ref="E137">INDEX( ComputeThermoProps($A137, $B137, ParametersRange), 1, COLUMN()-2 )</f>
        <v>3.6134515374790997E-4</v>
      </c>
      <c r="F137" s="2" cm="1">
        <f t="array" ref="F137">INDEX( ComputeThermoProps($A137, $B137, ParametersRange), 1, COLUMN()-2 )</f>
        <v>8.1216900179923585E-4</v>
      </c>
      <c r="G137" s="2" cm="1">
        <f t="array" ref="G137">INDEX( ComputeThermoProps($A137, $B137, ParametersRange), 1, COLUMN()-2 )</f>
        <v>30.879309789633943</v>
      </c>
      <c r="H137" s="2" cm="1">
        <f t="array" ref="H137">INDEX( ComputeThermoProps($A137, $B137, ParametersRange), 1, COLUMN()-2 )</f>
        <v>24.736069072487663</v>
      </c>
      <c r="I137" s="2" cm="1">
        <f t="array" ref="I137">INDEX( ComputeThermoProps($A137, $B137, ParametersRange), 1, COLUMN()-2 )</f>
        <v>2.68</v>
      </c>
      <c r="J137" s="2" cm="1">
        <f t="array" ref="J137">INDEX( ComputeThermoProps($A137, $B137, ParametersRange), 1, COLUMN()-2 )</f>
        <v>2631.8070031998172</v>
      </c>
      <c r="K137" s="2" cm="1">
        <f t="array" ref="K137">INDEX( ComputeThermoProps($A137, $B137, ParametersRange), 1, COLUMN()-2 )</f>
        <v>54.3645587933134</v>
      </c>
      <c r="L137" s="2" cm="1">
        <f t="array" ref="L137">INDEX( ComputeThermoProps($A137, $B137, ParametersRange), 1, COLUMN()-2 )</f>
        <v>-3571.1891551172412</v>
      </c>
      <c r="M137" s="2" cm="1">
        <f t="array" ref="M137">INDEX( ComputeThermoProps($A137, $B137, ParametersRange), 1, COLUMN()-2 )</f>
        <v>2631.8213733591779</v>
      </c>
      <c r="N137" s="2" cm="1">
        <f t="array" ref="N137">INDEX( ComputeThermoProps($A137, $B137, ParametersRange), 1, COLUMN()-2 )</f>
        <v>-3571.1747849578805</v>
      </c>
      <c r="O137" s="2">
        <f t="shared" si="4"/>
        <v>-3.408616618947943</v>
      </c>
      <c r="P137" s="2">
        <f t="shared" si="5"/>
        <v>-4124.4886274637374</v>
      </c>
    </row>
    <row r="138" spans="1:16" x14ac:dyDescent="0.25">
      <c r="A138" s="2">
        <v>115.1</v>
      </c>
      <c r="B138" s="2">
        <f t="shared" si="3"/>
        <v>4.4683494596407981E-4</v>
      </c>
      <c r="C138" s="2" cm="1">
        <f t="array" ref="C138">INDEX( ComputeThermoProps($A138, $B138, ParametersRange), 1, COLUMN()-2 )</f>
        <v>36.849519998056671</v>
      </c>
      <c r="D138" s="2" cm="1">
        <f t="array" ref="D138">INDEX( ComputeThermoProps($A138, $B138, ParametersRange), 1, COLUMN()-2 )</f>
        <v>4.5372000432545141E-4</v>
      </c>
      <c r="E138" s="2" cm="1">
        <f t="array" ref="E138">INDEX( ComputeThermoProps($A138, $B138, ParametersRange), 1, COLUMN()-2 )</f>
        <v>3.6244205647968793E-4</v>
      </c>
      <c r="F138" s="2" cm="1">
        <f t="array" ref="F138">INDEX( ComputeThermoProps($A138, $B138, ParametersRange), 1, COLUMN()-2 )</f>
        <v>8.1642663367577318E-4</v>
      </c>
      <c r="G138" s="2" cm="1">
        <f t="array" ref="G138">INDEX( ComputeThermoProps($A138, $B138, ParametersRange), 1, COLUMN()-2 )</f>
        <v>30.972454178791615</v>
      </c>
      <c r="H138" s="2" cm="1">
        <f t="array" ref="H138">INDEX( ComputeThermoProps($A138, $B138, ParametersRange), 1, COLUMN()-2 )</f>
        <v>24.74151432550013</v>
      </c>
      <c r="I138" s="2" cm="1">
        <f t="array" ref="I138">INDEX( ComputeThermoProps($A138, $B138, ParametersRange), 1, COLUMN()-2 )</f>
        <v>2.68</v>
      </c>
      <c r="J138" s="2" cm="1">
        <f t="array" ref="J138">INDEX( ComputeThermoProps($A138, $B138, ParametersRange), 1, COLUMN()-2 )</f>
        <v>2662.7326041366127</v>
      </c>
      <c r="K138" s="2" cm="1">
        <f t="array" ref="K138">INDEX( ComputeThermoProps($A138, $B138, ParametersRange), 1, COLUMN()-2 )</f>
        <v>54.634388835845023</v>
      </c>
      <c r="L138" s="2" cm="1">
        <f t="array" ref="L138">INDEX( ComputeThermoProps($A138, $B138, ParametersRange), 1, COLUMN()-2 )</f>
        <v>-3625.6855508691492</v>
      </c>
      <c r="M138" s="2" cm="1">
        <f t="array" ref="M138">INDEX( ComputeThermoProps($A138, $B138, ParametersRange), 1, COLUMN()-2 )</f>
        <v>2662.7490697898897</v>
      </c>
      <c r="N138" s="2" cm="1">
        <f t="array" ref="N138">INDEX( ComputeThermoProps($A138, $B138, ParametersRange), 1, COLUMN()-2 )</f>
        <v>-3625.6690852158722</v>
      </c>
      <c r="O138" s="2">
        <f t="shared" si="4"/>
        <v>-3.34985286902582</v>
      </c>
      <c r="P138" s="2">
        <f t="shared" si="5"/>
        <v>-4093.5609310330251</v>
      </c>
    </row>
    <row r="139" spans="1:16" x14ac:dyDescent="0.25">
      <c r="A139" s="2">
        <v>116.1</v>
      </c>
      <c r="B139" s="2">
        <f t="shared" si="3"/>
        <v>5.1065828566759048E-4</v>
      </c>
      <c r="C139" s="2" cm="1">
        <f t="array" ref="C139">INDEX( ComputeThermoProps($A139, $B139, ParametersRange), 1, COLUMN()-2 )</f>
        <v>36.87969556376904</v>
      </c>
      <c r="D139" s="2" cm="1">
        <f t="array" ref="D139">INDEX( ComputeThermoProps($A139, $B139, ParametersRange), 1, COLUMN()-2 )</f>
        <v>4.5639461962987225E-4</v>
      </c>
      <c r="E139" s="2" cm="1">
        <f t="array" ref="E139">INDEX( ComputeThermoProps($A139, $B139, ParametersRange), 1, COLUMN()-2 )</f>
        <v>3.635530557651061E-4</v>
      </c>
      <c r="F139" s="2" cm="1">
        <f t="array" ref="F139">INDEX( ComputeThermoProps($A139, $B139, ParametersRange), 1, COLUMN()-2 )</f>
        <v>8.2074384434853388E-4</v>
      </c>
      <c r="G139" s="2" cm="1">
        <f t="array" ref="G139">INDEX( ComputeThermoProps($A139, $B139, ParametersRange), 1, COLUMN()-2 )</f>
        <v>31.066502891084625</v>
      </c>
      <c r="H139" s="2" cm="1">
        <f t="array" ref="H139">INDEX( ComputeThermoProps($A139, $B139, ParametersRange), 1, COLUMN()-2 )</f>
        <v>24.746834367041416</v>
      </c>
      <c r="I139" s="2" cm="1">
        <f t="array" ref="I139">INDEX( ComputeThermoProps($A139, $B139, ParametersRange), 1, COLUMN()-2 )</f>
        <v>2.68</v>
      </c>
      <c r="J139" s="2" cm="1">
        <f t="array" ref="J139">INDEX( ComputeThermoProps($A139, $B139, ParametersRange), 1, COLUMN()-2 )</f>
        <v>2693.7517689433466</v>
      </c>
      <c r="K139" s="2" cm="1">
        <f t="array" ref="K139">INDEX( ComputeThermoProps($A139, $B139, ParametersRange), 1, COLUMN()-2 )</f>
        <v>54.902693383837246</v>
      </c>
      <c r="L139" s="2" cm="1">
        <f t="array" ref="L139">INDEX( ComputeThermoProps($A139, $B139, ParametersRange), 1, COLUMN()-2 )</f>
        <v>-3680.4509329201574</v>
      </c>
      <c r="M139" s="2" cm="1">
        <f t="array" ref="M139">INDEX( ComputeThermoProps($A139, $B139, ParametersRange), 1, COLUMN()-2 )</f>
        <v>2693.770601865459</v>
      </c>
      <c r="N139" s="2" cm="1">
        <f t="array" ref="N139">INDEX( ComputeThermoProps($A139, $B139, ParametersRange), 1, COLUMN()-2 )</f>
        <v>-3680.432099998045</v>
      </c>
      <c r="O139" s="2">
        <f t="shared" si="4"/>
        <v>-3.2918696170696573</v>
      </c>
      <c r="P139" s="2">
        <f t="shared" si="5"/>
        <v>-4062.5393989574559</v>
      </c>
    </row>
    <row r="140" spans="1:16" x14ac:dyDescent="0.25">
      <c r="A140" s="2">
        <v>117.1</v>
      </c>
      <c r="B140" s="2">
        <f t="shared" si="3"/>
        <v>5.8259340992681467E-4</v>
      </c>
      <c r="C140" s="2" cm="1">
        <f t="array" ref="C140">INDEX( ComputeThermoProps($A140, $B140, ParametersRange), 1, COLUMN()-2 )</f>
        <v>36.910056170548067</v>
      </c>
      <c r="D140" s="2" cm="1">
        <f t="array" ref="D140">INDEX( ComputeThermoProps($A140, $B140, ParametersRange), 1, COLUMN()-2 )</f>
        <v>4.5911065930936409E-4</v>
      </c>
      <c r="E140" s="2" cm="1">
        <f t="array" ref="E140">INDEX( ComputeThermoProps($A140, $B140, ParametersRange), 1, COLUMN()-2 )</f>
        <v>3.6467845092575497E-4</v>
      </c>
      <c r="F140" s="2" cm="1">
        <f t="array" ref="F140">INDEX( ComputeThermoProps($A140, $B140, ParametersRange), 1, COLUMN()-2 )</f>
        <v>8.2512235906612977E-4</v>
      </c>
      <c r="G140" s="2" cm="1">
        <f t="array" ref="G140">INDEX( ComputeThermoProps($A140, $B140, ParametersRange), 1, COLUMN()-2 )</f>
        <v>31.161486484376876</v>
      </c>
      <c r="H140" s="2" cm="1">
        <f t="array" ref="H140">INDEX( ComputeThermoProps($A140, $B140, ParametersRange), 1, COLUMN()-2 )</f>
        <v>24.752033936134382</v>
      </c>
      <c r="I140" s="2" cm="1">
        <f t="array" ref="I140">INDEX( ComputeThermoProps($A140, $B140, ParametersRange), 1, COLUMN()-2 )</f>
        <v>2.68</v>
      </c>
      <c r="J140" s="2" cm="1">
        <f t="array" ref="J140">INDEX( ComputeThermoProps($A140, $B140, ParametersRange), 1, COLUMN()-2 )</f>
        <v>2724.865413155545</v>
      </c>
      <c r="K140" s="2" cm="1">
        <f t="array" ref="K140">INDEX( ComputeThermoProps($A140, $B140, ParametersRange), 1, COLUMN()-2 )</f>
        <v>55.169506444030361</v>
      </c>
      <c r="L140" s="2" cm="1">
        <f t="array" ref="L140">INDEX( ComputeThermoProps($A140, $B140, ParametersRange), 1, COLUMN()-2 )</f>
        <v>-3735.4837914404102</v>
      </c>
      <c r="M140" s="2" cm="1">
        <f t="array" ref="M140">INDEX( ComputeThermoProps($A140, $B140, ParametersRange), 1, COLUMN()-2 )</f>
        <v>2724.8869167110302</v>
      </c>
      <c r="N140" s="2" cm="1">
        <f t="array" ref="N140">INDEX( ComputeThermoProps($A140, $B140, ParametersRange), 1, COLUMN()-2 )</f>
        <v>-3735.462287884925</v>
      </c>
      <c r="O140" s="2">
        <f t="shared" si="4"/>
        <v>-3.2346344322531624</v>
      </c>
      <c r="P140" s="2">
        <f t="shared" si="5"/>
        <v>-4031.4230841118847</v>
      </c>
    </row>
    <row r="141" spans="1:16" x14ac:dyDescent="0.25">
      <c r="A141" s="2">
        <v>118.1</v>
      </c>
      <c r="B141" s="2">
        <f t="shared" si="3"/>
        <v>6.6356548624676157E-4</v>
      </c>
      <c r="C141" s="2" cm="1">
        <f t="array" ref="C141">INDEX( ComputeThermoProps($A141, $B141, ParametersRange), 1, COLUMN()-2 )</f>
        <v>36.940604514411532</v>
      </c>
      <c r="D141" s="2" cm="1">
        <f t="array" ref="D141">INDEX( ComputeThermoProps($A141, $B141, ParametersRange), 1, COLUMN()-2 )</f>
        <v>4.6186919691679321E-4</v>
      </c>
      <c r="E141" s="2" cm="1">
        <f t="array" ref="E141">INDEX( ComputeThermoProps($A141, $B141, ParametersRange), 1, COLUMN()-2 )</f>
        <v>3.6581855076772327E-4</v>
      </c>
      <c r="F141" s="2" cm="1">
        <f t="array" ref="F141">INDEX( ComputeThermoProps($A141, $B141, ParametersRange), 1, COLUMN()-2 )</f>
        <v>8.295639564798007E-4</v>
      </c>
      <c r="G141" s="2" cm="1">
        <f t="array" ref="G141">INDEX( ComputeThermoProps($A141, $B141, ParametersRange), 1, COLUMN()-2 )</f>
        <v>31.257436205286293</v>
      </c>
      <c r="H141" s="2" cm="1">
        <f t="array" ref="H141">INDEX( ComputeThermoProps($A141, $B141, ParametersRange), 1, COLUMN()-2 )</f>
        <v>24.757117577148914</v>
      </c>
      <c r="I141" s="2" cm="1">
        <f t="array" ref="I141">INDEX( ComputeThermoProps($A141, $B141, ParametersRange), 1, COLUMN()-2 )</f>
        <v>2.68</v>
      </c>
      <c r="J141" s="2" cm="1">
        <f t="array" ref="J141">INDEX( ComputeThermoProps($A141, $B141, ParametersRange), 1, COLUMN()-2 )</f>
        <v>2756.0744827103013</v>
      </c>
      <c r="K141" s="2" cm="1">
        <f t="array" ref="K141">INDEX( ComputeThermoProps($A141, $B141, ParametersRange), 1, COLUMN()-2 )</f>
        <v>55.434861414107402</v>
      </c>
      <c r="L141" s="2" cm="1">
        <f t="array" ref="L141">INDEX( ComputeThermoProps($A141, $B141, ParametersRange), 1, COLUMN()-2 )</f>
        <v>-3790.7826502957828</v>
      </c>
      <c r="M141" s="2" cm="1">
        <f t="array" ref="M141">INDEX( ComputeThermoProps($A141, $B141, ParametersRange), 1, COLUMN()-2 )</f>
        <v>2756.0989952204982</v>
      </c>
      <c r="N141" s="2" cm="1">
        <f t="array" ref="N141">INDEX( ComputeThermoProps($A141, $B141, ParametersRange), 1, COLUMN()-2 )</f>
        <v>-3790.7581377855859</v>
      </c>
      <c r="O141" s="2">
        <f t="shared" si="4"/>
        <v>-3.1781162108369267</v>
      </c>
      <c r="P141" s="2">
        <f t="shared" si="5"/>
        <v>-4000.2110056024167</v>
      </c>
    </row>
    <row r="142" spans="1:16" x14ac:dyDescent="0.25">
      <c r="A142" s="2">
        <v>119.1</v>
      </c>
      <c r="B142" s="2">
        <f t="shared" si="3"/>
        <v>7.5459668857888148E-4</v>
      </c>
      <c r="C142" s="2" cm="1">
        <f t="array" ref="C142">INDEX( ComputeThermoProps($A142, $B142, ParametersRange), 1, COLUMN()-2 )</f>
        <v>36.971343366532913</v>
      </c>
      <c r="D142" s="2" cm="1">
        <f t="array" ref="D142">INDEX( ComputeThermoProps($A142, $B142, ParametersRange), 1, COLUMN()-2 )</f>
        <v>4.64671345178271E-4</v>
      </c>
      <c r="E142" s="2" cm="1">
        <f t="array" ref="E142">INDEX( ComputeThermoProps($A142, $B142, ParametersRange), 1, COLUMN()-2 )</f>
        <v>3.6697367395967608E-4</v>
      </c>
      <c r="F142" s="2" cm="1">
        <f t="array" ref="F142">INDEX( ComputeThermoProps($A142, $B142, ParametersRange), 1, COLUMN()-2 )</f>
        <v>8.3407047184174007E-4</v>
      </c>
      <c r="G142" s="2" cm="1">
        <f t="array" ref="G142">INDEX( ComputeThermoProps($A142, $B142, ParametersRange), 1, COLUMN()-2 )</f>
        <v>31.354384050708049</v>
      </c>
      <c r="H142" s="2" cm="1">
        <f t="array" ref="H142">INDEX( ComputeThermoProps($A142, $B142, ParametersRange), 1, COLUMN()-2 )</f>
        <v>24.762089655897849</v>
      </c>
      <c r="I142" s="2" cm="1">
        <f t="array" ref="I142">INDEX( ComputeThermoProps($A142, $B142, ParametersRange), 1, COLUMN()-2 )</f>
        <v>2.6800000000000006</v>
      </c>
      <c r="J142" s="2" cm="1">
        <f t="array" ref="J142">INDEX( ComputeThermoProps($A142, $B142, ParametersRange), 1, COLUMN()-2 )</f>
        <v>2787.3799546060714</v>
      </c>
      <c r="K142" s="2" cm="1">
        <f t="array" ref="K142">INDEX( ComputeThermoProps($A142, $B142, ParametersRange), 1, COLUMN()-2 )</f>
        <v>55.698791108820927</v>
      </c>
      <c r="L142" s="2" cm="1">
        <f t="array" ref="L142">INDEX( ComputeThermoProps($A142, $B142, ParametersRange), 1, COLUMN()-2 )</f>
        <v>-3846.3460664545009</v>
      </c>
      <c r="M142" s="2" cm="1">
        <f t="array" ref="M142">INDEX( ComputeThermoProps($A142, $B142, ParametersRange), 1, COLUMN()-2 )</f>
        <v>2787.4078530593479</v>
      </c>
      <c r="N142" s="2" cm="1">
        <f t="array" ref="N142">INDEX( ComputeThermoProps($A142, $B142, ParametersRange), 1, COLUMN()-2 )</f>
        <v>-3846.3181680012244</v>
      </c>
      <c r="O142" s="2">
        <f t="shared" si="4"/>
        <v>-3.1222851049593996</v>
      </c>
      <c r="P142" s="2">
        <f t="shared" si="5"/>
        <v>-3968.902147763567</v>
      </c>
    </row>
    <row r="143" spans="1:16" x14ac:dyDescent="0.25">
      <c r="A143" s="2">
        <v>120.1</v>
      </c>
      <c r="B143" s="2">
        <f t="shared" si="3"/>
        <v>8.5681595622266965E-4</v>
      </c>
      <c r="C143" s="2" cm="1">
        <f t="array" ref="C143">INDEX( ComputeThermoProps($A143, $B143, ParametersRange), 1, COLUMN()-2 )</f>
        <v>37.00227557556483</v>
      </c>
      <c r="D143" s="2" cm="1">
        <f t="array" ref="D143">INDEX( ComputeThermoProps($A143, $B143, ParametersRange), 1, COLUMN()-2 )</f>
        <v>4.6751825779365463E-4</v>
      </c>
      <c r="E143" s="2" cm="1">
        <f t="array" ref="E143">INDEX( ComputeThermoProps($A143, $B143, ParametersRange), 1, COLUMN()-2 )</f>
        <v>3.681441494298153E-4</v>
      </c>
      <c r="F143" s="2" cm="1">
        <f t="array" ref="F143">INDEX( ComputeThermoProps($A143, $B143, ParametersRange), 1, COLUMN()-2 )</f>
        <v>8.386437997427046E-4</v>
      </c>
      <c r="G143" s="2" cm="1">
        <f t="array" ref="G143">INDEX( ComputeThermoProps($A143, $B143, ParametersRange), 1, COLUMN()-2 )</f>
        <v>31.452362808419529</v>
      </c>
      <c r="H143" s="2" cm="1">
        <f t="array" ref="H143">INDEX( ComputeThermoProps($A143, $B143, ParametersRange), 1, COLUMN()-2 )</f>
        <v>24.766954360901369</v>
      </c>
      <c r="I143" s="2" cm="1">
        <f t="array" ref="I143">INDEX( ComputeThermoProps($A143, $B143, ParametersRange), 1, COLUMN()-2 )</f>
        <v>2.6800000000000006</v>
      </c>
      <c r="J143" s="2" cm="1">
        <f t="array" ref="J143">INDEX( ComputeThermoProps($A143, $B143, ParametersRange), 1, COLUMN()-2 )</f>
        <v>2818.7828376079005</v>
      </c>
      <c r="K143" s="2" cm="1">
        <f t="array" ref="K143">INDEX( ComputeThermoProps($A143, $B143, ParametersRange), 1, COLUMN()-2 )</f>
        <v>55.961327785410191</v>
      </c>
      <c r="L143" s="2" cm="1">
        <f t="array" ref="L143">INDEX( ComputeThermoProps($A143, $B143, ParametersRange), 1, COLUMN()-2 )</f>
        <v>-3902.1726294198629</v>
      </c>
      <c r="M143" s="2" cm="1">
        <f t="array" ref="M143">INDEX( ComputeThermoProps($A143, $B143, ParametersRange), 1, COLUMN()-2 )</f>
        <v>2818.81454174803</v>
      </c>
      <c r="N143" s="2" cm="1">
        <f t="array" ref="N143">INDEX( ComputeThermoProps($A143, $B143, ParametersRange), 1, COLUMN()-2 )</f>
        <v>-3902.1409252797334</v>
      </c>
      <c r="O143" s="2">
        <f t="shared" si="4"/>
        <v>-3.0671124543669896</v>
      </c>
      <c r="P143" s="2">
        <f t="shared" si="5"/>
        <v>-3937.4954590748848</v>
      </c>
    </row>
    <row r="144" spans="1:16" x14ac:dyDescent="0.25">
      <c r="A144" s="2">
        <v>121.1</v>
      </c>
      <c r="B144" s="2">
        <f t="shared" si="3"/>
        <v>9.7146974381707584E-4</v>
      </c>
      <c r="C144" s="2" cm="1">
        <f t="array" ref="C144">INDEX( ComputeThermoProps($A144, $B144, ParametersRange), 1, COLUMN()-2 )</f>
        <v>37.033404070071477</v>
      </c>
      <c r="D144" s="2" cm="1">
        <f t="array" ref="D144">INDEX( ComputeThermoProps($A144, $B144, ParametersRange), 1, COLUMN()-2 )</f>
        <v>4.7041113140403458E-4</v>
      </c>
      <c r="E144" s="2" cm="1">
        <f t="array" ref="E144">INDEX( ComputeThermoProps($A144, $B144, ParametersRange), 1, COLUMN()-2 )</f>
        <v>3.6933031678275868E-4</v>
      </c>
      <c r="F144" s="2" cm="1">
        <f t="array" ref="F144">INDEX( ComputeThermoProps($A144, $B144, ParametersRange), 1, COLUMN()-2 )</f>
        <v>8.4328589753866051E-4</v>
      </c>
      <c r="G144" s="2" cm="1">
        <f t="array" ref="G144">INDEX( ComputeThermoProps($A144, $B144, ParametersRange), 1, COLUMN()-2 )</f>
        <v>31.551406119935379</v>
      </c>
      <c r="H144" s="2" cm="1">
        <f t="array" ref="H144">INDEX( ComputeThermoProps($A144, $B144, ParametersRange), 1, COLUMN()-2 )</f>
        <v>24.771715716923747</v>
      </c>
      <c r="I144" s="2" cm="1">
        <f t="array" ref="I144">INDEX( ComputeThermoProps($A144, $B144, ParametersRange), 1, COLUMN()-2 )</f>
        <v>2.6799999999999997</v>
      </c>
      <c r="J144" s="2" cm="1">
        <f t="array" ref="J144">INDEX( ComputeThermoProps($A144, $B144, ParametersRange), 1, COLUMN()-2 )</f>
        <v>2850.2841729991142</v>
      </c>
      <c r="K144" s="2" cm="1">
        <f t="array" ref="K144">INDEX( ComputeThermoProps($A144, $B144, ParametersRange), 1, COLUMN()-2 )</f>
        <v>56.222503168353491</v>
      </c>
      <c r="L144" s="2" cm="1">
        <f t="array" ref="L144">INDEX( ComputeThermoProps($A144, $B144, ParametersRange), 1, COLUMN()-2 )</f>
        <v>-3958.2609606884935</v>
      </c>
      <c r="M144" s="2" cm="1">
        <f t="array" ref="M144">INDEX( ComputeThermoProps($A144, $B144, ParametersRange), 1, COLUMN()-2 )</f>
        <v>2850.3201498306789</v>
      </c>
      <c r="N144" s="2" cm="1">
        <f t="array" ref="N144">INDEX( ComputeThermoProps($A144, $B144, ParametersRange), 1, COLUMN()-2 )</f>
        <v>-3958.2249838569287</v>
      </c>
      <c r="O144" s="2">
        <f t="shared" si="4"/>
        <v>-3.0125707208469139</v>
      </c>
      <c r="P144" s="2">
        <f t="shared" si="5"/>
        <v>-3905.9898509922359</v>
      </c>
    </row>
    <row r="145" spans="1:16" x14ac:dyDescent="0.25">
      <c r="A145" s="2">
        <v>122.1</v>
      </c>
      <c r="B145" s="2">
        <f t="shared" si="3"/>
        <v>1.099933868703853E-3</v>
      </c>
      <c r="C145" s="2" cm="1">
        <f t="array" ref="C145">INDEX( ComputeThermoProps($A145, $B145, ParametersRange), 1, COLUMN()-2 )</f>
        <v>37.064731861073916</v>
      </c>
      <c r="D145" s="2" cm="1">
        <f t="array" ref="D145">INDEX( ComputeThermoProps($A145, $B145, ParametersRange), 1, COLUMN()-2 )</f>
        <v>4.7335120767330667E-4</v>
      </c>
      <c r="E145" s="2" cm="1">
        <f t="array" ref="E145">INDEX( ComputeThermoProps($A145, $B145, ParametersRange), 1, COLUMN()-2 )</f>
        <v>3.7053252673742789E-4</v>
      </c>
      <c r="F145" s="2" cm="1">
        <f t="array" ref="F145">INDEX( ComputeThermoProps($A145, $B145, ParametersRange), 1, COLUMN()-2 )</f>
        <v>8.4799878894163596E-4</v>
      </c>
      <c r="G145" s="2" cm="1">
        <f t="array" ref="G145">INDEX( ComputeThermoProps($A145, $B145, ParametersRange), 1, COLUMN()-2 )</f>
        <v>31.651548545456695</v>
      </c>
      <c r="H145" s="2" cm="1">
        <f t="array" ref="H145">INDEX( ComputeThermoProps($A145, $B145, ParametersRange), 1, COLUMN()-2 )</f>
        <v>24.776377597825221</v>
      </c>
      <c r="I145" s="2" cm="1">
        <f t="array" ref="I145">INDEX( ComputeThermoProps($A145, $B145, ParametersRange), 1, COLUMN()-2 )</f>
        <v>2.68</v>
      </c>
      <c r="J145" s="2" cm="1">
        <f t="array" ref="J145">INDEX( ComputeThermoProps($A145, $B145, ParametersRange), 1, COLUMN()-2 )</f>
        <v>2881.8850353805478</v>
      </c>
      <c r="K145" s="2" cm="1">
        <f t="array" ref="K145">INDEX( ComputeThermoProps($A145, $B145, ParametersRange), 1, COLUMN()-2 )</f>
        <v>56.482348473496977</v>
      </c>
      <c r="L145" s="2" cm="1">
        <f t="array" ref="L145">INDEX( ComputeThermoProps($A145, $B145, ParametersRange), 1, COLUMN()-2 )</f>
        <v>-4014.6097132334326</v>
      </c>
      <c r="M145" s="2" cm="1">
        <f t="array" ref="M145">INDEX( ComputeThermoProps($A145, $B145, ParametersRange), 1, COLUMN()-2 )</f>
        <v>2881.925804134456</v>
      </c>
      <c r="N145" s="2" cm="1">
        <f t="array" ref="N145">INDEX( ComputeThermoProps($A145, $B145, ParametersRange), 1, COLUMN()-2 )</f>
        <v>-4014.5689444795244</v>
      </c>
      <c r="O145" s="2">
        <f t="shared" si="4"/>
        <v>-2.9586334251330113</v>
      </c>
      <c r="P145" s="2">
        <f t="shared" si="5"/>
        <v>-3874.3841966884588</v>
      </c>
    </row>
    <row r="146" spans="1:16" x14ac:dyDescent="0.25">
      <c r="A146" s="2">
        <v>123.1</v>
      </c>
      <c r="B146" s="2">
        <f t="shared" si="3"/>
        <v>1.2437265745429268E-3</v>
      </c>
      <c r="C146" s="2" cm="1">
        <f t="array" ref="C146">INDEX( ComputeThermoProps($A146, $B146, ParametersRange), 1, COLUMN()-2 )</f>
        <v>37.096262044712248</v>
      </c>
      <c r="D146" s="2" cm="1">
        <f t="array" ref="D146">INDEX( ComputeThermoProps($A146, $B146, ParametersRange), 1, COLUMN()-2 )</f>
        <v>4.7633977539470932E-4</v>
      </c>
      <c r="E146" s="2" cm="1">
        <f t="array" ref="E146">INDEX( ComputeThermoProps($A146, $B146, ParametersRange), 1, COLUMN()-2 )</f>
        <v>3.7175114158712383E-4</v>
      </c>
      <c r="F146" s="2" cm="1">
        <f t="array" ref="F146">INDEX( ComputeThermoProps($A146, $B146, ParametersRange), 1, COLUMN()-2 )</f>
        <v>8.5278456699822863E-4</v>
      </c>
      <c r="G146" s="2" cm="1">
        <f t="array" ref="G146">INDEX( ComputeThermoProps($A146, $B146, ParametersRange), 1, COLUMN()-2 )</f>
        <v>31.752825601742057</v>
      </c>
      <c r="H146" s="2" cm="1">
        <f t="array" ref="H146">INDEX( ComputeThermoProps($A146, $B146, ParametersRange), 1, COLUMN()-2 )</f>
        <v>24.780943720862261</v>
      </c>
      <c r="I146" s="2" cm="1">
        <f t="array" ref="I146">INDEX( ComputeThermoProps($A146, $B146, ParametersRange), 1, COLUMN()-2 )</f>
        <v>2.68</v>
      </c>
      <c r="J146" s="2" cm="1">
        <f t="array" ref="J146">INDEX( ComputeThermoProps($A146, $B146, ParametersRange), 1, COLUMN()-2 )</f>
        <v>2913.5865335185449</v>
      </c>
      <c r="K146" s="2" cm="1">
        <f t="array" ref="K146">INDEX( ComputeThermoProps($A146, $B146, ParametersRange), 1, COLUMN()-2 )</f>
        <v>56.740894431601724</v>
      </c>
      <c r="L146" s="2" cm="1">
        <f t="array" ref="L146">INDEX( ComputeThermoProps($A146, $B146, ParametersRange), 1, COLUMN()-2 )</f>
        <v>-4071.2175710116271</v>
      </c>
      <c r="M146" s="2" cm="1">
        <f t="array" ref="M146">INDEX( ComputeThermoProps($A146, $B146, ParametersRange), 1, COLUMN()-2 )</f>
        <v>2913.632671125466</v>
      </c>
      <c r="N146" s="2" cm="1">
        <f t="array" ref="N146">INDEX( ComputeThermoProps($A146, $B146, ParametersRange), 1, COLUMN()-2 )</f>
        <v>-4071.171433404706</v>
      </c>
      <c r="O146" s="2">
        <f t="shared" si="4"/>
        <v>-2.9052750860593246</v>
      </c>
      <c r="P146" s="2">
        <f t="shared" si="5"/>
        <v>-3842.6773296974488</v>
      </c>
    </row>
    <row r="147" spans="1:16" x14ac:dyDescent="0.25">
      <c r="A147" s="2">
        <v>124.1</v>
      </c>
      <c r="B147" s="2">
        <f t="shared" si="3"/>
        <v>1.4045229443872135E-3</v>
      </c>
      <c r="C147" s="2" cm="1">
        <f t="array" ref="C147">INDEX( ComputeThermoProps($A147, $B147, ParametersRange), 1, COLUMN()-2 )</f>
        <v>37.127997805028912</v>
      </c>
      <c r="D147" s="2" cm="1">
        <f t="array" ref="D147">INDEX( ComputeThermoProps($A147, $B147, ParametersRange), 1, COLUMN()-2 )</f>
        <v>4.7937817288763035E-4</v>
      </c>
      <c r="E147" s="2" cm="1">
        <f t="array" ref="E147">INDEX( ComputeThermoProps($A147, $B147, ParametersRange), 1, COLUMN()-2 )</f>
        <v>3.7298653568300957E-4</v>
      </c>
      <c r="F147" s="2" cm="1">
        <f t="array" ref="F147">INDEX( ComputeThermoProps($A147, $B147, ParametersRange), 1, COLUMN()-2 )</f>
        <v>8.5764539860436163E-4</v>
      </c>
      <c r="G147" s="2" cm="1">
        <f t="array" ref="G147">INDEX( ComputeThermoProps($A147, $B147, ParametersRange), 1, COLUMN()-2 )</f>
        <v>31.855273852936264</v>
      </c>
      <c r="H147" s="2" cm="1">
        <f t="array" ref="H147">INDEX( ComputeThermoProps($A147, $B147, ParametersRange), 1, COLUMN()-2 )</f>
        <v>24.7854176715413</v>
      </c>
      <c r="I147" s="2" cm="1">
        <f t="array" ref="I147">INDEX( ComputeThermoProps($A147, $B147, ParametersRange), 1, COLUMN()-2 )</f>
        <v>2.6800000000000006</v>
      </c>
      <c r="J147" s="2" cm="1">
        <f t="array" ref="J147">INDEX( ComputeThermoProps($A147, $B147, ParametersRange), 1, COLUMN()-2 )</f>
        <v>2945.3898112429779</v>
      </c>
      <c r="K147" s="2" cm="1">
        <f t="array" ref="K147">INDEX( ComputeThermoProps($A147, $B147, ParametersRange), 1, COLUMN()-2 )</f>
        <v>56.998171311347271</v>
      </c>
      <c r="L147" s="2" cm="1">
        <f t="array" ref="L147">INDEX( ComputeThermoProps($A147, $B147, ParametersRange), 1, COLUMN()-2 )</f>
        <v>-4128.083248495218</v>
      </c>
      <c r="M147" s="2" cm="1">
        <f t="array" ref="M147">INDEX( ComputeThermoProps($A147, $B147, ParametersRange), 1, COLUMN()-2 )</f>
        <v>2945.4419583677741</v>
      </c>
      <c r="N147" s="2" cm="1">
        <f t="array" ref="N147">INDEX( ComputeThermoProps($A147, $B147, ParametersRange), 1, COLUMN()-2 )</f>
        <v>-4128.0311013704222</v>
      </c>
      <c r="O147" s="2">
        <f t="shared" si="4"/>
        <v>-2.8524711617387535</v>
      </c>
      <c r="P147" s="2">
        <f t="shared" si="5"/>
        <v>-3810.8680424551408</v>
      </c>
    </row>
    <row r="148" spans="1:16" x14ac:dyDescent="0.25">
      <c r="A148" s="2">
        <v>125.1</v>
      </c>
      <c r="B148" s="2">
        <f t="shared" si="3"/>
        <v>1.5841708127611008E-3</v>
      </c>
      <c r="C148" s="2" cm="1">
        <f t="array" ref="C148">INDEX( ComputeThermoProps($A148, $B148, ParametersRange), 1, COLUMN()-2 )</f>
        <v>37.15994241687725</v>
      </c>
      <c r="D148" s="2" cm="1">
        <f t="array" ref="D148">INDEX( ComputeThermoProps($A148, $B148, ParametersRange), 1, COLUMN()-2 )</f>
        <v>4.8246779034259219E-4</v>
      </c>
      <c r="E148" s="2" cm="1">
        <f t="array" ref="E148">INDEX( ComputeThermoProps($A148, $B148, ParametersRange), 1, COLUMN()-2 )</f>
        <v>3.742390959423095E-4</v>
      </c>
      <c r="F148" s="2" cm="1">
        <f t="array" ref="F148">INDEX( ComputeThermoProps($A148, $B148, ParametersRange), 1, COLUMN()-2 )</f>
        <v>8.6258352766860552E-4</v>
      </c>
      <c r="G148" s="2" cm="1">
        <f t="array" ref="G148">INDEX( ComputeThermoProps($A148, $B148, ParametersRange), 1, COLUMN()-2 )</f>
        <v>31.958930946214767</v>
      </c>
      <c r="H148" s="2" cm="1">
        <f t="array" ref="H148">INDEX( ComputeThermoProps($A148, $B148, ParametersRange), 1, COLUMN()-2 )</f>
        <v>24.789802892544017</v>
      </c>
      <c r="I148" s="2" cm="1">
        <f t="array" ref="I148">INDEX( ComputeThermoProps($A148, $B148, ParametersRange), 1, COLUMN()-2 )</f>
        <v>2.68</v>
      </c>
      <c r="J148" s="2" cm="1">
        <f t="array" ref="J148">INDEX( ComputeThermoProps($A148, $B148, ParametersRange), 1, COLUMN()-2 )</f>
        <v>2977.2960483966181</v>
      </c>
      <c r="K148" s="2" cm="1">
        <f t="array" ref="K148">INDEX( ComputeThermoProps($A148, $B148, ParametersRange), 1, COLUMN()-2 )</f>
        <v>57.254208941829482</v>
      </c>
      <c r="L148" s="2" cm="1">
        <f t="array" ref="L148">INDEX( ComputeThermoProps($A148, $B148, ParametersRange), 1, COLUMN()-2 )</f>
        <v>-4185.2054902262498</v>
      </c>
      <c r="M148" s="2" cm="1">
        <f t="array" ref="M148">INDEX( ComputeThermoProps($A148, $B148, ParametersRange), 1, COLUMN()-2 )</f>
        <v>2977.3549160927987</v>
      </c>
      <c r="N148" s="2" cm="1">
        <f t="array" ref="N148">INDEX( ComputeThermoProps($A148, $B148, ParametersRange), 1, COLUMN()-2 )</f>
        <v>-4185.1466225300692</v>
      </c>
      <c r="O148" s="2">
        <f t="shared" si="4"/>
        <v>-2.8001979925444682</v>
      </c>
      <c r="P148" s="2">
        <f t="shared" si="5"/>
        <v>-3778.9550847301161</v>
      </c>
    </row>
    <row r="149" spans="1:16" x14ac:dyDescent="0.25">
      <c r="A149" s="2">
        <v>126.1</v>
      </c>
      <c r="B149" s="2">
        <f t="shared" si="3"/>
        <v>1.7847083449680872E-3</v>
      </c>
      <c r="C149" s="2" cm="1">
        <f t="array" ref="C149">INDEX( ComputeThermoProps($A149, $B149, ParametersRange), 1, COLUMN()-2 )</f>
        <v>37.1920992489597</v>
      </c>
      <c r="D149" s="2" cm="1">
        <f t="array" ref="D149">INDEX( ComputeThermoProps($A149, $B149, ParametersRange), 1, COLUMN()-2 )</f>
        <v>4.8561007250042773E-4</v>
      </c>
      <c r="E149" s="2" cm="1">
        <f t="array" ref="E149">INDEX( ComputeThermoProps($A149, $B149, ParametersRange), 1, COLUMN()-2 )</f>
        <v>3.7550922238259655E-4</v>
      </c>
      <c r="F149" s="2" cm="1">
        <f t="array" ref="F149">INDEX( ComputeThermoProps($A149, $B149, ParametersRange), 1, COLUMN()-2 )</f>
        <v>8.6760128002801419E-4</v>
      </c>
      <c r="G149" s="2" cm="1">
        <f t="array" ref="G149">INDEX( ComputeThermoProps($A149, $B149, ParametersRange), 1, COLUMN()-2 )</f>
        <v>32.063835707646</v>
      </c>
      <c r="H149" s="2" cm="1">
        <f t="array" ref="H149">INDEX( ComputeThermoProps($A149, $B149, ParametersRange), 1, COLUMN()-2 )</f>
        <v>24.794102707107413</v>
      </c>
      <c r="I149" s="2" cm="1">
        <f t="array" ref="I149">INDEX( ComputeThermoProps($A149, $B149, ParametersRange), 1, COLUMN()-2 )</f>
        <v>2.6800000000000006</v>
      </c>
      <c r="J149" s="2" cm="1">
        <f t="array" ref="J149">INDEX( ComputeThermoProps($A149, $B149, ParametersRange), 1, COLUMN()-2 )</f>
        <v>3009.3064618372719</v>
      </c>
      <c r="K149" s="2" cm="1">
        <f t="array" ref="K149">INDEX( ComputeThermoProps($A149, $B149, ParametersRange), 1, COLUMN()-2 )</f>
        <v>57.509036734588506</v>
      </c>
      <c r="L149" s="2" cm="1">
        <f t="array" ref="L149">INDEX( ComputeThermoProps($A149, $B149, ParametersRange), 1, COLUMN()-2 )</f>
        <v>-4242.5830703943384</v>
      </c>
      <c r="M149" s="2" cm="1">
        <f t="array" ref="M149">INDEX( ComputeThermoProps($A149, $B149, ParametersRange), 1, COLUMN()-2 )</f>
        <v>3009.3728388871682</v>
      </c>
      <c r="N149" s="2" cm="1">
        <f t="array" ref="N149">INDEX( ComputeThermoProps($A149, $B149, ParametersRange), 1, COLUMN()-2 )</f>
        <v>-4242.5166933444416</v>
      </c>
      <c r="O149" s="2">
        <f t="shared" si="4"/>
        <v>-2.7484327456694762</v>
      </c>
      <c r="P149" s="2">
        <f t="shared" si="5"/>
        <v>-3746.9371619357466</v>
      </c>
    </row>
    <row r="150" spans="1:16" x14ac:dyDescent="0.25">
      <c r="A150" s="2">
        <v>127.1</v>
      </c>
      <c r="B150" s="2">
        <f t="shared" si="3"/>
        <v>2.0083834732780035E-3</v>
      </c>
      <c r="C150" s="2" cm="1">
        <f t="array" ref="C150">INDEX( ComputeThermoProps($A150, $B150, ParametersRange), 1, COLUMN()-2 )</f>
        <v>37.224471766999862</v>
      </c>
      <c r="D150" s="2" cm="1">
        <f t="array" ref="D150">INDEX( ComputeThermoProps($A150, $B150, ParametersRange), 1, COLUMN()-2 )</f>
        <v>4.8880652130149855E-4</v>
      </c>
      <c r="E150" s="2" cm="1">
        <f t="array" ref="E150">INDEX( ComputeThermoProps($A150, $B150, ParametersRange), 1, COLUMN()-2 )</f>
        <v>3.7679732868362394E-4</v>
      </c>
      <c r="F150" s="2" cm="1">
        <f t="array" ref="F150">INDEX( ComputeThermoProps($A150, $B150, ParametersRange), 1, COLUMN()-2 )</f>
        <v>8.7270106709707391E-4</v>
      </c>
      <c r="G150" s="2" cm="1">
        <f t="array" ref="G150">INDEX( ComputeThermoProps($A150, $B150, ParametersRange), 1, COLUMN()-2 )</f>
        <v>32.170028185635928</v>
      </c>
      <c r="H150" s="2" cm="1">
        <f t="array" ref="H150">INDEX( ComputeThermoProps($A150, $B150, ParametersRange), 1, COLUMN()-2 )</f>
        <v>24.798320308308345</v>
      </c>
      <c r="I150" s="2" cm="1">
        <f t="array" ref="I150">INDEX( ComputeThermoProps($A150, $B150, ParametersRange), 1, COLUMN()-2 )</f>
        <v>2.68</v>
      </c>
      <c r="J150" s="2" cm="1">
        <f t="array" ref="J150">INDEX( ComputeThermoProps($A150, $B150, ParametersRange), 1, COLUMN()-2 )</f>
        <v>3041.4223064941134</v>
      </c>
      <c r="K150" s="2" cm="1">
        <f t="array" ref="K150">INDEX( ComputeThermoProps($A150, $B150, ParametersRange), 1, COLUMN()-2 )</f>
        <v>57.762683705201212</v>
      </c>
      <c r="L150" s="2" cm="1">
        <f t="array" ref="L150">INDEX( ComputeThermoProps($A150, $B150, ParametersRange), 1, COLUMN()-2 )</f>
        <v>-4300.2147924369601</v>
      </c>
      <c r="M150" s="2" cm="1">
        <f t="array" ref="M150">INDEX( ComputeThermoProps($A150, $B150, ParametersRange), 1, COLUMN()-2 )</f>
        <v>3041.4970675080117</v>
      </c>
      <c r="N150" s="2" cm="1">
        <f t="array" ref="N150">INDEX( ComputeThermoProps($A150, $B150, ParametersRange), 1, COLUMN()-2 )</f>
        <v>-4300.1400314230623</v>
      </c>
      <c r="O150" s="2">
        <f t="shared" si="4"/>
        <v>-2.6971533610348439</v>
      </c>
      <c r="P150" s="2">
        <f t="shared" si="5"/>
        <v>-3714.8129333149031</v>
      </c>
    </row>
    <row r="151" spans="1:16" x14ac:dyDescent="0.25">
      <c r="A151" s="2">
        <v>128.1</v>
      </c>
      <c r="B151" s="2">
        <f t="shared" si="3"/>
        <v>2.257675404294696E-3</v>
      </c>
      <c r="C151" s="2" cm="1">
        <f t="array" ref="C151">INDEX( ComputeThermoProps($A151, $B151, ParametersRange), 1, COLUMN()-2 )</f>
        <v>37.257063537052794</v>
      </c>
      <c r="D151" s="2" cm="1">
        <f t="array" ref="D151">INDEX( ComputeThermoProps($A151, $B151, ParametersRange), 1, COLUMN()-2 )</f>
        <v>4.9205869890940797E-4</v>
      </c>
      <c r="E151" s="2" cm="1">
        <f t="array" ref="E151">INDEX( ComputeThermoProps($A151, $B151, ParametersRange), 1, COLUMN()-2 )</f>
        <v>3.7810384277822136E-4</v>
      </c>
      <c r="F151" s="2" cm="1">
        <f t="array" ref="F151">INDEX( ComputeThermoProps($A151, $B151, ParametersRange), 1, COLUMN()-2 )</f>
        <v>8.7788539141535977E-4</v>
      </c>
      <c r="G151" s="2" cm="1">
        <f t="array" ref="G151">INDEX( ComputeThermoProps($A151, $B151, ParametersRange), 1, COLUMN()-2 )</f>
        <v>32.277549758973223</v>
      </c>
      <c r="H151" s="2" cm="1">
        <f t="array" ref="H151">INDEX( ComputeThermoProps($A151, $B151, ParametersRange), 1, COLUMN()-2 )</f>
        <v>24.802458784657993</v>
      </c>
      <c r="I151" s="2" cm="1">
        <f t="array" ref="I151">INDEX( ComputeThermoProps($A151, $B151, ParametersRange), 1, COLUMN()-2 )</f>
        <v>2.6800000000000006</v>
      </c>
      <c r="J151" s="2" cm="1">
        <f t="array" ref="J151">INDEX( ComputeThermoProps($A151, $B151, ParametersRange), 1, COLUMN()-2 )</f>
        <v>3073.6448764796678</v>
      </c>
      <c r="K151" s="2" cm="1">
        <f t="array" ref="K151">INDEX( ComputeThermoProps($A151, $B151, ParametersRange), 1, COLUMN()-2 )</f>
        <v>58.015178494470774</v>
      </c>
      <c r="L151" s="2" cm="1">
        <f t="array" ref="L151">INDEX( ComputeThermoProps($A151, $B151, ParametersRange), 1, COLUMN()-2 )</f>
        <v>-4358.0994886620383</v>
      </c>
      <c r="M151" s="2" cm="1">
        <f t="array" ref="M151">INDEX( ComputeThermoProps($A151, $B151, ParametersRange), 1, COLUMN()-2 )</f>
        <v>3073.7289908356515</v>
      </c>
      <c r="N151" s="2" cm="1">
        <f t="array" ref="N151">INDEX( ComputeThermoProps($A151, $B151, ParametersRange), 1, COLUMN()-2 )</f>
        <v>-4358.0153743060546</v>
      </c>
      <c r="O151" s="2">
        <f t="shared" si="4"/>
        <v>-2.6463384983088001</v>
      </c>
      <c r="P151" s="2">
        <f t="shared" si="5"/>
        <v>-3682.5810099872633</v>
      </c>
    </row>
    <row r="152" spans="1:16" x14ac:dyDescent="0.25">
      <c r="A152" s="2">
        <v>129.1</v>
      </c>
      <c r="B152" s="2">
        <f t="shared" ref="B152:B215" si="6">IF(
  A152 &lt;= $B$5,
  $B$6 * EXP( ($B$5/A152) * ( $B$13*(1 - A152/$B$5) + $B$14*(1 - A152/$B$5)^1.5 + $B$15*(1 - A152/$B$5)^5 ) ),
  $B$6 * ( 1 + $B$17 * MAX(A152/$B$5 - 1, 0)^$B$18 + $B$19 * MAX(A152/$B$5 - 1, 0)^$B$20 )
)</f>
        <v>2.5353184402621266E-3</v>
      </c>
      <c r="C152" s="2" cm="1">
        <f t="array" ref="C152">INDEX( ComputeThermoProps($A152, $B152, ParametersRange), 1, COLUMN()-2 )</f>
        <v>37.289878228957619</v>
      </c>
      <c r="D152" s="2" cm="1">
        <f t="array" ref="D152">INDEX( ComputeThermoProps($A152, $B152, ParametersRange), 1, COLUMN()-2 )</f>
        <v>4.9536823068446734E-4</v>
      </c>
      <c r="E152" s="2" cm="1">
        <f t="array" ref="E152">INDEX( ComputeThermoProps($A152, $B152, ParametersRange), 1, COLUMN()-2 )</f>
        <v>3.7942920747387101E-4</v>
      </c>
      <c r="F152" s="2" cm="1">
        <f t="array" ref="F152">INDEX( ComputeThermoProps($A152, $B152, ParametersRange), 1, COLUMN()-2 )</f>
        <v>8.8315685065971255E-4</v>
      </c>
      <c r="G152" s="2" cm="1">
        <f t="array" ref="G152">INDEX( ComputeThermoProps($A152, $B152, ParametersRange), 1, COLUMN()-2 )</f>
        <v>32.386443182059956</v>
      </c>
      <c r="H152" s="2" cm="1">
        <f t="array" ref="H152">INDEX( ComputeThermoProps($A152, $B152, ParametersRange), 1, COLUMN()-2 )</f>
        <v>24.806521105496227</v>
      </c>
      <c r="I152" s="2" cm="1">
        <f t="array" ref="I152">INDEX( ComputeThermoProps($A152, $B152, ParametersRange), 1, COLUMN()-2 )</f>
        <v>2.68</v>
      </c>
      <c r="J152" s="2" cm="1">
        <f t="array" ref="J152">INDEX( ComputeThermoProps($A152, $B152, ParametersRange), 1, COLUMN()-2 )</f>
        <v>3105.9755062589584</v>
      </c>
      <c r="K152" s="2" cm="1">
        <f t="array" ref="K152">INDEX( ComputeThermoProps($A152, $B152, ParametersRange), 1, COLUMN()-2 )</f>
        <v>58.266549389244787</v>
      </c>
      <c r="L152" s="2" cm="1">
        <f t="array" ref="L152">INDEX( ComputeThermoProps($A152, $B152, ParametersRange), 1, COLUMN()-2 )</f>
        <v>-4416.2360198925435</v>
      </c>
      <c r="M152" s="2" cm="1">
        <f t="array" ref="M152">INDEX( ComputeThermoProps($A152, $B152, ParametersRange), 1, COLUMN()-2 )</f>
        <v>3106.0700479748675</v>
      </c>
      <c r="N152" s="2" cm="1">
        <f t="array" ref="N152">INDEX( ComputeThermoProps($A152, $B152, ParametersRange), 1, COLUMN()-2 )</f>
        <v>-4416.1414781766343</v>
      </c>
      <c r="O152" s="2">
        <f t="shared" ref="O152:O215" si="7">LOG10(B152)</f>
        <v>-2.595967484787002</v>
      </c>
      <c r="P152" s="2">
        <f t="shared" ref="P152:P215" si="8">M152-$B$11</f>
        <v>-3650.2399528480473</v>
      </c>
    </row>
    <row r="153" spans="1:16" x14ac:dyDescent="0.25">
      <c r="A153" s="2">
        <v>130.1</v>
      </c>
      <c r="B153" s="2">
        <f t="shared" si="6"/>
        <v>2.8443283900373472E-3</v>
      </c>
      <c r="C153" s="2" cm="1">
        <f t="array" ref="C153">INDEX( ComputeThermoProps($A153, $B153, ParametersRange), 1, COLUMN()-2 )</f>
        <v>37.3229196199364</v>
      </c>
      <c r="D153" s="2" cm="1">
        <f t="array" ref="D153">INDEX( ComputeThermoProps($A153, $B153, ParametersRange), 1, COLUMN()-2 )</f>
        <v>4.9873680855898783E-4</v>
      </c>
      <c r="E153" s="2" cm="1">
        <f t="array" ref="E153">INDEX( ComputeThermoProps($A153, $B153, ParametersRange), 1, COLUMN()-2 )</f>
        <v>3.8077388110664603E-4</v>
      </c>
      <c r="F153" s="2" cm="1">
        <f t="array" ref="F153">INDEX( ComputeThermoProps($A153, $B153, ParametersRange), 1, COLUMN()-2 )</f>
        <v>8.8851814359008289E-4</v>
      </c>
      <c r="G153" s="2" cm="1">
        <f t="array" ref="G153">INDEX( ComputeThermoProps($A153, $B153, ParametersRange), 1, COLUMN()-2 )</f>
        <v>32.496752695005789</v>
      </c>
      <c r="H153" s="2" cm="1">
        <f t="array" ref="H153">INDEX( ComputeThermoProps($A153, $B153, ParametersRange), 1, COLUMN()-2 )</f>
        <v>24.810510142197966</v>
      </c>
      <c r="I153" s="2" cm="1">
        <f t="array" ref="I153">INDEX( ComputeThermoProps($A153, $B153, ParametersRange), 1, COLUMN()-2 )</f>
        <v>2.68</v>
      </c>
      <c r="J153" s="2" cm="1">
        <f t="array" ref="J153">INDEX( ComputeThermoProps($A153, $B153, ParametersRange), 1, COLUMN()-2 )</f>
        <v>3138.4155718772558</v>
      </c>
      <c r="K153" s="2" cm="1">
        <f t="array" ref="K153">INDEX( ComputeThermoProps($A153, $B153, ParametersRange), 1, COLUMN()-2 )</f>
        <v>58.516824342891113</v>
      </c>
      <c r="L153" s="2" cm="1">
        <f t="array" ref="L153">INDEX( ComputeThermoProps($A153, $B153, ParametersRange), 1, COLUMN()-2 )</f>
        <v>-4474.623275132878</v>
      </c>
      <c r="M153" s="2" cm="1">
        <f t="array" ref="M153">INDEX( ComputeThermoProps($A153, $B153, ParametersRange), 1, COLUMN()-2 )</f>
        <v>3138.52173051713</v>
      </c>
      <c r="N153" s="2" cm="1">
        <f t="array" ref="N153">INDEX( ComputeThermoProps($A153, $B153, ParametersRange), 1, COLUMN()-2 )</f>
        <v>-4474.5171164930034</v>
      </c>
      <c r="O153" s="2">
        <f t="shared" si="7"/>
        <v>-2.5460202638677694</v>
      </c>
      <c r="P153" s="2">
        <f t="shared" si="8"/>
        <v>-3617.7882703057849</v>
      </c>
    </row>
    <row r="154" spans="1:16" x14ac:dyDescent="0.25">
      <c r="A154" s="2">
        <v>131.1</v>
      </c>
      <c r="B154" s="2">
        <f t="shared" si="6"/>
        <v>3.1880318838063992E-3</v>
      </c>
      <c r="C154" s="2" cm="1">
        <f t="array" ref="C154">INDEX( ComputeThermoProps($A154, $B154, ParametersRange), 1, COLUMN()-2 )</f>
        <v>37.356191598343088</v>
      </c>
      <c r="D154" s="2" cm="1">
        <f t="array" ref="D154">INDEX( ComputeThermoProps($A154, $B154, ParametersRange), 1, COLUMN()-2 )</f>
        <v>5.0216619447479994E-4</v>
      </c>
      <c r="E154" s="2" cm="1">
        <f t="array" ref="E154">INDEX( ComputeThermoProps($A154, $B154, ParametersRange), 1, COLUMN()-2 )</f>
        <v>3.8213833822926536E-4</v>
      </c>
      <c r="F154" s="2" cm="1">
        <f t="array" ref="F154">INDEX( ComputeThermoProps($A154, $B154, ParametersRange), 1, COLUMN()-2 )</f>
        <v>8.939720751930222E-4</v>
      </c>
      <c r="G154" s="2" cm="1">
        <f t="array" ref="G154">INDEX( ComputeThermoProps($A154, $B154, ParametersRange), 1, COLUMN()-2 )</f>
        <v>32.608524097235318</v>
      </c>
      <c r="H154" s="2" cm="1">
        <f t="array" ref="H154">INDEX( ComputeThermoProps($A154, $B154, ParametersRange), 1, COLUMN()-2 )</f>
        <v>24.814428664715269</v>
      </c>
      <c r="I154" s="2" cm="1">
        <f t="array" ref="I154">INDEX( ComputeThermoProps($A154, $B154, ParametersRange), 1, COLUMN()-2 )</f>
        <v>2.68</v>
      </c>
      <c r="J154" s="2" cm="1">
        <f t="array" ref="J154">INDEX( ComputeThermoProps($A154, $B154, ParametersRange), 1, COLUMN()-2 )</f>
        <v>3170.9664922478373</v>
      </c>
      <c r="K154" s="2" cm="1">
        <f t="array" ref="K154">INDEX( ComputeThermoProps($A154, $B154, ParametersRange), 1, COLUMN()-2 )</f>
        <v>58.766030995459282</v>
      </c>
      <c r="L154" s="2" cm="1">
        <f t="array" ref="L154">INDEX( ComputeThermoProps($A154, $B154, ParametersRange), 1, COLUMN()-2 )</f>
        <v>-4533.2601712568739</v>
      </c>
      <c r="M154" s="2" cm="1">
        <f t="array" ref="M154">INDEX( ComputeThermoProps($A154, $B154, ParametersRange), 1, COLUMN()-2 )</f>
        <v>3171.0855849777104</v>
      </c>
      <c r="N154" s="2" cm="1">
        <f t="array" ref="N154">INDEX( ComputeThermoProps($A154, $B154, ParametersRange), 1, COLUMN()-2 )</f>
        <v>-4533.1410785270009</v>
      </c>
      <c r="O154" s="2">
        <f t="shared" si="7"/>
        <v>-2.4964773438342882</v>
      </c>
      <c r="P154" s="2">
        <f t="shared" si="8"/>
        <v>-3585.2244158452045</v>
      </c>
    </row>
    <row r="155" spans="1:16" x14ac:dyDescent="0.25">
      <c r="A155" s="2">
        <v>132.1</v>
      </c>
      <c r="B155" s="2">
        <f t="shared" si="6"/>
        <v>3.5700989504060311E-3</v>
      </c>
      <c r="C155" s="2" cm="1">
        <f t="array" ref="C155">INDEX( ComputeThermoProps($A155, $B155, ParametersRange), 1, COLUMN()-2 )</f>
        <v>37.389698167565541</v>
      </c>
      <c r="D155" s="2" cm="1">
        <f t="array" ref="D155">INDEX( ComputeThermoProps($A155, $B155, ParametersRange), 1, COLUMN()-2 )</f>
        <v>5.0565822408943958E-4</v>
      </c>
      <c r="E155" s="2" cm="1">
        <f t="array" ref="E155">INDEX( ComputeThermoProps($A155, $B155, ParametersRange), 1, COLUMN()-2 )</f>
        <v>3.8352307033510962E-4</v>
      </c>
      <c r="F155" s="2" cm="1">
        <f t="array" ref="F155">INDEX( ComputeThermoProps($A155, $B155, ParametersRange), 1, COLUMN()-2 )</f>
        <v>8.9952156254327392E-4</v>
      </c>
      <c r="G155" s="2" cm="1">
        <f t="array" ref="G155">INDEX( ComputeThermoProps($A155, $B155, ParametersRange), 1, COLUMN()-2 )</f>
        <v>32.721804840200967</v>
      </c>
      <c r="H155" s="2" cm="1">
        <f t="array" ref="H155">INDEX( ComputeThermoProps($A155, $B155, ParametersRange), 1, COLUMN()-2 )</f>
        <v>24.818279346328577</v>
      </c>
      <c r="I155" s="2" cm="1">
        <f t="array" ref="I155">INDEX( ComputeThermoProps($A155, $B155, ParametersRange), 1, COLUMN()-2 )</f>
        <v>2.68</v>
      </c>
      <c r="J155" s="2" cm="1">
        <f t="array" ref="J155">INDEX( ComputeThermoProps($A155, $B155, ParametersRange), 1, COLUMN()-2 )</f>
        <v>3203.6297305010871</v>
      </c>
      <c r="K155" s="2" cm="1">
        <f t="array" ref="K155">INDEX( ComputeThermoProps($A155, $B155, ParametersRange), 1, COLUMN()-2 )</f>
        <v>59.014196693552847</v>
      </c>
      <c r="L155" s="2" cm="1">
        <f t="array" ref="L155">INDEX( ComputeThermoProps($A155, $B155, ParametersRange), 1, COLUMN()-2 )</f>
        <v>-4592.145652717244</v>
      </c>
      <c r="M155" s="2" cm="1">
        <f t="array" ref="M155">INDEX( ComputeThermoProps($A155, $B155, ParametersRange), 1, COLUMN()-2 )</f>
        <v>3203.763215423271</v>
      </c>
      <c r="N155" s="2" cm="1">
        <f t="array" ref="N155">INDEX( ComputeThermoProps($A155, $B155, ParametersRange), 1, COLUMN()-2 )</f>
        <v>-4592.0121677950601</v>
      </c>
      <c r="O155" s="2">
        <f t="shared" si="7"/>
        <v>-2.4473197466273646</v>
      </c>
      <c r="P155" s="2">
        <f t="shared" si="8"/>
        <v>-3552.5467853996438</v>
      </c>
    </row>
    <row r="156" spans="1:16" x14ac:dyDescent="0.25">
      <c r="A156" s="2">
        <v>133.1</v>
      </c>
      <c r="B156" s="2">
        <f t="shared" si="6"/>
        <v>3.9945792686547519E-3</v>
      </c>
      <c r="C156" s="2" cm="1">
        <f t="array" ref="C156">INDEX( ComputeThermoProps($A156, $B156, ParametersRange), 1, COLUMN()-2 )</f>
        <v>37.423443450083447</v>
      </c>
      <c r="D156" s="2" cm="1">
        <f t="array" ref="D156">INDEX( ComputeThermoProps($A156, $B156, ParametersRange), 1, COLUMN()-2 )</f>
        <v>5.0921481077047497E-4</v>
      </c>
      <c r="E156" s="2" cm="1">
        <f t="array" ref="E156">INDEX( ComputeThermoProps($A156, $B156, ParametersRange), 1, COLUMN()-2 )</f>
        <v>3.8492858662010176E-4</v>
      </c>
      <c r="F156" s="2" cm="1">
        <f t="array" ref="F156">INDEX( ComputeThermoProps($A156, $B156, ParametersRange), 1, COLUMN()-2 )</f>
        <v>9.0516964140567536E-4</v>
      </c>
      <c r="G156" s="2" cm="1">
        <f t="array" ref="G156">INDEX( ComputeThermoProps($A156, $B156, ParametersRange), 1, COLUMN()-2 )</f>
        <v>32.836644139239681</v>
      </c>
      <c r="H156" s="2" cm="1">
        <f t="array" ref="H156">INDEX( ComputeThermoProps($A156, $B156, ParametersRange), 1, COLUMN()-2 )</f>
        <v>24.822064776042154</v>
      </c>
      <c r="I156" s="2" cm="1">
        <f t="array" ref="I156">INDEX( ComputeThermoProps($A156, $B156, ParametersRange), 1, COLUMN()-2 )</f>
        <v>2.68</v>
      </c>
      <c r="J156" s="2" cm="1">
        <f t="array" ref="J156">INDEX( ComputeThermoProps($A156, $B156, ParametersRange), 1, COLUMN()-2 )</f>
        <v>3236.4067953961408</v>
      </c>
      <c r="K156" s="2" cm="1">
        <f t="array" ref="K156">INDEX( ComputeThermoProps($A156, $B156, ParametersRange), 1, COLUMN()-2 )</f>
        <v>59.261348509936454</v>
      </c>
      <c r="L156" s="2" cm="1">
        <f t="array" ref="L156">INDEX( ComputeThermoProps($A156, $B156, ParametersRange), 1, COLUMN()-2 )</f>
        <v>-4651.2786912764013</v>
      </c>
      <c r="M156" s="2" cm="1">
        <f t="array" ref="M156">INDEX( ComputeThermoProps($A156, $B156, ParametersRange), 1, COLUMN()-2 )</f>
        <v>3236.5562863075083</v>
      </c>
      <c r="N156" s="2" cm="1">
        <f t="array" ref="N156">INDEX( ComputeThermoProps($A156, $B156, ParametersRange), 1, COLUMN()-2 )</f>
        <v>-4651.1292003650333</v>
      </c>
      <c r="O156" s="2">
        <f t="shared" si="7"/>
        <v>-2.3985289562558423</v>
      </c>
      <c r="P156" s="2">
        <f t="shared" si="8"/>
        <v>-3519.7537145154065</v>
      </c>
    </row>
    <row r="157" spans="1:16" x14ac:dyDescent="0.25">
      <c r="A157" s="2">
        <v>134.1</v>
      </c>
      <c r="B157" s="2">
        <f t="shared" si="6"/>
        <v>4.4659425660305502E-3</v>
      </c>
      <c r="C157" s="2" cm="1">
        <f t="array" ref="C157">INDEX( ComputeThermoProps($A157, $B157, ParametersRange), 1, COLUMN()-2 )</f>
        <v>37.457431691683801</v>
      </c>
      <c r="D157" s="2" cm="1">
        <f t="array" ref="D157">INDEX( ComputeThermoProps($A157, $B157, ParametersRange), 1, COLUMN()-2 )</f>
        <v>5.1283794970212058E-4</v>
      </c>
      <c r="E157" s="2" cm="1">
        <f t="array" ref="E157">INDEX( ComputeThermoProps($A157, $B157, ParametersRange), 1, COLUMN()-2 )</f>
        <v>3.8635541478440545E-4</v>
      </c>
      <c r="F157" s="2" cm="1">
        <f t="array" ref="F157">INDEX( ComputeThermoProps($A157, $B157, ParametersRange), 1, COLUMN()-2 )</f>
        <v>9.1091947218518814E-4</v>
      </c>
      <c r="G157" s="2" cm="1">
        <f t="array" ref="G157">INDEX( ComputeThermoProps($A157, $B157, ParametersRange), 1, COLUMN()-2 )</f>
        <v>32.953093053399122</v>
      </c>
      <c r="H157" s="2" cm="1">
        <f t="array" ref="H157">INDEX( ComputeThermoProps($A157, $B157, ParametersRange), 1, COLUMN()-2 )</f>
        <v>24.825787448979192</v>
      </c>
      <c r="I157" s="2" cm="1">
        <f t="array" ref="I157">INDEX( ComputeThermoProps($A157, $B157, ParametersRange), 1, COLUMN()-2 )</f>
        <v>2.6800000000000006</v>
      </c>
      <c r="J157" s="2" cm="1">
        <f t="array" ref="J157">INDEX( ComputeThermoProps($A157, $B157, ParametersRange), 1, COLUMN()-2 )</f>
        <v>3269.2992427960003</v>
      </c>
      <c r="K157" s="2" cm="1">
        <f t="array" ref="K157">INDEX( ComputeThermoProps($A157, $B157, ParametersRange), 1, COLUMN()-2 )</f>
        <v>59.507513262897923</v>
      </c>
      <c r="L157" s="2" cm="1">
        <f t="array" ref="L157">INDEX( ComputeThermoProps($A157, $B157, ParametersRange), 1, COLUMN()-2 )</f>
        <v>-4710.6582857586109</v>
      </c>
      <c r="M157" s="2" cm="1">
        <f t="array" ref="M157">INDEX( ComputeThermoProps($A157, $B157, ParametersRange), 1, COLUMN()-2 )</f>
        <v>3269.4665255346063</v>
      </c>
      <c r="N157" s="2" cm="1">
        <f t="array" ref="N157">INDEX( ComputeThermoProps($A157, $B157, ParametersRange), 1, COLUMN()-2 )</f>
        <v>-4710.4910030200053</v>
      </c>
      <c r="O157" s="2">
        <f t="shared" si="7"/>
        <v>-2.3500868664451442</v>
      </c>
      <c r="P157" s="2">
        <f t="shared" si="8"/>
        <v>-3486.8434752883086</v>
      </c>
    </row>
    <row r="158" spans="1:16" x14ac:dyDescent="0.25">
      <c r="A158" s="2">
        <v>135.1</v>
      </c>
      <c r="B158" s="2">
        <f t="shared" si="6"/>
        <v>4.9891237114172747E-3</v>
      </c>
      <c r="C158" s="2" cm="1">
        <f t="array" ref="C158">INDEX( ComputeThermoProps($A158, $B158, ParametersRange), 1, COLUMN()-2 )</f>
        <v>37.491667265834764</v>
      </c>
      <c r="D158" s="2" cm="1">
        <f t="array" ref="D158">INDEX( ComputeThermoProps($A158, $B158, ParametersRange), 1, COLUMN()-2 )</f>
        <v>5.1652972247656658E-4</v>
      </c>
      <c r="E158" s="2" cm="1">
        <f t="array" ref="E158">INDEX( ComputeThermoProps($A158, $B158, ParametersRange), 1, COLUMN()-2 )</f>
        <v>3.8780410187595976E-4</v>
      </c>
      <c r="F158" s="2" cm="1">
        <f t="array" ref="F158">INDEX( ComputeThermoProps($A158, $B158, ParametersRange), 1, COLUMN()-2 )</f>
        <v>9.1677434785519308E-4</v>
      </c>
      <c r="G158" s="2" cm="1">
        <f t="array" ref="G158">INDEX( ComputeThermoProps($A158, $B158, ParametersRange), 1, COLUMN()-2 )</f>
        <v>33.071204628265868</v>
      </c>
      <c r="H158" s="2" cm="1">
        <f t="array" ref="H158">INDEX( ComputeThermoProps($A158, $B158, ParametersRange), 1, COLUMN()-2 )</f>
        <v>24.829449789121416</v>
      </c>
      <c r="I158" s="2" cm="1">
        <f t="array" ref="I158">INDEX( ComputeThermoProps($A158, $B158, ParametersRange), 1, COLUMN()-2 )</f>
        <v>2.68</v>
      </c>
      <c r="J158" s="2" cm="1">
        <f t="array" ref="J158">INDEX( ComputeThermoProps($A158, $B158, ParametersRange), 1, COLUMN()-2 )</f>
        <v>3302.3086772068477</v>
      </c>
      <c r="K158" s="2" cm="1">
        <f t="array" ref="K158">INDEX( ComputeThermoProps($A158, $B158, ParametersRange), 1, COLUMN()-2 )</f>
        <v>59.752717535383468</v>
      </c>
      <c r="L158" s="2" cm="1">
        <f t="array" ref="L158">INDEX( ComputeThermoProps($A158, $B158, ParametersRange), 1, COLUMN()-2 )</f>
        <v>-4770.2834618234583</v>
      </c>
      <c r="M158" s="2" cm="1">
        <f t="array" ref="M158">INDEX( ComputeThermoProps($A158, $B158, ParametersRange), 1, COLUMN()-2 )</f>
        <v>3302.4957277729841</v>
      </c>
      <c r="N158" s="2" cm="1">
        <f t="array" ref="N158">INDEX( ComputeThermoProps($A158, $B158, ParametersRange), 1, COLUMN()-2 )</f>
        <v>-4770.096411257322</v>
      </c>
      <c r="O158" s="2">
        <f t="shared" si="7"/>
        <v>-2.3019757270650776</v>
      </c>
      <c r="P158" s="2">
        <f t="shared" si="8"/>
        <v>-3453.8142730499308</v>
      </c>
    </row>
    <row r="159" spans="1:16" x14ac:dyDescent="0.25">
      <c r="A159" s="2">
        <v>136.1</v>
      </c>
      <c r="B159" s="2">
        <f t="shared" si="6"/>
        <v>5.5695731360854627E-3</v>
      </c>
      <c r="C159" s="2" cm="1">
        <f t="array" ref="C159">INDEX( ComputeThermoProps($A159, $B159, ParametersRange), 1, COLUMN()-2 )</f>
        <v>37.526154678216976</v>
      </c>
      <c r="D159" s="2" cm="1">
        <f t="array" ref="D159">INDEX( ComputeThermoProps($A159, $B159, ParametersRange), 1, COLUMN()-2 )</f>
        <v>5.202923017267239E-4</v>
      </c>
      <c r="E159" s="2" cm="1">
        <f t="array" ref="E159">INDEX( ComputeThermoProps($A159, $B159, ParametersRange), 1, COLUMN()-2 )</f>
        <v>3.8927521517788822E-4</v>
      </c>
      <c r="F159" s="2" cm="1">
        <f t="array" ref="F159">INDEX( ComputeThermoProps($A159, $B159, ParametersRange), 1, COLUMN()-2 )</f>
        <v>9.2273770051383528E-4</v>
      </c>
      <c r="G159" s="2" cm="1">
        <f t="array" ref="G159">INDEX( ComputeThermoProps($A159, $B159, ParametersRange), 1, COLUMN()-2 )</f>
        <v>33.191033979553602</v>
      </c>
      <c r="H159" s="2" cm="1">
        <f t="array" ref="H159">INDEX( ComputeThermoProps($A159, $B159, ParametersRange), 1, COLUMN()-2 )</f>
        <v>24.833054134161699</v>
      </c>
      <c r="I159" s="2" cm="1">
        <f t="array" ref="I159">INDEX( ComputeThermoProps($A159, $B159, ParametersRange), 1, COLUMN()-2 )</f>
        <v>2.6799999999999997</v>
      </c>
      <c r="J159" s="2" cm="1">
        <f t="array" ref="J159">INDEX( ComputeThermoProps($A159, $B159, ParametersRange), 1, COLUMN()-2 )</f>
        <v>3335.4367533818422</v>
      </c>
      <c r="K159" s="2" cm="1">
        <f t="array" ref="K159">INDEX( ComputeThermoProps($A159, $B159, ParametersRange), 1, COLUMN()-2 )</f>
        <v>59.996987693920254</v>
      </c>
      <c r="L159" s="2" cm="1">
        <f t="array" ref="L159">INDEX( ComputeThermoProps($A159, $B159, ParametersRange), 1, COLUMN()-2 )</f>
        <v>-4830.1532717607042</v>
      </c>
      <c r="M159" s="2" cm="1">
        <f t="array" ref="M159">INDEX( ComputeThermoProps($A159, $B159, ParametersRange), 1, COLUMN()-2 )</f>
        <v>3335.6457580448387</v>
      </c>
      <c r="N159" s="2" cm="1">
        <f t="array" ref="N159">INDEX( ComputeThermoProps($A159, $B159, ParametersRange), 1, COLUMN()-2 )</f>
        <v>-4829.9442670977078</v>
      </c>
      <c r="O159" s="2">
        <f t="shared" si="7"/>
        <v>-2.2541780888023144</v>
      </c>
      <c r="P159" s="2">
        <f t="shared" si="8"/>
        <v>-3420.6642427780762</v>
      </c>
    </row>
    <row r="160" spans="1:16" x14ac:dyDescent="0.25">
      <c r="A160" s="2">
        <v>137.1</v>
      </c>
      <c r="B160" s="2">
        <f t="shared" si="6"/>
        <v>6.2133133219056721E-3</v>
      </c>
      <c r="C160" s="2" cm="1">
        <f t="array" ref="C160">INDEX( ComputeThermoProps($A160, $B160, ParametersRange), 1, COLUMN()-2 )</f>
        <v>37.560898571409815</v>
      </c>
      <c r="D160" s="2" cm="1">
        <f t="array" ref="D160">INDEX( ComputeThermoProps($A160, $B160, ParametersRange), 1, COLUMN()-2 )</f>
        <v>5.2412795629370589E-4</v>
      </c>
      <c r="E160" s="2" cm="1">
        <f t="array" ref="E160">INDEX( ComputeThermoProps($A160, $B160, ParametersRange), 1, COLUMN()-2 )</f>
        <v>3.9076934314181153E-4</v>
      </c>
      <c r="F160" s="2" cm="1">
        <f t="array" ref="F160">INDEX( ComputeThermoProps($A160, $B160, ParametersRange), 1, COLUMN()-2 )</f>
        <v>9.2881311002883545E-4</v>
      </c>
      <c r="G160" s="2" cm="1">
        <f t="array" ref="G160">INDEX( ComputeThermoProps($A160, $B160, ParametersRange), 1, COLUMN()-2 )</f>
        <v>33.312638442212091</v>
      </c>
      <c r="H160" s="2" cm="1">
        <f t="array" ref="H160">INDEX( ComputeThermoProps($A160, $B160, ParametersRange), 1, COLUMN()-2 )</f>
        <v>24.836602753334574</v>
      </c>
      <c r="I160" s="2" cm="1">
        <f t="array" ref="I160">INDEX( ComputeThermoProps($A160, $B160, ParametersRange), 1, COLUMN()-2 )</f>
        <v>2.6799999999999997</v>
      </c>
      <c r="J160" s="2" cm="1">
        <f t="array" ref="J160">INDEX( ComputeThermoProps($A160, $B160, ParametersRange), 1, COLUMN()-2 )</f>
        <v>3368.6851779891567</v>
      </c>
      <c r="K160" s="2" cm="1">
        <f t="array" ref="K160">INDEX( ComputeThermoProps($A160, $B160, ParametersRange), 1, COLUMN()-2 )</f>
        <v>60.240349907335982</v>
      </c>
      <c r="L160" s="2" cm="1">
        <f t="array" ref="L160">INDEX( ComputeThermoProps($A160, $B160, ParametersRange), 1, COLUMN()-2 )</f>
        <v>-4890.2667943066062</v>
      </c>
      <c r="M160" s="2" cm="1">
        <f t="array" ref="M160">INDEX( ComputeThermoProps($A160, $B160, ParametersRange), 1, COLUMN()-2 )</f>
        <v>3368.918555620633</v>
      </c>
      <c r="N160" s="2" cm="1">
        <f t="array" ref="N160">INDEX( ComputeThermoProps($A160, $B160, ParametersRange), 1, COLUMN()-2 )</f>
        <v>-4890.03341667513</v>
      </c>
      <c r="O160" s="2">
        <f t="shared" si="7"/>
        <v>-2.206676745446325</v>
      </c>
      <c r="P160" s="2">
        <f t="shared" si="8"/>
        <v>-3387.3914452022818</v>
      </c>
    </row>
    <row r="161" spans="1:16" x14ac:dyDescent="0.25">
      <c r="A161" s="2">
        <v>138.1</v>
      </c>
      <c r="B161" s="2">
        <f t="shared" si="6"/>
        <v>6.9270022223095404E-3</v>
      </c>
      <c r="C161" s="2" cm="1">
        <f t="array" ref="C161">INDEX( ComputeThermoProps($A161, $B161, ParametersRange), 1, COLUMN()-2 )</f>
        <v>37.595903729727482</v>
      </c>
      <c r="D161" s="2" cm="1">
        <f t="array" ref="D161">INDEX( ComputeThermoProps($A161, $B161, ParametersRange), 1, COLUMN()-2 )</f>
        <v>5.2803905658527488E-4</v>
      </c>
      <c r="E161" s="2" cm="1">
        <f t="array" ref="E161">INDEX( ComputeThermoProps($A161, $B161, ParametersRange), 1, COLUMN()-2 )</f>
        <v>3.922870963690821E-4</v>
      </c>
      <c r="F161" s="2" cm="1">
        <f t="array" ref="F161">INDEX( ComputeThermoProps($A161, $B161, ParametersRange), 1, COLUMN()-2 )</f>
        <v>9.3500431215914382E-4</v>
      </c>
      <c r="G161" s="2" cm="1">
        <f t="array" ref="G161">INDEX( ComputeThermoProps($A161, $B161, ParametersRange), 1, COLUMN()-2 )</f>
        <v>33.436077689796221</v>
      </c>
      <c r="H161" s="2" cm="1">
        <f t="array" ref="H161">INDEX( ComputeThermoProps($A161, $B161, ParametersRange), 1, COLUMN()-2 )</f>
        <v>24.840097843752911</v>
      </c>
      <c r="I161" s="2" cm="1">
        <f t="array" ref="I161">INDEX( ComputeThermoProps($A161, $B161, ParametersRange), 1, COLUMN()-2 )</f>
        <v>2.6799999999999997</v>
      </c>
      <c r="J161" s="2" cm="1">
        <f t="array" ref="J161">INDEX( ComputeThermoProps($A161, $B161, ParametersRange), 1, COLUMN()-2 )</f>
        <v>3402.0557113433588</v>
      </c>
      <c r="K161" s="2" cm="1">
        <f t="array" ref="K161">INDEX( ComputeThermoProps($A161, $B161, ParametersRange), 1, COLUMN()-2 )</f>
        <v>60.482830165280639</v>
      </c>
      <c r="L161" s="2" cm="1">
        <f t="array" ref="L161">INDEX( ComputeThermoProps($A161, $B161, ParametersRange), 1, COLUMN()-2 )</f>
        <v>-4950.6231344818971</v>
      </c>
      <c r="M161" s="2" cm="1">
        <f t="array" ref="M161">INDEX( ComputeThermoProps($A161, $B161, ParametersRange), 1, COLUMN()-2 )</f>
        <v>3402.3161382520443</v>
      </c>
      <c r="N161" s="2" cm="1">
        <f t="array" ref="N161">INDEX( ComputeThermoProps($A161, $B161, ParametersRange), 1, COLUMN()-2 )</f>
        <v>-4950.362707573212</v>
      </c>
      <c r="O161" s="2">
        <f t="shared" si="7"/>
        <v>-2.1594546730334923</v>
      </c>
      <c r="P161" s="2">
        <f t="shared" si="8"/>
        <v>-3353.9938625708705</v>
      </c>
    </row>
    <row r="162" spans="1:16" x14ac:dyDescent="0.25">
      <c r="A162" s="2">
        <v>139.1</v>
      </c>
      <c r="B162" s="2">
        <f t="shared" si="6"/>
        <v>7.7180046353148499E-3</v>
      </c>
      <c r="C162" s="2" cm="1">
        <f t="array" ref="C162">INDEX( ComputeThermoProps($A162, $B162, ParametersRange), 1, COLUMN()-2 )</f>
        <v>37.631175084196535</v>
      </c>
      <c r="D162" s="2" cm="1">
        <f t="array" ref="D162">INDEX( ComputeThermoProps($A162, $B162, ParametersRange), 1, COLUMN()-2 )</f>
        <v>5.3202808038428455E-4</v>
      </c>
      <c r="E162" s="2" cm="1">
        <f t="array" ref="E162">INDEX( ComputeThermoProps($A162, $B162, ParametersRange), 1, COLUMN()-2 )</f>
        <v>3.9382910864184324E-4</v>
      </c>
      <c r="F162" s="2" cm="1">
        <f t="array" ref="F162">INDEX( ComputeThermoProps($A162, $B162, ParametersRange), 1, COLUMN()-2 )</f>
        <v>9.4131520786903727E-4</v>
      </c>
      <c r="G162" s="2" cm="1">
        <f t="array" ref="G162">INDEX( ComputeThermoProps($A162, $B162, ParametersRange), 1, COLUMN()-2 )</f>
        <v>33.561413885281063</v>
      </c>
      <c r="H162" s="2" cm="1">
        <f t="array" ref="H162">INDEX( ComputeThermoProps($A162, $B162, ParametersRange), 1, COLUMN()-2 )</f>
        <v>24.843541539486473</v>
      </c>
      <c r="I162" s="2" cm="1">
        <f t="array" ref="I162">INDEX( ComputeThermoProps($A162, $B162, ParametersRange), 1, COLUMN()-2 )</f>
        <v>2.68</v>
      </c>
      <c r="J162" s="2" cm="1">
        <f t="array" ref="J162">INDEX( ComputeThermoProps($A162, $B162, ParametersRange), 1, COLUMN()-2 )</f>
        <v>3435.5501691982372</v>
      </c>
      <c r="K162" s="2" cm="1">
        <f t="array" ref="K162">INDEX( ComputeThermoProps($A162, $B162, ParametersRange), 1, COLUMN()-2 )</f>
        <v>60.72445429654816</v>
      </c>
      <c r="L162" s="2" cm="1">
        <f t="array" ref="L162">INDEX( ComputeThermoProps($A162, $B162, ParametersRange), 1, COLUMN()-2 )</f>
        <v>-5011.2214234516114</v>
      </c>
      <c r="M162" s="2" cm="1">
        <f t="array" ref="M162">INDEX( ComputeThermoProps($A162, $B162, ParametersRange), 1, COLUMN()-2 )</f>
        <v>3435.8406067819692</v>
      </c>
      <c r="N162" s="2" cm="1">
        <f t="array" ref="N162">INDEX( ComputeThermoProps($A162, $B162, ParametersRange), 1, COLUMN()-2 )</f>
        <v>-5010.9309858678798</v>
      </c>
      <c r="O162" s="2">
        <f t="shared" si="7"/>
        <v>-2.1124949649339593</v>
      </c>
      <c r="P162" s="2">
        <f t="shared" si="8"/>
        <v>-3320.4693940409456</v>
      </c>
    </row>
    <row r="163" spans="1:16" x14ac:dyDescent="0.25">
      <c r="A163" s="2">
        <v>140.1</v>
      </c>
      <c r="B163" s="2">
        <f t="shared" si="6"/>
        <v>8.5944727363921145E-3</v>
      </c>
      <c r="C163" s="2" cm="1">
        <f t="array" ref="C163">INDEX( ComputeThermoProps($A163, $B163, ParametersRange), 1, COLUMN()-2 )</f>
        <v>37.666717717662529</v>
      </c>
      <c r="D163" s="2" cm="1">
        <f t="array" ref="D163">INDEX( ComputeThermoProps($A163, $B163, ParametersRange), 1, COLUMN()-2 )</f>
        <v>5.3609761890516434E-4</v>
      </c>
      <c r="E163" s="2" cm="1">
        <f t="array" ref="E163">INDEX( ComputeThermoProps($A163, $B163, ParametersRange), 1, COLUMN()-2 )</f>
        <v>3.9539603800569696E-4</v>
      </c>
      <c r="F163" s="2" cm="1">
        <f t="array" ref="F163">INDEX( ComputeThermoProps($A163, $B163, ParametersRange), 1, COLUMN()-2 )</f>
        <v>9.4774987229120228E-4</v>
      </c>
      <c r="G163" s="2" cm="1">
        <f t="array" ref="G163">INDEX( ComputeThermoProps($A163, $B163, ParametersRange), 1, COLUMN()-2 )</f>
        <v>33.688711807201884</v>
      </c>
      <c r="H163" s="2" cm="1">
        <f t="array" ref="H163">INDEX( ComputeThermoProps($A163, $B163, ParametersRange), 1, COLUMN()-2 )</f>
        <v>24.846935901873021</v>
      </c>
      <c r="I163" s="2" cm="1">
        <f t="array" ref="I163">INDEX( ComputeThermoProps($A163, $B163, ParametersRange), 1, COLUMN()-2 )</f>
        <v>2.68</v>
      </c>
      <c r="J163" s="2" cm="1">
        <f t="array" ref="J163">INDEX( ComputeThermoProps($A163, $B163, ParametersRange), 1, COLUMN()-2 )</f>
        <v>3469.1704245981168</v>
      </c>
      <c r="K163" s="2" cm="1">
        <f t="array" ref="K163">INDEX( ComputeThermoProps($A163, $B163, ParametersRange), 1, COLUMN()-2 )</f>
        <v>60.965247987188732</v>
      </c>
      <c r="L163" s="2" cm="1">
        <f t="array" ref="L163">INDEX( ComputeThermoProps($A163, $B163, ParametersRange), 1, COLUMN()-2 )</f>
        <v>-5072.0608184070243</v>
      </c>
      <c r="M163" s="2" cm="1">
        <f t="array" ref="M163">INDEX( ComputeThermoProps($A163, $B163, ParametersRange), 1, COLUMN()-2 )</f>
        <v>3469.4941501766107</v>
      </c>
      <c r="N163" s="2" cm="1">
        <f t="array" ref="N163">INDEX( ComputeThermoProps($A163, $B163, ParametersRange), 1, COLUMN()-2 )</f>
        <v>-5071.73709282853</v>
      </c>
      <c r="O163" s="2">
        <f t="shared" si="7"/>
        <v>-2.0657807617575417</v>
      </c>
      <c r="P163" s="2">
        <f t="shared" si="8"/>
        <v>-3286.8158506463042</v>
      </c>
    </row>
    <row r="164" spans="1:16" x14ac:dyDescent="0.25">
      <c r="A164" s="2">
        <v>141.1</v>
      </c>
      <c r="B164" s="2">
        <f t="shared" si="6"/>
        <v>9.5654372119169731E-3</v>
      </c>
      <c r="C164" s="2" cm="1">
        <f t="array" ref="C164">INDEX( ComputeThermoProps($A164, $B164, ParametersRange), 1, COLUMN()-2 )</f>
        <v>37.702536870007904</v>
      </c>
      <c r="D164" s="2" cm="1">
        <f t="array" ref="D164">INDEX( ComputeThermoProps($A164, $B164, ParametersRange), 1, COLUMN()-2 )</f>
        <v>5.4025038353389717E-4</v>
      </c>
      <c r="E164" s="2" cm="1">
        <f t="array" ref="E164">INDEX( ComputeThermoProps($A164, $B164, ParametersRange), 1, COLUMN()-2 )</f>
        <v>3.9698856790549084E-4</v>
      </c>
      <c r="F164" s="2" cm="1">
        <f t="array" ref="F164">INDEX( ComputeThermoProps($A164, $B164, ParametersRange), 1, COLUMN()-2 )</f>
        <v>9.5431256617145002E-4</v>
      </c>
      <c r="G164" s="2" cm="1">
        <f t="array" ref="G164">INDEX( ComputeThermoProps($A164, $B164, ParametersRange), 1, COLUMN()-2 )</f>
        <v>33.818039051393534</v>
      </c>
      <c r="H164" s="2" cm="1">
        <f t="array" ref="H164">INDEX( ComputeThermoProps($A164, $B164, ParametersRange), 1, COLUMN()-2 )</f>
        <v>24.850282945782173</v>
      </c>
      <c r="I164" s="2" cm="1">
        <f t="array" ref="I164">INDEX( ComputeThermoProps($A164, $B164, ParametersRange), 1, COLUMN()-2 )</f>
        <v>2.68</v>
      </c>
      <c r="J164" s="2" cm="1">
        <f t="array" ref="J164">INDEX( ComputeThermoProps($A164, $B164, ParametersRange), 1, COLUMN()-2 )</f>
        <v>3502.9184097829593</v>
      </c>
      <c r="K164" s="2" cm="1">
        <f t="array" ref="K164">INDEX( ComputeThermoProps($A164, $B164, ParametersRange), 1, COLUMN()-2 )</f>
        <v>61.205236798391375</v>
      </c>
      <c r="L164" s="2" cm="1">
        <f t="array" ref="L164">INDEX( ComputeThermoProps($A164, $B164, ParametersRange), 1, COLUMN()-2 )</f>
        <v>-5133.1405024700634</v>
      </c>
      <c r="M164" s="2" cm="1">
        <f t="array" ref="M164">INDEX( ComputeThermoProps($A164, $B164, ParametersRange), 1, COLUMN()-2 )</f>
        <v>3503.2790510321192</v>
      </c>
      <c r="N164" s="2" cm="1">
        <f t="array" ref="N164">INDEX( ComputeThermoProps($A164, $B164, ParametersRange), 1, COLUMN()-2 )</f>
        <v>-5132.7798612209035</v>
      </c>
      <c r="O164" s="2">
        <f t="shared" si="7"/>
        <v>-2.019295174681802</v>
      </c>
      <c r="P164" s="2">
        <f t="shared" si="8"/>
        <v>-3253.0309497907956</v>
      </c>
    </row>
    <row r="165" spans="1:16" x14ac:dyDescent="0.25">
      <c r="A165" s="2">
        <v>142.1</v>
      </c>
      <c r="B165" s="2">
        <f t="shared" si="6"/>
        <v>1.0640910724731053E-2</v>
      </c>
      <c r="C165" s="2" cm="1">
        <f t="array" ref="C165">INDEX( ComputeThermoProps($A165, $B165, ParametersRange), 1, COLUMN()-2 )</f>
        <v>37.738637942802676</v>
      </c>
      <c r="D165" s="2" cm="1">
        <f t="array" ref="D165">INDEX( ComputeThermoProps($A165, $B165, ParametersRange), 1, COLUMN()-2 )</f>
        <v>5.4448921265468552E-4</v>
      </c>
      <c r="E165" s="2" cm="1">
        <f t="array" ref="E165">INDEX( ComputeThermoProps($A165, $B165, ParametersRange), 1, COLUMN()-2 )</f>
        <v>3.986074083459342E-4</v>
      </c>
      <c r="F165" s="2" cm="1">
        <f t="array" ref="F165">INDEX( ComputeThermoProps($A165, $B165, ParametersRange), 1, COLUMN()-2 )</f>
        <v>9.6100774584074577E-4</v>
      </c>
      <c r="G165" s="2" cm="1">
        <f t="array" ref="G165">INDEX( ComputeThermoProps($A165, $B165, ParametersRange), 1, COLUMN()-2 )</f>
        <v>33.949466168294776</v>
      </c>
      <c r="H165" s="2" cm="1">
        <f t="array" ref="H165">INDEX( ComputeThermoProps($A165, $B165, ParametersRange), 1, COLUMN()-2 )</f>
        <v>24.853584624924896</v>
      </c>
      <c r="I165" s="2" cm="1">
        <f t="array" ref="I165">INDEX( ComputeThermoProps($A165, $B165, ParametersRange), 1, COLUMN()-2 )</f>
        <v>2.68</v>
      </c>
      <c r="J165" s="2" cm="1">
        <f t="array" ref="J165">INDEX( ComputeThermoProps($A165, $B165, ParametersRange), 1, COLUMN()-2 )</f>
        <v>3536.7961175287573</v>
      </c>
      <c r="K165" s="2" cm="1">
        <f t="array" ref="K165">INDEX( ComputeThermoProps($A165, $B165, ParametersRange), 1, COLUMN()-2 )</f>
        <v>61.444446178747448</v>
      </c>
      <c r="L165" s="2" cm="1">
        <f t="array" ref="L165">INDEX( ComputeThermoProps($A165, $B165, ParametersRange), 1, COLUMN()-2 )</f>
        <v>-5194.4596844712551</v>
      </c>
      <c r="M165" s="2" cm="1">
        <f t="array" ref="M165">INDEX( ComputeThermoProps($A165, $B165, ParametersRange), 1, COLUMN()-2 )</f>
        <v>3537.1976910059798</v>
      </c>
      <c r="N165" s="2" cm="1">
        <f t="array" ref="N165">INDEX( ComputeThermoProps($A165, $B165, ParametersRange), 1, COLUMN()-2 )</f>
        <v>-5194.0581109940322</v>
      </c>
      <c r="O165" s="2">
        <f t="shared" si="7"/>
        <v>-1.9730212004433274</v>
      </c>
      <c r="P165" s="2">
        <f t="shared" si="8"/>
        <v>-3219.1123098169351</v>
      </c>
    </row>
    <row r="166" spans="1:16" x14ac:dyDescent="0.25">
      <c r="A166" s="2">
        <v>143.1</v>
      </c>
      <c r="B166" s="2">
        <f t="shared" si="6"/>
        <v>1.183200581018188E-2</v>
      </c>
      <c r="C166" s="2" cm="1">
        <f t="array" ref="C166">INDEX( ComputeThermoProps($A166, $B166, ParametersRange), 1, COLUMN()-2 )</f>
        <v>37.775026507290882</v>
      </c>
      <c r="D166" s="2" cm="1">
        <f t="array" ref="D166">INDEX( ComputeThermoProps($A166, $B166, ParametersRange), 1, COLUMN()-2 )</f>
        <v>5.4881707924974289E-4</v>
      </c>
      <c r="E166" s="2" cm="1">
        <f t="array" ref="E166">INDEX( ComputeThermoProps($A166, $B166, ParametersRange), 1, COLUMN()-2 )</f>
        <v>4.0025329725476783E-4</v>
      </c>
      <c r="F166" s="2" cm="1">
        <f t="array" ref="F166">INDEX( ComputeThermoProps($A166, $B166, ParametersRange), 1, COLUMN()-2 )</f>
        <v>9.6784007462388593E-4</v>
      </c>
      <c r="G166" s="2" cm="1">
        <f t="array" ref="G166">INDEX( ComputeThermoProps($A166, $B166, ParametersRange), 1, COLUMN()-2 )</f>
        <v>34.083066827495266</v>
      </c>
      <c r="H166" s="2" cm="1">
        <f t="array" ref="H166">INDEX( ComputeThermoProps($A166, $B166, ParametersRange), 1, COLUMN()-2 )</f>
        <v>24.856842824404449</v>
      </c>
      <c r="I166" s="2" cm="1">
        <f t="array" ref="I166">INDEX( ComputeThermoProps($A166, $B166, ParametersRange), 1, COLUMN()-2 )</f>
        <v>2.68</v>
      </c>
      <c r="J166" s="2" cm="1">
        <f t="array" ref="J166">INDEX( ComputeThermoProps($A166, $B166, ParametersRange), 1, COLUMN()-2 )</f>
        <v>3570.8056056015353</v>
      </c>
      <c r="K166" s="2" cm="1">
        <f t="array" ref="K166">INDEX( ComputeThermoProps($A166, $B166, ParametersRange), 1, COLUMN()-2 )</f>
        <v>61.682901503169482</v>
      </c>
      <c r="L166" s="2" cm="1">
        <f t="array" ref="L166">INDEX( ComputeThermoProps($A166, $B166, ParametersRange), 1, COLUMN()-2 )</f>
        <v>-5256.0175995020172</v>
      </c>
      <c r="M166" s="2" cm="1">
        <f t="array" ref="M166">INDEX( ComputeThermoProps($A166, $B166, ParametersRange), 1, COLUMN()-2 )</f>
        <v>3571.2525599346495</v>
      </c>
      <c r="N166" s="2" cm="1">
        <f t="array" ref="N166">INDEX( ComputeThermoProps($A166, $B166, ParametersRange), 1, COLUMN()-2 )</f>
        <v>-5255.570645168903</v>
      </c>
      <c r="O166" s="2">
        <f t="shared" si="7"/>
        <v>-1.9269416257480376</v>
      </c>
      <c r="P166" s="2">
        <f t="shared" si="8"/>
        <v>-3185.0574408882653</v>
      </c>
    </row>
    <row r="167" spans="1:16" x14ac:dyDescent="0.25">
      <c r="A167" s="2">
        <v>144.1</v>
      </c>
      <c r="B167" s="2">
        <f t="shared" si="6"/>
        <v>1.3151069769383451E-2</v>
      </c>
      <c r="C167" s="2" cm="1">
        <f t="array" ref="C167">INDEX( ComputeThermoProps($A167, $B167, ParametersRange), 1, COLUMN()-2 )</f>
        <v>37.811708305787455</v>
      </c>
      <c r="D167" s="2" cm="1">
        <f t="array" ref="D167">INDEX( ComputeThermoProps($A167, $B167, ParametersRange), 1, COLUMN()-2 )</f>
        <v>5.532370987864592E-4</v>
      </c>
      <c r="E167" s="2" cm="1">
        <f t="array" ref="E167">INDEX( ComputeThermoProps($A167, $B167, ParametersRange), 1, COLUMN()-2 )</f>
        <v>4.019270016044877E-4</v>
      </c>
      <c r="F167" s="2" cm="1">
        <f t="array" ref="F167">INDEX( ComputeThermoProps($A167, $B167, ParametersRange), 1, COLUMN()-2 )</f>
        <v>9.7481443624911274E-4</v>
      </c>
      <c r="G167" s="2" cm="1">
        <f t="array" ref="G167">INDEX( ComputeThermoProps($A167, $B167, ParametersRange), 1, COLUMN()-2 )</f>
        <v>34.218918056831939</v>
      </c>
      <c r="H167" s="2" cm="1">
        <f t="array" ref="H167">INDEX( ComputeThermoProps($A167, $B167, ParametersRange), 1, COLUMN()-2 )</f>
        <v>24.860059390270141</v>
      </c>
      <c r="I167" s="2" cm="1">
        <f t="array" ref="I167">INDEX( ComputeThermoProps($A167, $B167, ParametersRange), 1, COLUMN()-2 )</f>
        <v>2.6799999999999997</v>
      </c>
      <c r="J167" s="2" cm="1">
        <f t="array" ref="J167">INDEX( ComputeThermoProps($A167, $B167, ParametersRange), 1, COLUMN()-2 )</f>
        <v>3604.948995051765</v>
      </c>
      <c r="K167" s="2" cm="1">
        <f t="array" ref="K167">INDEX( ComputeThermoProps($A167, $B167, ParametersRange), 1, COLUMN()-2 )</f>
        <v>61.920628057122755</v>
      </c>
      <c r="L167" s="2" cm="1">
        <f t="array" ref="L167">INDEX( ComputeThermoProps($A167, $B167, ParametersRange), 1, COLUMN()-2 )</f>
        <v>-5317.8135079796239</v>
      </c>
      <c r="M167" s="2" cm="1">
        <f t="array" ref="M167">INDEX( ComputeThermoProps($A167, $B167, ParametersRange), 1, COLUMN()-2 )</f>
        <v>3605.4462594657939</v>
      </c>
      <c r="N167" s="2" cm="1">
        <f t="array" ref="N167">INDEX( ComputeThermoProps($A167, $B167, ParametersRange), 1, COLUMN()-2 )</f>
        <v>-5317.316243565595</v>
      </c>
      <c r="O167" s="2">
        <f t="shared" si="7"/>
        <v>-1.8810389181975338</v>
      </c>
      <c r="P167" s="2">
        <f t="shared" si="8"/>
        <v>-3150.8637413571209</v>
      </c>
    </row>
    <row r="168" spans="1:16" x14ac:dyDescent="0.25">
      <c r="A168" s="2">
        <v>145.1</v>
      </c>
      <c r="B168" s="2">
        <f t="shared" si="6"/>
        <v>1.4611839732446964E-2</v>
      </c>
      <c r="C168" s="2" cm="1">
        <f t="array" ref="C168">INDEX( ComputeThermoProps($A168, $B168, ParametersRange), 1, COLUMN()-2 )</f>
        <v>37.848689259646193</v>
      </c>
      <c r="D168" s="2" cm="1">
        <f t="array" ref="D168">INDEX( ComputeThermoProps($A168, $B168, ParametersRange), 1, COLUMN()-2 )</f>
        <v>5.5775253787734684E-4</v>
      </c>
      <c r="E168" s="2" cm="1">
        <f t="array" ref="E168">INDEX( ComputeThermoProps($A168, $B168, ParametersRange), 1, COLUMN()-2 )</f>
        <v>4.036293188845284E-4</v>
      </c>
      <c r="F168" s="2" cm="1">
        <f t="array" ref="F168">INDEX( ComputeThermoProps($A168, $B168, ParametersRange), 1, COLUMN()-2 )</f>
        <v>9.8193594794841526E-4</v>
      </c>
      <c r="G168" s="2" cm="1">
        <f t="array" ref="G168">INDEX( ComputeThermoProps($A168, $B168, ParametersRange), 1, COLUMN()-2 )</f>
        <v>34.357100434697685</v>
      </c>
      <c r="H168" s="2" cm="1">
        <f t="array" ref="H168">INDEX( ComputeThermoProps($A168, $B168, ParametersRange), 1, COLUMN()-2 )</f>
        <v>24.863236122744304</v>
      </c>
      <c r="I168" s="2" cm="1">
        <f t="array" ref="I168">INDEX( ComputeThermoProps($A168, $B168, ParametersRange), 1, COLUMN()-2 )</f>
        <v>2.68</v>
      </c>
      <c r="J168" s="2" cm="1">
        <f t="array" ref="J168">INDEX( ComputeThermoProps($A168, $B168, ParametersRange), 1, COLUMN()-2 )</f>
        <v>3639.2284747339049</v>
      </c>
      <c r="K168" s="2" cm="1">
        <f t="array" ref="K168">INDEX( ComputeThermoProps($A168, $B168, ParametersRange), 1, COLUMN()-2 )</f>
        <v>62.157651075058595</v>
      </c>
      <c r="L168" s="2" cm="1">
        <f t="array" ref="L168">INDEX( ComputeThermoProps($A168, $B168, ParametersRange), 1, COLUMN()-2 )</f>
        <v>-5379.8466962570965</v>
      </c>
      <c r="M168" s="2" cm="1">
        <f t="array" ref="M168">INDEX( ComputeThermoProps($A168, $B168, ParametersRange), 1, COLUMN()-2 )</f>
        <v>3639.7815137154503</v>
      </c>
      <c r="N168" s="2" cm="1">
        <f t="array" ref="N168">INDEX( ComputeThermoProps($A168, $B168, ParametersRange), 1, COLUMN()-2 )</f>
        <v>-5379.2936572755516</v>
      </c>
      <c r="O168" s="2">
        <f t="shared" si="7"/>
        <v>-1.8352950999213602</v>
      </c>
      <c r="P168" s="2">
        <f t="shared" si="8"/>
        <v>-3116.5284871074646</v>
      </c>
    </row>
    <row r="169" spans="1:16" x14ac:dyDescent="0.25">
      <c r="A169" s="2">
        <v>146.1</v>
      </c>
      <c r="B169" s="2">
        <f t="shared" si="6"/>
        <v>1.6229621860342061E-2</v>
      </c>
      <c r="C169" s="2" cm="1">
        <f t="array" ref="C169">INDEX( ComputeThermoProps($A169, $B169, ParametersRange), 1, COLUMN()-2 )</f>
        <v>37.885975473760567</v>
      </c>
      <c r="D169" s="2" cm="1">
        <f t="array" ref="D169">INDEX( ComputeThermoProps($A169, $B169, ParametersRange), 1, COLUMN()-2 )</f>
        <v>5.6236682324506285E-4</v>
      </c>
      <c r="E169" s="2" cm="1">
        <f t="array" ref="E169">INDEX( ComputeThermoProps($A169, $B169, ParametersRange), 1, COLUMN()-2 )</f>
        <v>4.0536107847510692E-4</v>
      </c>
      <c r="F169" s="2" cm="1">
        <f t="array" ref="F169">INDEX( ComputeThermoProps($A169, $B169, ParametersRange), 1, COLUMN()-2 )</f>
        <v>9.8920997406210377E-4</v>
      </c>
      <c r="G169" s="2" cm="1">
        <f t="array" ref="G169">INDEX( ComputeThermoProps($A169, $B169, ParametersRange), 1, COLUMN()-2 )</f>
        <v>34.49769829302317</v>
      </c>
      <c r="H169" s="2" cm="1">
        <f t="array" ref="H169">INDEX( ComputeThermoProps($A169, $B169, ParametersRange), 1, COLUMN()-2 )</f>
        <v>24.866374769898016</v>
      </c>
      <c r="I169" s="2" cm="1">
        <f t="array" ref="I169">INDEX( ComputeThermoProps($A169, $B169, ParametersRange), 1, COLUMN()-2 )</f>
        <v>2.68</v>
      </c>
      <c r="J169" s="2" cm="1">
        <f t="array" ref="J169">INDEX( ComputeThermoProps($A169, $B169, ParametersRange), 1, COLUMN()-2 )</f>
        <v>3673.6463026833321</v>
      </c>
      <c r="K169" s="2" cm="1">
        <f t="array" ref="K169">INDEX( ComputeThermoProps($A169, $B169, ParametersRange), 1, COLUMN()-2 )</f>
        <v>62.393995750695659</v>
      </c>
      <c r="L169" s="2" cm="1">
        <f t="array" ref="L169">INDEX( ComputeThermoProps($A169, $B169, ParametersRange), 1, COLUMN()-2 )</f>
        <v>-5442.1164764933037</v>
      </c>
      <c r="M169" s="2" cm="1">
        <f t="array" ref="M169">INDEX( ComputeThermoProps($A169, $B169, ParametersRange), 1, COLUMN()-2 )</f>
        <v>3674.2611777390816</v>
      </c>
      <c r="N169" s="2" cm="1">
        <f t="array" ref="N169">INDEX( ComputeThermoProps($A169, $B169, ParametersRange), 1, COLUMN()-2 )</f>
        <v>-5441.5016014375542</v>
      </c>
      <c r="O169" s="2">
        <f t="shared" si="7"/>
        <v>-1.789691598835504</v>
      </c>
      <c r="P169" s="2">
        <f t="shared" si="8"/>
        <v>-3082.0488230838332</v>
      </c>
    </row>
    <row r="170" spans="1:16" x14ac:dyDescent="0.25">
      <c r="A170" s="2">
        <v>147.1</v>
      </c>
      <c r="B170" s="2">
        <f t="shared" si="6"/>
        <v>1.8021499717148511E-2</v>
      </c>
      <c r="C170" s="2" cm="1">
        <f t="array" ref="C170">INDEX( ComputeThermoProps($A170, $B170, ParametersRange), 1, COLUMN()-2 )</f>
        <v>37.923573241482458</v>
      </c>
      <c r="D170" s="2" cm="1">
        <f t="array" ref="D170">INDEX( ComputeThermoProps($A170, $B170, ParametersRange), 1, COLUMN()-2 )</f>
        <v>5.6708355148408194E-4</v>
      </c>
      <c r="E170" s="2" cm="1">
        <f t="array" ref="E170">INDEX( ComputeThermoProps($A170, $B170, ParametersRange), 1, COLUMN()-2 )</f>
        <v>4.0712314309648064E-4</v>
      </c>
      <c r="F170" s="2" cm="1">
        <f t="array" ref="F170">INDEX( ComputeThermoProps($A170, $B170, ParametersRange), 1, COLUMN()-2 )</f>
        <v>9.9664214157647608E-4</v>
      </c>
      <c r="G170" s="2" cm="1">
        <f t="array" ref="G170">INDEX( ComputeThermoProps($A170, $B170, ParametersRange), 1, COLUMN()-2 )</f>
        <v>34.640799968484927</v>
      </c>
      <c r="H170" s="2" cm="1">
        <f t="array" ref="H170">INDEX( ComputeThermoProps($A170, $B170, ParametersRange), 1, COLUMN()-2 )</f>
        <v>24.869477038502897</v>
      </c>
      <c r="I170" s="2" cm="1">
        <f t="array" ref="I170">INDEX( ComputeThermoProps($A170, $B170, ParametersRange), 1, COLUMN()-2 )</f>
        <v>2.68</v>
      </c>
      <c r="J170" s="2" cm="1">
        <f t="array" ref="J170">INDEX( ComputeThermoProps($A170, $B170, ParametersRange), 1, COLUMN()-2 )</f>
        <v>3708.2048080725244</v>
      </c>
      <c r="K170" s="2" cm="1">
        <f t="array" ref="K170">INDEX( ComputeThermoProps($A170, $B170, ParametersRange), 1, COLUMN()-2 )</f>
        <v>62.629687252042586</v>
      </c>
      <c r="L170" s="2" cm="1">
        <f t="array" ref="L170">INDEX( ComputeThermoProps($A170, $B170, ParametersRange), 1, COLUMN()-2 )</f>
        <v>-5504.6221867029399</v>
      </c>
      <c r="M170" s="2" cm="1">
        <f t="array" ref="M170">INDEX( ComputeThermoProps($A170, $B170, ParametersRange), 1, COLUMN()-2 )</f>
        <v>3708.8882477369689</v>
      </c>
      <c r="N170" s="2" cm="1">
        <f t="array" ref="N170">INDEX( ComputeThermoProps($A170, $B170, ParametersRange), 1, COLUMN()-2 )</f>
        <v>-5503.9387470384954</v>
      </c>
      <c r="O170" s="2">
        <f t="shared" si="7"/>
        <v>-1.7442090706388391</v>
      </c>
      <c r="P170" s="2">
        <f t="shared" si="8"/>
        <v>-3047.421753085946</v>
      </c>
    </row>
    <row r="171" spans="1:16" x14ac:dyDescent="0.25">
      <c r="A171" s="2">
        <v>148.1</v>
      </c>
      <c r="B171" s="2">
        <f t="shared" si="6"/>
        <v>2.0006578291866792E-2</v>
      </c>
      <c r="C171" s="2" cm="1">
        <f t="array" ref="C171">INDEX( ComputeThermoProps($A171, $B171, ParametersRange), 1, COLUMN()-2 )</f>
        <v>37.961489049137562</v>
      </c>
      <c r="D171" s="2" cm="1">
        <f t="array" ref="D171">INDEX( ComputeThermoProps($A171, $B171, ParametersRange), 1, COLUMN()-2 )</f>
        <v>5.7190649935165644E-4</v>
      </c>
      <c r="E171" s="2" cm="1">
        <f t="array" ref="E171">INDEX( ComputeThermoProps($A171, $B171, ParametersRange), 1, COLUMN()-2 )</f>
        <v>4.0891641029550455E-4</v>
      </c>
      <c r="F171" s="2" cm="1">
        <f t="array" ref="F171">INDEX( ComputeThermoProps($A171, $B171, ParametersRange), 1, COLUMN()-2 )</f>
        <v>1.0042383559900362E-3</v>
      </c>
      <c r="G171" s="2" cm="1">
        <f t="array" ref="G171">INDEX( ComputeThermoProps($A171, $B171, ParametersRange), 1, COLUMN()-2 )</f>
        <v>34.786498046862278</v>
      </c>
      <c r="H171" s="2" cm="1">
        <f t="array" ref="H171">INDEX( ComputeThermoProps($A171, $B171, ParametersRange), 1, COLUMN()-2 )</f>
        <v>24.872544592866937</v>
      </c>
      <c r="I171" s="2" cm="1">
        <f t="array" ref="I171">INDEX( ComputeThermoProps($A171, $B171, ParametersRange), 1, COLUMN()-2 )</f>
        <v>2.6800000000000006</v>
      </c>
      <c r="J171" s="2" cm="1">
        <f t="array" ref="J171">INDEX( ComputeThermoProps($A171, $B171, ParametersRange), 1, COLUMN()-2 )</f>
        <v>3742.9063930735001</v>
      </c>
      <c r="K171" s="2" cm="1">
        <f t="array" ref="K171">INDEX( ComputeThermoProps($A171, $B171, ParametersRange), 1, COLUMN()-2 )</f>
        <v>62.864750735359969</v>
      </c>
      <c r="L171" s="2" cm="1">
        <f t="array" ref="L171">INDEX( ComputeThermoProps($A171, $B171, ParametersRange), 1, COLUMN()-2 )</f>
        <v>-5567.3631908333109</v>
      </c>
      <c r="M171" s="2" cm="1">
        <f t="array" ref="M171">INDEX( ComputeThermoProps($A171, $B171, ParametersRange), 1, COLUMN()-2 )</f>
        <v>3743.6658725762377</v>
      </c>
      <c r="N171" s="2" cm="1">
        <f t="array" ref="N171">INDEX( ComputeThermoProps($A171, $B171, ParametersRange), 1, COLUMN()-2 )</f>
        <v>-5566.6037113305738</v>
      </c>
      <c r="O171" s="2">
        <f t="shared" si="7"/>
        <v>-1.6988271820299969</v>
      </c>
      <c r="P171" s="2">
        <f t="shared" si="8"/>
        <v>-3012.6441282466772</v>
      </c>
    </row>
    <row r="172" spans="1:16" x14ac:dyDescent="0.25">
      <c r="A172" s="2">
        <v>149.1</v>
      </c>
      <c r="B172" s="2">
        <f t="shared" si="6"/>
        <v>2.2206272163061522E-2</v>
      </c>
      <c r="C172" s="2" cm="1">
        <f t="array" ref="C172">INDEX( ComputeThermoProps($A172, $B172, ParametersRange), 1, COLUMN()-2 )</f>
        <v>37.999729579929337</v>
      </c>
      <c r="D172" s="2" cm="1">
        <f t="array" ref="D172">INDEX( ComputeThermoProps($A172, $B172, ParametersRange), 1, COLUMN()-2 )</f>
        <v>5.7683963474698685E-4</v>
      </c>
      <c r="E172" s="2" cm="1">
        <f t="array" ref="E172">INDEX( ComputeThermoProps($A172, $B172, ParametersRange), 1, COLUMN()-2 )</f>
        <v>4.1074181395667171E-4</v>
      </c>
      <c r="F172" s="2" cm="1">
        <f t="array" ref="F172">INDEX( ComputeThermoProps($A172, $B172, ParametersRange), 1, COLUMN()-2 )</f>
        <v>1.0120048184218545E-3</v>
      </c>
      <c r="G172" s="2" cm="1">
        <f t="array" ref="G172">INDEX( ComputeThermoProps($A172, $B172, ParametersRange), 1, COLUMN()-2 )</f>
        <v>34.934889632225449</v>
      </c>
      <c r="H172" s="2" cm="1">
        <f t="array" ref="H172">INDEX( ComputeThermoProps($A172, $B172, ParametersRange), 1, COLUMN()-2 )</f>
        <v>24.875579057965137</v>
      </c>
      <c r="I172" s="2" cm="1">
        <f t="array" ref="I172">INDEX( ComputeThermoProps($A172, $B172, ParametersRange), 1, COLUMN()-2 )</f>
        <v>2.6799999999999997</v>
      </c>
      <c r="J172" s="2" cm="1">
        <f t="array" ref="J172">INDEX( ComputeThermoProps($A172, $B172, ParametersRange), 1, COLUMN()-2 )</f>
        <v>3777.7535345654055</v>
      </c>
      <c r="K172" s="2" cm="1">
        <f t="array" ref="K172">INDEX( ComputeThermoProps($A172, $B172, ParametersRange), 1, COLUMN()-2 )</f>
        <v>63.099211357708171</v>
      </c>
      <c r="L172" s="2" cm="1">
        <f t="array" ref="L172">INDEX( ComputeThermoProps($A172, $B172, ParametersRange), 1, COLUMN()-2 )</f>
        <v>-5630.3388788688826</v>
      </c>
      <c r="M172" s="2" cm="1">
        <f t="array" ref="M172">INDEX( ComputeThermoProps($A172, $B172, ParametersRange), 1, COLUMN()-2 )</f>
        <v>3778.5973669025802</v>
      </c>
      <c r="N172" s="2" cm="1">
        <f t="array" ref="N172">INDEX( ComputeThermoProps($A172, $B172, ParametersRange), 1, COLUMN()-2 )</f>
        <v>-5629.4950465317079</v>
      </c>
      <c r="O172" s="2">
        <f t="shared" si="7"/>
        <v>-1.6535243417169816</v>
      </c>
      <c r="P172" s="2">
        <f t="shared" si="8"/>
        <v>-2977.7126339203346</v>
      </c>
    </row>
    <row r="173" spans="1:16" x14ac:dyDescent="0.25">
      <c r="A173" s="2">
        <v>150.1</v>
      </c>
      <c r="B173" s="2">
        <f t="shared" si="6"/>
        <v>2.4644649173370857E-2</v>
      </c>
      <c r="C173" s="2" cm="1">
        <f t="array" ref="C173">INDEX( ComputeThermoProps($A173, $B173, ParametersRange), 1, COLUMN()-2 )</f>
        <v>38.038301716942748</v>
      </c>
      <c r="D173" s="2" cm="1">
        <f t="array" ref="D173">INDEX( ComputeThermoProps($A173, $B173, ParametersRange), 1, COLUMN()-2 )</f>
        <v>5.8188712832299991E-4</v>
      </c>
      <c r="E173" s="2" cm="1">
        <f t="array" ref="E173">INDEX( ComputeThermoProps($A173, $B173, ParametersRange), 1, COLUMN()-2 )</f>
        <v>4.1260032581817149E-4</v>
      </c>
      <c r="F173" s="2" cm="1">
        <f t="array" ref="F173">INDEX( ComputeThermoProps($A173, $B173, ParametersRange), 1, COLUMN()-2 )</f>
        <v>1.0199480435514343E-3</v>
      </c>
      <c r="G173" s="2" cm="1">
        <f t="array" ref="G173">INDEX( ComputeThermoProps($A173, $B173, ParametersRange), 1, COLUMN()-2 )</f>
        <v>35.086076626660336</v>
      </c>
      <c r="H173" s="2" cm="1">
        <f t="array" ref="H173">INDEX( ComputeThermoProps($A173, $B173, ParametersRange), 1, COLUMN()-2 )</f>
        <v>24.878582019098396</v>
      </c>
      <c r="I173" s="2" cm="1">
        <f t="array" ref="I173">INDEX( ComputeThermoProps($A173, $B173, ParametersRange), 1, COLUMN()-2 )</f>
        <v>2.68</v>
      </c>
      <c r="J173" s="2" cm="1">
        <f t="array" ref="J173">INDEX( ComputeThermoProps($A173, $B173, ParametersRange), 1, COLUMN()-2 )</f>
        <v>3812.748785602616</v>
      </c>
      <c r="K173" s="2" cm="1">
        <f t="array" ref="K173">INDEX( ComputeThermoProps($A173, $B173, ParametersRange), 1, COLUMN()-2 )</f>
        <v>63.333094287590022</v>
      </c>
      <c r="L173" s="2" cm="1">
        <f t="array" ref="L173">INDEX( ComputeThermoProps($A173, $B173, ParametersRange), 1, COLUMN()-2 )</f>
        <v>-5693.5486669646461</v>
      </c>
      <c r="M173" s="2" cm="1">
        <f t="array" ref="M173">INDEX( ComputeThermoProps($A173, $B173, ParametersRange), 1, COLUMN()-2 )</f>
        <v>3813.6862262035806</v>
      </c>
      <c r="N173" s="2" cm="1">
        <f t="array" ref="N173">INDEX( ComputeThermoProps($A173, $B173, ParametersRange), 1, COLUMN()-2 )</f>
        <v>-5692.6112263636815</v>
      </c>
      <c r="O173" s="2">
        <f t="shared" si="7"/>
        <v>-1.6082773598242746</v>
      </c>
      <c r="P173" s="2">
        <f t="shared" si="8"/>
        <v>-2942.6237746193342</v>
      </c>
    </row>
    <row r="174" spans="1:16" x14ac:dyDescent="0.25">
      <c r="A174" s="2">
        <v>151.1</v>
      </c>
      <c r="B174" s="2">
        <f t="shared" si="6"/>
        <v>2.7348845201801881E-2</v>
      </c>
      <c r="C174" s="2" cm="1">
        <f t="array" ref="C174">INDEX( ComputeThermoProps($A174, $B174, ParametersRange), 1, COLUMN()-2 )</f>
        <v>38.077212544841636</v>
      </c>
      <c r="D174" s="2" cm="1">
        <f t="array" ref="D174">INDEX( ComputeThermoProps($A174, $B174, ParametersRange), 1, COLUMN()-2 )</f>
        <v>5.8705336584877232E-4</v>
      </c>
      <c r="E174" s="2" cm="1">
        <f t="array" ref="E174">INDEX( ComputeThermoProps($A174, $B174, ParametersRange), 1, COLUMN()-2 )</f>
        <v>4.1449295696348553E-4</v>
      </c>
      <c r="F174" s="2" cm="1">
        <f t="array" ref="F174">INDEX( ComputeThermoProps($A174, $B174, ParametersRange), 1, COLUMN()-2 )</f>
        <v>1.0280748791262498E-3</v>
      </c>
      <c r="G174" s="2" cm="1">
        <f t="array" ref="G174">INDEX( ComputeThermoProps($A174, $B174, ParametersRange), 1, COLUMN()-2 )</f>
        <v>35.240166046615158</v>
      </c>
      <c r="H174" s="2" cm="1">
        <f t="array" ref="H174">INDEX( ComputeThermoProps($A174, $B174, ParametersRange), 1, COLUMN()-2 )</f>
        <v>24.881555031077909</v>
      </c>
      <c r="I174" s="2" cm="1">
        <f t="array" ref="I174">INDEX( ComputeThermoProps($A174, $B174, ParametersRange), 1, COLUMN()-2 )</f>
        <v>2.68</v>
      </c>
      <c r="J174" s="2" cm="1">
        <f t="array" ref="J174">INDEX( ComputeThermoProps($A174, $B174, ParametersRange), 1, COLUMN()-2 )</f>
        <v>3847.89477652389</v>
      </c>
      <c r="K174" s="2" cm="1">
        <f t="array" ref="K174">INDEX( ComputeThermoProps($A174, $B174, ParametersRange), 1, COLUMN()-2 )</f>
        <v>63.566424712993907</v>
      </c>
      <c r="L174" s="2" cm="1">
        <f t="array" ref="L174">INDEX( ComputeThermoProps($A174, $B174, ParametersRange), 1, COLUMN()-2 )</f>
        <v>-5756.9919976094889</v>
      </c>
      <c r="M174" s="2" cm="1">
        <f t="array" ref="M174">INDEX( ComputeThermoProps($A174, $B174, ParametersRange), 1, COLUMN()-2 )</f>
        <v>3848.9361443154949</v>
      </c>
      <c r="N174" s="2" cm="1">
        <f t="array" ref="N174">INDEX( ComputeThermoProps($A174, $B174, ParametersRange), 1, COLUMN()-2 )</f>
        <v>-5755.950629817884</v>
      </c>
      <c r="O174" s="2">
        <f t="shared" si="7"/>
        <v>-1.5630610069200692</v>
      </c>
      <c r="P174" s="2">
        <f t="shared" si="8"/>
        <v>-2907.37385650742</v>
      </c>
    </row>
    <row r="175" spans="1:16" x14ac:dyDescent="0.25">
      <c r="A175" s="2">
        <v>152.1</v>
      </c>
      <c r="B175" s="2">
        <f t="shared" si="6"/>
        <v>3.034957203450275E-2</v>
      </c>
      <c r="C175" s="2" cm="1">
        <f t="array" ref="C175">INDEX( ComputeThermoProps($A175, $B175, ParametersRange), 1, COLUMN()-2 )</f>
        <v>38.116469349674851</v>
      </c>
      <c r="D175" s="2" cm="1">
        <f t="array" ref="D175">INDEX( ComputeThermoProps($A175, $B175, ParametersRange), 1, COLUMN()-2 )</f>
        <v>5.9234296108138314E-4</v>
      </c>
      <c r="E175" s="2" cm="1">
        <f t="array" ref="E175">INDEX( ComputeThermoProps($A175, $B175, ParametersRange), 1, COLUMN()-2 )</f>
        <v>4.1642075924384707E-4</v>
      </c>
      <c r="F175" s="2" cm="1">
        <f t="array" ref="F175">INDEX( ComputeThermoProps($A175, $B175, ParametersRange), 1, COLUMN()-2 )</f>
        <v>1.0363925257134837E-3</v>
      </c>
      <c r="G175" s="2" cm="1">
        <f t="array" ref="G175">INDEX( ComputeThermoProps($A175, $B175, ParametersRange), 1, COLUMN()-2 )</f>
        <v>35.39727033194287</v>
      </c>
      <c r="H175" s="2" cm="1">
        <f t="array" ref="H175">INDEX( ComputeThermoProps($A175, $B175, ParametersRange), 1, COLUMN()-2 )</f>
        <v>24.884499614678756</v>
      </c>
      <c r="I175" s="2" cm="1">
        <f t="array" ref="I175">INDEX( ComputeThermoProps($A175, $B175, ParametersRange), 1, COLUMN()-2 )</f>
        <v>2.68</v>
      </c>
      <c r="J175" s="2" cm="1">
        <f t="array" ref="J175">INDEX( ComputeThermoProps($A175, $B175, ParametersRange), 1, COLUMN()-2 )</f>
        <v>3883.1942155309221</v>
      </c>
      <c r="K175" s="2" cm="1">
        <f t="array" ref="K175">INDEX( ComputeThermoProps($A175, $B175, ParametersRange), 1, COLUMN()-2 )</f>
        <v>63.799227845836633</v>
      </c>
      <c r="L175" s="2" cm="1">
        <f t="array" ref="L175">INDEX( ComputeThermoProps($A175, $B175, ParametersRange), 1, COLUMN()-2 )</f>
        <v>-5820.6683398208297</v>
      </c>
      <c r="M175" s="2" cm="1">
        <f t="array" ref="M175">INDEX( ComputeThermoProps($A175, $B175, ParametersRange), 1, COLUMN()-2 )</f>
        <v>3884.351034063151</v>
      </c>
      <c r="N175" s="2" cm="1">
        <f t="array" ref="N175">INDEX( ComputeThermoProps($A175, $B175, ParametersRange), 1, COLUMN()-2 )</f>
        <v>-5819.5115212886003</v>
      </c>
      <c r="O175" s="2">
        <f t="shared" si="7"/>
        <v>-1.5178474286204977</v>
      </c>
      <c r="P175" s="2">
        <f t="shared" si="8"/>
        <v>-2871.9589667597638</v>
      </c>
    </row>
    <row r="176" spans="1:16" x14ac:dyDescent="0.25">
      <c r="A176" s="2">
        <v>153.1</v>
      </c>
      <c r="B176" s="2">
        <f t="shared" si="6"/>
        <v>3.3681750474221527E-2</v>
      </c>
      <c r="C176" s="2" cm="1">
        <f t="array" ref="C176">INDEX( ComputeThermoProps($A176, $B176, ParametersRange), 1, COLUMN()-2 )</f>
        <v>38.15607961592589</v>
      </c>
      <c r="D176" s="2" cm="1">
        <f t="array" ref="D176">INDEX( ComputeThermoProps($A176, $B176, ParametersRange), 1, COLUMN()-2 )</f>
        <v>5.9776076918369105E-4</v>
      </c>
      <c r="E176" s="2" cm="1">
        <f t="array" ref="E176">INDEX( ComputeThermoProps($A176, $B176, ParametersRange), 1, COLUMN()-2 )</f>
        <v>4.1838482656271112E-4</v>
      </c>
      <c r="F176" s="2" cm="1">
        <f t="array" ref="F176">INDEX( ComputeThermoProps($A176, $B176, ParametersRange), 1, COLUMN()-2 )</f>
        <v>1.0449085573064078E-3</v>
      </c>
      <c r="G176" s="2" cm="1">
        <f t="array" ref="G176">INDEX( ComputeThermoProps($A176, $B176, ParametersRange), 1, COLUMN()-2 )</f>
        <v>35.557507672537085</v>
      </c>
      <c r="H176" s="2" cm="1">
        <f t="array" ref="H176">INDEX( ComputeThermoProps($A176, $B176, ParametersRange), 1, COLUMN()-2 )</f>
        <v>24.887417253715931</v>
      </c>
      <c r="I176" s="2" cm="1">
        <f t="array" ref="I176">INDEX( ComputeThermoProps($A176, $B176, ParametersRange), 1, COLUMN()-2 )</f>
        <v>2.68</v>
      </c>
      <c r="J176" s="2" cm="1">
        <f t="array" ref="J176">INDEX( ComputeThermoProps($A176, $B176, ParametersRange), 1, COLUMN()-2 )</f>
        <v>3918.6498884824609</v>
      </c>
      <c r="K176" s="2" cm="1">
        <f t="array" ref="K176">INDEX( ComputeThermoProps($A176, $B176, ParametersRange), 1, COLUMN()-2 )</f>
        <v>64.031528921321822</v>
      </c>
      <c r="L176" s="2" cm="1">
        <f t="array" ref="L176">INDEX( ComputeThermoProps($A176, $B176, ParametersRange), 1, COLUMN()-2 )</f>
        <v>-5884.5771893719093</v>
      </c>
      <c r="M176" s="2" cm="1">
        <f t="array" ref="M176">INDEX( ComputeThermoProps($A176, $B176, ParametersRange), 1, COLUMN()-2 )</f>
        <v>3919.9350520351591</v>
      </c>
      <c r="N176" s="2" cm="1">
        <f t="array" ref="N176">INDEX( ComputeThermoProps($A176, $B176, ParametersRange), 1, COLUMN()-2 )</f>
        <v>-5883.2920258192116</v>
      </c>
      <c r="O176" s="2">
        <f t="shared" si="7"/>
        <v>-1.4726053458677548</v>
      </c>
      <c r="P176" s="2">
        <f t="shared" si="8"/>
        <v>-2836.3749487877558</v>
      </c>
    </row>
    <row r="177" spans="1:16" x14ac:dyDescent="0.25">
      <c r="A177" s="2">
        <v>154.1</v>
      </c>
      <c r="B177" s="2">
        <f t="shared" si="6"/>
        <v>3.7385317643864414E-2</v>
      </c>
      <c r="C177" s="2" cm="1">
        <f t="array" ref="C177">INDEX( ComputeThermoProps($A177, $B177, ParametersRange), 1, COLUMN()-2 )</f>
        <v>38.196051019479306</v>
      </c>
      <c r="D177" s="2" cm="1">
        <f t="array" ref="D177">INDEX( ComputeThermoProps($A177, $B177, ParametersRange), 1, COLUMN()-2 )</f>
        <v>6.0331190066827026E-4</v>
      </c>
      <c r="E177" s="2" cm="1">
        <f t="array" ref="E177">INDEX( ComputeThermoProps($A177, $B177, ParametersRange), 1, COLUMN()-2 )</f>
        <v>4.2038629591359584E-4</v>
      </c>
      <c r="F177" s="2" cm="1">
        <f t="array" ref="F177">INDEX( ComputeThermoProps($A177, $B177, ParametersRange), 1, COLUMN()-2 )</f>
        <v>1.0536309433551488E-3</v>
      </c>
      <c r="G177" s="2" cm="1">
        <f t="array" ref="G177">INDEX( ComputeThermoProps($A177, $B177, ParametersRange), 1, COLUMN()-2 )</f>
        <v>35.721002378349255</v>
      </c>
      <c r="H177" s="2" cm="1">
        <f t="array" ref="H177">INDEX( ComputeThermoProps($A177, $B177, ParametersRange), 1, COLUMN()-2 )</f>
        <v>24.890309406331184</v>
      </c>
      <c r="I177" s="2" cm="1">
        <f t="array" ref="I177">INDEX( ComputeThermoProps($A177, $B177, ParametersRange), 1, COLUMN()-2 )</f>
        <v>2.6799999999999997</v>
      </c>
      <c r="J177" s="2" cm="1">
        <f t="array" ref="J177">INDEX( ComputeThermoProps($A177, $B177, ParametersRange), 1, COLUMN()-2 )</f>
        <v>3954.2646575159793</v>
      </c>
      <c r="K177" s="2" cm="1">
        <f t="array" ref="K177">INDEX( ComputeThermoProps($A177, $B177, ParametersRange), 1, COLUMN()-2 )</f>
        <v>64.263353189936367</v>
      </c>
      <c r="L177" s="2" cm="1">
        <f t="array" ref="L177">INDEX( ComputeThermoProps($A177, $B177, ParametersRange), 1, COLUMN()-2 )</f>
        <v>-5948.718069053215</v>
      </c>
      <c r="M177" s="2" cm="1">
        <f t="array" ref="M177">INDEX( ComputeThermoProps($A177, $B177, ParametersRange), 1, COLUMN()-2 )</f>
        <v>3955.6926290160836</v>
      </c>
      <c r="N177" s="2" cm="1">
        <f t="array" ref="N177">INDEX( ComputeThermoProps($A177, $B177, ParametersRange), 1, COLUMN()-2 )</f>
        <v>-5947.2900975531102</v>
      </c>
      <c r="O177" s="2">
        <f t="shared" si="7"/>
        <v>-1.427298925024217</v>
      </c>
      <c r="P177" s="2">
        <f t="shared" si="8"/>
        <v>-2800.6173718068312</v>
      </c>
    </row>
    <row r="178" spans="1:16" x14ac:dyDescent="0.25">
      <c r="A178" s="2">
        <v>155.1</v>
      </c>
      <c r="B178" s="2">
        <f t="shared" si="6"/>
        <v>4.1506286989335998E-2</v>
      </c>
      <c r="C178" s="2" cm="1">
        <f t="array" ref="C178">INDEX( ComputeThermoProps($A178, $B178, ParametersRange), 1, COLUMN()-2 )</f>
        <v>38.236391414373969</v>
      </c>
      <c r="D178" s="2" cm="1">
        <f t="array" ref="D178">INDEX( ComputeThermoProps($A178, $B178, ParametersRange), 1, COLUMN()-2 )</f>
        <v>6.0900173532666844E-4</v>
      </c>
      <c r="E178" s="2" cm="1">
        <f t="array" ref="E178">INDEX( ComputeThermoProps($A178, $B178, ParametersRange), 1, COLUMN()-2 )</f>
        <v>4.2242634799342292E-4</v>
      </c>
      <c r="F178" s="2" cm="1">
        <f t="array" ref="F178">INDEX( ComputeThermoProps($A178, $B178, ParametersRange), 1, COLUMN()-2 )</f>
        <v>1.0625680703606967E-3</v>
      </c>
      <c r="G178" s="2" cm="1">
        <f t="array" ref="G178">INDEX( ComputeThermoProps($A178, $B178, ParametersRange), 1, COLUMN()-2 )</f>
        <v>35.887885240911352</v>
      </c>
      <c r="H178" s="2" cm="1">
        <f t="array" ref="H178">INDEX( ComputeThermoProps($A178, $B178, ParametersRange), 1, COLUMN()-2 )</f>
        <v>24.893177506946561</v>
      </c>
      <c r="I178" s="2" cm="1">
        <f t="array" ref="I178">INDEX( ComputeThermoProps($A178, $B178, ParametersRange), 1, COLUMN()-2 )</f>
        <v>2.68</v>
      </c>
      <c r="J178" s="2" cm="1">
        <f t="array" ref="J178">INDEX( ComputeThermoProps($A178, $B178, ParametersRange), 1, COLUMN()-2 )</f>
        <v>3990.041457876041</v>
      </c>
      <c r="K178" s="2" cm="1">
        <f t="array" ref="K178">INDEX( ComputeThermoProps($A178, $B178, ParametersRange), 1, COLUMN()-2 )</f>
        <v>64.494725898424562</v>
      </c>
      <c r="L178" s="2" cm="1">
        <f t="array" ref="L178">INDEX( ComputeThermoProps($A178, $B178, ParametersRange), 1, COLUMN()-2 )</f>
        <v>-6013.0905289696084</v>
      </c>
      <c r="M178" s="2" cm="1">
        <f t="array" ref="M178">INDEX( ComputeThermoProps($A178, $B178, ParametersRange), 1, COLUMN()-2 )</f>
        <v>3991.6285085115228</v>
      </c>
      <c r="N178" s="2" cm="1">
        <f t="array" ref="N178">INDEX( ComputeThermoProps($A178, $B178, ParametersRange), 1, COLUMN()-2 )</f>
        <v>-6011.5034783341262</v>
      </c>
      <c r="O178" s="2">
        <f t="shared" si="7"/>
        <v>-1.3818861153848301</v>
      </c>
      <c r="P178" s="2">
        <f t="shared" si="8"/>
        <v>-2764.681492311392</v>
      </c>
    </row>
    <row r="179" spans="1:16" x14ac:dyDescent="0.25">
      <c r="A179" s="2">
        <v>156.1</v>
      </c>
      <c r="B179" s="2">
        <f t="shared" si="6"/>
        <v>4.609819528819141E-2</v>
      </c>
      <c r="C179" s="2" cm="1">
        <f t="array" ref="C179">INDEX( ComputeThermoProps($A179, $B179, ParametersRange), 1, COLUMN()-2 )</f>
        <v>38.277108809712857</v>
      </c>
      <c r="D179" s="2" cm="1">
        <f t="array" ref="D179">INDEX( ComputeThermoProps($A179, $B179, ParametersRange), 1, COLUMN()-2 )</f>
        <v>6.1483593550396888E-4</v>
      </c>
      <c r="E179" s="2" cm="1">
        <f t="array" ref="E179">INDEX( ComputeThermoProps($A179, $B179, ParametersRange), 1, COLUMN()-2 )</f>
        <v>4.2450620708446796E-4</v>
      </c>
      <c r="F179" s="2" cm="1">
        <f t="array" ref="F179">INDEX( ComputeThermoProps($A179, $B179, ParametersRange), 1, COLUMN()-2 )</f>
        <v>1.0717287618726365E-3</v>
      </c>
      <c r="G179" s="2" cm="1">
        <f t="array" ref="G179">INDEX( ComputeThermoProps($A179, $B179, ParametersRange), 1, COLUMN()-2 )</f>
        <v>36.058293869407869</v>
      </c>
      <c r="H179" s="2" cm="1">
        <f t="array" ref="H179">INDEX( ComputeThermoProps($A179, $B179, ParametersRange), 1, COLUMN()-2 )</f>
        <v>24.896022955933176</v>
      </c>
      <c r="I179" s="2" cm="1">
        <f t="array" ref="I179">INDEX( ComputeThermoProps($A179, $B179, ParametersRange), 1, COLUMN()-2 )</f>
        <v>2.6799999999999997</v>
      </c>
      <c r="J179" s="2" cm="1">
        <f t="array" ref="J179">INDEX( ComputeThermoProps($A179, $B179, ParametersRange), 1, COLUMN()-2 )</f>
        <v>4025.9832918956863</v>
      </c>
      <c r="K179" s="2" cm="1">
        <f t="array" ref="K179">INDEX( ComputeThermoProps($A179, $B179, ParametersRange), 1, COLUMN()-2 )</f>
        <v>64.72567225349448</v>
      </c>
      <c r="L179" s="2" cm="1">
        <f t="array" ref="L179">INDEX( ComputeThermoProps($A179, $B179, ParametersRange), 1, COLUMN()-2 )</f>
        <v>-6077.6941468748018</v>
      </c>
      <c r="M179" s="2" cm="1">
        <f t="array" ref="M179">INDEX( ComputeThermoProps($A179, $B179, ParametersRange), 1, COLUMN()-2 )</f>
        <v>4027.7477975326638</v>
      </c>
      <c r="N179" s="2" cm="1">
        <f t="array" ref="N179">INDEX( ComputeThermoProps($A179, $B179, ParametersRange), 1, COLUMN()-2 )</f>
        <v>-6075.9296412378244</v>
      </c>
      <c r="O179" s="2">
        <f t="shared" si="7"/>
        <v>-1.3363160765999798</v>
      </c>
      <c r="P179" s="2">
        <f t="shared" si="8"/>
        <v>-2728.5622032902511</v>
      </c>
    </row>
    <row r="180" spans="1:16" x14ac:dyDescent="0.25">
      <c r="A180" s="2">
        <v>157.1</v>
      </c>
      <c r="B180" s="2">
        <f t="shared" si="6"/>
        <v>5.1224186485542639E-2</v>
      </c>
      <c r="C180" s="2" cm="1">
        <f t="array" ref="C180">INDEX( ComputeThermoProps($A180, $B180, ParametersRange), 1, COLUMN()-2 )</f>
        <v>38.318211330027943</v>
      </c>
      <c r="D180" s="2" cm="1">
        <f t="array" ref="D180">INDEX( ComputeThermoProps($A180, $B180, ParametersRange), 1, COLUMN()-2 )</f>
        <v>6.2082045786886501E-4</v>
      </c>
      <c r="E180" s="2" cm="1">
        <f t="array" ref="E180">INDEX( ComputeThermoProps($A180, $B180, ParametersRange), 1, COLUMN()-2 )</f>
        <v>4.2662713963525557E-4</v>
      </c>
      <c r="F180" s="2" cm="1">
        <f t="array" ref="F180">INDEX( ComputeThermoProps($A180, $B180, ParametersRange), 1, COLUMN()-2 )</f>
        <v>1.0811222968885033E-3</v>
      </c>
      <c r="G180" s="2" cm="1">
        <f t="array" ref="G180">INDEX( ComputeThermoProps($A180, $B180, ParametersRange), 1, COLUMN()-2 )</f>
        <v>36.232373043622225</v>
      </c>
      <c r="H180" s="2" cm="1">
        <f t="array" ref="H180">INDEX( ComputeThermoProps($A180, $B180, ParametersRange), 1, COLUMN()-2 )</f>
        <v>24.898847127011397</v>
      </c>
      <c r="I180" s="2" cm="1">
        <f t="array" ref="I180">INDEX( ComputeThermoProps($A180, $B180, ParametersRange), 1, COLUMN()-2 )</f>
        <v>2.6799999999999997</v>
      </c>
      <c r="J180" s="2" cm="1">
        <f t="array" ref="J180">INDEX( ComputeThermoProps($A180, $B180, ParametersRange), 1, COLUMN()-2 )</f>
        <v>4062.093218195238</v>
      </c>
      <c r="K180" s="2" cm="1">
        <f t="array" ref="K180">INDEX( ComputeThermoProps($A180, $B180, ParametersRange), 1, COLUMN()-2 )</f>
        <v>64.956217356715243</v>
      </c>
      <c r="L180" s="2" cm="1">
        <f t="array" ref="L180">INDEX( ComputeThermoProps($A180, $B180, ParametersRange), 1, COLUMN()-2 )</f>
        <v>-6142.5285285447262</v>
      </c>
      <c r="M180" s="2" cm="1">
        <f t="array" ref="M180">INDEX( ComputeThermoProps($A180, $B180, ParametersRange), 1, COLUMN()-2 )</f>
        <v>4064.0560373981998</v>
      </c>
      <c r="N180" s="2" cm="1">
        <f t="array" ref="N180">INDEX( ComputeThermoProps($A180, $B180, ParametersRange), 1, COLUMN()-2 )</f>
        <v>-6140.5657093417649</v>
      </c>
      <c r="O180" s="2">
        <f t="shared" si="7"/>
        <v>-1.2905249300989541</v>
      </c>
      <c r="P180" s="2">
        <f t="shared" si="8"/>
        <v>-2692.253963424715</v>
      </c>
    </row>
    <row r="181" spans="1:16" x14ac:dyDescent="0.25">
      <c r="A181" s="2">
        <v>158.1</v>
      </c>
      <c r="B181" s="2">
        <f t="shared" si="6"/>
        <v>5.6960252398671536E-2</v>
      </c>
      <c r="C181" s="2" cm="1">
        <f t="array" ref="C181">INDEX( ComputeThermoProps($A181, $B181, ParametersRange), 1, COLUMN()-2 )</f>
        <v>38.359707145296646</v>
      </c>
      <c r="D181" s="2" cm="1">
        <f t="array" ref="D181">INDEX( ComputeThermoProps($A181, $B181, ParametersRange), 1, COLUMN()-2 )</f>
        <v>6.2696156101186044E-4</v>
      </c>
      <c r="E181" s="2" cm="1">
        <f t="array" ref="E181">INDEX( ComputeThermoProps($A181, $B181, ParametersRange), 1, COLUMN()-2 )</f>
        <v>4.2879045036650637E-4</v>
      </c>
      <c r="F181" s="2" cm="1">
        <f t="array" ref="F181">INDEX( ComputeThermoProps($A181, $B181, ParametersRange), 1, COLUMN()-2 )</f>
        <v>1.0907584216976623E-3</v>
      </c>
      <c r="G181" s="2" cm="1">
        <f t="array" ref="G181">INDEX( ComputeThermoProps($A181, $B181, ParametersRange), 1, COLUMN()-2 )</f>
        <v>36.410275005049904</v>
      </c>
      <c r="H181" s="2" cm="1">
        <f t="array" ref="H181">INDEX( ComputeThermoProps($A181, $B181, ParametersRange), 1, COLUMN()-2 )</f>
        <v>24.901651374267193</v>
      </c>
      <c r="I181" s="2" cm="1">
        <f t="array" ref="I181">INDEX( ComputeThermoProps($A181, $B181, ParametersRange), 1, COLUMN()-2 )</f>
        <v>2.6799999999999997</v>
      </c>
      <c r="J181" s="2" cm="1">
        <f t="array" ref="J181">INDEX( ComputeThermoProps($A181, $B181, ParametersRange), 1, COLUMN()-2 )</f>
        <v>4098.3743321329321</v>
      </c>
      <c r="K181" s="2" cm="1">
        <f t="array" ref="K181">INDEX( ComputeThermoProps($A181, $B181, ParametersRange), 1, COLUMN()-2 )</f>
        <v>65.18638608680692</v>
      </c>
      <c r="L181" s="2" cm="1">
        <f t="array" ref="L181">INDEX( ComputeThermoProps($A181, $B181, ParametersRange), 1, COLUMN()-2 )</f>
        <v>-6207.5933081912417</v>
      </c>
      <c r="M181" s="2" cm="1">
        <f t="array" ref="M181">INDEX( ComputeThermoProps($A181, $B181, ParametersRange), 1, COLUMN()-2 )</f>
        <v>4100.5593107338673</v>
      </c>
      <c r="N181" s="2" cm="1">
        <f t="array" ref="N181">INDEX( ComputeThermoProps($A181, $B181, ParametersRange), 1, COLUMN()-2 )</f>
        <v>-6205.4083295903065</v>
      </c>
      <c r="O181" s="2">
        <f t="shared" si="7"/>
        <v>-1.2444280949486679</v>
      </c>
      <c r="P181" s="2">
        <f t="shared" si="8"/>
        <v>-2655.7506900890476</v>
      </c>
    </row>
    <row r="182" spans="1:16" x14ac:dyDescent="0.25">
      <c r="A182" s="2">
        <v>159.1</v>
      </c>
      <c r="B182" s="2">
        <f t="shared" si="6"/>
        <v>6.3400901893917685E-2</v>
      </c>
      <c r="C182" s="2" cm="1">
        <f t="array" ref="C182">INDEX( ComputeThermoProps($A182, $B182, ParametersRange), 1, COLUMN()-2 )</f>
        <v>38.401604337272346</v>
      </c>
      <c r="D182" s="2" cm="1">
        <f t="array" ref="D182">INDEX( ComputeThermoProps($A182, $B182, ParametersRange), 1, COLUMN()-2 )</f>
        <v>6.332658025453025E-4</v>
      </c>
      <c r="E182" s="2" cm="1">
        <f t="array" ref="E182">INDEX( ComputeThermoProps($A182, $B182, ParametersRange), 1, COLUMN()-2 )</f>
        <v>4.3099747307695643E-4</v>
      </c>
      <c r="F182" s="2" cm="1">
        <f t="array" ref="F182">INDEX( ComputeThermoProps($A182, $B182, ParametersRange), 1, COLUMN()-2 )</f>
        <v>1.1006473443479804E-3</v>
      </c>
      <c r="G182" s="2" cm="1">
        <f t="array" ref="G182">INDEX( ComputeThermoProps($A182, $B182, ParametersRange), 1, COLUMN()-2 )</f>
        <v>36.592159538950881</v>
      </c>
      <c r="H182" s="2" cm="1">
        <f t="array" ref="H182">INDEX( ComputeThermoProps($A182, $B182, ParametersRange), 1, COLUMN()-2 )</f>
        <v>24.904437018906361</v>
      </c>
      <c r="I182" s="2" cm="1">
        <f t="array" ref="I182">INDEX( ComputeThermoProps($A182, $B182, ParametersRange), 1, COLUMN()-2 )</f>
        <v>2.6799999999999997</v>
      </c>
      <c r="J182" s="2" cm="1">
        <f t="array" ref="J182">INDEX( ComputeThermoProps($A182, $B182, ParametersRange), 1, COLUMN()-2 )</f>
        <v>4134.8297279829712</v>
      </c>
      <c r="K182" s="2" cm="1">
        <f t="array" ref="K182">INDEX( ComputeThermoProps($A182, $B182, ParametersRange), 1, COLUMN()-2 )</f>
        <v>65.416202871777173</v>
      </c>
      <c r="L182" s="2" cm="1">
        <f t="array" ref="L182">INDEX( ComputeThermoProps($A182, $B182, ParametersRange), 1, COLUMN()-2 )</f>
        <v>-6272.888148916777</v>
      </c>
      <c r="M182" s="2" cm="1">
        <f t="array" ref="M182">INDEX( ComputeThermoProps($A182, $B182, ParametersRange), 1, COLUMN()-2 )</f>
        <v>4137.2644243321274</v>
      </c>
      <c r="N182" s="2" cm="1">
        <f t="array" ref="N182">INDEX( ComputeThermoProps($A182, $B182, ParametersRange), 1, COLUMN()-2 )</f>
        <v>-6270.4534525676208</v>
      </c>
      <c r="O182" s="2">
        <f t="shared" si="7"/>
        <v>-1.1979045641251163</v>
      </c>
      <c r="P182" s="2">
        <f>M182-$B$11</f>
        <v>-2619.0455764907874</v>
      </c>
    </row>
    <row r="183" spans="1:16" x14ac:dyDescent="0.25">
      <c r="A183" s="2">
        <v>160.1</v>
      </c>
      <c r="B183" s="2">
        <f t="shared" si="6"/>
        <v>7.0671278307414626E-2</v>
      </c>
      <c r="C183" s="2" cm="1">
        <f t="array" ref="C183">INDEX( ComputeThermoProps($A183, $B183, ParametersRange), 1, COLUMN()-2 )</f>
        <v>38.443910598133144</v>
      </c>
      <c r="D183" s="2" cm="1">
        <f t="array" ref="D183">INDEX( ComputeThermoProps($A183, $B183, ParametersRange), 1, COLUMN()-2 )</f>
        <v>6.3974000718873135E-4</v>
      </c>
      <c r="E183" s="2" cm="1">
        <f t="array" ref="E183">INDEX( ComputeThermoProps($A183, $B183, ParametersRange), 1, COLUMN()-2 )</f>
        <v>4.332495473899846E-4</v>
      </c>
      <c r="F183" s="2" cm="1">
        <f t="array" ref="F183">INDEX( ComputeThermoProps($A183, $B183, ParametersRange), 1, COLUMN()-2 )</f>
        <v>1.1107996844313471E-3</v>
      </c>
      <c r="G183" s="2" cm="1">
        <f t="array" ref="G183">INDEX( ComputeThermoProps($A183, $B183, ParametersRange), 1, COLUMN()-2 )</f>
        <v>36.7781936013576</v>
      </c>
      <c r="H183" s="2" cm="1">
        <f t="array" ref="H183">INDEX( ComputeThermoProps($A183, $B183, ParametersRange), 1, COLUMN()-2 )</f>
        <v>24.907205353046862</v>
      </c>
      <c r="I183" s="2" cm="1">
        <f t="array" ref="I183">INDEX( ComputeThermoProps($A183, $B183, ParametersRange), 1, COLUMN()-2 )</f>
        <v>2.68</v>
      </c>
      <c r="J183" s="2" cm="1">
        <f t="array" ref="J183">INDEX( ComputeThermoProps($A183, $B183, ParametersRange), 1, COLUMN()-2 )</f>
        <v>4171.4624132974532</v>
      </c>
      <c r="K183" s="2" cm="1">
        <f t="array" ref="K183">INDEX( ComputeThermoProps($A183, $B183, ParametersRange), 1, COLUMN()-2 )</f>
        <v>65.645691171179749</v>
      </c>
      <c r="L183" s="2" cm="1">
        <f t="array" ref="L183">INDEX( ComputeThermoProps($A183, $B183, ParametersRange), 1, COLUMN()-2 )</f>
        <v>-6338.4127432084242</v>
      </c>
      <c r="M183" s="2" cm="1">
        <f t="array" ref="M183">INDEX( ComputeThermoProps($A183, $B183, ParametersRange), 1, COLUMN()-2 )</f>
        <v>4174.1792936025595</v>
      </c>
      <c r="N183" s="2" cm="1">
        <f t="array" ref="N183">INDEX( ComputeThermoProps($A183, $B183, ParametersRange), 1, COLUMN()-2 )</f>
        <v>-6335.6958629033179</v>
      </c>
      <c r="O183" s="2">
        <f t="shared" si="7"/>
        <v>-1.1507570530628717</v>
      </c>
      <c r="P183" s="2">
        <f t="shared" si="8"/>
        <v>-2582.1307072203554</v>
      </c>
    </row>
    <row r="184" spans="1:16" x14ac:dyDescent="0.25">
      <c r="A184" s="2">
        <v>161.1</v>
      </c>
      <c r="B184" s="2">
        <f t="shared" si="6"/>
        <v>7.8967562992883975E-2</v>
      </c>
      <c r="C184" s="2" cm="1">
        <f t="array" ref="C184">INDEX( ComputeThermoProps($A184, $B184, ParametersRange), 1, COLUMN()-2 )</f>
        <v>38.48663220450306</v>
      </c>
      <c r="D184" s="2" cm="1">
        <f t="array" ref="D184">INDEX( ComputeThermoProps($A184, $B184, ParametersRange), 1, COLUMN()-2 )</f>
        <v>6.4639110545055428E-4</v>
      </c>
      <c r="E184" s="2" cm="1">
        <f t="array" ref="E184">INDEX( ComputeThermoProps($A184, $B184, ParametersRange), 1, COLUMN()-2 )</f>
        <v>4.355479349106876E-4</v>
      </c>
      <c r="F184" s="2" cm="1">
        <f t="array" ref="F184">INDEX( ComputeThermoProps($A184, $B184, ParametersRange), 1, COLUMN()-2 )</f>
        <v>1.1212262191015159E-3</v>
      </c>
      <c r="G184" s="2" cm="1">
        <f t="array" ref="G184">INDEX( ComputeThermoProps($A184, $B184, ParametersRange), 1, COLUMN()-2 )</f>
        <v>36.968548697903408</v>
      </c>
      <c r="H184" s="2" cm="1">
        <f t="array" ref="H184">INDEX( ComputeThermoProps($A184, $B184, ParametersRange), 1, COLUMN()-2 )</f>
        <v>24.909957618915143</v>
      </c>
      <c r="I184" s="2" cm="1">
        <f t="array" ref="I184">INDEX( ComputeThermoProps($A184, $B184, ParametersRange), 1, COLUMN()-2 )</f>
        <v>2.68</v>
      </c>
      <c r="J184" s="2" cm="1">
        <f t="array" ref="J184">INDEX( ComputeThermoProps($A184, $B184, ParametersRange), 1, COLUMN()-2 )</f>
        <v>4208.2750181786541</v>
      </c>
      <c r="K184" s="2" cm="1">
        <f t="array" ref="K184">INDEX( ComputeThermoProps($A184, $B184, ParametersRange), 1, COLUMN()-2 )</f>
        <v>65.874871704767088</v>
      </c>
      <c r="L184" s="2" cm="1">
        <f t="array" ref="L184">INDEX( ComputeThermoProps($A184, $B184, ParametersRange), 1, COLUMN()-2 )</f>
        <v>-6404.1668134593237</v>
      </c>
      <c r="M184" s="2" cm="1">
        <f t="array" ref="M184">INDEX( ComputeThermoProps($A184, $B184, ParametersRange), 1, COLUMN()-2 )</f>
        <v>4211.3142137316472</v>
      </c>
      <c r="N184" s="2" cm="1">
        <f t="array" ref="N184">INDEX( ComputeThermoProps($A184, $B184, ParametersRange), 1, COLUMN()-2 )</f>
        <v>-6401.1276179063307</v>
      </c>
      <c r="O184" s="2">
        <f t="shared" si="7"/>
        <v>-1.1025512644824913</v>
      </c>
      <c r="P184" s="2">
        <f>M184-$B$11</f>
        <v>-2544.9957870912676</v>
      </c>
    </row>
    <row r="185" spans="1:16" x14ac:dyDescent="0.25">
      <c r="A185" s="2">
        <v>162.1</v>
      </c>
      <c r="B185" s="2">
        <f t="shared" si="6"/>
        <v>2.1048784150911288</v>
      </c>
      <c r="C185" s="2" cm="1">
        <f t="array" ref="C185">INDEX( ComputeThermoProps($A185, $B185, ParametersRange), 1, COLUMN()-2 )</f>
        <v>38.479402137557621</v>
      </c>
      <c r="D185" s="2" cm="1">
        <f t="array" ref="D185">INDEX( ComputeThermoProps($A185, $B185, ParametersRange), 1, COLUMN()-2 )</f>
        <v>6.444413585671219E-4</v>
      </c>
      <c r="E185" s="2" cm="1">
        <f t="array" ref="E185">INDEX( ComputeThermoProps($A185, $B185, ParametersRange), 1, COLUMN()-2 )</f>
        <v>4.3374902541964288E-4</v>
      </c>
      <c r="F185" s="2" cm="1">
        <f t="array" ref="F185">INDEX( ComputeThermoProps($A185, $B185, ParametersRange), 1, COLUMN()-2 )</f>
        <v>1.1181302872542171E-3</v>
      </c>
      <c r="G185" s="2" cm="1">
        <f t="array" ref="G185">INDEX( ComputeThermoProps($A185, $B185, ParametersRange), 1, COLUMN()-2 )</f>
        <v>37.012414845586541</v>
      </c>
      <c r="H185" s="2" cm="1">
        <f t="array" ref="H185">INDEX( ComputeThermoProps($A185, $B185, ParametersRange), 1, COLUMN()-2 )</f>
        <v>24.911652013452464</v>
      </c>
      <c r="I185" s="2" cm="1">
        <f t="array" ref="I185">INDEX( ComputeThermoProps($A185, $B185, ParametersRange), 1, COLUMN()-2 )</f>
        <v>2.6800000000000006</v>
      </c>
      <c r="J185" s="2" cm="1">
        <f t="array" ref="J185">INDEX( ComputeThermoProps($A185, $B185, ParametersRange), 1, COLUMN()-2 )</f>
        <v>4231.1667953993274</v>
      </c>
      <c r="K185" s="2" cm="1">
        <f t="array" ref="K185">INDEX( ComputeThermoProps($A185, $B185, ParametersRange), 1, COLUMN()-2 )</f>
        <v>66.01644357561581</v>
      </c>
      <c r="L185" s="2" cm="1">
        <f t="array" ref="L185">INDEX( ComputeThermoProps($A185, $B185, ParametersRange), 1, COLUMN()-2 )</f>
        <v>-6470.0987082079946</v>
      </c>
      <c r="M185" s="2" cm="1">
        <f t="array" ref="M185">INDEX( ComputeThermoProps($A185, $B185, ParametersRange), 1, COLUMN()-2 )</f>
        <v>4312.1612583842834</v>
      </c>
      <c r="N185" s="2" cm="1">
        <f t="array" ref="N185">INDEX( ComputeThermoProps($A185, $B185, ParametersRange), 1, COLUMN()-2 )</f>
        <v>-6389.1042452230386</v>
      </c>
      <c r="O185" s="2">
        <f t="shared" si="7"/>
        <v>0.32322701457547093</v>
      </c>
      <c r="P185" s="2">
        <f t="shared" si="8"/>
        <v>-2444.1487424386314</v>
      </c>
    </row>
    <row r="186" spans="1:16" x14ac:dyDescent="0.25">
      <c r="A186" s="2">
        <v>163.1</v>
      </c>
      <c r="B186" s="2">
        <f t="shared" si="6"/>
        <v>4.7329999051786098</v>
      </c>
      <c r="C186" s="2" cm="1">
        <f t="array" ref="C186">INDEX( ComputeThermoProps($A186, $B186, ParametersRange), 1, COLUMN()-2 )</f>
        <v>38.457352617250223</v>
      </c>
      <c r="D186" s="2" cm="1">
        <f t="array" ref="D186">INDEX( ComputeThermoProps($A186, $B186, ParametersRange), 1, COLUMN()-2 )</f>
        <v>6.399677114117422E-4</v>
      </c>
      <c r="E186" s="2" cm="1">
        <f t="array" ref="E186">INDEX( ComputeThermoProps($A186, $B186, ParametersRange), 1, COLUMN()-2 )</f>
        <v>4.3076442299816198E-4</v>
      </c>
      <c r="F186" s="2" cm="1">
        <f t="array" ref="F186">INDEX( ComputeThermoProps($A186, $B186, ParametersRange), 1, COLUMN()-2 )</f>
        <v>1.1110661697240969E-3</v>
      </c>
      <c r="G186" s="2" cm="1">
        <f t="array" ref="G186">INDEX( ComputeThermoProps($A186, $B186, ParametersRange), 1, COLUMN()-2 )</f>
        <v>37.012181819984072</v>
      </c>
      <c r="H186" s="2" cm="1">
        <f t="array" ref="H186">INDEX( ComputeThermoProps($A186, $B186, ParametersRange), 1, COLUMN()-2 )</f>
        <v>24.913024299956842</v>
      </c>
      <c r="I186" s="2" cm="1">
        <f t="array" ref="I186">INDEX( ComputeThermoProps($A186, $B186, ParametersRange), 1, COLUMN()-2 )</f>
        <v>2.6799999999999997</v>
      </c>
      <c r="J186" s="2" cm="1">
        <f t="array" ref="J186">INDEX( ComputeThermoProps($A186, $B186, ParametersRange), 1, COLUMN()-2 )</f>
        <v>4249.9320010086285</v>
      </c>
      <c r="K186" s="2" cm="1">
        <f t="array" ref="K186">INDEX( ComputeThermoProps($A186, $B186, ParametersRange), 1, COLUMN()-2 )</f>
        <v>66.131357511830657</v>
      </c>
      <c r="L186" s="2" cm="1">
        <f t="array" ref="L186">INDEX( ComputeThermoProps($A186, $B186, ParametersRange), 1, COLUMN()-2 )</f>
        <v>-6536.0924091709512</v>
      </c>
      <c r="M186" s="2" cm="1">
        <f t="array" ref="M186">INDEX( ComputeThermoProps($A186, $B186, ParametersRange), 1, COLUMN()-2 )</f>
        <v>4431.9506472994944</v>
      </c>
      <c r="N186" s="2" cm="1">
        <f t="array" ref="N186">INDEX( ComputeThermoProps($A186, $B186, ParametersRange), 1, COLUMN()-2 )</f>
        <v>-6354.0737628800853</v>
      </c>
      <c r="O186" s="2">
        <f t="shared" si="7"/>
        <v>0.67513649576729529</v>
      </c>
      <c r="P186" s="2">
        <f t="shared" si="8"/>
        <v>-2324.3593535234204</v>
      </c>
    </row>
    <row r="187" spans="1:16" x14ac:dyDescent="0.25">
      <c r="A187" s="2">
        <v>164.1</v>
      </c>
      <c r="B187" s="2">
        <f t="shared" si="6"/>
        <v>7.3194607984165074</v>
      </c>
      <c r="C187" s="2" cm="1">
        <f t="array" ref="C187">INDEX( ComputeThermoProps($A187, $B187, ParametersRange), 1, COLUMN()-2 )</f>
        <v>38.436512231186164</v>
      </c>
      <c r="D187" s="2" cm="1">
        <f t="array" ref="D187">INDEX( ComputeThermoProps($A187, $B187, ParametersRange), 1, COLUMN()-2 )</f>
        <v>6.3575079131757682E-4</v>
      </c>
      <c r="E187" s="2" cm="1">
        <f t="array" ref="E187">INDEX( ComputeThermoProps($A187, $B187, ParametersRange), 1, COLUMN()-2 )</f>
        <v>4.279121515369951E-4</v>
      </c>
      <c r="F187" s="2" cm="1">
        <f t="array" ref="F187">INDEX( ComputeThermoProps($A187, $B187, ParametersRange), 1, COLUMN()-2 )</f>
        <v>1.1044048290475307E-3</v>
      </c>
      <c r="G187" s="2" cm="1">
        <f t="array" ref="G187">INDEX( ComputeThermoProps($A187, $B187, ParametersRange), 1, COLUMN()-2 )</f>
        <v>37.015434864824385</v>
      </c>
      <c r="H187" s="2" cm="1">
        <f t="array" ref="H187">INDEX( ComputeThermoProps($A187, $B187, ParametersRange), 1, COLUMN()-2 )</f>
        <v>24.914407641173138</v>
      </c>
      <c r="I187" s="2" cm="1">
        <f t="array" ref="I187">INDEX( ComputeThermoProps($A187, $B187, ParametersRange), 1, COLUMN()-2 )</f>
        <v>2.68</v>
      </c>
      <c r="J187" s="2" cm="1">
        <f t="array" ref="J187">INDEX( ComputeThermoProps($A187, $B187, ParametersRange), 1, COLUMN()-2 )</f>
        <v>4269.050216064179</v>
      </c>
      <c r="K187" s="2" cm="1">
        <f t="array" ref="K187">INDEX( ComputeThermoProps($A187, $B187, ParametersRange), 1, COLUMN()-2 )</f>
        <v>66.247419147592581</v>
      </c>
      <c r="L187" s="2" cm="1">
        <f t="array" ref="L187">INDEX( ComputeThermoProps($A187, $B187, ParametersRange), 1, COLUMN()-2 )</f>
        <v>-6602.1512660557628</v>
      </c>
      <c r="M187" s="2" cm="1">
        <f t="array" ref="M187">INDEX( ComputeThermoProps($A187, $B187, ParametersRange), 1, COLUMN()-2 )</f>
        <v>4550.3847605682031</v>
      </c>
      <c r="N187" s="2" cm="1">
        <f t="array" ref="N187">INDEX( ComputeThermoProps($A187, $B187, ParametersRange), 1, COLUMN()-2 )</f>
        <v>-6320.8167215517387</v>
      </c>
      <c r="O187" s="2">
        <f t="shared" si="7"/>
        <v>0.86447908913250404</v>
      </c>
      <c r="P187" s="2">
        <f t="shared" si="8"/>
        <v>-2205.9252402547118</v>
      </c>
    </row>
    <row r="188" spans="1:16" x14ac:dyDescent="0.25">
      <c r="A188" s="2">
        <v>165.1</v>
      </c>
      <c r="B188" s="2">
        <f t="shared" si="6"/>
        <v>9.9006287875047612</v>
      </c>
      <c r="C188" s="2" cm="1">
        <f t="array" ref="C188">INDEX( ComputeThermoProps($A188, $B188, ParametersRange), 1, COLUMN()-2 )</f>
        <v>38.415973155592461</v>
      </c>
      <c r="D188" s="2" cm="1">
        <f t="array" ref="D188">INDEX( ComputeThermoProps($A188, $B188, ParametersRange), 1, COLUMN()-2 )</f>
        <v>6.3163154566721574E-4</v>
      </c>
      <c r="E188" s="2" cm="1">
        <f t="array" ref="E188">INDEX( ComputeThermoProps($A188, $B188, ParametersRange), 1, COLUMN()-2 )</f>
        <v>4.2511667714637501E-4</v>
      </c>
      <c r="F188" s="2" cm="1">
        <f t="array" ref="F188">INDEX( ComputeThermoProps($A188, $B188, ParametersRange), 1, COLUMN()-2 )</f>
        <v>1.0978962845998388E-3</v>
      </c>
      <c r="G188" s="2" cm="1">
        <f t="array" ref="G188">INDEX( ComputeThermoProps($A188, $B188, ParametersRange), 1, COLUMN()-2 )</f>
        <v>37.019471819351921</v>
      </c>
      <c r="H188" s="2" cm="1">
        <f t="array" ref="H188">INDEX( ComputeThermoProps($A188, $B188, ParametersRange), 1, COLUMN()-2 )</f>
        <v>24.915783509407461</v>
      </c>
      <c r="I188" s="2" cm="1">
        <f t="array" ref="I188">INDEX( ComputeThermoProps($A188, $B188, ParametersRange), 1, COLUMN()-2 )</f>
        <v>2.6799999999999997</v>
      </c>
      <c r="J188" s="2" cm="1">
        <f t="array" ref="J188">INDEX( ComputeThermoProps($A188, $B188, ParametersRange), 1, COLUMN()-2 )</f>
        <v>4288.2675159755772</v>
      </c>
      <c r="K188" s="2" cm="1">
        <f t="array" ref="K188">INDEX( ComputeThermoProps($A188, $B188, ParametersRange), 1, COLUMN()-2 )</f>
        <v>66.36306589177255</v>
      </c>
      <c r="L188" s="2" cm="1">
        <f t="array" ref="L188">INDEX( ComputeThermoProps($A188, $B188, ParametersRange), 1, COLUMN()-2 )</f>
        <v>-6668.27466275607</v>
      </c>
      <c r="M188" s="2" cm="1">
        <f t="array" ref="M188">INDEX( ComputeThermoProps($A188, $B188, ParametersRange), 1, COLUMN()-2 )</f>
        <v>4668.6098056998462</v>
      </c>
      <c r="N188" s="2" cm="1">
        <f t="array" ref="N188">INDEX( ComputeThermoProps($A188, $B188, ParametersRange), 1, COLUMN()-2 )</f>
        <v>-6287.932373031801</v>
      </c>
      <c r="O188" s="2">
        <f t="shared" si="7"/>
        <v>0.99566277745328946</v>
      </c>
      <c r="P188" s="2">
        <f t="shared" si="8"/>
        <v>-2087.7001951230686</v>
      </c>
    </row>
    <row r="189" spans="1:16" x14ac:dyDescent="0.25">
      <c r="A189" s="2">
        <v>166.1</v>
      </c>
      <c r="B189" s="2">
        <f t="shared" si="6"/>
        <v>12.487514843583808</v>
      </c>
      <c r="C189" s="2" cm="1">
        <f t="array" ref="C189">INDEX( ComputeThermoProps($A189, $B189, ParametersRange), 1, COLUMN()-2 )</f>
        <v>38.395464172717951</v>
      </c>
      <c r="D189" s="2" cm="1">
        <f t="array" ref="D189">INDEX( ComputeThermoProps($A189, $B189, ParametersRange), 1, COLUMN()-2 )</f>
        <v>6.2756281711285797E-4</v>
      </c>
      <c r="E189" s="2" cm="1">
        <f t="array" ref="E189">INDEX( ComputeThermoProps($A189, $B189, ParametersRange), 1, COLUMN()-2 )</f>
        <v>4.2235546153181013E-4</v>
      </c>
      <c r="F189" s="2" cm="1">
        <f t="array" ref="F189">INDEX( ComputeThermoProps($A189, $B189, ParametersRange), 1, COLUMN()-2 )</f>
        <v>1.0914664303581366E-3</v>
      </c>
      <c r="G189" s="2" cm="1">
        <f t="array" ref="G189">INDEX( ComputeThermoProps($A189, $B189, ParametersRange), 1, COLUMN()-2 )</f>
        <v>37.023493559643079</v>
      </c>
      <c r="H189" s="2" cm="1">
        <f t="array" ref="H189">INDEX( ComputeThermoProps($A189, $B189, ParametersRange), 1, COLUMN()-2 )</f>
        <v>24.917146592340178</v>
      </c>
      <c r="I189" s="2" cm="1">
        <f t="array" ref="I189">INDEX( ComputeThermoProps($A189, $B189, ParametersRange), 1, COLUMN()-2 )</f>
        <v>2.6800000000000006</v>
      </c>
      <c r="J189" s="2" cm="1">
        <f t="array" ref="J189">INDEX( ComputeThermoProps($A189, $B189, ParametersRange), 1, COLUMN()-2 )</f>
        <v>4307.5084127789069</v>
      </c>
      <c r="K189" s="2" cm="1">
        <f t="array" ref="K189">INDEX( ComputeThermoProps($A189, $B189, ParametersRange), 1, COLUMN()-2 )</f>
        <v>66.477838078997394</v>
      </c>
      <c r="L189" s="2" cm="1">
        <f t="array" ref="L189">INDEX( ComputeThermoProps($A189, $B189, ParametersRange), 1, COLUMN()-2 )</f>
        <v>-6734.4604921425598</v>
      </c>
      <c r="M189" s="2" cm="1">
        <f t="array" ref="M189">INDEX( ComputeThermoProps($A189, $B189, ParametersRange), 1, COLUMN()-2 )</f>
        <v>4786.9723415620128</v>
      </c>
      <c r="N189" s="2" cm="1">
        <f t="array" ref="N189">INDEX( ComputeThermoProps($A189, $B189, ParametersRange), 1, COLUMN()-2 )</f>
        <v>-6254.9965633594538</v>
      </c>
      <c r="O189" s="2">
        <f t="shared" si="7"/>
        <v>1.0964760174688901</v>
      </c>
      <c r="P189" s="2">
        <f t="shared" si="8"/>
        <v>-1969.337659260902</v>
      </c>
    </row>
    <row r="190" spans="1:16" x14ac:dyDescent="0.25">
      <c r="A190" s="2">
        <v>167.1</v>
      </c>
      <c r="B190" s="2">
        <f t="shared" si="6"/>
        <v>15.084649648119079</v>
      </c>
      <c r="C190" s="2" cm="1">
        <f t="array" ref="C190">INDEX( ComputeThermoProps($A190, $B190, ParametersRange), 1, COLUMN()-2 )</f>
        <v>38.374876644907758</v>
      </c>
      <c r="D190" s="2" cm="1">
        <f t="array" ref="D190">INDEX( ComputeThermoProps($A190, $B190, ParametersRange), 1, COLUMN()-2 )</f>
        <v>6.2352597315716845E-4</v>
      </c>
      <c r="E190" s="2" cm="1">
        <f t="array" ref="E190">INDEX( ComputeThermoProps($A190, $B190, ParametersRange), 1, COLUMN()-2 )</f>
        <v>4.1961948384838994E-4</v>
      </c>
      <c r="F190" s="2" cm="1">
        <f t="array" ref="F190">INDEX( ComputeThermoProps($A190, $B190, ParametersRange), 1, COLUMN()-2 )</f>
        <v>1.0850859951860034E-3</v>
      </c>
      <c r="G190" s="2" cm="1">
        <f t="array" ref="G190">INDEX( ComputeThermoProps($A190, $B190, ParametersRange), 1, COLUMN()-2 )</f>
        <v>37.027186318520563</v>
      </c>
      <c r="H190" s="2" cm="1">
        <f t="array" ref="H190">INDEX( ComputeThermoProps($A190, $B190, ParametersRange), 1, COLUMN()-2 )</f>
        <v>24.918494946832574</v>
      </c>
      <c r="I190" s="2" cm="1">
        <f t="array" ref="I190">INDEX( ComputeThermoProps($A190, $B190, ParametersRange), 1, COLUMN()-2 )</f>
        <v>2.68</v>
      </c>
      <c r="J190" s="2" cm="1">
        <f t="array" ref="J190">INDEX( ComputeThermoProps($A190, $B190, ParametersRange), 1, COLUMN()-2 )</f>
        <v>4326.7429794235977</v>
      </c>
      <c r="K190" s="2" cm="1">
        <f t="array" ref="K190">INDEX( ComputeThermoProps($A190, $B190, ParametersRange), 1, COLUMN()-2 )</f>
        <v>66.591557589728041</v>
      </c>
      <c r="L190" s="2" cm="1">
        <f t="array" ref="L190">INDEX( ComputeThermoProps($A190, $B190, ParametersRange), 1, COLUMN()-2 )</f>
        <v>-6800.7062938199579</v>
      </c>
      <c r="M190" s="2" cm="1">
        <f t="array" ref="M190">INDEX( ComputeThermoProps($A190, $B190, ParametersRange), 1, COLUMN()-2 )</f>
        <v>4905.614548901819</v>
      </c>
      <c r="N190" s="2" cm="1">
        <f t="array" ref="N190">INDEX( ComputeThermoProps($A190, $B190, ParametersRange), 1, COLUMN()-2 )</f>
        <v>-6221.8347243417365</v>
      </c>
      <c r="O190" s="2">
        <f t="shared" si="7"/>
        <v>1.1785352278251895</v>
      </c>
      <c r="P190" s="2">
        <f t="shared" si="8"/>
        <v>-1850.6954519210958</v>
      </c>
    </row>
    <row r="191" spans="1:16" x14ac:dyDescent="0.25">
      <c r="A191" s="2">
        <v>168.1</v>
      </c>
      <c r="B191" s="2">
        <f t="shared" si="6"/>
        <v>17.694128502837781</v>
      </c>
      <c r="C191" s="2" cm="1">
        <f t="array" ref="C191">INDEX( ComputeThermoProps($A191, $B191, ParametersRange), 1, COLUMN()-2 )</f>
        <v>38.3541628167577</v>
      </c>
      <c r="D191" s="2" cm="1">
        <f t="array" ref="D191">INDEX( ComputeThermoProps($A191, $B191, ParametersRange), 1, COLUMN()-2 )</f>
        <v>6.1951298999312417E-4</v>
      </c>
      <c r="E191" s="2" cm="1">
        <f t="array" ref="E191">INDEX( ComputeThermoProps($A191, $B191, ParametersRange), 1, COLUMN()-2 )</f>
        <v>4.1690475349734189E-4</v>
      </c>
      <c r="F191" s="2" cm="1">
        <f t="array" ref="F191">INDEX( ComputeThermoProps($A191, $B191, ParametersRange), 1, COLUMN()-2 )</f>
        <v>1.0787423827190951E-3</v>
      </c>
      <c r="G191" s="2" cm="1">
        <f t="array" ref="G191">INDEX( ComputeThermoProps($A191, $B191, ParametersRange), 1, COLUMN()-2 )</f>
        <v>37.030417509343039</v>
      </c>
      <c r="H191" s="2" cm="1">
        <f t="array" ref="H191">INDEX( ComputeThermoProps($A191, $B191, ParametersRange), 1, COLUMN()-2 )</f>
        <v>24.919827885784375</v>
      </c>
      <c r="I191" s="2" cm="1">
        <f t="array" ref="I191">INDEX( ComputeThermoProps($A191, $B191, ParametersRange), 1, COLUMN()-2 )</f>
        <v>2.68</v>
      </c>
      <c r="J191" s="2" cm="1">
        <f t="array" ref="J191">INDEX( ComputeThermoProps($A191, $B191, ParametersRange), 1, COLUMN()-2 )</f>
        <v>4345.9583327669334</v>
      </c>
      <c r="K191" s="2" cm="1">
        <f t="array" ref="K191">INDEX( ComputeThermoProps($A191, $B191, ParametersRange), 1, COLUMN()-2 )</f>
        <v>66.704151651039936</v>
      </c>
      <c r="L191" s="2" cm="1">
        <f t="array" ref="L191">INDEX( ComputeThermoProps($A191, $B191, ParametersRange), 1, COLUMN()-2 )</f>
        <v>-6867.0095597728796</v>
      </c>
      <c r="M191" s="2" cm="1">
        <f t="array" ref="M191">INDEX( ComputeThermoProps($A191, $B191, ParametersRange), 1, COLUMN()-2 )</f>
        <v>5024.601818265407</v>
      </c>
      <c r="N191" s="2" cm="1">
        <f t="array" ref="N191">INDEX( ComputeThermoProps($A191, $B191, ParametersRange), 1, COLUMN()-2 )</f>
        <v>-6188.3660742744059</v>
      </c>
      <c r="O191" s="2">
        <f t="shared" si="7"/>
        <v>1.2478291769916587</v>
      </c>
      <c r="P191" s="2">
        <f t="shared" si="8"/>
        <v>-1731.7081825575078</v>
      </c>
    </row>
    <row r="192" spans="1:16" x14ac:dyDescent="0.25">
      <c r="A192" s="2">
        <v>169.1</v>
      </c>
      <c r="B192" s="2">
        <f t="shared" si="6"/>
        <v>20.31694466780559</v>
      </c>
      <c r="C192" s="2" cm="1">
        <f t="array" ref="C192">INDEX( ComputeThermoProps($A192, $B192, ParametersRange), 1, COLUMN()-2 )</f>
        <v>38.333302283093765</v>
      </c>
      <c r="D192" s="2" cm="1">
        <f t="array" ref="D192">INDEX( ComputeThermoProps($A192, $B192, ParametersRange), 1, COLUMN()-2 )</f>
        <v>6.1552054595588037E-4</v>
      </c>
      <c r="E192" s="2" cm="1">
        <f t="array" ref="E192">INDEX( ComputeThermoProps($A192, $B192, ParametersRange), 1, COLUMN()-2 )</f>
        <v>4.1420951159335402E-4</v>
      </c>
      <c r="F192" s="2" cm="1">
        <f t="array" ref="F192">INDEX( ComputeThermoProps($A192, $B192, ParametersRange), 1, COLUMN()-2 )</f>
        <v>1.0724303872738168E-3</v>
      </c>
      <c r="G192" s="2" cm="1">
        <f t="array" ref="G192">INDEX( ComputeThermoProps($A192, $B192, ParametersRange), 1, COLUMN()-2 )</f>
        <v>37.033135444236692</v>
      </c>
      <c r="H192" s="2" cm="1">
        <f t="array" ref="H192">INDEX( ComputeThermoProps($A192, $B192, ParametersRange), 1, COLUMN()-2 )</f>
        <v>24.92114527437289</v>
      </c>
      <c r="I192" s="2" cm="1">
        <f t="array" ref="I192">INDEX( ComputeThermoProps($A192, $B192, ParametersRange), 1, COLUMN()-2 )</f>
        <v>2.68</v>
      </c>
      <c r="J192" s="2" cm="1">
        <f t="array" ref="J192">INDEX( ComputeThermoProps($A192, $B192, ParametersRange), 1, COLUMN()-2 )</f>
        <v>4365.1492300927466</v>
      </c>
      <c r="K192" s="2" cm="1">
        <f t="array" ref="K192">INDEX( ComputeThermoProps($A192, $B192, ParametersRange), 1, COLUMN()-2 )</f>
        <v>66.815594743784018</v>
      </c>
      <c r="L192" s="2" cm="1">
        <f t="array" ref="L192">INDEX( ComputeThermoProps($A192, $B192, ParametersRange), 1, COLUMN()-2 )</f>
        <v>-6933.3678410811308</v>
      </c>
      <c r="M192" s="2" cm="1">
        <f t="array" ref="M192">INDEX( ComputeThermoProps($A192, $B192, ParametersRange), 1, COLUMN()-2 )</f>
        <v>5143.9648115126283</v>
      </c>
      <c r="N192" s="2" cm="1">
        <f t="array" ref="N192">INDEX( ComputeThermoProps($A192, $B192, ParametersRange), 1, COLUMN()-2 )</f>
        <v>-6154.5522596612491</v>
      </c>
      <c r="O192" s="2">
        <f t="shared" si="7"/>
        <v>1.3078583978205254</v>
      </c>
      <c r="P192" s="2">
        <f t="shared" si="8"/>
        <v>-1612.3451893102865</v>
      </c>
    </row>
    <row r="193" spans="1:16" x14ac:dyDescent="0.25">
      <c r="A193" s="2">
        <v>170.1</v>
      </c>
      <c r="B193" s="2">
        <f t="shared" si="6"/>
        <v>22.953535010356145</v>
      </c>
      <c r="C193" s="2" cm="1">
        <f t="array" ref="C193">INDEX( ComputeThermoProps($A193, $B193, ParametersRange), 1, COLUMN()-2 )</f>
        <v>38.312288275595016</v>
      </c>
      <c r="D193" s="2" cm="1">
        <f t="array" ref="D193">INDEX( ComputeThermoProps($A193, $B193, ParametersRange), 1, COLUMN()-2 )</f>
        <v>6.1154761130058474E-4</v>
      </c>
      <c r="E193" s="2" cm="1">
        <f t="array" ref="E193">INDEX( ComputeThermoProps($A193, $B193, ParametersRange), 1, COLUMN()-2 )</f>
        <v>4.1153308892456016E-4</v>
      </c>
      <c r="F193" s="2" cm="1">
        <f t="array" ref="F193">INDEX( ComputeThermoProps($A193, $B193, ParametersRange), 1, COLUMN()-2 )</f>
        <v>1.0661484057507011E-3</v>
      </c>
      <c r="G193" s="2" cm="1">
        <f t="array" ref="G193">INDEX( ComputeThermoProps($A193, $B193, ParametersRange), 1, COLUMN()-2 )</f>
        <v>37.035328371871138</v>
      </c>
      <c r="H193" s="2" cm="1">
        <f t="array" ref="H193">INDEX( ComputeThermoProps($A193, $B193, ParametersRange), 1, COLUMN()-2 )</f>
        <v>24.922447251159685</v>
      </c>
      <c r="I193" s="2" cm="1">
        <f t="array" ref="I193">INDEX( ComputeThermoProps($A193, $B193, ParametersRange), 1, COLUMN()-2 )</f>
        <v>2.68</v>
      </c>
      <c r="J193" s="2" cm="1">
        <f t="array" ref="J193">INDEX( ComputeThermoProps($A193, $B193, ParametersRange), 1, COLUMN()-2 )</f>
        <v>4384.3142240651896</v>
      </c>
      <c r="K193" s="2" cm="1">
        <f t="array" ref="K193">INDEX( ComputeThermoProps($A193, $B193, ParametersRange), 1, COLUMN()-2 )</f>
        <v>66.925884845761857</v>
      </c>
      <c r="L193" s="2" cm="1">
        <f t="array" ref="L193">INDEX( ComputeThermoProps($A193, $B193, ParametersRange), 1, COLUMN()-2 )</f>
        <v>-6999.7787881989016</v>
      </c>
      <c r="M193" s="2" cm="1">
        <f t="array" ref="M193">INDEX( ComputeThermoProps($A193, $B193, ParametersRange), 1, COLUMN()-2 )</f>
        <v>5263.7166743259168</v>
      </c>
      <c r="N193" s="2" cm="1">
        <f t="array" ref="N193">INDEX( ComputeThermoProps($A193, $B193, ParametersRange), 1, COLUMN()-2 )</f>
        <v>-6120.3763379381744</v>
      </c>
      <c r="O193" s="2">
        <f t="shared" si="7"/>
        <v>1.3608495795145172</v>
      </c>
      <c r="P193" s="2">
        <f t="shared" si="8"/>
        <v>-1492.5933264969981</v>
      </c>
    </row>
    <row r="194" spans="1:16" x14ac:dyDescent="0.25">
      <c r="A194" s="2">
        <v>171.1</v>
      </c>
      <c r="B194" s="2">
        <f t="shared" si="6"/>
        <v>25.60403543586812</v>
      </c>
      <c r="C194" s="2" cm="1">
        <f t="array" ref="C194">INDEX( ComputeThermoProps($A194, $B194, ParametersRange), 1, COLUMN()-2 )</f>
        <v>38.291121254845876</v>
      </c>
      <c r="D194" s="2" cm="1">
        <f t="array" ref="D194">INDEX( ComputeThermoProps($A194, $B194, ParametersRange), 1, COLUMN()-2 )</f>
        <v>6.0759432734090681E-4</v>
      </c>
      <c r="E194" s="2" cm="1">
        <f t="array" ref="E194">INDEX( ComputeThermoProps($A194, $B194, ParametersRange), 1, COLUMN()-2 )</f>
        <v>4.088753749171389E-4</v>
      </c>
      <c r="F194" s="2" cm="1">
        <f t="array" ref="F194">INDEX( ComputeThermoProps($A194, $B194, ParametersRange), 1, COLUMN()-2 )</f>
        <v>1.0598966759634257E-3</v>
      </c>
      <c r="G194" s="2" cm="1">
        <f t="array" ref="G194">INDEX( ComputeThermoProps($A194, $B194, ParametersRange), 1, COLUMN()-2 )</f>
        <v>37.037005364152598</v>
      </c>
      <c r="H194" s="2" cm="1">
        <f t="array" ref="H194">INDEX( ComputeThermoProps($A194, $B194, ParametersRange), 1, COLUMN()-2 )</f>
        <v>24.923734097963866</v>
      </c>
      <c r="I194" s="2" cm="1">
        <f t="array" ref="I194">INDEX( ComputeThermoProps($A194, $B194, ParametersRange), 1, COLUMN()-2 )</f>
        <v>2.68</v>
      </c>
      <c r="J194" s="2" cm="1">
        <f t="array" ref="J194">INDEX( ComputeThermoProps($A194, $B194, ParametersRange), 1, COLUMN()-2 )</f>
        <v>4403.4538668713594</v>
      </c>
      <c r="K194" s="2" cm="1">
        <f t="array" ref="K194">INDEX( ComputeThermoProps($A194, $B194, ParametersRange), 1, COLUMN()-2 )</f>
        <v>67.035032331108795</v>
      </c>
      <c r="L194" s="2" cm="1">
        <f t="array" ref="L194">INDEX( ComputeThermoProps($A194, $B194, ParametersRange), 1, COLUMN()-2 )</f>
        <v>-7066.2401649813546</v>
      </c>
      <c r="M194" s="2" cm="1">
        <f t="array" ref="M194">INDEX( ComputeThermoProps($A194, $B194, ParametersRange), 1, COLUMN()-2 )</f>
        <v>5383.8610923595561</v>
      </c>
      <c r="N194" s="2" cm="1">
        <f t="array" ref="N194">INDEX( ComputeThermoProps($A194, $B194, ParametersRange), 1, COLUMN()-2 )</f>
        <v>-6085.8329394931579</v>
      </c>
      <c r="O194" s="2">
        <f t="shared" si="7"/>
        <v>1.4083084195857485</v>
      </c>
      <c r="P194" s="2">
        <f t="shared" si="8"/>
        <v>-1372.4489084633587</v>
      </c>
    </row>
    <row r="195" spans="1:16" x14ac:dyDescent="0.25">
      <c r="A195" s="2">
        <v>172.1</v>
      </c>
      <c r="B195" s="2">
        <f t="shared" si="6"/>
        <v>28.268411971172167</v>
      </c>
      <c r="C195" s="2" cm="1">
        <f t="array" ref="C195">INDEX( ComputeThermoProps($A195, $B195, ParametersRange), 1, COLUMN()-2 )</f>
        <v>38.269805632687927</v>
      </c>
      <c r="D195" s="2" cm="1">
        <f t="array" ref="D195">INDEX( ComputeThermoProps($A195, $B195, ParametersRange), 1, COLUMN()-2 )</f>
        <v>6.0366143773277561E-4</v>
      </c>
      <c r="E195" s="2" cm="1">
        <f t="array" ref="E195">INDEX( ComputeThermoProps($A195, $B195, ParametersRange), 1, COLUMN()-2 )</f>
        <v>4.0623654831960313E-4</v>
      </c>
      <c r="F195" s="2" cm="1">
        <f t="array" ref="F195">INDEX( ComputeThermoProps($A195, $B195, ParametersRange), 1, COLUMN()-2 )</f>
        <v>1.0536763821997505E-3</v>
      </c>
      <c r="G195" s="2" cm="1">
        <f t="array" ref="G195">INDEX( ComputeThermoProps($A195, $B195, ParametersRange), 1, COLUMN()-2 )</f>
        <v>37.03818653667993</v>
      </c>
      <c r="H195" s="2" cm="1">
        <f t="array" ref="H195">INDEX( ComputeThermoProps($A195, $B195, ParametersRange), 1, COLUMN()-2 )</f>
        <v>24.925006161051186</v>
      </c>
      <c r="I195" s="2" cm="1">
        <f t="array" ref="I195">INDEX( ComputeThermoProps($A195, $B195, ParametersRange), 1, COLUMN()-2 )</f>
        <v>2.68</v>
      </c>
      <c r="J195" s="2" cm="1">
        <f t="array" ref="J195">INDEX( ComputeThermoProps($A195, $B195, ParametersRange), 1, COLUMN()-2 )</f>
        <v>4422.5697924429032</v>
      </c>
      <c r="K195" s="2" cm="1">
        <f t="array" ref="K195">INDEX( ComputeThermoProps($A195, $B195, ParametersRange), 1, COLUMN()-2 )</f>
        <v>67.143054292650945</v>
      </c>
      <c r="L195" s="2" cm="1">
        <f t="array" ref="L195">INDEX( ComputeThermoProps($A195, $B195, ParametersRange), 1, COLUMN()-2 )</f>
        <v>-7132.7498513223236</v>
      </c>
      <c r="M195" s="2" cm="1">
        <f t="array" ref="M195">INDEX( ComputeThermoProps($A195, $B195, ParametersRange), 1, COLUMN()-2 )</f>
        <v>5504.3964241244103</v>
      </c>
      <c r="N195" s="2" cm="1">
        <f t="array" ref="N195">INDEX( ComputeThermoProps($A195, $B195, ParametersRange), 1, COLUMN()-2 )</f>
        <v>-6050.9232196408166</v>
      </c>
      <c r="O195" s="2">
        <f t="shared" si="7"/>
        <v>1.4513014119020256</v>
      </c>
      <c r="P195" s="2">
        <f t="shared" si="8"/>
        <v>-1251.9135766985046</v>
      </c>
    </row>
    <row r="196" spans="1:16" x14ac:dyDescent="0.25">
      <c r="A196" s="2">
        <v>173.1</v>
      </c>
      <c r="B196" s="2">
        <f t="shared" si="6"/>
        <v>30.946532635853369</v>
      </c>
      <c r="C196" s="2" cm="1">
        <f t="array" ref="C196">INDEX( ComputeThermoProps($A196, $B196, ParametersRange), 1, COLUMN()-2 )</f>
        <v>38.248347984581855</v>
      </c>
      <c r="D196" s="2" cm="1">
        <f t="array" ref="D196">INDEX( ComputeThermoProps($A196, $B196, ParametersRange), 1, COLUMN()-2 )</f>
        <v>5.9974998255029385E-4</v>
      </c>
      <c r="E196" s="2" cm="1">
        <f t="array" ref="E196">INDEX( ComputeThermoProps($A196, $B196, ParametersRange), 1, COLUMN()-2 )</f>
        <v>4.036169322718702E-4</v>
      </c>
      <c r="F196" s="2" cm="1">
        <f t="array" ref="F196">INDEX( ComputeThermoProps($A196, $B196, ParametersRange), 1, COLUMN()-2 )</f>
        <v>1.0474891748180539E-3</v>
      </c>
      <c r="G196" s="2" cm="1">
        <f t="array" ref="G196">INDEX( ComputeThermoProps($A196, $B196, ParametersRange), 1, COLUMN()-2 )</f>
        <v>37.03889777388077</v>
      </c>
      <c r="H196" s="2" cm="1">
        <f t="array" ref="H196">INDEX( ComputeThermoProps($A196, $B196, ParametersRange), 1, COLUMN()-2 )</f>
        <v>24.926263825229075</v>
      </c>
      <c r="I196" s="2" cm="1">
        <f t="array" ref="I196">INDEX( ComputeThermoProps($A196, $B196, ParametersRange), 1, COLUMN()-2 )</f>
        <v>2.6799999999999997</v>
      </c>
      <c r="J196" s="2" cm="1">
        <f t="array" ref="J196">INDEX( ComputeThermoProps($A196, $B196, ParametersRange), 1, COLUMN()-2 )</f>
        <v>4441.6642166008123</v>
      </c>
      <c r="K196" s="2" cm="1">
        <f t="array" ref="K196">INDEX( ComputeThermoProps($A196, $B196, ParametersRange), 1, COLUMN()-2 )</f>
        <v>67.249971445611735</v>
      </c>
      <c r="L196" s="2" cm="1">
        <f t="array" ref="L196">INDEX( ComputeThermoProps($A196, $B196, ParametersRange), 1, COLUMN()-2 )</f>
        <v>-7199.305840634579</v>
      </c>
      <c r="M196" s="2" cm="1">
        <f t="array" ref="M196">INDEX( ComputeThermoProps($A196, $B196, ParametersRange), 1, COLUMN()-2 )</f>
        <v>5625.3179657731507</v>
      </c>
      <c r="N196" s="2" cm="1">
        <f t="array" ref="N196">INDEX( ComputeThermoProps($A196, $B196, ParametersRange), 1, COLUMN()-2 )</f>
        <v>-6015.6520914622406</v>
      </c>
      <c r="O196" s="2">
        <f t="shared" si="7"/>
        <v>1.490611996119517</v>
      </c>
      <c r="P196" s="2">
        <f t="shared" si="8"/>
        <v>-1130.9920350497641</v>
      </c>
    </row>
    <row r="197" spans="1:16" x14ac:dyDescent="0.25">
      <c r="A197" s="2">
        <v>174.1</v>
      </c>
      <c r="B197" s="2">
        <f t="shared" si="6"/>
        <v>33.638208823548005</v>
      </c>
      <c r="C197" s="2" cm="1">
        <f t="array" ref="C197">INDEX( ComputeThermoProps($A197, $B197, ParametersRange), 1, COLUMN()-2 )</f>
        <v>38.226756028494307</v>
      </c>
      <c r="D197" s="2" cm="1">
        <f t="array" ref="D197">INDEX( ComputeThermoProps($A197, $B197, ParametersRange), 1, COLUMN()-2 )</f>
        <v>5.958611268606427E-4</v>
      </c>
      <c r="E197" s="2" cm="1">
        <f t="array" ref="E197">INDEX( ComputeThermoProps($A197, $B197, ParametersRange), 1, COLUMN()-2 )</f>
        <v>4.0101691316714587E-4</v>
      </c>
      <c r="F197" s="2" cm="1">
        <f t="array" ref="F197">INDEX( ComputeThermoProps($A197, $B197, ParametersRange), 1, COLUMN()-2 )</f>
        <v>1.0413369005501227E-3</v>
      </c>
      <c r="G197" s="2" cm="1">
        <f t="array" ref="G197">INDEX( ComputeThermoProps($A197, $B197, ParametersRange), 1, COLUMN()-2 )</f>
        <v>37.039167711111837</v>
      </c>
      <c r="H197" s="2" cm="1">
        <f t="array" ref="H197">INDEX( ComputeThermoProps($A197, $B197, ParametersRange), 1, COLUMN()-2 )</f>
        <v>24.927507488274394</v>
      </c>
      <c r="I197" s="2" cm="1">
        <f t="array" ref="I197">INDEX( ComputeThermoProps($A197, $B197, ParametersRange), 1, COLUMN()-2 )</f>
        <v>2.68</v>
      </c>
      <c r="J197" s="2" cm="1">
        <f t="array" ref="J197">INDEX( ComputeThermoProps($A197, $B197, ParametersRange), 1, COLUMN()-2 )</f>
        <v>4460.7396521470364</v>
      </c>
      <c r="K197" s="2" cm="1">
        <f t="array" ref="K197">INDEX( ComputeThermoProps($A197, $B197, ParametersRange), 1, COLUMN()-2 )</f>
        <v>67.355806359333755</v>
      </c>
      <c r="L197" s="2" cm="1">
        <f t="array" ref="L197">INDEX( ComputeThermoProps($A197, $B197, ParametersRange), 1, COLUMN()-2 )</f>
        <v>-7265.9062350129698</v>
      </c>
      <c r="M197" s="2" cm="1">
        <f t="array" ref="M197">INDEX( ComputeThermoProps($A197, $B197, ParametersRange), 1, COLUMN()-2 )</f>
        <v>5746.6192540803504</v>
      </c>
      <c r="N197" s="2" cm="1">
        <f t="array" ref="N197">INDEX( ComputeThermoProps($A197, $B197, ParametersRange), 1, COLUMN()-2 )</f>
        <v>-5980.0266330796558</v>
      </c>
      <c r="O197" s="2">
        <f t="shared" si="7"/>
        <v>1.5268328623113765</v>
      </c>
      <c r="P197" s="2">
        <f t="shared" si="8"/>
        <v>-1009.6907467425644</v>
      </c>
    </row>
    <row r="198" spans="1:16" x14ac:dyDescent="0.25">
      <c r="A198" s="2">
        <v>175.1</v>
      </c>
      <c r="B198" s="2">
        <f t="shared" si="6"/>
        <v>36.343220010197143</v>
      </c>
      <c r="C198" s="2" cm="1">
        <f t="array" ref="C198">INDEX( ComputeThermoProps($A198, $B198, ParametersRange), 1, COLUMN()-2 )</f>
        <v>38.205038022266429</v>
      </c>
      <c r="D198" s="2" cm="1">
        <f t="array" ref="D198">INDEX( ComputeThermoProps($A198, $B198, ParametersRange), 1, COLUMN()-2 )</f>
        <v>5.9199606257299064E-4</v>
      </c>
      <c r="E198" s="2" cm="1">
        <f t="array" ref="E198">INDEX( ComputeThermoProps($A198, $B198, ParametersRange), 1, COLUMN()-2 )</f>
        <v>3.9843689416706711E-4</v>
      </c>
      <c r="F198" s="2" cm="1">
        <f t="array" ref="F198">INDEX( ComputeThermoProps($A198, $B198, ParametersRange), 1, COLUMN()-2 )</f>
        <v>1.0352214482654816E-3</v>
      </c>
      <c r="G198" s="2" cm="1">
        <f t="array" ref="G198">INDEX( ComputeThermoProps($A198, $B198, ParametersRange), 1, COLUMN()-2 )</f>
        <v>37.039025980877646</v>
      </c>
      <c r="H198" s="2" cm="1">
        <f t="array" ref="H198">INDEX( ComputeThermoProps($A198, $B198, ParametersRange), 1, COLUMN()-2 )</f>
        <v>24.928737550470839</v>
      </c>
      <c r="I198" s="2" cm="1">
        <f t="array" ref="I198">INDEX( ComputeThermoProps($A198, $B198, ParametersRange), 1, COLUMN()-2 )</f>
        <v>2.6799999999999997</v>
      </c>
      <c r="J198" s="2" cm="1">
        <f t="array" ref="J198">INDEX( ComputeThermoProps($A198, $B198, ParametersRange), 1, COLUMN()-2 )</f>
        <v>4479.7987412571974</v>
      </c>
      <c r="K198" s="2" cm="1">
        <f t="array" ref="K198">INDEX( ComputeThermoProps($A198, $B198, ParametersRange), 1, COLUMN()-2 )</f>
        <v>67.460582414082751</v>
      </c>
      <c r="L198" s="2" cm="1">
        <f t="array" ref="L198">INDEX( ComputeThermoProps($A198, $B198, ParametersRange), 1, COLUMN()-2 )</f>
        <v>-7332.5492394486919</v>
      </c>
      <c r="M198" s="2" cm="1">
        <f t="array" ref="M198">INDEX( ComputeThermoProps($A198, $B198, ParametersRange), 1, COLUMN()-2 )</f>
        <v>5868.2928435983731</v>
      </c>
      <c r="N198" s="2" cm="1">
        <f t="array" ref="N198">INDEX( ComputeThermoProps($A198, $B198, ParametersRange), 1, COLUMN()-2 )</f>
        <v>-5944.0551371075162</v>
      </c>
      <c r="O198" s="2">
        <f t="shared" si="7"/>
        <v>1.5604234031786164</v>
      </c>
      <c r="P198" s="2">
        <f t="shared" si="8"/>
        <v>-888.01715722454173</v>
      </c>
    </row>
    <row r="199" spans="1:16" x14ac:dyDescent="0.25">
      <c r="A199" s="2">
        <v>176.1</v>
      </c>
      <c r="B199" s="2">
        <f t="shared" si="6"/>
        <v>39.061328902783167</v>
      </c>
      <c r="C199" s="2" cm="1">
        <f t="array" ref="C199">INDEX( ComputeThermoProps($A199, $B199, ParametersRange), 1, COLUMN()-2 )</f>
        <v>38.183202400322415</v>
      </c>
      <c r="D199" s="2" cm="1">
        <f t="array" ref="D199">INDEX( ComputeThermoProps($A199, $B199, ParametersRange), 1, COLUMN()-2 )</f>
        <v>5.8815595190488763E-4</v>
      </c>
      <c r="E199" s="2" cm="1">
        <f t="array" ref="E199">INDEX( ComputeThermoProps($A199, $B199, ParametersRange), 1, COLUMN()-2 )</f>
        <v>3.9587726838706338E-4</v>
      </c>
      <c r="F199" s="2" cm="1">
        <f t="array" ref="F199">INDEX( ComputeThermoProps($A199, $B199, ParametersRange), 1, COLUMN()-2 )</f>
        <v>1.0291446603124502E-3</v>
      </c>
      <c r="G199" s="2" cm="1">
        <f t="array" ref="G199">INDEX( ComputeThermoProps($A199, $B199, ParametersRange), 1, COLUMN()-2 )</f>
        <v>37.038502181163686</v>
      </c>
      <c r="H199" s="2" cm="1">
        <f t="array" ref="H199">INDEX( ComputeThermoProps($A199, $B199, ParametersRange), 1, COLUMN()-2 )</f>
        <v>24.929954412836608</v>
      </c>
      <c r="I199" s="2" cm="1">
        <f t="array" ref="I199">INDEX( ComputeThermoProps($A199, $B199, ParametersRange), 1, COLUMN()-2 )</f>
        <v>2.6799999999999997</v>
      </c>
      <c r="J199" s="2" cm="1">
        <f t="array" ref="J199">INDEX( ComputeThermoProps($A199, $B199, ParametersRange), 1, COLUMN()-2 )</f>
        <v>4498.8441549179497</v>
      </c>
      <c r="K199" s="2" cm="1">
        <f t="array" ref="K199">INDEX( ComputeThermoProps($A199, $B199, ParametersRange), 1, COLUMN()-2 )</f>
        <v>67.564323172591457</v>
      </c>
      <c r="L199" s="2" cm="1">
        <f t="array" ref="L199">INDEX( ComputeThermoProps($A199, $B199, ParametersRange), 1, COLUMN()-2 )</f>
        <v>-7399.233155775406</v>
      </c>
      <c r="M199" s="2" cm="1">
        <f t="array" ref="M199">INDEX( ComputeThermoProps($A199, $B199, ParametersRange), 1, COLUMN()-2 )</f>
        <v>5990.3307824384829</v>
      </c>
      <c r="N199" s="2" cm="1">
        <f t="array" ref="N199">INDEX( ComputeThermoProps($A199, $B199, ParametersRange), 1, COLUMN()-2 )</f>
        <v>-5907.7465282548728</v>
      </c>
      <c r="O199" s="2">
        <f t="shared" si="7"/>
        <v>1.5917470143058619</v>
      </c>
      <c r="P199" s="2">
        <f t="shared" si="8"/>
        <v>-765.97921838443199</v>
      </c>
    </row>
    <row r="200" spans="1:16" x14ac:dyDescent="0.25">
      <c r="A200" s="2">
        <v>177.1</v>
      </c>
      <c r="B200" s="2">
        <f t="shared" si="6"/>
        <v>41.792290895572407</v>
      </c>
      <c r="C200" s="2" cm="1">
        <f t="array" ref="C200">INDEX( ComputeThermoProps($A200, $B200, ParametersRange), 1, COLUMN()-2 )</f>
        <v>38.16125755238815</v>
      </c>
      <c r="D200" s="2" cm="1">
        <f t="array" ref="D200">INDEX( ComputeThermoProps($A200, $B200, ParametersRange), 1, COLUMN()-2 )</f>
        <v>5.843418950559554E-4</v>
      </c>
      <c r="E200" s="2" cm="1">
        <f t="array" ref="E200">INDEX( ComputeThermoProps($A200, $B200, ParametersRange), 1, COLUMN()-2 )</f>
        <v>3.9333840362696846E-4</v>
      </c>
      <c r="F200" s="2" cm="1">
        <f t="array" ref="F200">INDEX( ComputeThermoProps($A200, $B200, ParametersRange), 1, COLUMN()-2 )</f>
        <v>1.0231082811018462E-3</v>
      </c>
      <c r="G200" s="2" cm="1">
        <f t="array" ref="G200">INDEX( ComputeThermoProps($A200, $B200, ParametersRange), 1, COLUMN()-2 )</f>
        <v>37.03762522532795</v>
      </c>
      <c r="H200" s="2" cm="1">
        <f t="array" ref="H200">INDEX( ComputeThermoProps($A200, $B200, ParametersRange), 1, COLUMN()-2 )</f>
        <v>24.931158459670947</v>
      </c>
      <c r="I200" s="2" cm="1">
        <f t="array" ref="I200">INDEX( ComputeThermoProps($A200, $B200, ParametersRange), 1, COLUMN()-2 )</f>
        <v>2.68</v>
      </c>
      <c r="J200" s="2" cm="1">
        <f t="array" ref="J200">INDEX( ComputeThermoProps($A200, $B200, ParametersRange), 1, COLUMN()-2 )</f>
        <v>4517.8785321078958</v>
      </c>
      <c r="K200" s="2" cm="1">
        <f t="array" ref="K200">INDEX( ComputeThermoProps($A200, $B200, ParametersRange), 1, COLUMN()-2 )</f>
        <v>67.667051997724258</v>
      </c>
      <c r="L200" s="2" cm="1">
        <f t="array" ref="L200">INDEX( ComputeThermoProps($A200, $B200, ParametersRange), 1, COLUMN()-2 )</f>
        <v>-7465.9563766890697</v>
      </c>
      <c r="M200" s="2" cm="1">
        <f t="array" ref="M200">INDEX( ComputeThermoProps($A200, $B200, ParametersRange), 1, COLUMN()-2 )</f>
        <v>6112.7249086781612</v>
      </c>
      <c r="N200" s="2" cm="1">
        <f t="array" ref="N200">INDEX( ComputeThermoProps($A200, $B200, ParametersRange), 1, COLUMN()-2 )</f>
        <v>-5871.1100001188042</v>
      </c>
      <c r="O200" s="2">
        <f t="shared" si="7"/>
        <v>1.6210961781796691</v>
      </c>
      <c r="P200" s="2">
        <f t="shared" si="8"/>
        <v>-643.58509214475362</v>
      </c>
    </row>
    <row r="201" spans="1:16" x14ac:dyDescent="0.25">
      <c r="A201" s="2">
        <v>178.1</v>
      </c>
      <c r="B201" s="2">
        <f t="shared" si="6"/>
        <v>44.535860031586893</v>
      </c>
      <c r="C201" s="2" cm="1">
        <f t="array" ref="C201">INDEX( ComputeThermoProps($A201, $B201, ParametersRange), 1, COLUMN()-2 )</f>
        <v>38.139211688956244</v>
      </c>
      <c r="D201" s="2" cm="1">
        <f t="array" ref="D201">INDEX( ComputeThermoProps($A201, $B201, ParametersRange), 1, COLUMN()-2 )</f>
        <v>5.8055491283415717E-4</v>
      </c>
      <c r="E201" s="2" cm="1">
        <f t="array" ref="E201">INDEX( ComputeThermoProps($A201, $B201, ParametersRange), 1, COLUMN()-2 )</f>
        <v>3.9082063404729286E-4</v>
      </c>
      <c r="F201" s="2" cm="1">
        <f t="array" ref="F201">INDEX( ComputeThermoProps($A201, $B201, ParametersRange), 1, COLUMN()-2 )</f>
        <v>1.0171139301269662E-3</v>
      </c>
      <c r="G201" s="2" cm="1">
        <f t="array" ref="G201">INDEX( ComputeThermoProps($A201, $B201, ParametersRange), 1, COLUMN()-2 )</f>
        <v>37.036422996269415</v>
      </c>
      <c r="H201" s="2" cm="1">
        <f t="array" ref="H201">INDEX( ComputeThermoProps($A201, $B201, ParametersRange), 1, COLUMN()-2 )</f>
        <v>24.932350064154225</v>
      </c>
      <c r="I201" s="2" cm="1">
        <f t="array" ref="I201">INDEX( ComputeThermoProps($A201, $B201, ParametersRange), 1, COLUMN()-2 )</f>
        <v>2.6800000000000006</v>
      </c>
      <c r="J201" s="2" cm="1">
        <f t="array" ref="J201">INDEX( ComputeThermoProps($A201, $B201, ParametersRange), 1, COLUMN()-2 )</f>
        <v>4536.9044432241189</v>
      </c>
      <c r="K201" s="2" cm="1">
        <f t="array" ref="K201">INDEX( ComputeThermoProps($A201, $B201, ParametersRange), 1, COLUMN()-2 )</f>
        <v>67.768791820514608</v>
      </c>
      <c r="L201" s="2" cm="1">
        <f t="array" ref="L201">INDEX( ComputeThermoProps($A201, $B201, ParametersRange), 1, COLUMN()-2 )</f>
        <v>-7532.7173800095325</v>
      </c>
      <c r="M201" s="2" cm="1">
        <f t="array" ref="M201">INDEX( ComputeThermoProps($A201, $B201, ParametersRange), 1, COLUMN()-2 )</f>
        <v>6235.4670367185372</v>
      </c>
      <c r="N201" s="2" cm="1">
        <f t="array" ref="N201">INDEX( ComputeThermoProps($A201, $B201, ParametersRange), 1, COLUMN()-2 )</f>
        <v>-5834.1547865151142</v>
      </c>
      <c r="O201" s="2">
        <f t="shared" si="7"/>
        <v>1.6487098433894833</v>
      </c>
      <c r="P201" s="2">
        <f t="shared" si="8"/>
        <v>-520.84296410437764</v>
      </c>
    </row>
    <row r="202" spans="1:16" x14ac:dyDescent="0.25">
      <c r="A202" s="2">
        <v>179.1</v>
      </c>
      <c r="B202" s="2">
        <f t="shared" si="6"/>
        <v>47.291792765223157</v>
      </c>
      <c r="C202" s="2" cm="1">
        <f t="array" ref="C202">INDEX( ComputeThermoProps($A202, $B202, ParametersRange), 1, COLUMN()-2 )</f>
        <v>38.117072760954791</v>
      </c>
      <c r="D202" s="2" cm="1">
        <f t="array" ref="D202">INDEX( ComputeThermoProps($A202, $B202, ParametersRange), 1, COLUMN()-2 )</f>
        <v>5.7679593831696564E-4</v>
      </c>
      <c r="E202" s="2" cm="1">
        <f t="array" ref="E202">INDEX( ComputeThermoProps($A202, $B202, ParametersRange), 1, COLUMN()-2 )</f>
        <v>3.8832425609441082E-4</v>
      </c>
      <c r="F202" s="2" cm="1">
        <f t="array" ref="F202">INDEX( ComputeThermoProps($A202, $B202, ParametersRange), 1, COLUMN()-2 )</f>
        <v>1.0111630892999182E-3</v>
      </c>
      <c r="G202" s="2" cm="1">
        <f t="array" ref="G202">INDEX( ComputeThermoProps($A202, $B202, ParametersRange), 1, COLUMN()-2 )</f>
        <v>37.034922166997561</v>
      </c>
      <c r="H202" s="2" cm="1">
        <f t="array" ref="H202">INDEX( ComputeThermoProps($A202, $B202, ParametersRange), 1, COLUMN()-2 )</f>
        <v>24.933529597967905</v>
      </c>
      <c r="I202" s="2" cm="1">
        <f t="array" ref="I202">INDEX( ComputeThermoProps($A202, $B202, ParametersRange), 1, COLUMN()-2 )</f>
        <v>2.68</v>
      </c>
      <c r="J202" s="2" cm="1">
        <f t="array" ref="J202">INDEX( ComputeThermoProps($A202, $B202, ParametersRange), 1, COLUMN()-2 )</f>
        <v>4555.924368631343</v>
      </c>
      <c r="K202" s="2" cm="1">
        <f t="array" ref="K202">INDEX( ComputeThermoProps($A202, $B202, ParametersRange), 1, COLUMN()-2 )</f>
        <v>67.869565002187116</v>
      </c>
      <c r="L202" s="2" cm="1">
        <f t="array" ref="L202">INDEX( ComputeThermoProps($A202, $B202, ParametersRange), 1, COLUMN()-2 )</f>
        <v>-7599.5147232603695</v>
      </c>
      <c r="M202" s="2" cm="1">
        <f t="array" ref="M202">INDEX( ComputeThermoProps($A202, $B202, ParametersRange), 1, COLUMN()-2 )</f>
        <v>6358.5490744593499</v>
      </c>
      <c r="N202" s="2" cm="1">
        <f t="array" ref="N202">INDEX( ComputeThermoProps($A202, $B202, ParametersRange), 1, COLUMN()-2 )</f>
        <v>-5796.8900174323626</v>
      </c>
      <c r="O202" s="2">
        <f t="shared" si="7"/>
        <v>1.6747857778193169</v>
      </c>
      <c r="P202" s="2">
        <f t="shared" si="8"/>
        <v>-397.76092636356498</v>
      </c>
    </row>
    <row r="203" spans="1:16" x14ac:dyDescent="0.25">
      <c r="A203" s="2">
        <v>180.1</v>
      </c>
      <c r="B203" s="2">
        <f t="shared" si="6"/>
        <v>50.05985031414356</v>
      </c>
      <c r="C203" s="2" cm="1">
        <f t="array" ref="C203">INDEX( ComputeThermoProps($A203, $B203, ParametersRange), 1, COLUMN()-2 )</f>
        <v>38.094848413866465</v>
      </c>
      <c r="D203" s="2" cm="1">
        <f t="array" ref="D203">INDEX( ComputeThermoProps($A203, $B203, ParametersRange), 1, COLUMN()-2 )</f>
        <v>5.7306581367605556E-4</v>
      </c>
      <c r="E203" s="2" cm="1">
        <f t="array" ref="E203">INDEX( ComputeThermoProps($A203, $B203, ParametersRange), 1, COLUMN()-2 )</f>
        <v>3.8584952704760371E-4</v>
      </c>
      <c r="F203" s="2" cm="1">
        <f t="array" ref="F203">INDEX( ComputeThermoProps($A203, $B203, ParametersRange), 1, COLUMN()-2 )</f>
        <v>1.0052570968894245E-3</v>
      </c>
      <c r="G203" s="2" cm="1">
        <f t="array" ref="G203">INDEX( ComputeThermoProps($A203, $B203, ParametersRange), 1, COLUMN()-2 )</f>
        <v>37.033148043901207</v>
      </c>
      <c r="H203" s="2" cm="1">
        <f t="array" ref="H203">INDEX( ComputeThermoProps($A203, $B203, ParametersRange), 1, COLUMN()-2 )</f>
        <v>24.934697406152775</v>
      </c>
      <c r="I203" s="2" cm="1">
        <f t="array" ref="I203">INDEX( ComputeThermoProps($A203, $B203, ParametersRange), 1, COLUMN()-2 )</f>
        <v>2.68</v>
      </c>
      <c r="J203" s="2" cm="1">
        <f t="array" ref="J203">INDEX( ComputeThermoProps($A203, $B203, ParametersRange), 1, COLUMN()-2 )</f>
        <v>4574.9406867987645</v>
      </c>
      <c r="K203" s="2" cm="1">
        <f t="array" ref="K203">INDEX( ComputeThermoProps($A203, $B203, ParametersRange), 1, COLUMN()-2 )</f>
        <v>67.969393255933028</v>
      </c>
      <c r="L203" s="2" cm="1">
        <f t="array" ref="L203">INDEX( ComputeThermoProps($A203, $B203, ParametersRange), 1, COLUMN()-2 )</f>
        <v>-7666.347038594773</v>
      </c>
      <c r="M203" s="2" cm="1">
        <f t="array" ref="M203">INDEX( ComputeThermoProps($A203, $B203, ParametersRange), 1, COLUMN()-2 )</f>
        <v>6481.9630961369094</v>
      </c>
      <c r="N203" s="2" cm="1">
        <f t="array" ref="N203">INDEX( ComputeThermoProps($A203, $B203, ParametersRange), 1, COLUMN()-2 )</f>
        <v>-5759.3246292566282</v>
      </c>
      <c r="O203" s="2">
        <f t="shared" si="7"/>
        <v>1.6994895466737494</v>
      </c>
      <c r="P203" s="2">
        <f t="shared" si="8"/>
        <v>-274.34690468600547</v>
      </c>
    </row>
    <row r="204" spans="1:16" x14ac:dyDescent="0.25">
      <c r="A204" s="2">
        <v>181.1</v>
      </c>
      <c r="B204" s="2">
        <f t="shared" si="6"/>
        <v>52.839800092389034</v>
      </c>
      <c r="C204" s="2" cm="1">
        <f t="array" ref="C204">INDEX( ComputeThermoProps($A204, $B204, ParametersRange), 1, COLUMN()-2 )</f>
        <v>38.072545963999374</v>
      </c>
      <c r="D204" s="2" cm="1">
        <f t="array" ref="D204">INDEX( ComputeThermoProps($A204, $B204, ParametersRange), 1, COLUMN()-2 )</f>
        <v>5.6936529096175074E-4</v>
      </c>
      <c r="E204" s="2" cm="1">
        <f t="array" ref="E204">INDEX( ComputeThermoProps($A204, $B204, ParametersRange), 1, COLUMN()-2 )</f>
        <v>3.8339666518327531E-4</v>
      </c>
      <c r="F204" s="2" cm="1">
        <f t="array" ref="F204">INDEX( ComputeThermoProps($A204, $B204, ParametersRange), 1, COLUMN()-2 )</f>
        <v>9.993971496678241E-4</v>
      </c>
      <c r="G204" s="2" cm="1">
        <f t="array" ref="G204">INDEX( ComputeThermoProps($A204, $B204, ParametersRange), 1, COLUMN()-2 )</f>
        <v>37.031124576272163</v>
      </c>
      <c r="H204" s="2" cm="1">
        <f t="array" ref="H204">INDEX( ComputeThermoProps($A204, $B204, ParametersRange), 1, COLUMN()-2 )</f>
        <v>24.93585382865032</v>
      </c>
      <c r="I204" s="2" cm="1">
        <f t="array" ref="I204">INDEX( ComputeThermoProps($A204, $B204, ParametersRange), 1, COLUMN()-2 )</f>
        <v>2.68</v>
      </c>
      <c r="J204" s="2" cm="1">
        <f t="array" ref="J204">INDEX( ComputeThermoProps($A204, $B204, ParametersRange), 1, COLUMN()-2 )</f>
        <v>4593.9556685807156</v>
      </c>
      <c r="K204" s="2" cm="1">
        <f t="array" ref="K204">INDEX( ComputeThermoProps($A204, $B204, ParametersRange), 1, COLUMN()-2 )</f>
        <v>68.068297607121806</v>
      </c>
      <c r="L204" s="2" cm="1">
        <f t="array" ref="L204">INDEX( ComputeThermoProps($A204, $B204, ParametersRange), 1, COLUMN()-2 )</f>
        <v>-7733.2130280690435</v>
      </c>
      <c r="M204" s="2" cm="1">
        <f t="array" ref="M204">INDEX( ComputeThermoProps($A204, $B204, ParametersRange), 1, COLUMN()-2 )</f>
        <v>6605.7013863267357</v>
      </c>
      <c r="N204" s="2" cm="1">
        <f t="array" ref="N204">INDEX( ComputeThermoProps($A204, $B204, ParametersRange), 1, COLUMN()-2 )</f>
        <v>-5721.4673103230234</v>
      </c>
      <c r="O204" s="2">
        <f t="shared" si="7"/>
        <v>1.7229611658891859</v>
      </c>
      <c r="P204" s="2">
        <f t="shared" si="8"/>
        <v>-150.60861449617914</v>
      </c>
    </row>
    <row r="205" spans="1:16" x14ac:dyDescent="0.25">
      <c r="A205" s="2">
        <v>182.1</v>
      </c>
      <c r="B205" s="2">
        <f t="shared" si="6"/>
        <v>55.631416538625139</v>
      </c>
      <c r="C205" s="2" cm="1">
        <f t="array" ref="C205">INDEX( ComputeThermoProps($A205, $B205, ParametersRange), 1, COLUMN()-2 )</f>
        <v>38.050172389088551</v>
      </c>
      <c r="D205" s="2" cm="1">
        <f t="array" ref="D205">INDEX( ComputeThermoProps($A205, $B205, ParametersRange), 1, COLUMN()-2 )</f>
        <v>5.6569503461490758E-4</v>
      </c>
      <c r="E205" s="2" cm="1">
        <f t="array" ref="E205">INDEX( ComputeThermoProps($A205, $B205, ParametersRange), 1, COLUMN()-2 )</f>
        <v>3.8096585092444016E-4</v>
      </c>
      <c r="F205" s="2" cm="1">
        <f t="array" ref="F205">INDEX( ComputeThermoProps($A205, $B205, ParametersRange), 1, COLUMN()-2 )</f>
        <v>9.935843063770748E-4</v>
      </c>
      <c r="G205" s="2" cm="1">
        <f t="array" ref="G205">INDEX( ComputeThermoProps($A205, $B205, ParametersRange), 1, COLUMN()-2 )</f>
        <v>37.028874334663797</v>
      </c>
      <c r="H205" s="2" cm="1">
        <f t="array" ref="H205">INDEX( ComputeThermoProps($A205, $B205, ParametersRange), 1, COLUMN()-2 )</f>
        <v>24.936999189470356</v>
      </c>
      <c r="I205" s="2" cm="1">
        <f t="array" ref="I205">INDEX( ComputeThermoProps($A205, $B205, ParametersRange), 1, COLUMN()-2 )</f>
        <v>2.68</v>
      </c>
      <c r="J205" s="2" cm="1">
        <f t="array" ref="J205">INDEX( ComputeThermoProps($A205, $B205, ParametersRange), 1, COLUMN()-2 )</f>
        <v>4612.9714754529341</v>
      </c>
      <c r="K205" s="2" cm="1">
        <f t="array" ref="K205">INDEX( ComputeThermoProps($A205, $B205, ParametersRange), 1, COLUMN()-2 )</f>
        <v>68.166298378390138</v>
      </c>
      <c r="L205" s="2" cm="1">
        <f t="array" ref="L205">INDEX( ComputeThermoProps($A205, $B205, ParametersRange), 1, COLUMN()-2 )</f>
        <v>-7800.1114592519098</v>
      </c>
      <c r="M205" s="2" cm="1">
        <f t="array" ref="M205">INDEX( ComputeThermoProps($A205, $B205, ParametersRange), 1, COLUMN()-2 )</f>
        <v>6729.7564649968126</v>
      </c>
      <c r="N205" s="2" cm="1">
        <f t="array" ref="N205">INDEX( ComputeThermoProps($A205, $B205, ParametersRange), 1, COLUMN()-2 )</f>
        <v>-5683.3264697080313</v>
      </c>
      <c r="O205" s="2">
        <f t="shared" si="7"/>
        <v>1.7453201184897387</v>
      </c>
      <c r="P205" s="2">
        <f t="shared" si="8"/>
        <v>-26.553535826102234</v>
      </c>
    </row>
    <row r="206" spans="1:16" x14ac:dyDescent="0.25">
      <c r="A206" s="2">
        <v>183.1</v>
      </c>
      <c r="B206" s="2">
        <f t="shared" si="6"/>
        <v>58.43448154358439</v>
      </c>
      <c r="C206" s="2" cm="1">
        <f t="array" ref="C206">INDEX( ComputeThermoProps($A206, $B206, ParametersRange), 1, COLUMN()-2 )</f>
        <v>38.027734328166368</v>
      </c>
      <c r="D206" s="2" cm="1">
        <f t="array" ref="D206">INDEX( ComputeThermoProps($A206, $B206, ParametersRange), 1, COLUMN()-2 )</f>
        <v>5.6205562544162958E-4</v>
      </c>
      <c r="E206" s="2" cm="1">
        <f t="array" ref="E206">INDEX( ComputeThermoProps($A206, $B206, ParametersRange), 1, COLUMN()-2 )</f>
        <v>3.7855722857249401E-4</v>
      </c>
      <c r="F206" s="2" cm="1">
        <f t="array" ref="F206">INDEX( ComputeThermoProps($A206, $B206, ParametersRange), 1, COLUMN()-2 )</f>
        <v>9.8781949433911459E-4</v>
      </c>
      <c r="G206" s="2" cm="1">
        <f t="array" ref="G206">INDEX( ComputeThermoProps($A206, $B206, ParametersRange), 1, COLUMN()-2 )</f>
        <v>37.026418558903565</v>
      </c>
      <c r="H206" s="2" cm="1">
        <f t="array" ref="H206">INDEX( ComputeThermoProps($A206, $B206, ParametersRange), 1, COLUMN()-2 )</f>
        <v>24.938133805902705</v>
      </c>
      <c r="I206" s="2" cm="1">
        <f t="array" ref="I206">INDEX( ComputeThermoProps($A206, $B206, ParametersRange), 1, COLUMN()-2 )</f>
        <v>2.6799999999999997</v>
      </c>
      <c r="J206" s="2" cm="1">
        <f t="array" ref="J206">INDEX( ComputeThermoProps($A206, $B206, ParametersRange), 1, COLUMN()-2 )</f>
        <v>4631.9901602899599</v>
      </c>
      <c r="K206" s="2" cm="1">
        <f t="array" ref="K206">INDEX( ComputeThermoProps($A206, $B206, ParametersRange), 1, COLUMN()-2 )</f>
        <v>68.263415190830514</v>
      </c>
      <c r="L206" s="2" cm="1">
        <f t="array" ref="L206">INDEX( ComputeThermoProps($A206, $B206, ParametersRange), 1, COLUMN()-2 )</f>
        <v>-7867.0411611511072</v>
      </c>
      <c r="M206" s="2" cm="1">
        <f t="array" ref="M206">INDEX( ComputeThermoProps($A206, $B206, ParametersRange), 1, COLUMN()-2 )</f>
        <v>6854.1211000335279</v>
      </c>
      <c r="N206" s="2" cm="1">
        <f t="array" ref="N206">INDEX( ComputeThermoProps($A206, $B206, ParametersRange), 1, COLUMN()-2 )</f>
        <v>-5644.9102214075392</v>
      </c>
      <c r="O206" s="2">
        <f t="shared" si="7"/>
        <v>1.7666691951415627</v>
      </c>
      <c r="P206" s="2">
        <f t="shared" si="8"/>
        <v>97.811099210613065</v>
      </c>
    </row>
    <row r="207" spans="1:16" x14ac:dyDescent="0.25">
      <c r="A207" s="2">
        <v>184.1</v>
      </c>
      <c r="B207" s="2">
        <f t="shared" si="6"/>
        <v>61.248784611436271</v>
      </c>
      <c r="C207" s="2" cm="1">
        <f t="array" ref="C207">INDEX( ComputeThermoProps($A207, $B207, ParametersRange), 1, COLUMN()-2 )</f>
        <v>38.005238087378935</v>
      </c>
      <c r="D207" s="2" cm="1">
        <f t="array" ref="D207">INDEX( ComputeThermoProps($A207, $B207, ParametersRange), 1, COLUMN()-2 )</f>
        <v>5.5844756497800459E-4</v>
      </c>
      <c r="E207" s="2" cm="1">
        <f t="array" ref="E207">INDEX( ComputeThermoProps($A207, $B207, ParametersRange), 1, COLUMN()-2 )</f>
        <v>3.7617090836184229E-4</v>
      </c>
      <c r="F207" s="2" cm="1">
        <f t="array" ref="F207">INDEX( ComputeThermoProps($A207, $B207, ParametersRange), 1, COLUMN()-2 )</f>
        <v>9.8210351554325719E-4</v>
      </c>
      <c r="G207" s="2" cm="1">
        <f t="array" ref="G207">INDEX( ComputeThermoProps($A207, $B207, ParametersRange), 1, COLUMN()-2 )</f>
        <v>37.023777162149322</v>
      </c>
      <c r="H207" s="2" cm="1">
        <f t="array" ref="H207">INDEX( ComputeThermoProps($A207, $B207, ParametersRange), 1, COLUMN()-2 )</f>
        <v>24.939257970657803</v>
      </c>
      <c r="I207" s="2" cm="1">
        <f t="array" ref="I207">INDEX( ComputeThermoProps($A207, $B207, ParametersRange), 1, COLUMN()-2 )</f>
        <v>2.6800000000000006</v>
      </c>
      <c r="J207" s="2" cm="1">
        <f t="array" ref="J207">INDEX( ComputeThermoProps($A207, $B207, ParametersRange), 1, COLUMN()-2 )</f>
        <v>4651.0136697563503</v>
      </c>
      <c r="K207" s="2" cm="1">
        <f t="array" ref="K207">INDEX( ComputeThermoProps($A207, $B207, ParametersRange), 1, COLUMN()-2 )</f>
        <v>68.359666975514685</v>
      </c>
      <c r="L207" s="2" cm="1">
        <f t="array" ref="L207">INDEX( ComputeThermoProps($A207, $B207, ParametersRange), 1, COLUMN()-2 )</f>
        <v>-7934.0010204359032</v>
      </c>
      <c r="M207" s="2" cm="1">
        <f t="array" ref="M207">INDEX( ComputeThermoProps($A207, $B207, ParametersRange), 1, COLUMN()-2 )</f>
        <v>6978.7883114765764</v>
      </c>
      <c r="N207" s="2" cm="1">
        <f t="array" ref="N207">INDEX( ComputeThermoProps($A207, $B207, ParametersRange), 1, COLUMN()-2 )</f>
        <v>-5606.2263787156771</v>
      </c>
      <c r="O207" s="2">
        <f t="shared" si="7"/>
        <v>1.7870974752115314</v>
      </c>
      <c r="P207" s="2">
        <f t="shared" si="8"/>
        <v>222.47831065366154</v>
      </c>
    </row>
    <row r="208" spans="1:16" x14ac:dyDescent="0.25">
      <c r="A208" s="2">
        <v>185.1</v>
      </c>
      <c r="B208" s="2">
        <f t="shared" si="6"/>
        <v>64.074122845192022</v>
      </c>
      <c r="C208" s="2" cm="1">
        <f t="array" ref="C208">INDEX( ComputeThermoProps($A208, $B208, ParametersRange), 1, COLUMN()-2 )</f>
        <v>37.982689649542856</v>
      </c>
      <c r="D208" s="2" cm="1">
        <f t="array" ref="D208">INDEX( ComputeThermoProps($A208, $B208, ParametersRange), 1, COLUMN()-2 )</f>
        <v>5.548712806395194E-4</v>
      </c>
      <c r="E208" s="2" cm="1">
        <f t="array" ref="E208">INDEX( ComputeThermoProps($A208, $B208, ParametersRange), 1, COLUMN()-2 )</f>
        <v>3.7380696866960234E-4</v>
      </c>
      <c r="F208" s="2" cm="1">
        <f t="array" ref="F208">INDEX( ComputeThermoProps($A208, $B208, ParametersRange), 1, COLUMN()-2 )</f>
        <v>9.7643705569549078E-4</v>
      </c>
      <c r="G208" s="2" cm="1">
        <f t="array" ref="G208">INDEX( ComputeThermoProps($A208, $B208, ParametersRange), 1, COLUMN()-2 )</f>
        <v>37.02096883550022</v>
      </c>
      <c r="H208" s="2" cm="1">
        <f t="array" ref="H208">INDEX( ComputeThermoProps($A208, $B208, ParametersRange), 1, COLUMN()-2 )</f>
        <v>24.940371975389148</v>
      </c>
      <c r="I208" s="2" cm="1">
        <f t="array" ref="I208">INDEX( ComputeThermoProps($A208, $B208, ParametersRange), 1, COLUMN()-2 )</f>
        <v>2.6799999999999997</v>
      </c>
      <c r="J208" s="2" cm="1">
        <f t="array" ref="J208">INDEX( ComputeThermoProps($A208, $B208, ParametersRange), 1, COLUMN()-2 )</f>
        <v>4670.0438476974696</v>
      </c>
      <c r="K208" s="2" cm="1">
        <f t="array" ref="K208">INDEX( ComputeThermoProps($A208, $B208, ParametersRange), 1, COLUMN()-2 )</f>
        <v>68.455071991523994</v>
      </c>
      <c r="L208" s="2" cm="1">
        <f t="array" ref="L208">INDEX( ComputeThermoProps($A208, $B208, ParametersRange), 1, COLUMN()-2 )</f>
        <v>-8000.989977933621</v>
      </c>
      <c r="M208" s="2" cm="1">
        <f t="array" ref="M208">INDEX( ComputeThermoProps($A208, $B208, ParametersRange), 1, COLUMN()-2 )</f>
        <v>7103.7513702930819</v>
      </c>
      <c r="N208" s="2" cm="1">
        <f t="array" ref="N208">INDEX( ComputeThermoProps($A208, $B208, ParametersRange), 1, COLUMN()-2 )</f>
        <v>-5567.2824553380087</v>
      </c>
      <c r="O208" s="2">
        <f t="shared" si="7"/>
        <v>1.8066826695406302</v>
      </c>
      <c r="P208" s="2">
        <f t="shared" si="8"/>
        <v>347.44136947016705</v>
      </c>
    </row>
    <row r="209" spans="1:16" x14ac:dyDescent="0.25">
      <c r="A209" s="2">
        <v>186.1</v>
      </c>
      <c r="B209" s="2">
        <f t="shared" si="6"/>
        <v>66.910300817023838</v>
      </c>
      <c r="C209" s="2" cm="1">
        <f t="array" ref="C209">INDEX( ComputeThermoProps($A209, $B209, ParametersRange), 1, COLUMN()-2 )</f>
        <v>37.960094685966311</v>
      </c>
      <c r="D209" s="2" cm="1">
        <f t="array" ref="D209">INDEX( ComputeThermoProps($A209, $B209, ParametersRange), 1, COLUMN()-2 )</f>
        <v>5.5132713056737701E-4</v>
      </c>
      <c r="E209" s="2" cm="1">
        <f t="array" ref="E209">INDEX( ComputeThermoProps($A209, $B209, ParametersRange), 1, COLUMN()-2 )</f>
        <v>3.7146545827200077E-4</v>
      </c>
      <c r="F209" s="2" cm="1">
        <f t="array" ref="F209">INDEX( ComputeThermoProps($A209, $B209, ParametersRange), 1, COLUMN()-2 )</f>
        <v>9.7082069125939289E-4</v>
      </c>
      <c r="G209" s="2" cm="1">
        <f t="array" ref="G209">INDEX( ComputeThermoProps($A209, $B209, ParametersRange), 1, COLUMN()-2 )</f>
        <v>37.018011076885351</v>
      </c>
      <c r="H209" s="2" cm="1">
        <f t="array" ref="H209">INDEX( ComputeThermoProps($A209, $B209, ParametersRange), 1, COLUMN()-2 )</f>
        <v>24.941476097579304</v>
      </c>
      <c r="I209" s="2" cm="1">
        <f t="array" ref="I209">INDEX( ComputeThermoProps($A209, $B209, ParametersRange), 1, COLUMN()-2 )</f>
        <v>2.6799999999999997</v>
      </c>
      <c r="J209" s="2" cm="1">
        <f t="array" ref="J209">INDEX( ComputeThermoProps($A209, $B209, ParametersRange), 1, COLUMN()-2 )</f>
        <v>4689.082439119773</v>
      </c>
      <c r="K209" s="2" cm="1">
        <f t="array" ref="K209">INDEX( ComputeThermoProps($A209, $B209, ParametersRange), 1, COLUMN()-2 )</f>
        <v>68.549647847923495</v>
      </c>
      <c r="L209" s="2" cm="1">
        <f t="array" ref="L209">INDEX( ComputeThermoProps($A209, $B209, ParametersRange), 1, COLUMN()-2 )</f>
        <v>-8068.007025378789</v>
      </c>
      <c r="M209" s="2" cm="1">
        <f t="array" ref="M209">INDEX( ComputeThermoProps($A209, $B209, ParametersRange), 1, COLUMN()-2 )</f>
        <v>7229.0037936004865</v>
      </c>
      <c r="N209" s="2" cm="1">
        <f t="array" ref="N209">INDEX( ComputeThermoProps($A209, $B209, ParametersRange), 1, COLUMN()-2 )</f>
        <v>-5528.0856708980755</v>
      </c>
      <c r="O209" s="2">
        <f t="shared" si="7"/>
        <v>1.8254929823959432</v>
      </c>
      <c r="P209" s="2">
        <f t="shared" si="8"/>
        <v>472.69379277757162</v>
      </c>
    </row>
    <row r="210" spans="1:16" x14ac:dyDescent="0.25">
      <c r="A210" s="2">
        <v>187.1</v>
      </c>
      <c r="B210" s="2">
        <f t="shared" si="6"/>
        <v>69.757130364950655</v>
      </c>
      <c r="C210" s="2" cm="1">
        <f t="array" ref="C210">INDEX( ComputeThermoProps($A210, $B210, ParametersRange), 1, COLUMN()-2 )</f>
        <v>37.937458569542066</v>
      </c>
      <c r="D210" s="2" cm="1">
        <f t="array" ref="D210">INDEX( ComputeThermoProps($A210, $B210, ParametersRange), 1, COLUMN()-2 )</f>
        <v>5.4781540859183961E-4</v>
      </c>
      <c r="E210" s="2" cm="1">
        <f t="array" ref="E210">INDEX( ComputeThermoProps($A210, $B210, ParametersRange), 1, COLUMN()-2 )</f>
        <v>3.6914639857803298E-4</v>
      </c>
      <c r="F210" s="2" cm="1">
        <f t="array" ref="F210">INDEX( ComputeThermoProps($A210, $B210, ParametersRange), 1, COLUMN()-2 )</f>
        <v>9.6525489731487737E-4</v>
      </c>
      <c r="G210" s="2" cm="1">
        <f t="array" ref="G210">INDEX( ComputeThermoProps($A210, $B210, ParametersRange), 1, COLUMN()-2 )</f>
        <v>37.014920255427924</v>
      </c>
      <c r="H210" s="2" cm="1">
        <f t="array" ref="H210">INDEX( ComputeThermoProps($A210, $B210, ParametersRange), 1, COLUMN()-2 )</f>
        <v>24.942570602509054</v>
      </c>
      <c r="I210" s="2" cm="1">
        <f t="array" ref="I210">INDEX( ComputeThermoProps($A210, $B210, ParametersRange), 1, COLUMN()-2 )</f>
        <v>2.6800000000000006</v>
      </c>
      <c r="J210" s="2" cm="1">
        <f t="array" ref="J210">INDEX( ComputeThermoProps($A210, $B210, ParametersRange), 1, COLUMN()-2 )</f>
        <v>4708.1310944859069</v>
      </c>
      <c r="K210" s="2" cm="1">
        <f t="array" ref="K210">INDEX( ComputeThermoProps($A210, $B210, ParametersRange), 1, COLUMN()-2 )</f>
        <v>68.643411527955166</v>
      </c>
      <c r="L210" s="2" cm="1">
        <f t="array" ref="L210">INDEX( ComputeThermoProps($A210, $B210, ParametersRange), 1, COLUMN()-2 )</f>
        <v>-8135.0512023945039</v>
      </c>
      <c r="M210" s="2" cm="1">
        <f t="array" ref="M210">INDEX( ComputeThermoProps($A210, $B210, ParametersRange), 1, COLUMN()-2 )</f>
        <v>7354.5393376363672</v>
      </c>
      <c r="N210" s="2" cm="1">
        <f t="array" ref="N210">INDEX( ComputeThermoProps($A210, $B210, ParametersRange), 1, COLUMN()-2 )</f>
        <v>-5488.6429592440436</v>
      </c>
      <c r="O210" s="2">
        <f t="shared" si="7"/>
        <v>1.8435886064958869</v>
      </c>
      <c r="P210" s="2">
        <f t="shared" si="8"/>
        <v>598.22933681345239</v>
      </c>
    </row>
    <row r="211" spans="1:16" x14ac:dyDescent="0.25">
      <c r="A211" s="2">
        <v>188.1</v>
      </c>
      <c r="B211" s="2">
        <f t="shared" si="6"/>
        <v>72.614430344261109</v>
      </c>
      <c r="C211" s="2" cm="1">
        <f t="array" ref="C211">INDEX( ComputeThermoProps($A211, $B211, ParametersRange), 1, COLUMN()-2 )</f>
        <v>37.914786388444668</v>
      </c>
      <c r="D211" s="2" cm="1">
        <f t="array" ref="D211">INDEX( ComputeThermoProps($A211, $B211, ParametersRange), 1, COLUMN()-2 )</f>
        <v>5.4433634904415195E-4</v>
      </c>
      <c r="E211" s="2" cm="1">
        <f t="array" ref="E211">INDEX( ComputeThermoProps($A211, $B211, ParametersRange), 1, COLUMN()-2 )</f>
        <v>3.6684978579672065E-4</v>
      </c>
      <c r="F211" s="2" cm="1">
        <f t="array" ref="F211">INDEX( ComputeThermoProps($A211, $B211, ParametersRange), 1, COLUMN()-2 )</f>
        <v>9.59740055149094E-4</v>
      </c>
      <c r="G211" s="2" cm="1">
        <f t="array" ref="G211">INDEX( ComputeThermoProps($A211, $B211, ParametersRange), 1, COLUMN()-2 )</f>
        <v>37.011711674555301</v>
      </c>
      <c r="H211" s="2" cm="1">
        <f t="array" ref="H211">INDEX( ComputeThermoProps($A211, $B211, ParametersRange), 1, COLUMN()-2 )</f>
        <v>24.943655744509694</v>
      </c>
      <c r="I211" s="2" cm="1">
        <f t="array" ref="I211">INDEX( ComputeThermoProps($A211, $B211, ParametersRange), 1, COLUMN()-2 )</f>
        <v>2.6800000000000006</v>
      </c>
      <c r="J211" s="2" cm="1">
        <f t="array" ref="J211">INDEX( ComputeThermoProps($A211, $B211, ParametersRange), 1, COLUMN()-2 )</f>
        <v>4727.1913741404578</v>
      </c>
      <c r="K211" s="2" cm="1">
        <f t="array" ref="K211">INDEX( ComputeThermoProps($A211, $B211, ParametersRange), 1, COLUMN()-2 )</f>
        <v>68.736379414288251</v>
      </c>
      <c r="L211" s="2" cm="1">
        <f t="array" ref="L211">INDEX( ComputeThermoProps($A211, $B211, ParametersRange), 1, COLUMN()-2 )</f>
        <v>-8202.1215936871613</v>
      </c>
      <c r="M211" s="2" cm="1">
        <f t="array" ref="M211">INDEX( ComputeThermoProps($A211, $B211, ParametersRange), 1, COLUMN()-2 )</f>
        <v>7480.3519893617122</v>
      </c>
      <c r="N211" s="2" cm="1">
        <f t="array" ref="N211">INDEX( ComputeThermoProps($A211, $B211, ParametersRange), 1, COLUMN()-2 )</f>
        <v>-5448.9609784659078</v>
      </c>
      <c r="O211" s="2">
        <f t="shared" si="7"/>
        <v>1.8610229346964415</v>
      </c>
      <c r="P211" s="2">
        <f t="shared" si="8"/>
        <v>724.04198853879734</v>
      </c>
    </row>
    <row r="212" spans="1:16" x14ac:dyDescent="0.25">
      <c r="A212" s="2">
        <v>189.1</v>
      </c>
      <c r="B212" s="2">
        <f t="shared" si="6"/>
        <v>75.482026353130621</v>
      </c>
      <c r="C212" s="2" cm="1">
        <f t="array" ref="C212">INDEX( ComputeThermoProps($A212, $B212, ParametersRange), 1, COLUMN()-2 )</f>
        <v>37.892082959983597</v>
      </c>
      <c r="D212" s="2" cm="1">
        <f t="array" ref="D212">INDEX( ComputeThermoProps($A212, $B212, ParametersRange), 1, COLUMN()-2 )</f>
        <v>5.4089013138847479E-4</v>
      </c>
      <c r="E212" s="2" cm="1">
        <f t="array" ref="E212">INDEX( ComputeThermoProps($A212, $B212, ParametersRange), 1, COLUMN()-2 )</f>
        <v>3.6457559301151707E-4</v>
      </c>
      <c r="F212" s="2" cm="1">
        <f t="array" ref="F212">INDEX( ComputeThermoProps($A212, $B212, ParametersRange), 1, COLUMN()-2 )</f>
        <v>9.5427645964423489E-4</v>
      </c>
      <c r="G212" s="2" cm="1">
        <f t="array" ref="G212">INDEX( ComputeThermoProps($A212, $B212, ParametersRange), 1, COLUMN()-2 )</f>
        <v>37.008399638535828</v>
      </c>
      <c r="H212" s="2" cm="1">
        <f t="array" ref="H212">INDEX( ComputeThermoProps($A212, $B212, ParametersRange), 1, COLUMN()-2 )</f>
        <v>24.944731770186458</v>
      </c>
      <c r="I212" s="2" cm="1">
        <f t="array" ref="I212">INDEX( ComputeThermoProps($A212, $B212, ParametersRange), 1, COLUMN()-2 )</f>
        <v>2.6799999999999997</v>
      </c>
      <c r="J212" s="2" cm="1">
        <f t="array" ref="J212">INDEX( ComputeThermoProps($A212, $B212, ParametersRange), 1, COLUMN()-2 )</f>
        <v>4746.2647527436975</v>
      </c>
      <c r="K212" s="2" cm="1">
        <f t="array" ref="K212">INDEX( ComputeThermoProps($A212, $B212, ParametersRange), 1, COLUMN()-2 )</f>
        <v>68.828567314546845</v>
      </c>
      <c r="L212" s="2" cm="1">
        <f t="array" ref="L212">INDEX( ComputeThermoProps($A212, $B212, ParametersRange), 1, COLUMN()-2 )</f>
        <v>-8269.2173264371104</v>
      </c>
      <c r="M212" s="2" cm="1">
        <f t="array" ref="M212">INDEX( ComputeThermoProps($A212, $B212, ParametersRange), 1, COLUMN()-2 )</f>
        <v>7606.4359573041911</v>
      </c>
      <c r="N212" s="2" cm="1">
        <f t="array" ref="N212">INDEX( ComputeThermoProps($A212, $B212, ParametersRange), 1, COLUMN()-2 )</f>
        <v>-5409.0461218766168</v>
      </c>
      <c r="O212" s="2">
        <f t="shared" si="7"/>
        <v>1.8778435505041606</v>
      </c>
      <c r="P212" s="2">
        <f t="shared" si="8"/>
        <v>850.12595648127626</v>
      </c>
    </row>
    <row r="213" spans="1:16" x14ac:dyDescent="0.25">
      <c r="A213" s="2">
        <v>190.1</v>
      </c>
      <c r="B213" s="2">
        <f t="shared" si="6"/>
        <v>78.359750445769308</v>
      </c>
      <c r="C213" s="2" cm="1">
        <f t="array" ref="C213">INDEX( ComputeThermoProps($A213, $B213, ParametersRange), 1, COLUMN()-2 )</f>
        <v>37.869352844314776</v>
      </c>
      <c r="D213" s="2" cm="1">
        <f t="array" ref="D213">INDEX( ComputeThermoProps($A213, $B213, ParametersRange), 1, COLUMN()-2 )</f>
        <v>5.3747688456347721E-4</v>
      </c>
      <c r="E213" s="2" cm="1">
        <f t="array" ref="E213">INDEX( ComputeThermoProps($A213, $B213, ParametersRange), 1, COLUMN()-2 )</f>
        <v>3.6232377214685563E-4</v>
      </c>
      <c r="F213" s="2" cm="1">
        <f t="array" ref="F213">INDEX( ComputeThermoProps($A213, $B213, ParametersRange), 1, COLUMN()-2 )</f>
        <v>9.4886432599098518E-4</v>
      </c>
      <c r="G213" s="2" cm="1">
        <f t="array" ref="G213">INDEX( ComputeThermoProps($A213, $B213, ParametersRange), 1, COLUMN()-2 )</f>
        <v>37.004997505433252</v>
      </c>
      <c r="H213" s="2" cm="1">
        <f t="array" ref="H213">INDEX( ComputeThermoProps($A213, $B213, ParametersRange), 1, COLUMN()-2 )</f>
        <v>24.945798916251007</v>
      </c>
      <c r="I213" s="2" cm="1">
        <f t="array" ref="I213">INDEX( ComputeThermoProps($A213, $B213, ParametersRange), 1, COLUMN()-2 )</f>
        <v>2.68</v>
      </c>
      <c r="J213" s="2" cm="1">
        <f t="array" ref="J213">INDEX( ComputeThermoProps($A213, $B213, ParametersRange), 1, COLUMN()-2 )</f>
        <v>4765.3526236324478</v>
      </c>
      <c r="K213" s="2" cm="1">
        <f t="array" ref="K213">INDEX( ComputeThermoProps($A213, $B213, ParametersRange), 1, COLUMN()-2 )</f>
        <v>68.919990486594742</v>
      </c>
      <c r="L213" s="2" cm="1">
        <f t="array" ref="L213">INDEX( ComputeThermoProps($A213, $B213, ParametersRange), 1, COLUMN()-2 )</f>
        <v>-8336.3375678692119</v>
      </c>
      <c r="M213" s="2" cm="1">
        <f t="array" ref="M213">INDEX( ComputeThermoProps($A213, $B213, ParametersRange), 1, COLUMN()-2 )</f>
        <v>7732.7856620557377</v>
      </c>
      <c r="N213" s="2" cm="1">
        <f t="array" ref="N213">INDEX( ComputeThermoProps($A213, $B213, ParametersRange), 1, COLUMN()-2 )</f>
        <v>-5368.904529445922</v>
      </c>
      <c r="O213" s="2">
        <f t="shared" si="7"/>
        <v>1.8940930442165489</v>
      </c>
      <c r="P213" s="2">
        <f t="shared" si="8"/>
        <v>976.47566123282286</v>
      </c>
    </row>
    <row r="214" spans="1:16" x14ac:dyDescent="0.25">
      <c r="A214" s="2">
        <v>191.1</v>
      </c>
      <c r="B214" s="2">
        <f t="shared" si="6"/>
        <v>81.247440842188809</v>
      </c>
      <c r="C214" s="2" cm="1">
        <f t="array" ref="C214">INDEX( ComputeThermoProps($A214, $B214, ParametersRange), 1, COLUMN()-2 )</f>
        <v>37.846600357815895</v>
      </c>
      <c r="D214" s="2" cm="1">
        <f t="array" ref="D214">INDEX( ComputeThermoProps($A214, $B214, ParametersRange), 1, COLUMN()-2 )</f>
        <v>5.3409669108318532E-4</v>
      </c>
      <c r="E214" s="2" cm="1">
        <f t="array" ref="E214">INDEX( ComputeThermoProps($A214, $B214, ParametersRange), 1, COLUMN()-2 )</f>
        <v>3.6009425581953091E-4</v>
      </c>
      <c r="F214" s="2" cm="1">
        <f t="array" ref="F214">INDEX( ComputeThermoProps($A214, $B214, ParametersRange), 1, COLUMN()-2 )</f>
        <v>9.4350379605689667E-4</v>
      </c>
      <c r="G214" s="2" cm="1">
        <f t="array" ref="G214">INDEX( ComputeThermoProps($A214, $B214, ParametersRange), 1, COLUMN()-2 )</f>
        <v>37.001517739421061</v>
      </c>
      <c r="H214" s="2" cm="1">
        <f t="array" ref="H214">INDEX( ComputeThermoProps($A214, $B214, ParametersRange), 1, COLUMN()-2 )</f>
        <v>24.946857408062066</v>
      </c>
      <c r="I214" s="2" cm="1">
        <f t="array" ref="I214">INDEX( ComputeThermoProps($A214, $B214, ParametersRange), 1, COLUMN()-2 )</f>
        <v>2.68</v>
      </c>
      <c r="J214" s="2" cm="1">
        <f t="array" ref="J214">INDEX( ComputeThermoProps($A214, $B214, ParametersRange), 1, COLUMN()-2 )</f>
        <v>4784.4563030559329</v>
      </c>
      <c r="K214" s="2" cm="1">
        <f t="array" ref="K214">INDEX( ComputeThermoProps($A214, $B214, ParametersRange), 1, COLUMN()-2 )</f>
        <v>69.010663663237736</v>
      </c>
      <c r="L214" s="2" cm="1">
        <f t="array" ref="L214">INDEX( ComputeThermoProps($A214, $B214, ParametersRange), 1, COLUMN()-2 )</f>
        <v>-8403.4815229887972</v>
      </c>
      <c r="M214" s="2" cm="1">
        <f t="array" ref="M214">INDEX( ComputeThermoProps($A214, $B214, ParametersRange), 1, COLUMN()-2 )</f>
        <v>7859.3957267055421</v>
      </c>
      <c r="N214" s="2" cm="1">
        <f t="array" ref="N214">INDEX( ComputeThermoProps($A214, $B214, ParametersRange), 1, COLUMN()-2 )</f>
        <v>-5328.542099339189</v>
      </c>
      <c r="O214" s="2">
        <f t="shared" si="7"/>
        <v>1.9098096903202093</v>
      </c>
      <c r="P214" s="2">
        <f t="shared" si="8"/>
        <v>1103.0857258826272</v>
      </c>
    </row>
    <row r="215" spans="1:16" x14ac:dyDescent="0.25">
      <c r="A215" s="2">
        <v>192.1</v>
      </c>
      <c r="B215" s="2">
        <f t="shared" si="6"/>
        <v>84.144941640721512</v>
      </c>
      <c r="C215" s="2" cm="1">
        <f t="array" ref="C215">INDEX( ComputeThermoProps($A215, $B215, ParametersRange), 1, COLUMN()-2 )</f>
        <v>37.823829586002368</v>
      </c>
      <c r="D215" s="2" cm="1">
        <f t="array" ref="D215">INDEX( ComputeThermoProps($A215, $B215, ParametersRange), 1, COLUMN()-2 )</f>
        <v>5.3074959096588003E-4</v>
      </c>
      <c r="E215" s="2" cm="1">
        <f t="array" ref="E215">INDEX( ComputeThermoProps($A215, $B215, ParametersRange), 1, COLUMN()-2 )</f>
        <v>3.5788695907270002E-4</v>
      </c>
      <c r="F215" s="2" cm="1">
        <f t="array" ref="F215">INDEX( ComputeThermoProps($A215, $B215, ParametersRange), 1, COLUMN()-2 )</f>
        <v>9.3819494480345189E-4</v>
      </c>
      <c r="G215" s="2" cm="1">
        <f t="array" ref="G215">INDEX( ComputeThermoProps($A215, $B215, ParametersRange), 1, COLUMN()-2 )</f>
        <v>36.997971978088394</v>
      </c>
      <c r="H215" s="2" cm="1">
        <f t="array" ref="H215">INDEX( ComputeThermoProps($A215, $B215, ParametersRange), 1, COLUMN()-2 )</f>
        <v>24.947907466114742</v>
      </c>
      <c r="I215" s="2" cm="1">
        <f t="array" ref="I215">INDEX( ComputeThermoProps($A215, $B215, ParametersRange), 1, COLUMN()-2 )</f>
        <v>2.6799999999999997</v>
      </c>
      <c r="J215" s="2" cm="1">
        <f t="array" ref="J215">INDEX( ComputeThermoProps($A215, $B215, ParametersRange), 1, COLUMN()-2 )</f>
        <v>4803.5770342542864</v>
      </c>
      <c r="K215" s="2" cm="1">
        <f t="array" ref="K215">INDEX( ComputeThermoProps($A215, $B215, ParametersRange), 1, COLUMN()-2 )</f>
        <v>69.100601076127006</v>
      </c>
      <c r="L215" s="2" cm="1">
        <f t="array" ref="L215">INDEX( ComputeThermoProps($A215, $B215, ParametersRange), 1, COLUMN()-2 )</f>
        <v>-8470.6484324697103</v>
      </c>
      <c r="M215" s="2" cm="1">
        <f t="array" ref="M215">INDEX( ComputeThermoProps($A215, $B215, ParametersRange), 1, COLUMN()-2 )</f>
        <v>7986.2609673970519</v>
      </c>
      <c r="N215" s="2" cm="1">
        <f t="array" ref="N215">INDEX( ComputeThermoProps($A215, $B215, ParametersRange), 1, COLUMN()-2 )</f>
        <v>-5287.9644993269458</v>
      </c>
      <c r="O215" s="2">
        <f t="shared" si="7"/>
        <v>1.9250280135554378</v>
      </c>
      <c r="P215" s="2">
        <f t="shared" si="8"/>
        <v>1229.9509665741371</v>
      </c>
    </row>
    <row r="216" spans="1:16" x14ac:dyDescent="0.25">
      <c r="A216" s="2">
        <v>193.1</v>
      </c>
      <c r="B216" s="2">
        <f t="shared" ref="B216:B279" si="9">IF(
  A216 &lt;= $B$5,
  $B$6 * EXP( ($B$5/A216) * ( $B$13*(1 - A216/$B$5) + $B$14*(1 - A216/$B$5)^1.5 + $B$15*(1 - A216/$B$5)^5 ) ),
  $B$6 * ( 1 + $B$17 * MAX(A216/$B$5 - 1, 0)^$B$18 + $B$19 * MAX(A216/$B$5 - 1, 0)^$B$20 )
)</f>
        <v>87.052102537353662</v>
      </c>
      <c r="C216" s="2" cm="1">
        <f t="array" ref="C216">INDEX( ComputeThermoProps($A216, $B216, ParametersRange), 1, COLUMN()-2 )</f>
        <v>37.801044395910345</v>
      </c>
      <c r="D216" s="2" cm="1">
        <f t="array" ref="D216">INDEX( ComputeThermoProps($A216, $B216, ParametersRange), 1, COLUMN()-2 )</f>
        <v>5.274355852791044E-4</v>
      </c>
      <c r="E216" s="2" cm="1">
        <f t="array" ref="E216">INDEX( ComputeThermoProps($A216, $B216, ParametersRange), 1, COLUMN()-2 )</f>
        <v>3.5570178099363938E-4</v>
      </c>
      <c r="F216" s="2" cm="1">
        <f t="array" ref="F216">INDEX( ComputeThermoProps($A216, $B216, ParametersRange), 1, COLUMN()-2 )</f>
        <v>9.3293778559549458E-4</v>
      </c>
      <c r="G216" s="2" cm="1">
        <f t="array" ref="G216">INDEX( ComputeThermoProps($A216, $B216, ParametersRange), 1, COLUMN()-2 )</f>
        <v>36.994371069297387</v>
      </c>
      <c r="H216" s="2" cm="1">
        <f t="array" ref="H216">INDEX( ComputeThermoProps($A216, $B216, ParametersRange), 1, COLUMN()-2 )</f>
        <v>24.948949299894668</v>
      </c>
      <c r="I216" s="2" cm="1">
        <f t="array" ref="I216">INDEX( ComputeThermoProps($A216, $B216, ParametersRange), 1, COLUMN()-2 )</f>
        <v>2.6800000000000006</v>
      </c>
      <c r="J216" s="2" cm="1">
        <f t="array" ref="J216">INDEX( ComputeThermoProps($A216, $B216, ParametersRange), 1, COLUMN()-2 )</f>
        <v>4822.7159913610858</v>
      </c>
      <c r="K216" s="2" cm="1">
        <f t="array" ref="K216">INDEX( ComputeThermoProps($A216, $B216, ParametersRange), 1, COLUMN()-2 )</f>
        <v>69.189816478733988</v>
      </c>
      <c r="L216" s="2" cm="1">
        <f t="array" ref="L216">INDEX( ComputeThermoProps($A216, $B216, ParametersRange), 1, COLUMN()-2 )</f>
        <v>-8537.8375706824463</v>
      </c>
      <c r="M216" s="2" cm="1">
        <f t="array" ref="M216">INDEX( ComputeThermoProps($A216, $B216, ParametersRange), 1, COLUMN()-2 )</f>
        <v>8113.376384132931</v>
      </c>
      <c r="N216" s="2" cm="1">
        <f t="array" ref="N216">INDEX( ComputeThermoProps($A216, $B216, ParametersRange), 1, COLUMN()-2 )</f>
        <v>-5247.177177910602</v>
      </c>
      <c r="O216" s="2">
        <f t="shared" ref="O216:O279" si="10">LOG10(B216)</f>
        <v>1.9397792649346075</v>
      </c>
      <c r="P216" s="2">
        <f t="shared" ref="P216:P279" si="11">M216-$B$11</f>
        <v>1357.0663833100161</v>
      </c>
    </row>
    <row r="217" spans="1:16" x14ac:dyDescent="0.25">
      <c r="A217" s="2">
        <v>194.1</v>
      </c>
      <c r="B217" s="2">
        <f t="shared" si="9"/>
        <v>89.968778554478632</v>
      </c>
      <c r="C217" s="2" cm="1">
        <f t="array" ref="C217">INDEX( ComputeThermoProps($A217, $B217, ParametersRange), 1, COLUMN()-2 )</f>
        <v>37.778248447906883</v>
      </c>
      <c r="D217" s="2" cm="1">
        <f t="array" ref="D217">INDEX( ComputeThermoProps($A217, $B217, ParametersRange), 1, COLUMN()-2 )</f>
        <v>5.2415463952938917E-4</v>
      </c>
      <c r="E217" s="2" cm="1">
        <f t="array" ref="E217">INDEX( ComputeThermoProps($A217, $B217, ParametersRange), 1, COLUMN()-2 )</f>
        <v>3.5353860621854485E-4</v>
      </c>
      <c r="F217" s="2" cm="1">
        <f t="array" ref="F217">INDEX( ComputeThermoProps($A217, $B217, ParametersRange), 1, COLUMN()-2 )</f>
        <v>9.2773227561542687E-4</v>
      </c>
      <c r="G217" s="2" cm="1">
        <f t="array" ref="G217">INDEX( ComputeThermoProps($A217, $B217, ParametersRange), 1, COLUMN()-2 )</f>
        <v>36.990725124377356</v>
      </c>
      <c r="H217" s="2" cm="1">
        <f t="array" ref="H217">INDEX( ComputeThermoProps($A217, $B217, ParametersRange), 1, COLUMN()-2 )</f>
        <v>24.949983110380199</v>
      </c>
      <c r="I217" s="2" cm="1">
        <f t="array" ref="I217">INDEX( ComputeThermoProps($A217, $B217, ParametersRange), 1, COLUMN()-2 )</f>
        <v>2.6799999999999997</v>
      </c>
      <c r="J217" s="2" cm="1">
        <f t="array" ref="J217">INDEX( ComputeThermoProps($A217, $B217, ParametersRange), 1, COLUMN()-2 )</f>
        <v>4841.8742831205263</v>
      </c>
      <c r="K217" s="2" cm="1">
        <f t="array" ref="K217">INDEX( ComputeThermoProps($A217, $B217, ParametersRange), 1, COLUMN()-2 )</f>
        <v>69.278323168324874</v>
      </c>
      <c r="L217" s="2" cm="1">
        <f t="array" ref="L217">INDEX( ComputeThermoProps($A217, $B217, ParametersRange), 1, COLUMN()-2 )</f>
        <v>-8605.0482438513318</v>
      </c>
      <c r="M217" s="2" cm="1">
        <f t="array" ref="M217">INDEX( ComputeThermoProps($A217, $B217, ParametersRange), 1, COLUMN()-2 )</f>
        <v>8240.7371519063363</v>
      </c>
      <c r="N217" s="2" cm="1">
        <f t="array" ref="N217">INDEX( ComputeThermoProps($A217, $B217, ParametersRange), 1, COLUMN()-2 )</f>
        <v>-5206.1853750655218</v>
      </c>
      <c r="O217" s="2">
        <f t="shared" si="10"/>
        <v>1.9540918243954866</v>
      </c>
      <c r="P217" s="2">
        <f t="shared" si="11"/>
        <v>1484.4271510834214</v>
      </c>
    </row>
    <row r="218" spans="1:16" x14ac:dyDescent="0.25">
      <c r="A218" s="2">
        <v>195.1</v>
      </c>
      <c r="B218" s="2">
        <f t="shared" si="9"/>
        <v>92.894829780660089</v>
      </c>
      <c r="C218" s="2" cm="1">
        <f t="array" ref="C218">INDEX( ComputeThermoProps($A218, $B218, ParametersRange), 1, COLUMN()-2 )</f>
        <v>37.755445206911169</v>
      </c>
      <c r="D218" s="2" cm="1">
        <f t="array" ref="D218">INDEX( ComputeThermoProps($A218, $B218, ParametersRange), 1, COLUMN()-2 )</f>
        <v>5.2090668687045463E-4</v>
      </c>
      <c r="E218" s="2" cm="1">
        <f t="array" ref="E218">INDEX( ComputeThermoProps($A218, $B218, ParametersRange), 1, COLUMN()-2 )</f>
        <v>3.5139730632902436E-4</v>
      </c>
      <c r="F218" s="2" cm="1">
        <f t="array" ref="F218">INDEX( ComputeThermoProps($A218, $B218, ParametersRange), 1, COLUMN()-2 )</f>
        <v>9.2257832120492124E-4</v>
      </c>
      <c r="G218" s="2" cm="1">
        <f t="array" ref="G218">INDEX( ComputeThermoProps($A218, $B218, ParametersRange), 1, COLUMN()-2 )</f>
        <v>36.987043580706548</v>
      </c>
      <c r="H218" s="2" cm="1">
        <f t="array" ref="H218">INDEX( ComputeThermoProps($A218, $B218, ParametersRange), 1, COLUMN()-2 )</f>
        <v>24.951009098039858</v>
      </c>
      <c r="I218" s="2" cm="1">
        <f t="array" ref="I218">INDEX( ComputeThermoProps($A218, $B218, ParametersRange), 1, COLUMN()-2 )</f>
        <v>2.68</v>
      </c>
      <c r="J218" s="2" cm="1">
        <f t="array" ref="J218">INDEX( ComputeThermoProps($A218, $B218, ParametersRange), 1, COLUMN()-2 )</f>
        <v>4861.0529564164326</v>
      </c>
      <c r="K218" s="2" cm="1">
        <f t="array" ref="K218">INDEX( ComputeThermoProps($A218, $B218, ParametersRange), 1, COLUMN()-2 )</f>
        <v>69.366134006905739</v>
      </c>
      <c r="L218" s="2" cm="1">
        <f t="array" ref="L218">INDEX( ComputeThermoProps($A218, $B218, ParametersRange), 1, COLUMN()-2 )</f>
        <v>-8672.2797883308758</v>
      </c>
      <c r="M218" s="2" cm="1">
        <f t="array" ref="M218">INDEX( ComputeThermoProps($A218, $B218, ParametersRange), 1, COLUMN()-2 )</f>
        <v>8368.3386122054853</v>
      </c>
      <c r="N218" s="2" cm="1">
        <f t="array" ref="N218">INDEX( ComputeThermoProps($A218, $B218, ParametersRange), 1, COLUMN()-2 )</f>
        <v>-5164.994132541824</v>
      </c>
      <c r="O218" s="2">
        <f t="shared" si="10"/>
        <v>1.9679915432701316</v>
      </c>
      <c r="P218" s="2">
        <f t="shared" si="11"/>
        <v>1612.0286113825705</v>
      </c>
    </row>
    <row r="219" spans="1:16" x14ac:dyDescent="0.25">
      <c r="A219" s="2">
        <v>196.1</v>
      </c>
      <c r="B219" s="2">
        <f t="shared" si="9"/>
        <v>95.830121122275727</v>
      </c>
      <c r="C219" s="2" cm="1">
        <f t="array" ref="C219">INDEX( ComputeThermoProps($A219, $B219, ParametersRange), 1, COLUMN()-2 )</f>
        <v>37.732637953026625</v>
      </c>
      <c r="D219" s="2" cm="1">
        <f t="array" ref="D219">INDEX( ComputeThermoProps($A219, $B219, ParametersRange), 1, COLUMN()-2 )</f>
        <v>5.1769163084773161E-4</v>
      </c>
      <c r="E219" s="2" cm="1">
        <f t="array" ref="E219">INDEX( ComputeThermoProps($A219, $B219, ParametersRange), 1, COLUMN()-2 )</f>
        <v>3.4927774114568735E-4</v>
      </c>
      <c r="F219" s="2" cm="1">
        <f t="array" ref="F219">INDEX( ComputeThermoProps($A219, $B219, ParametersRange), 1, COLUMN()-2 )</f>
        <v>9.174757815547189E-4</v>
      </c>
      <c r="G219" s="2" cm="1">
        <f t="array" ref="G219">INDEX( ComputeThermoProps($A219, $B219, ParametersRange), 1, COLUMN()-2 )</f>
        <v>36.983335209813127</v>
      </c>
      <c r="H219" s="2" cm="1">
        <f t="array" ref="H219">INDEX( ComputeThermoProps($A219, $B219, ParametersRange), 1, COLUMN()-2 )</f>
        <v>24.952027447236631</v>
      </c>
      <c r="I219" s="2" cm="1">
        <f t="array" ref="I219">INDEX( ComputeThermoProps($A219, $B219, ParametersRange), 1, COLUMN()-2 )</f>
        <v>2.6800000000000006</v>
      </c>
      <c r="J219" s="2" cm="1">
        <f t="array" ref="J219">INDEX( ComputeThermoProps($A219, $B219, ParametersRange), 1, COLUMN()-2 )</f>
        <v>4880.2529996145713</v>
      </c>
      <c r="K219" s="2" cm="1">
        <f t="array" ref="K219">INDEX( ComputeThermoProps($A219, $B219, ParametersRange), 1, COLUMN()-2 )</f>
        <v>69.453261441135609</v>
      </c>
      <c r="L219" s="2" cm="1">
        <f t="array" ref="L219">INDEX( ComputeThermoProps($A219, $B219, ParametersRange), 1, COLUMN()-2 )</f>
        <v>-8739.5315689921208</v>
      </c>
      <c r="M219" s="2" cm="1">
        <f t="array" ref="M219">INDEX( ComputeThermoProps($A219, $B219, ParametersRange), 1, COLUMN()-2 )</f>
        <v>8496.1762649160901</v>
      </c>
      <c r="N219" s="2" cm="1">
        <f t="array" ref="N219">INDEX( ComputeThermoProps($A219, $B219, ParametersRange), 1, COLUMN()-2 )</f>
        <v>-5123.608303690603</v>
      </c>
      <c r="O219" s="2">
        <f t="shared" si="10"/>
        <v>1.9815020370651073</v>
      </c>
      <c r="P219" s="2">
        <f t="shared" si="11"/>
        <v>1739.8662640931752</v>
      </c>
    </row>
    <row r="220" spans="1:16" x14ac:dyDescent="0.25">
      <c r="A220" s="2">
        <v>197.1</v>
      </c>
      <c r="B220" s="2">
        <f t="shared" si="9"/>
        <v>98.774522067415731</v>
      </c>
      <c r="C220" s="2" cm="1">
        <f t="array" ref="C220">INDEX( ComputeThermoProps($A220, $B220, ParametersRange), 1, COLUMN()-2 )</f>
        <v>37.709829791594316</v>
      </c>
      <c r="D220" s="2" cm="1">
        <f t="array" ref="D220">INDEX( ComputeThermoProps($A220, $B220, ParametersRange), 1, COLUMN()-2 )</f>
        <v>5.1450934821090652E-4</v>
      </c>
      <c r="E220" s="2" cm="1">
        <f t="array" ref="E220">INDEX( ComputeThermoProps($A220, $B220, ParametersRange), 1, COLUMN()-2 )</f>
        <v>3.4717975992465004E-4</v>
      </c>
      <c r="F220" s="2" cm="1">
        <f t="array" ref="F220">INDEX( ComputeThermoProps($A220, $B220, ParametersRange), 1, COLUMN()-2 )</f>
        <v>9.1242447358531919E-4</v>
      </c>
      <c r="G220" s="2" cm="1">
        <f t="array" ref="G220">INDEX( ComputeThermoProps($A220, $B220, ParametersRange), 1, COLUMN()-2 )</f>
        <v>36.979608183525379</v>
      </c>
      <c r="H220" s="2" cm="1">
        <f t="array" ref="H220">INDEX( ComputeThermoProps($A220, $B220, ParametersRange), 1, COLUMN()-2 )</f>
        <v>24.953038338190126</v>
      </c>
      <c r="I220" s="2" cm="1">
        <f t="array" ref="I220">INDEX( ComputeThermoProps($A220, $B220, ParametersRange), 1, COLUMN()-2 )</f>
        <v>2.6800000000000006</v>
      </c>
      <c r="J220" s="2" cm="1">
        <f t="array" ref="J220">INDEX( ComputeThermoProps($A220, $B220, ParametersRange), 1, COLUMN()-2 )</f>
        <v>4899.4753457226252</v>
      </c>
      <c r="K220" s="2" cm="1">
        <f t="array" ref="K220">INDEX( ComputeThermoProps($A220, $B220, ParametersRange), 1, COLUMN()-2 )</f>
        <v>69.539717521224858</v>
      </c>
      <c r="L220" s="2" cm="1">
        <f t="array" ref="L220">INDEX( ComputeThermoProps($A220, $B220, ParametersRange), 1, COLUMN()-2 )</f>
        <v>-8806.8029777107931</v>
      </c>
      <c r="M220" s="2" cm="1">
        <f t="array" ref="M220">INDEX( ComputeThermoProps($A220, $B220, ParametersRange), 1, COLUMN()-2 )</f>
        <v>8624.245760630949</v>
      </c>
      <c r="N220" s="2" cm="1">
        <f t="array" ref="N220">INDEX( ComputeThermoProps($A220, $B220, ParametersRange), 1, COLUMN()-2 )</f>
        <v>-5082.0325628024702</v>
      </c>
      <c r="O220" s="2">
        <f t="shared" si="10"/>
        <v>1.9946449369716945</v>
      </c>
      <c r="P220" s="2">
        <f t="shared" si="11"/>
        <v>1867.9357598080342</v>
      </c>
    </row>
    <row r="221" spans="1:16" x14ac:dyDescent="0.25">
      <c r="A221" s="2">
        <v>198.1</v>
      </c>
      <c r="B221" s="2">
        <f t="shared" si="9"/>
        <v>101.7279064620672</v>
      </c>
      <c r="C221" s="2" cm="1">
        <f t="array" ref="C221">INDEX( ComputeThermoProps($A221, $B221, ParametersRange), 1, COLUMN()-2 )</f>
        <v>37.687023662685405</v>
      </c>
      <c r="D221" s="2" cm="1">
        <f t="array" ref="D221">INDEX( ComputeThermoProps($A221, $B221, ParametersRange), 1, COLUMN()-2 )</f>
        <v>5.1135969142727239E-4</v>
      </c>
      <c r="E221" s="2" cm="1">
        <f t="array" ref="E221">INDEX( ComputeThermoProps($A221, $B221, ParametersRange), 1, COLUMN()-2 )</f>
        <v>3.4510320246290807E-4</v>
      </c>
      <c r="F221" s="2" cm="1">
        <f t="array" ref="F221">INDEX( ComputeThermoProps($A221, $B221, ParametersRange), 1, COLUMN()-2 )</f>
        <v>9.074241759749244E-4</v>
      </c>
      <c r="G221" s="2" cm="1">
        <f t="array" ref="G221">INDEX( ComputeThermoProps($A221, $B221, ParametersRange), 1, COLUMN()-2 )</f>
        <v>36.97587011653011</v>
      </c>
      <c r="H221" s="2" cm="1">
        <f t="array" ref="H221">INDEX( ComputeThermoProps($A221, $B221, ParametersRange), 1, COLUMN()-2 )</f>
        <v>24.954041949319212</v>
      </c>
      <c r="I221" s="2" cm="1">
        <f t="array" ref="I221">INDEX( ComputeThermoProps($A221, $B221, ParametersRange), 1, COLUMN()-2 )</f>
        <v>2.6799999999999997</v>
      </c>
      <c r="J221" s="2" cm="1">
        <f t="array" ref="J221">INDEX( ComputeThermoProps($A221, $B221, ParametersRange), 1, COLUMN()-2 )</f>
        <v>4918.7208753740597</v>
      </c>
      <c r="K221" s="2" cm="1">
        <f t="array" ref="K221">INDEX( ComputeThermoProps($A221, $B221, ParametersRange), 1, COLUMN()-2 )</f>
        <v>69.625513918847759</v>
      </c>
      <c r="L221" s="2" cm="1">
        <f t="array" ref="L221">INDEX( ComputeThermoProps($A221, $B221, ParametersRange), 1, COLUMN()-2 )</f>
        <v>-8874.093431949681</v>
      </c>
      <c r="M221" s="2" cm="1">
        <f t="array" ref="M221">INDEX( ComputeThermoProps($A221, $B221, ParametersRange), 1, COLUMN()-2 )</f>
        <v>8752.542893365433</v>
      </c>
      <c r="N221" s="2" cm="1">
        <f t="array" ref="N221">INDEX( ComputeThermoProps($A221, $B221, ParametersRange), 1, COLUMN()-2 )</f>
        <v>-5040.2714139583077</v>
      </c>
      <c r="O221" s="2">
        <f t="shared" si="10"/>
        <v>2.0074401069048311</v>
      </c>
      <c r="P221" s="2">
        <f t="shared" si="11"/>
        <v>1996.2328925425181</v>
      </c>
    </row>
    <row r="222" spans="1:16" x14ac:dyDescent="0.25">
      <c r="A222" s="2">
        <v>199.1</v>
      </c>
      <c r="B222" s="2">
        <f t="shared" si="9"/>
        <v>104.69015229837888</v>
      </c>
      <c r="C222" s="2" cm="1">
        <f t="array" ref="C222">INDEX( ComputeThermoProps($A222, $B222, ParametersRange), 1, COLUMN()-2 )</f>
        <v>37.664222350054558</v>
      </c>
      <c r="D222" s="2" cm="1">
        <f t="array" ref="D222">INDEX( ComputeThermoProps($A222, $B222, ParametersRange), 1, COLUMN()-2 )</f>
        <v>5.0824249090270597E-4</v>
      </c>
      <c r="E222" s="2" cm="1">
        <f t="array" ref="E222">INDEX( ComputeThermoProps($A222, $B222, ParametersRange), 1, COLUMN()-2 )</f>
        <v>3.430479001184865E-4</v>
      </c>
      <c r="F222" s="2" cm="1">
        <f t="array" ref="F222">INDEX( ComputeThermoProps($A222, $B222, ParametersRange), 1, COLUMN()-2 )</f>
        <v>9.0247463231909E-4</v>
      </c>
      <c r="G222" s="2" cm="1">
        <f t="array" ref="G222">INDEX( ComputeThermoProps($A222, $B222, ParametersRange), 1, COLUMN()-2 )</f>
        <v>36.972128083181076</v>
      </c>
      <c r="H222" s="2" cm="1">
        <f t="array" ref="H222">INDEX( ComputeThermoProps($A222, $B222, ParametersRange), 1, COLUMN()-2 )</f>
        <v>24.955038448910344</v>
      </c>
      <c r="I222" s="2" cm="1">
        <f t="array" ref="I222">INDEX( ComputeThermoProps($A222, $B222, ParametersRange), 1, COLUMN()-2 )</f>
        <v>2.6799999999999997</v>
      </c>
      <c r="J222" s="2" cm="1">
        <f t="array" ref="J222">INDEX( ComputeThermoProps($A222, $B222, ParametersRange), 1, COLUMN()-2 )</f>
        <v>4937.9904196432781</v>
      </c>
      <c r="K222" s="2" cm="1">
        <f t="array" ref="K222">INDEX( ComputeThermoProps($A222, $B222, ParametersRange), 1, COLUMN()-2 )</f>
        <v>69.710661944106732</v>
      </c>
      <c r="L222" s="2" cm="1">
        <f t="array" ref="L222">INDEX( ComputeThermoProps($A222, $B222, ParametersRange), 1, COLUMN()-2 )</f>
        <v>-8941.4023734283728</v>
      </c>
      <c r="M222" s="2" cm="1">
        <f t="array" ref="M222">INDEX( ComputeThermoProps($A222, $B222, ParametersRange), 1, COLUMN()-2 )</f>
        <v>8881.0635936704948</v>
      </c>
      <c r="N222" s="2" cm="1">
        <f t="array" ref="N222">INDEX( ComputeThermoProps($A222, $B222, ParametersRange), 1, COLUMN()-2 )</f>
        <v>-4998.3291994011552</v>
      </c>
      <c r="O222" s="2">
        <f t="shared" si="10"/>
        <v>2.0199058315965468</v>
      </c>
      <c r="P222" s="2">
        <f t="shared" si="11"/>
        <v>2124.75359284758</v>
      </c>
    </row>
    <row r="223" spans="1:16" x14ac:dyDescent="0.25">
      <c r="A223">
        <v>200.1</v>
      </c>
      <c r="B223" s="2">
        <f t="shared" si="9"/>
        <v>107.66114151464944</v>
      </c>
      <c r="C223" s="2" cm="1">
        <f t="array" ref="C223">INDEX( ComputeThermoProps($A223, $B223, ParametersRange), 1, COLUMN()-2 )</f>
        <v>37.641428489578971</v>
      </c>
      <c r="M223" s="2" cm="1">
        <f t="array" ref="M223">INDEX( ComputeThermoProps($A223, $B223, ParametersRange), 1, COLUMN()-2 )</f>
        <v>9009.8039221301806</v>
      </c>
      <c r="O223" s="2">
        <f t="shared" si="10"/>
        <v>2.0320589802621791</v>
      </c>
      <c r="P223" s="2">
        <f t="shared" si="11"/>
        <v>2253.4939213072657</v>
      </c>
    </row>
    <row r="224" spans="1:16" x14ac:dyDescent="0.25">
      <c r="A224">
        <v>201.1</v>
      </c>
      <c r="B224" s="2">
        <f t="shared" si="9"/>
        <v>110.64075980657977</v>
      </c>
      <c r="C224" s="2" cm="1">
        <f t="array" ref="C224">INDEX( ComputeThermoProps($A224, $B224, ParametersRange), 1, COLUMN()-2 )</f>
        <v>37.618644577208968</v>
      </c>
      <c r="M224" s="2" cm="1">
        <f t="array" ref="M224">INDEX( ComputeThermoProps($A224, $B224, ParametersRange), 1, COLUMN()-2 )</f>
        <v>9138.7600632276317</v>
      </c>
      <c r="O224" s="2">
        <f t="shared" si="10"/>
        <v>2.0439151495549046</v>
      </c>
      <c r="P224" s="2">
        <f t="shared" si="11"/>
        <v>2382.4500624047168</v>
      </c>
    </row>
    <row r="225" spans="1:16" x14ac:dyDescent="0.25">
      <c r="A225">
        <v>202.1</v>
      </c>
      <c r="B225" s="2">
        <f t="shared" si="9"/>
        <v>113.62889644927324</v>
      </c>
      <c r="C225" s="2" cm="1">
        <f t="array" ref="C225">INDEX( ComputeThermoProps($A225, $B225, ParametersRange), 1, COLUMN()-2 )</f>
        <v>37.595872976456377</v>
      </c>
      <c r="M225" s="2" cm="1">
        <f t="array" ref="M225">INDEX( ComputeThermoProps($A225, $B225, ParametersRange), 1, COLUMN()-2 )</f>
        <v>9267.9283195620483</v>
      </c>
      <c r="O225" s="2">
        <f t="shared" si="10"/>
        <v>2.0554887888804467</v>
      </c>
      <c r="P225" s="2">
        <f t="shared" si="11"/>
        <v>2511.6183187391334</v>
      </c>
    </row>
    <row r="226" spans="1:16" x14ac:dyDescent="0.25">
      <c r="A226">
        <v>203.1</v>
      </c>
      <c r="B226" s="2">
        <f t="shared" si="9"/>
        <v>116.62544412943795</v>
      </c>
      <c r="C226" s="2" cm="1">
        <f t="array" ref="C226">INDEX( ComputeThermoProps($A226, $B226, ParametersRange), 1, COLUMN()-2 )</f>
        <v>37.573115925446849</v>
      </c>
      <c r="M226" s="2" cm="1">
        <f t="array" ref="M226">INDEX( ComputeThermoProps($A226, $B226, ParametersRange), 1, COLUMN()-2 )</f>
        <v>9397.3051063980238</v>
      </c>
      <c r="O226" s="2">
        <f t="shared" si="10"/>
        <v>2.0667933106246261</v>
      </c>
      <c r="P226" s="2">
        <f t="shared" si="11"/>
        <v>2640.9951055751089</v>
      </c>
    </row>
    <row r="227" spans="1:16" x14ac:dyDescent="0.25">
      <c r="A227">
        <v>204.1</v>
      </c>
      <c r="B227" s="2">
        <f t="shared" si="9"/>
        <v>119.63029878723084</v>
      </c>
      <c r="C227" s="2" cm="1">
        <f t="array" ref="C227">INDEX( ComputeThermoProps($A227, $B227, ParametersRange), 1, COLUMN()-2 )</f>
        <v>37.550375543561643</v>
      </c>
      <c r="M227" s="2" cm="1">
        <f t="array" ref="M227">INDEX( ComputeThermoProps($A227, $B227, ParametersRange), 1, COLUMN()-2 )</f>
        <v>9526.886946528748</v>
      </c>
      <c r="O227" s="2">
        <f t="shared" si="10"/>
        <v>2.0778411874251512</v>
      </c>
      <c r="P227" s="2">
        <f t="shared" si="11"/>
        <v>2770.5769457058332</v>
      </c>
    </row>
    <row r="228" spans="1:16" x14ac:dyDescent="0.25">
      <c r="A228">
        <v>205.1</v>
      </c>
      <c r="B228" s="2">
        <f t="shared" si="9"/>
        <v>122.64335946719244</v>
      </c>
      <c r="C228" s="2" cm="1">
        <f t="array" ref="C228">INDEX( ComputeThermoProps($A228, $B228, ParametersRange), 1, COLUMN()-2 )</f>
        <v>37.527653837693229</v>
      </c>
      <c r="M228" s="2" cm="1">
        <f t="array" ref="M228">INDEX( ComputeThermoProps($A228, $B228, ParametersRange), 1, COLUMN()-2 )</f>
        <v>9656.6704654346213</v>
      </c>
      <c r="O228" s="2">
        <f t="shared" si="10"/>
        <v>2.0886440382755511</v>
      </c>
      <c r="P228" s="2">
        <f t="shared" si="11"/>
        <v>2900.3604646117064</v>
      </c>
    </row>
    <row r="229" spans="1:16" x14ac:dyDescent="0.25">
      <c r="A229">
        <v>206.1</v>
      </c>
      <c r="B229" s="2">
        <f t="shared" si="9"/>
        <v>125.66452817772908</v>
      </c>
      <c r="C229" s="2" cm="1">
        <f t="array" ref="C229">INDEX( ComputeThermoProps($A229, $B229, ParametersRange), 1, COLUMN()-2 )</f>
        <v>37.504952708138397</v>
      </c>
      <c r="M229" s="2" cm="1">
        <f t="array" ref="M229">INDEX( ComputeThermoProps($A229, $B229, ParametersRange), 1, COLUMN()-2 )</f>
        <v>9786.6523867193446</v>
      </c>
      <c r="O229" s="2">
        <f t="shared" si="10"/>
        <v>2.0992127049674503</v>
      </c>
      <c r="P229" s="2">
        <f t="shared" si="11"/>
        <v>3030.3423858964297</v>
      </c>
    </row>
    <row r="230" spans="1:16" x14ac:dyDescent="0.25">
      <c r="A230">
        <v>207.1</v>
      </c>
      <c r="B230" s="2">
        <f t="shared" si="9"/>
        <v>128.69370975862051</v>
      </c>
      <c r="C230" s="2" cm="1">
        <f t="array" ref="C230">INDEX( ComputeThermoProps($A230, $B230, ParametersRange), 1, COLUMN()-2 )</f>
        <v>37.482273954151047</v>
      </c>
      <c r="M230" s="2" cm="1">
        <f t="array" ref="M230">INDEX( ComputeThermoProps($A230, $B230, ParametersRange), 1, COLUMN()-2 )</f>
        <v>9916.8295278063179</v>
      </c>
      <c r="O230" s="2">
        <f t="shared" si="10"/>
        <v>2.1095573201453952</v>
      </c>
      <c r="P230" s="2">
        <f t="shared" si="11"/>
        <v>3160.519526983403</v>
      </c>
    </row>
    <row r="231" spans="1:16" x14ac:dyDescent="0.25">
      <c r="A231">
        <v>208.1</v>
      </c>
      <c r="B231" s="2">
        <f t="shared" si="9"/>
        <v>131.73081175605509</v>
      </c>
      <c r="C231" s="2" cm="1">
        <f t="array" ref="C231">INDEX( ComputeThermoProps($A231, $B231, ParametersRange), 1, COLUMN()-2 )</f>
        <v>37.459619279175769</v>
      </c>
      <c r="M231" s="2" cm="1">
        <f t="array" ref="M231">INDEX( ComputeThermoProps($A231, $B231, ParametersRange), 1, COLUMN()-2 )</f>
        <v>10047.198795878981</v>
      </c>
      <c r="O231" s="2">
        <f t="shared" si="10"/>
        <v>2.1196873680564132</v>
      </c>
      <c r="P231" s="2">
        <f t="shared" si="11"/>
        <v>3290.8887950560666</v>
      </c>
    </row>
    <row r="232" spans="1:16" x14ac:dyDescent="0.25">
      <c r="A232">
        <v>209.1</v>
      </c>
      <c r="B232" s="2">
        <f t="shared" si="9"/>
        <v>134.77574430471483</v>
      </c>
      <c r="C232" s="2" cm="1">
        <f t="array" ref="C232">INDEX( ComputeThermoProps($A232, $B232, ParametersRange), 1, COLUMN()-2 )</f>
        <v>37.436990295782188</v>
      </c>
      <c r="M232" s="2" cm="1">
        <f t="array" ref="M232">INDEX( ComputeThermoProps($A232, $B232, ParametersRange), 1, COLUMN()-2 )</f>
        <v>10177.757184049417</v>
      </c>
      <c r="O232" s="2">
        <f t="shared" si="10"/>
        <v>2.1296117389168336</v>
      </c>
      <c r="P232" s="2">
        <f t="shared" si="11"/>
        <v>3421.4471832265017</v>
      </c>
    </row>
    <row r="233" spans="1:16" x14ac:dyDescent="0.25">
      <c r="A233">
        <v>210.1</v>
      </c>
      <c r="B233" s="2">
        <f t="shared" si="9"/>
        <v>137.82842001646668</v>
      </c>
      <c r="C233" s="2" cm="1">
        <f t="array" ref="C233">INDEX( ComputeThermoProps($A233, $B233, ParametersRange), 1, COLUMN()-2 )</f>
        <v>37.41438853031859</v>
      </c>
      <c r="M233" s="2" cm="1">
        <f t="array" ref="M233">INDEX( ComputeThermoProps($A233, $B233, ParametersRange), 1, COLUMN()-2 )</f>
        <v>10308.501767740736</v>
      </c>
      <c r="O233" s="2">
        <f t="shared" si="10"/>
        <v>2.1393387776856918</v>
      </c>
      <c r="P233" s="2">
        <f t="shared" si="11"/>
        <v>3552.191766917821</v>
      </c>
    </row>
    <row r="234" spans="1:16" x14ac:dyDescent="0.25">
      <c r="A234">
        <v>211.1</v>
      </c>
      <c r="B234" s="2">
        <f t="shared" si="9"/>
        <v>140.88875387523558</v>
      </c>
      <c r="C234" s="2" cm="1">
        <f t="array" ref="C234">INDEX( ComputeThermoProps($A234, $B234, ParametersRange), 1, COLUMN()-2 )</f>
        <v>37.39181542730249</v>
      </c>
      <c r="M234" s="2" cm="1">
        <f t="array" ref="M234">INDEX( ComputeThermoProps($A234, $B234, ParametersRange), 1, COLUMN()-2 )</f>
        <v>10439.429701269388</v>
      </c>
      <c r="O234" s="2">
        <f t="shared" si="10"/>
        <v>2.1488763279223084</v>
      </c>
      <c r="P234" s="2">
        <f t="shared" si="11"/>
        <v>3683.119700446473</v>
      </c>
    </row>
    <row r="235" spans="1:16" x14ac:dyDescent="0.25">
      <c r="A235">
        <v>212.1</v>
      </c>
      <c r="B235" s="2">
        <f t="shared" si="9"/>
        <v>143.95666313766415</v>
      </c>
      <c r="C235" s="2" cm="1">
        <f t="array" ref="C235">INDEX( ComputeThermoProps($A235, $B235, ParametersRange), 1, COLUMN()-2 )</f>
        <v>37.369272353564504</v>
      </c>
      <c r="M235" s="2" cm="1">
        <f t="array" ref="M235">INDEX( ComputeThermoProps($A235, $B235, ParametersRange), 1, COLUMN()-2 )</f>
        <v>10570.538214614517</v>
      </c>
      <c r="O235" s="2">
        <f t="shared" si="10"/>
        <v>2.1582317713116952</v>
      </c>
      <c r="P235" s="2">
        <f t="shared" si="11"/>
        <v>3814.2282137916018</v>
      </c>
    </row>
    <row r="236" spans="1:16" x14ac:dyDescent="0.25">
      <c r="A236">
        <v>213.1</v>
      </c>
      <c r="B236" s="2">
        <f t="shared" si="9"/>
        <v>147.03206723919087</v>
      </c>
      <c r="C236" s="2" cm="1">
        <f t="array" ref="C236">INDEX( ComputeThermoProps($A236, $B236, ParametersRange), 1, COLUMN()-2 )</f>
        <v>37.346760602160813</v>
      </c>
      <c r="M236" s="2" cm="1">
        <f t="array" ref="M236">INDEX( ComputeThermoProps($A236, $B236, ParametersRange), 1, COLUMN()-2 )</f>
        <v>10701.824610362368</v>
      </c>
      <c r="O236" s="2">
        <f t="shared" si="10"/>
        <v>2.1674120633620748</v>
      </c>
      <c r="P236" s="2">
        <f t="shared" si="11"/>
        <v>3945.514609539453</v>
      </c>
    </row>
    <row r="237" spans="1:16" x14ac:dyDescent="0.25">
      <c r="A237">
        <v>214.1</v>
      </c>
      <c r="B237" s="2">
        <f t="shared" si="9"/>
        <v>150.11488770519739</v>
      </c>
      <c r="C237" s="2" cm="1">
        <f t="array" ref="C237">INDEX( ComputeThermoProps($A237, $B237, ParametersRange), 1, COLUMN()-2 )</f>
        <v>37.324281396068642</v>
      </c>
      <c r="M237" s="2" cm="1">
        <f t="array" ref="M237">INDEX( ComputeThermoProps($A237, $B237, ParametersRange), 1, COLUMN()-2 )</f>
        <v>10833.286260814417</v>
      </c>
      <c r="O237" s="2">
        <f t="shared" si="10"/>
        <v>2.1764237657115459</v>
      </c>
      <c r="P237" s="2">
        <f t="shared" si="11"/>
        <v>4076.976259991502</v>
      </c>
    </row>
    <row r="238" spans="1:16" x14ac:dyDescent="0.25">
      <c r="A238">
        <v>215.1</v>
      </c>
      <c r="B238" s="2">
        <f t="shared" si="9"/>
        <v>153.2050480669063</v>
      </c>
      <c r="C238" s="2" cm="1">
        <f t="array" ref="C238">INDEX( ComputeThermoProps($A238, $B238, ParametersRange), 1, COLUMN()-2 )</f>
        <v>37.301835891678088</v>
      </c>
      <c r="M238" s="2" cm="1">
        <f t="array" ref="M238">INDEX( ComputeThermoProps($A238, $B238, ParametersRange), 1, COLUMN()-2 )</f>
        <v>10964.920605248859</v>
      </c>
      <c r="O238" s="2">
        <f t="shared" si="10"/>
        <v>2.1852730754237566</v>
      </c>
      <c r="P238" s="2">
        <f t="shared" si="11"/>
        <v>4208.6106044259441</v>
      </c>
    </row>
    <row r="239" spans="1:16" x14ac:dyDescent="0.25">
      <c r="A239">
        <v>216.1</v>
      </c>
      <c r="B239" s="2">
        <f t="shared" si="9"/>
        <v>156.30247378172544</v>
      </c>
      <c r="C239" s="2" cm="1">
        <f t="array" ref="C239">INDEX( ComputeThermoProps($A239, $B239, ParametersRange), 1, COLUMN()-2 )</f>
        <v>37.279425182092858</v>
      </c>
      <c r="M239" s="2" cm="1">
        <f t="array" ref="M239">INDEX( ComputeThermoProps($A239, $B239, ParametersRange), 1, COLUMN()-2 )</f>
        <v>11096.725147325611</v>
      </c>
      <c r="O239" s="2">
        <f t="shared" si="10"/>
        <v>2.1939658516036458</v>
      </c>
      <c r="P239" s="2">
        <f t="shared" si="11"/>
        <v>4340.4151465026962</v>
      </c>
    </row>
    <row r="240" spans="1:16" x14ac:dyDescent="0.25">
      <c r="A240">
        <v>217.1</v>
      </c>
      <c r="B240" s="2">
        <f t="shared" si="9"/>
        <v>159.40709215775985</v>
      </c>
      <c r="C240" s="2" cm="1">
        <f t="array" ref="C240">INDEX( ComputeThermoProps($A240, $B240, ParametersRange), 1, COLUMN()-2 )</f>
        <v>37.257050300251535</v>
      </c>
      <c r="M240" s="2" cm="1">
        <f t="array" ref="M240">INDEX( ComputeThermoProps($A240, $B240, ParametersRange), 1, COLUMN()-2 )</f>
        <v>11228.697452625793</v>
      </c>
      <c r="O240" s="2">
        <f t="shared" si="10"/>
        <v>2.2025076396225844</v>
      </c>
      <c r="P240" s="2">
        <f t="shared" si="11"/>
        <v>4472.3874518028779</v>
      </c>
    </row>
    <row r="241" spans="1:16" x14ac:dyDescent="0.25">
      <c r="A241">
        <v>218.1</v>
      </c>
      <c r="B241" s="2">
        <f t="shared" si="9"/>
        <v>162.51883228223113</v>
      </c>
      <c r="C241" s="2" cm="1">
        <f t="array" ref="C241">INDEX( ComputeThermoProps($A241, $B241, ParametersRange), 1, COLUMN()-2 )</f>
        <v>37.234712221880308</v>
      </c>
      <c r="M241" s="2" cm="1">
        <f t="array" ref="M241">INDEX( ComputeThermoProps($A241, $B241, ParametersRange), 1, COLUMN()-2 )</f>
        <v>11360.835146317235</v>
      </c>
      <c r="O241" s="2">
        <f t="shared" si="10"/>
        <v>2.2109036932063963</v>
      </c>
      <c r="P241" s="2">
        <f t="shared" si="11"/>
        <v>4604.52514549432</v>
      </c>
    </row>
    <row r="242" spans="1:16" x14ac:dyDescent="0.25">
      <c r="A242">
        <v>219.1</v>
      </c>
      <c r="B242" s="2">
        <f t="shared" si="9"/>
        <v>165.63762495355846</v>
      </c>
      <c r="C242" s="2" cm="1">
        <f t="array" ref="C242">INDEX( ComputeThermoProps($A242, $B242, ParametersRange), 1, COLUMN()-2 )</f>
        <v>37.212411868287298</v>
      </c>
      <c r="M242" s="2" cm="1">
        <f t="array" ref="M242">INDEX( ComputeThermoProps($A242, $B242, ParametersRange), 1, COLUMN()-2 )</f>
        <v>11493.135910938114</v>
      </c>
      <c r="O242" s="2">
        <f t="shared" si="10"/>
        <v>2.2191589946089034</v>
      </c>
      <c r="P242" s="2">
        <f t="shared" si="11"/>
        <v>4736.8259101151989</v>
      </c>
    </row>
    <row r="243" spans="1:16" x14ac:dyDescent="0.25">
      <c r="A243">
        <v>220.1</v>
      </c>
      <c r="B243" s="2">
        <f t="shared" si="9"/>
        <v>168.7634026168792</v>
      </c>
      <c r="C243" s="2" cm="1">
        <f t="array" ref="C243">INDEX( ComputeThermoProps($A243, $B243, ParametersRange), 1, COLUMN()-2 )</f>
        <v>37.190150109008101</v>
      </c>
      <c r="M243" s="2" cm="1">
        <f t="array" ref="M243">INDEX( ComputeThermoProps($A243, $B243, ParametersRange), 1, COLUMN()-2 )</f>
        <v>11625.597484291533</v>
      </c>
      <c r="O243" s="2">
        <f t="shared" si="10"/>
        <v>2.227278273067022</v>
      </c>
      <c r="P243" s="2">
        <f t="shared" si="11"/>
        <v>4869.2874834686181</v>
      </c>
    </row>
    <row r="244" spans="1:16" x14ac:dyDescent="0.25">
      <c r="A244">
        <v>221.1</v>
      </c>
      <c r="B244" s="2">
        <f t="shared" si="9"/>
        <v>171.89609930279502</v>
      </c>
      <c r="C244" s="2" cm="1">
        <f t="array" ref="C244">INDEX( ComputeThermoProps($A244, $B244, ParametersRange), 1, COLUMN()-2 )</f>
        <v>37.16792776431123</v>
      </c>
      <c r="M244" s="2" cm="1">
        <f t="array" ref="M244">INDEX( ComputeThermoProps($A244, $B244, ParametersRange), 1, COLUMN()-2 )</f>
        <v>11758.217657444058</v>
      </c>
      <c r="O244" s="2">
        <f t="shared" si="10"/>
        <v>2.2352660217103657</v>
      </c>
      <c r="P244" s="2">
        <f t="shared" si="11"/>
        <v>5001.9076566211434</v>
      </c>
    </row>
    <row r="245" spans="1:16" x14ac:dyDescent="0.25">
      <c r="A245">
        <v>222.1</v>
      </c>
      <c r="B245" s="2">
        <f t="shared" si="9"/>
        <v>175.03565056914988</v>
      </c>
      <c r="C245" s="2" cm="1">
        <f t="array" ref="C245">INDEX( ComputeThermoProps($A245, $B245, ParametersRange), 1, COLUMN()-2 )</f>
        <v>37.145745607571918</v>
      </c>
      <c r="M245" s="2" cm="1">
        <f t="array" ref="M245">INDEX( ComputeThermoProps($A245, $B245, ParametersRange), 1, COLUMN()-2 )</f>
        <v>11890.994272822078</v>
      </c>
      <c r="O245" s="2">
        <f t="shared" si="10"/>
        <v>2.2431265130783462</v>
      </c>
      <c r="P245" s="2">
        <f t="shared" si="11"/>
        <v>5134.6842719991628</v>
      </c>
    </row>
    <row r="246" spans="1:16" x14ac:dyDescent="0.25">
      <c r="A246">
        <v>223.1</v>
      </c>
      <c r="B246" s="2">
        <f t="shared" si="9"/>
        <v>178.18199344565608</v>
      </c>
      <c r="C246" s="2" cm="1">
        <f t="array" ref="C246">INDEX( ComputeThermoProps($A246, $B246, ParametersRange), 1, COLUMN()-2 )</f>
        <v>37.123604367521878</v>
      </c>
      <c r="M246" s="2" cm="1">
        <f t="array" ref="M246">INDEX( ComputeThermoProps($A246, $B246, ParametersRange), 1, COLUMN()-2 )</f>
        <v>12023.925222399957</v>
      </c>
      <c r="O246" s="2">
        <f t="shared" si="10"/>
        <v>2.250863813380334</v>
      </c>
      <c r="P246" s="2">
        <f t="shared" si="11"/>
        <v>5267.6152215770426</v>
      </c>
    </row>
    <row r="247" spans="1:16" x14ac:dyDescent="0.25">
      <c r="A247">
        <v>224.1</v>
      </c>
      <c r="B247" s="2">
        <f t="shared" si="9"/>
        <v>181.33506638119917</v>
      </c>
      <c r="C247" s="2" cm="1">
        <f t="array" ref="C247">INDEX( ComputeThermoProps($A247, $B247, ParametersRange), 1, COLUMN()-2 )</f>
        <v>37.101504730382452</v>
      </c>
      <c r="M247" s="2" cm="1">
        <f t="array" ref="M247">INDEX( ComputeThermoProps($A247, $B247, ParametersRange), 1, COLUMN()-2 )</f>
        <v>12157.008445974621</v>
      </c>
      <c r="O247" s="2">
        <f t="shared" si="10"/>
        <v>2.2584817956192991</v>
      </c>
      <c r="P247" s="2">
        <f t="shared" si="11"/>
        <v>5400.6984451517064</v>
      </c>
    </row>
    <row r="248" spans="1:16" x14ac:dyDescent="0.25">
      <c r="A248">
        <v>225.1</v>
      </c>
      <c r="B248" s="2">
        <f t="shared" si="9"/>
        <v>184.49480919366266</v>
      </c>
      <c r="C248" s="2" cm="1">
        <f t="array" ref="C248">INDEX( ComputeThermoProps($A248, $B248, ParametersRange), 1, COLUMN()-2 )</f>
        <v>37.079447341887658</v>
      </c>
      <c r="M248" s="2" cm="1">
        <f t="array" ref="M248">INDEX( ComputeThermoProps($A248, $B248, ParametersRange), 1, COLUMN()-2 )</f>
        <v>12290.241929521346</v>
      </c>
      <c r="O248" s="2">
        <f t="shared" si="10"/>
        <v>2.2659841516860721</v>
      </c>
      <c r="P248" s="2">
        <f t="shared" si="11"/>
        <v>5533.931928698431</v>
      </c>
    </row>
    <row r="249" spans="1:16" x14ac:dyDescent="0.25">
      <c r="A249">
        <v>226.1</v>
      </c>
      <c r="B249" s="2">
        <f t="shared" si="9"/>
        <v>187.66116302212617</v>
      </c>
      <c r="C249" s="2" cm="1">
        <f t="array" ref="C249">INDEX( ComputeThermoProps($A249, $B249, ParametersRange), 1, COLUMN()-2 )</f>
        <v>37.057432809203732</v>
      </c>
      <c r="M249" s="2" cm="1">
        <f t="array" ref="M249">INDEX( ComputeThermoProps($A249, $B249, ParametersRange), 1, COLUMN()-2 )</f>
        <v>12423.623703626139</v>
      </c>
      <c r="O249" s="2">
        <f t="shared" si="10"/>
        <v>2.2733744035197652</v>
      </c>
      <c r="P249" s="2">
        <f t="shared" si="11"/>
        <v>5667.3137028032243</v>
      </c>
    </row>
    <row r="250" spans="1:16" x14ac:dyDescent="0.25">
      <c r="A250">
        <v>227.1</v>
      </c>
      <c r="B250" s="2">
        <f t="shared" si="9"/>
        <v>190.8340702812979</v>
      </c>
      <c r="C250" s="2" cm="1">
        <f t="array" ref="C250">INDEX( ComputeThermoProps($A250, $B250, ParametersRange), 1, COLUMN()-2 )</f>
        <v>37.035461702750872</v>
      </c>
      <c r="M250" s="2" cm="1">
        <f t="array" ref="M250">INDEX( ComputeThermoProps($A250, $B250, ParametersRange), 1, COLUMN()-2 )</f>
        <v>12557.151841990157</v>
      </c>
      <c r="O250" s="2">
        <f t="shared" si="10"/>
        <v>2.280655913419686</v>
      </c>
      <c r="P250" s="2">
        <f t="shared" si="11"/>
        <v>5800.8418411672419</v>
      </c>
    </row>
    <row r="251" spans="1:16" x14ac:dyDescent="0.25">
      <c r="A251">
        <v>228.1</v>
      </c>
      <c r="B251" s="2">
        <f t="shared" si="9"/>
        <v>194.01347461805386</v>
      </c>
      <c r="C251" s="2" cm="1">
        <f t="array" ref="C251">INDEX( ComputeThermoProps($A251, $B251, ParametersRange), 1, COLUMN()-2 )</f>
        <v>37.013534557932886</v>
      </c>
      <c r="M251" s="2" cm="1">
        <f t="array" ref="M251">INDEX( ComputeThermoProps($A251, $B251, ParametersRange), 1, COLUMN()-2 )</f>
        <v>12690.824460002119</v>
      </c>
      <c r="O251" s="2">
        <f t="shared" si="10"/>
        <v>2.2878318935851079</v>
      </c>
      <c r="P251" s="2">
        <f t="shared" si="11"/>
        <v>5934.5144591792041</v>
      </c>
    </row>
    <row r="252" spans="1:16" x14ac:dyDescent="0.25">
      <c r="A252">
        <v>229.1</v>
      </c>
      <c r="B252" s="2">
        <f t="shared" si="9"/>
        <v>197.19932086996371</v>
      </c>
      <c r="C252" s="2" cm="1">
        <f t="array" ref="C252">INDEX( ComputeThermoProps($A252, $B252, ParametersRange), 1, COLUMN()-2 )</f>
        <v>36.991651876779855</v>
      </c>
      <c r="M252" s="2" cm="1">
        <f t="array" ref="M252">INDEX( ComputeThermoProps($A252, $B252, ParametersRange), 1, COLUMN()-2 )</f>
        <v>12824.6397133748</v>
      </c>
      <c r="O252" s="2">
        <f t="shared" si="10"/>
        <v>2.294905414951363</v>
      </c>
      <c r="P252" s="2">
        <f t="shared" si="11"/>
        <v>6068.3297125518848</v>
      </c>
    </row>
    <row r="253" spans="1:16" x14ac:dyDescent="0.25">
      <c r="A253">
        <v>230.1</v>
      </c>
      <c r="B253" s="2">
        <f t="shared" si="9"/>
        <v>200.39155502569133</v>
      </c>
      <c r="C253" s="2" cm="1">
        <f t="array" ref="C253">INDEX( ComputeThermoProps($A253, $B253, ParametersRange), 1, COLUMN()-2 )</f>
        <v>36.969814129508734</v>
      </c>
      <c r="M253" s="2" cm="1">
        <f t="array" ref="M253">INDEX( ComputeThermoProps($A253, $B253, ParametersRange), 1, COLUMN()-2 )</f>
        <v>12958.59579684205</v>
      </c>
      <c r="O253" s="2">
        <f t="shared" si="10"/>
        <v>2.3018794153837221</v>
      </c>
      <c r="P253" s="2">
        <f t="shared" si="11"/>
        <v>6202.285796019135</v>
      </c>
    </row>
    <row r="254" spans="1:16" x14ac:dyDescent="0.25">
      <c r="A254">
        <v>231.1</v>
      </c>
      <c r="B254" s="2">
        <f t="shared" si="9"/>
        <v>203.59012418716597</v>
      </c>
      <c r="C254" s="2" cm="1">
        <f t="array" ref="C254">INDEX( ComputeThermoProps($A254, $B254, ParametersRange), 1, COLUMN()-2 )</f>
        <v>36.948021756006362</v>
      </c>
      <c r="M254" s="2" cm="1">
        <f t="array" ref="M254">INDEX( ComputeThermoProps($A254, $B254, ParametersRange), 1, COLUMN()-2 )</f>
        <v>13092.69094291295</v>
      </c>
      <c r="O254" s="2">
        <f t="shared" si="10"/>
        <v>2.308756707284354</v>
      </c>
      <c r="P254" s="2">
        <f t="shared" si="11"/>
        <v>6336.3809420900352</v>
      </c>
    </row>
    <row r="255" spans="1:16" x14ac:dyDescent="0.25">
      <c r="A255">
        <v>232.1</v>
      </c>
      <c r="B255" s="2">
        <f t="shared" si="9"/>
        <v>206.794976533425</v>
      </c>
      <c r="C255" s="2" cm="1">
        <f t="array" ref="C255">INDEX( ComputeThermoProps($A255, $B255, ParametersRange), 1, COLUMN()-2 )</f>
        <v>36.926275167239304</v>
      </c>
      <c r="M255" s="2" cm="1">
        <f t="array" ref="M255">INDEX( ComputeThermoProps($A255, $B255, ParametersRange), 1, COLUMN()-2 )</f>
        <v>13226.923420679956</v>
      </c>
      <c r="O255" s="2">
        <f t="shared" si="10"/>
        <v>2.3155399846621765</v>
      </c>
      <c r="P255" s="2">
        <f t="shared" si="11"/>
        <v>6470.6134198570408</v>
      </c>
    </row>
    <row r="256" spans="1:16" x14ac:dyDescent="0.25">
      <c r="A256">
        <v>233.1</v>
      </c>
      <c r="B256" s="2">
        <f t="shared" si="9"/>
        <v>210.00606128603846</v>
      </c>
      <c r="C256" s="2" cm="1">
        <f t="array" ref="C256">INDEX( ComputeThermoProps($A256, $B256, ParametersRange), 1, COLUMN()-2 )</f>
        <v>36.904574746594434</v>
      </c>
      <c r="M256" s="2" cm="1">
        <f t="array" ref="M256">INDEX( ComputeThermoProps($A256, $B256, ParametersRange), 1, COLUMN()-2 )</f>
        <v>13361.291534678166</v>
      </c>
      <c r="O256" s="2">
        <f t="shared" si="10"/>
        <v>2.3222318297105424</v>
      </c>
      <c r="P256" s="2">
        <f t="shared" si="11"/>
        <v>6604.9815338552517</v>
      </c>
    </row>
    <row r="257" spans="1:16" x14ac:dyDescent="0.25">
      <c r="A257">
        <v>234.1</v>
      </c>
      <c r="B257" s="2">
        <f t="shared" si="9"/>
        <v>213.22332867602759</v>
      </c>
      <c r="C257" s="2" cm="1">
        <f t="array" ref="C257">INDEX( ComputeThermoProps($A257, $B257, ParametersRange), 1, COLUMN()-2 )</f>
        <v>36.882920851154054</v>
      </c>
      <c r="M257" s="2" cm="1">
        <f t="array" ref="M257">INDEX( ComputeThermoProps($A257, $B257, ParametersRange), 1, COLUMN()-2 )</f>
        <v>13495.793623792808</v>
      </c>
      <c r="O257" s="2">
        <f t="shared" si="10"/>
        <v>2.3288347189333631</v>
      </c>
      <c r="P257" s="2">
        <f t="shared" si="11"/>
        <v>6739.4836229698931</v>
      </c>
    </row>
    <row r="258" spans="1:16" x14ac:dyDescent="0.25">
      <c r="A258">
        <v>235.1</v>
      </c>
      <c r="B258" s="2">
        <f t="shared" si="9"/>
        <v>216.44672991220006</v>
      </c>
      <c r="C258" s="2" cm="1">
        <f t="array" ref="C258">INDEX( ComputeThermoProps($A258, $B258, ParametersRange), 1, COLUMN()-2 )</f>
        <v>36.861313812909138</v>
      </c>
      <c r="M258" s="2" cm="1">
        <f t="array" ref="M258">INDEX( ComputeThermoProps($A258, $B258, ParametersRange), 1, COLUMN()-2 )</f>
        <v>13630.428060212604</v>
      </c>
      <c r="O258" s="2">
        <f t="shared" si="10"/>
        <v>2.3353510288564294</v>
      </c>
      <c r="P258" s="2">
        <f t="shared" si="11"/>
        <v>6874.1180593896888</v>
      </c>
    </row>
    <row r="259" spans="1:16" x14ac:dyDescent="0.25">
      <c r="A259">
        <v>236.1</v>
      </c>
      <c r="B259" s="2">
        <f t="shared" si="9"/>
        <v>219.67621715082353</v>
      </c>
      <c r="C259" s="2" cm="1">
        <f t="array" ref="C259">INDEX( ComputeThermoProps($A259, $B259, ParametersRange), 1, COLUMN()-2 )</f>
        <v>36.839753939913948</v>
      </c>
      <c r="M259" s="2" cm="1">
        <f t="array" ref="M259">INDEX( ComputeThermoProps($A259, $B259, ParametersRange), 1, COLUMN()-2 )</f>
        <v>13765.193248426312</v>
      </c>
      <c r="O259" s="2">
        <f t="shared" si="10"/>
        <v>2.3417830413572269</v>
      </c>
      <c r="P259" s="2">
        <f t="shared" si="11"/>
        <v>7008.8832476033976</v>
      </c>
    </row>
    <row r="260" spans="1:16" x14ac:dyDescent="0.25">
      <c r="A260">
        <v>237.1</v>
      </c>
      <c r="B260" s="2">
        <f t="shared" si="9"/>
        <v>222.91174346657021</v>
      </c>
      <c r="C260" s="2" cm="1">
        <f t="array" ref="C260">INDEX( ComputeThermoProps($A260, $B260, ParametersRange), 1, COLUMN()-2 )</f>
        <v>36.818241517385225</v>
      </c>
      <c r="M260" s="2" cm="1">
        <f t="array" ref="M260">INDEX( ComputeThermoProps($A260, $B260, ParametersRange), 1, COLUMN()-2 )</f>
        <v>13900.08762426049</v>
      </c>
      <c r="O260" s="2">
        <f t="shared" si="10"/>
        <v>2.3481329486434714</v>
      </c>
      <c r="P260" s="2">
        <f t="shared" si="11"/>
        <v>7143.7776234375751</v>
      </c>
    </row>
    <row r="261" spans="1:16" x14ac:dyDescent="0.25">
      <c r="A261">
        <v>238.1</v>
      </c>
      <c r="B261" s="2">
        <f t="shared" si="9"/>
        <v>226.1532628246641</v>
      </c>
      <c r="C261" s="2" cm="1">
        <f t="array" ref="C261">INDEX( ComputeThermoProps($A261, $B261, ParametersRange), 1, COLUMN()-2 )</f>
        <v>36.796776808748888</v>
      </c>
      <c r="M261" s="2" cm="1">
        <f t="array" ref="M261">INDEX( ComputeThermoProps($A261, $B261, ParametersRange), 1, COLUMN()-2 )</f>
        <v>14035.109653956128</v>
      </c>
      <c r="O261" s="2">
        <f t="shared" si="10"/>
        <v>2.3544028579078269</v>
      </c>
      <c r="P261" s="2">
        <f t="shared" si="11"/>
        <v>7278.7996531332128</v>
      </c>
    </row>
    <row r="262" spans="1:16" x14ac:dyDescent="0.25">
      <c r="A262">
        <v>239.1</v>
      </c>
      <c r="B262" s="2">
        <f t="shared" si="9"/>
        <v>229.40073005416917</v>
      </c>
      <c r="C262" s="2" cm="1">
        <f t="array" ref="C262">INDEX( ComputeThermoProps($A262, $B262, ParametersRange), 1, COLUMN()-2 )</f>
        <v>36.775360056636941</v>
      </c>
      <c r="M262" s="2" cm="1">
        <f t="array" ref="M262">INDEX( ComputeThermoProps($A262, $B262, ParametersRange), 1, COLUMN()-2 )</f>
        <v>14170.257833282234</v>
      </c>
      <c r="O262" s="2">
        <f t="shared" si="10"/>
        <v>2.3605947956837872</v>
      </c>
      <c r="P262" s="2">
        <f t="shared" si="11"/>
        <v>7413.9478324593192</v>
      </c>
    </row>
    <row r="263" spans="1:16" x14ac:dyDescent="0.25">
      <c r="A263">
        <v>240.1</v>
      </c>
      <c r="B263" s="2">
        <f t="shared" si="9"/>
        <v>232.65410082236204</v>
      </c>
      <c r="C263" s="2" cm="1">
        <f t="array" ref="C263">INDEX( ComputeThermoProps($A263, $B263, ParametersRange), 1, COLUMN()-2 )</f>
        <v>36.753991483837268</v>
      </c>
      <c r="M263" s="2" cm="1">
        <f t="array" ref="M263">INDEX( ComputeThermoProps($A263, $B263, ParametersRange), 1, COLUMN()-2 )</f>
        <v>14305.530686684584</v>
      </c>
      <c r="O263" s="2">
        <f t="shared" si="10"/>
        <v>2.3667107119254958</v>
      </c>
      <c r="P263" s="2">
        <f t="shared" si="11"/>
        <v>7549.2206858616692</v>
      </c>
    </row>
    <row r="264" spans="1:16" x14ac:dyDescent="0.25">
      <c r="A264">
        <v>241.1</v>
      </c>
      <c r="B264" s="2">
        <f t="shared" si="9"/>
        <v>235.91333161013213</v>
      </c>
      <c r="C264" s="2" cm="1">
        <f t="array" ref="C264">INDEX( ComputeThermoProps($A264, $B264, ParametersRange), 1, COLUMN()-2 )</f>
        <v>36.732671294198795</v>
      </c>
      <c r="M264" s="2" cm="1">
        <f t="array" ref="M264">INDEX( ComputeThermoProps($A264, $B264, ParametersRange), 1, COLUMN()-2 )</f>
        <v>14440.926766467766</v>
      </c>
      <c r="O264" s="2">
        <f t="shared" si="10"/>
        <v>2.3727524838322607</v>
      </c>
      <c r="P264" s="2">
        <f t="shared" si="11"/>
        <v>7684.6167656448515</v>
      </c>
    </row>
    <row r="265" spans="1:16" x14ac:dyDescent="0.25">
      <c r="A265">
        <v>242.1</v>
      </c>
      <c r="B265" s="2">
        <f t="shared" si="9"/>
        <v>239.17837968835906</v>
      </c>
      <c r="C265" s="2" cm="1">
        <f t="array" ref="C265">INDEX( ComputeThermoProps($A265, $B265, ParametersRange), 1, COLUMN()-2 )</f>
        <v>36.711399673494199</v>
      </c>
      <c r="M265" s="2" cm="1">
        <f t="array" ref="M265">INDEX( ComputeThermoProps($A265, $B265, ParametersRange), 1, COLUMN()-2 )</f>
        <v>14576.444652008891</v>
      </c>
      <c r="O265" s="2">
        <f t="shared" si="10"/>
        <v>2.3787219194367273</v>
      </c>
      <c r="P265" s="2">
        <f t="shared" si="11"/>
        <v>7820.1346511859765</v>
      </c>
    </row>
    <row r="266" spans="1:16" x14ac:dyDescent="0.25">
      <c r="A266">
        <v>243.1</v>
      </c>
      <c r="B266" s="2">
        <f t="shared" si="9"/>
        <v>242.44920309521908</v>
      </c>
      <c r="C266" s="2" cm="1">
        <f t="array" ref="C266">INDEX( ComputeThermoProps($A266, $B266, ParametersRange), 1, COLUMN()-2 )</f>
        <v>36.690176790242454</v>
      </c>
      <c r="M266" s="2" cm="1">
        <f t="array" ref="M266">INDEX( ComputeThermoProps($A266, $B266, ParametersRange), 1, COLUMN()-2 )</f>
        <v>14712.082949001513</v>
      </c>
      <c r="O266" s="2">
        <f t="shared" si="10"/>
        <v>2.3846207609740522</v>
      </c>
      <c r="P266" s="2">
        <f t="shared" si="11"/>
        <v>7955.7729481785982</v>
      </c>
    </row>
    <row r="267" spans="1:16" x14ac:dyDescent="0.25">
      <c r="A267">
        <v>244.1</v>
      </c>
      <c r="B267" s="2">
        <f t="shared" si="9"/>
        <v>245.72576061437363</v>
      </c>
      <c r="C267" s="2" cm="1">
        <f t="array" ref="C267">INDEX( ComputeThermoProps($A267, $B267, ParametersRange), 1, COLUMN()-2 )</f>
        <v>36.669002796493324</v>
      </c>
      <c r="M267" s="2" cm="1">
        <f t="array" ref="M267">INDEX( ComputeThermoProps($A267, $B267, ParametersRange), 1, COLUMN()-2 )</f>
        <v>14847.84028872817</v>
      </c>
      <c r="O267" s="2">
        <f t="shared" si="10"/>
        <v>2.3904506880479381</v>
      </c>
      <c r="P267" s="2">
        <f t="shared" si="11"/>
        <v>8091.5302879052551</v>
      </c>
    </row>
    <row r="268" spans="1:16" x14ac:dyDescent="0.25">
      <c r="A268">
        <v>245.1</v>
      </c>
      <c r="B268" s="2">
        <f t="shared" si="9"/>
        <v>249.00801175399883</v>
      </c>
      <c r="C268" s="2" cm="1">
        <f t="array" ref="C268">INDEX( ComputeThermoProps($A268, $B268, ParametersRange), 1, COLUMN()-2 )</f>
        <v>36.647877828575503</v>
      </c>
      <c r="M268" s="2" cm="1">
        <f t="array" ref="M268">INDEX( ComputeThermoProps($A268, $B268, ParametersRange), 1, COLUMN()-2 )</f>
        <v>14983.715327360218</v>
      </c>
      <c r="O268" s="2">
        <f t="shared" si="10"/>
        <v>2.3962133206080907</v>
      </c>
      <c r="P268" s="2">
        <f t="shared" si="11"/>
        <v>8227.4053265373041</v>
      </c>
    </row>
    <row r="269" spans="1:16" x14ac:dyDescent="0.25">
      <c r="A269">
        <v>246.1</v>
      </c>
      <c r="B269" s="2">
        <f t="shared" si="9"/>
        <v>252.29591672661431</v>
      </c>
      <c r="C269" s="2" cm="1">
        <f t="array" ref="C269">INDEX( ComputeThermoProps($A269, $B269, ParametersRange), 1, COLUMN()-2 )</f>
        <v>36.626802007810539</v>
      </c>
      <c r="M269" s="2" cm="1">
        <f t="array" ref="M269">INDEX( ComputeThermoProps($A269, $B269, ParametersRange), 1, COLUMN()-2 )</f>
        <v>15119.706745212348</v>
      </c>
      <c r="O269" s="2">
        <f t="shared" si="10"/>
        <v>2.4019102217524151</v>
      </c>
      <c r="P269" s="2">
        <f t="shared" si="11"/>
        <v>8363.3967443894326</v>
      </c>
    </row>
    <row r="270" spans="1:16" x14ac:dyDescent="0.25">
      <c r="A270">
        <v>247.1</v>
      </c>
      <c r="B270" s="2">
        <f t="shared" si="9"/>
        <v>255.58943642967364</v>
      </c>
      <c r="C270" s="2" cm="1">
        <f t="array" ref="C270">INDEX( ComputeThermoProps($A270, $B270, ParametersRange), 1, COLUMN()-2 )</f>
        <v>36.605775441193991</v>
      </c>
      <c r="M270" s="2" cm="1">
        <f t="array" ref="M270">INDEX( ComputeThermoProps($A270, $B270, ParametersRange), 1, COLUMN()-2 )</f>
        <v>15255.813246385474</v>
      </c>
      <c r="O270" s="2">
        <f t="shared" si="10"/>
        <v>2.4075429003662294</v>
      </c>
      <c r="P270" s="2">
        <f t="shared" si="11"/>
        <v>8499.5032455625587</v>
      </c>
    </row>
    <row r="271" spans="1:16" x14ac:dyDescent="0.25">
      <c r="A271">
        <v>248.1</v>
      </c>
      <c r="B271" s="2">
        <f t="shared" si="9"/>
        <v>258.88853242688032</v>
      </c>
      <c r="C271" s="2" cm="1">
        <f t="array" ref="C271">INDEX( ComputeThermoProps($A271, $B271, ParametersRange), 1, COLUMN()-2 )</f>
        <v>36.584798222045691</v>
      </c>
      <c r="M271" s="2" cm="1">
        <f t="array" ref="M271">INDEX( ComputeThermoProps($A271, $B271, ParametersRange), 1, COLUMN()-2 )</f>
        <v>15392.033557691699</v>
      </c>
      <c r="O271" s="2">
        <f t="shared" si="10"/>
        <v>2.4131128136097373</v>
      </c>
      <c r="P271" s="2">
        <f t="shared" si="11"/>
        <v>8635.7235568687829</v>
      </c>
    </row>
    <row r="272" spans="1:16" x14ac:dyDescent="0.25">
      <c r="A272">
        <v>249.1</v>
      </c>
      <c r="B272" s="2">
        <f t="shared" si="9"/>
        <v>262.19316693019533</v>
      </c>
      <c r="C272" s="2" cm="1">
        <f t="array" ref="C272">INDEX( ComputeThermoProps($A272, $B272, ParametersRange), 1, COLUMN()-2 )</f>
        <v>36.563870430630409</v>
      </c>
      <c r="M272" s="2" cm="1">
        <f t="array" ref="M272">INDEX( ComputeThermoProps($A272, $B272, ParametersRange), 1, COLUMN()-2 )</f>
        <v>15528.366428358406</v>
      </c>
      <c r="O272" s="2">
        <f t="shared" si="10"/>
        <v>2.4186213692641361</v>
      </c>
      <c r="P272" s="2">
        <f t="shared" si="11"/>
        <v>8772.0564275354918</v>
      </c>
    </row>
    <row r="273" spans="1:16" x14ac:dyDescent="0.25">
      <c r="A273">
        <v>250.1</v>
      </c>
      <c r="B273" s="2">
        <f t="shared" si="9"/>
        <v>265.50330278250459</v>
      </c>
      <c r="C273" s="2" cm="1">
        <f t="array" ref="C273">INDEX( ComputeThermoProps($A273, $B273, ParametersRange), 1, COLUMN()-2 )</f>
        <v>36.542992134750591</v>
      </c>
      <c r="M273" s="2" cm="1">
        <f t="array" ref="M273">INDEX( ComputeThermoProps($A273, $B273, ParametersRange), 1, COLUMN()-2 )</f>
        <v>15664.810629367648</v>
      </c>
      <c r="O273" s="2">
        <f t="shared" si="10"/>
        <v>2.4240699279459061</v>
      </c>
      <c r="P273" s="2">
        <f t="shared" si="11"/>
        <v>8908.5006285447344</v>
      </c>
    </row>
    <row r="274" spans="1:16" x14ac:dyDescent="0.25">
      <c r="A274">
        <v>251.1</v>
      </c>
      <c r="B274" s="2">
        <f t="shared" si="9"/>
        <v>268.81890344091494</v>
      </c>
      <c r="C274" s="2" cm="1">
        <f t="array" ref="C274">INDEX( ComputeThermoProps($A274, $B274, ParametersRange), 1, COLUMN()-2 )</f>
        <v>36.522163390312421</v>
      </c>
      <c r="M274" s="2" cm="1">
        <f t="array" ref="M274">INDEX( ComputeThermoProps($A274, $B274, ParametersRange), 1, COLUMN()-2 )</f>
        <v>15801.364952894968</v>
      </c>
      <c r="O274" s="2">
        <f t="shared" si="10"/>
        <v>2.4294598051980767</v>
      </c>
      <c r="P274" s="2">
        <f t="shared" si="11"/>
        <v>9045.0549520720524</v>
      </c>
    </row>
    <row r="275" spans="1:16" x14ac:dyDescent="0.25">
      <c r="A275">
        <v>252.1</v>
      </c>
      <c r="B275" s="2">
        <f t="shared" si="9"/>
        <v>272.13993296065161</v>
      </c>
      <c r="C275" s="2" cm="1">
        <f t="array" ref="C275">INDEX( ComputeThermoProps($A275, $B275, ParametersRange), 1, COLUMN()-2 )</f>
        <v>36.501384241866532</v>
      </c>
      <c r="M275" s="2" cm="1">
        <f t="array" ref="M275">INDEX( ComputeThermoProps($A275, $B275, ParametersRange), 1, COLUMN()-2 )</f>
        <v>15938.028211767845</v>
      </c>
      <c r="O275" s="2">
        <f t="shared" si="10"/>
        <v>2.4347922734666034</v>
      </c>
      <c r="P275" s="2">
        <f t="shared" si="11"/>
        <v>9181.7182109449313</v>
      </c>
    </row>
    <row r="276" spans="1:16" x14ac:dyDescent="0.25">
      <c r="A276">
        <v>253.1</v>
      </c>
      <c r="B276" s="2">
        <f t="shared" si="9"/>
        <v>275.46635597952934</v>
      </c>
      <c r="C276" s="2" cm="1">
        <f t="array" ref="C276">INDEX( ComputeThermoProps($A276, $B276, ParametersRange), 1, COLUMN()-2 )</f>
        <v>36.480654723124616</v>
      </c>
      <c r="M276" s="2" cm="1">
        <f t="array" ref="M276">INDEX( ComputeThermoProps($A276, $B276, ParametersRange), 1, COLUMN()-2 )</f>
        <v>16074.799238942924</v>
      </c>
      <c r="O276" s="2">
        <f t="shared" si="10"/>
        <v>2.4400685639693505</v>
      </c>
      <c r="P276" s="2">
        <f t="shared" si="11"/>
        <v>9318.4892381200079</v>
      </c>
    </row>
    <row r="277" spans="1:16" x14ac:dyDescent="0.25">
      <c r="A277">
        <v>254.1</v>
      </c>
      <c r="B277" s="2">
        <f t="shared" si="9"/>
        <v>278.79813770297039</v>
      </c>
      <c r="C277" s="2" cm="1">
        <f t="array" ref="C277">INDEX( ComputeThermoProps($A277, $B277, ParametersRange), 1, COLUMN()-2 )</f>
        <v>36.459974857453112</v>
      </c>
      <c r="M277" s="2" cm="1">
        <f t="array" ref="M277">INDEX( ComputeThermoProps($A277, $B277, ParametersRange), 1, COLUMN()-2 )</f>
        <v>16211.676887001078</v>
      </c>
      <c r="O277" s="2">
        <f t="shared" si="10"/>
        <v>2.44528986846462</v>
      </c>
      <c r="P277" s="2">
        <f t="shared" si="11"/>
        <v>9455.3668861781625</v>
      </c>
    </row>
    <row r="278" spans="1:16" x14ac:dyDescent="0.25">
      <c r="A278">
        <v>255.1</v>
      </c>
      <c r="B278" s="2">
        <f t="shared" si="9"/>
        <v>282.1352438895471</v>
      </c>
      <c r="C278" s="2" cm="1">
        <f t="array" ref="C278">INDEX( ComputeThermoProps($A278, $B278, ParametersRange), 1, COLUMN()-2 )</f>
        <v>36.439344658344979</v>
      </c>
      <c r="M278" s="2" cm="1">
        <f t="array" ref="M278">INDEX( ComputeThermoProps($A278, $B278, ParametersRange), 1, COLUMN()-2 )</f>
        <v>16348.660027659684</v>
      </c>
      <c r="O278" s="2">
        <f t="shared" si="10"/>
        <v>2.4504573409256478</v>
      </c>
      <c r="P278" s="2">
        <f t="shared" si="11"/>
        <v>9592.3500268367679</v>
      </c>
    </row>
    <row r="279" spans="1:16" x14ac:dyDescent="0.25">
      <c r="A279">
        <v>256.10000000000002</v>
      </c>
      <c r="B279" s="2">
        <f t="shared" si="9"/>
        <v>285.47764083702543</v>
      </c>
      <c r="C279" s="2" cm="1">
        <f t="array" ref="C279">INDEX( ComputeThermoProps($A279, $B279, ParametersRange), 1, COLUMN()-2 )</f>
        <v>36.418764129870745</v>
      </c>
      <c r="M279" s="2" cm="1">
        <f t="array" ref="M279">INDEX( ComputeThermoProps($A279, $B279, ParametersRange), 1, COLUMN()-2 )</f>
        <v>16485.747551301294</v>
      </c>
      <c r="O279" s="2">
        <f t="shared" si="10"/>
        <v>2.4555720991270125</v>
      </c>
      <c r="P279" s="2">
        <f t="shared" si="11"/>
        <v>9729.4375504783784</v>
      </c>
    </row>
    <row r="280" spans="1:16" x14ac:dyDescent="0.25">
      <c r="A280">
        <v>257.10000000000002</v>
      </c>
      <c r="B280" s="2">
        <f t="shared" ref="B280:B343" si="12">IF(
  A280 &lt;= $B$5,
  $B$6 * EXP( ($B$5/A280) * ( $B$13*(1 - A280/$B$5) + $B$14*(1 - A280/$B$5)^1.5 + $B$15*(1 - A280/$B$5)^5 ) ),
  $B$6 * ( 1 + $B$17 * MAX(A280/$B$5 - 1, 0)^$B$18 + $B$19 * MAX(A280/$B$5 - 1, 0)^$B$20 )
)</f>
        <v>288.82529536888643</v>
      </c>
      <c r="C280" s="2" cm="1">
        <f t="array" ref="C280">INDEX( ComputeThermoProps($A280, $B280, ParametersRange), 1, COLUMN()-2 )</f>
        <v>36.398233267109724</v>
      </c>
      <c r="M280" s="2" cm="1">
        <f t="array" ref="M280">INDEX( ComputeThermoProps($A280, $B280, ParametersRange), 1, COLUMN()-2 )</f>
        <v>16622.938366517978</v>
      </c>
      <c r="O280" s="2">
        <f t="shared" ref="O280:O343" si="13">LOG10(B280)</f>
        <v>2.4606352261484634</v>
      </c>
      <c r="P280" s="2">
        <f t="shared" ref="P280:P343" si="14">M280-$B$11</f>
        <v>9866.6283656950618</v>
      </c>
    </row>
    <row r="281" spans="1:16" x14ac:dyDescent="0.25">
      <c r="A281">
        <v>258.10000000000002</v>
      </c>
      <c r="B281" s="2">
        <f t="shared" si="12"/>
        <v>292.17817482130738</v>
      </c>
      <c r="C281" s="2" cm="1">
        <f t="array" ref="C281">INDEX( ComputeThermoProps($A281, $B281, ParametersRange), 1, COLUMN()-2 )</f>
        <v>36.377752056562315</v>
      </c>
      <c r="M281" s="2" cm="1">
        <f t="array" ref="M281">INDEX( ComputeThermoProps($A281, $B281, ParametersRange), 1, COLUMN()-2 )</f>
        <v>16760.231399670738</v>
      </c>
      <c r="O281" s="2">
        <f t="shared" si="13"/>
        <v>2.4656477718012919</v>
      </c>
      <c r="P281" s="2">
        <f t="shared" si="14"/>
        <v>10003.921398847822</v>
      </c>
    </row>
    <row r="282" spans="1:16" x14ac:dyDescent="0.25">
      <c r="A282">
        <v>259.10000000000002</v>
      </c>
      <c r="B282" s="2">
        <f t="shared" si="12"/>
        <v>295.53624703058011</v>
      </c>
      <c r="C282" s="2" cm="1">
        <f t="array" ref="C282">INDEX( ComputeThermoProps($A282, $B282, ParametersRange), 1, COLUMN()-2 )</f>
        <v>36.357320476544373</v>
      </c>
      <c r="M282" s="2" cm="1">
        <f t="array" ref="M282">INDEX( ComputeThermoProps($A282, $B282, ParametersRange), 1, COLUMN()-2 )</f>
        <v>16897.625594463309</v>
      </c>
      <c r="O282" s="2">
        <f t="shared" si="13"/>
        <v>2.4706107539819739</v>
      </c>
      <c r="P282" s="2">
        <f t="shared" si="14"/>
        <v>10141.315593640393</v>
      </c>
    </row>
    <row r="283" spans="1:16" x14ac:dyDescent="0.25">
      <c r="A283">
        <v>260.10000000000002</v>
      </c>
      <c r="B283" s="2">
        <f t="shared" si="12"/>
        <v>298.899480320951</v>
      </c>
      <c r="C283" s="2" cm="1">
        <f t="array" ref="C283">INDEX( ComputeThermoProps($A283, $B283, ParametersRange), 1, COLUMN()-2 )</f>
        <v>36.336938497564439</v>
      </c>
      <c r="M283" s="2" cm="1">
        <f t="array" ref="M283">INDEX( ComputeThermoProps($A283, $B283, ParametersRange), 1, COLUMN()-2 )</f>
        <v>17035.119911529793</v>
      </c>
      <c r="O283" s="2">
        <f t="shared" si="13"/>
        <v>2.4755251599575159</v>
      </c>
      <c r="P283" s="2">
        <f t="shared" si="14"/>
        <v>10278.809910706877</v>
      </c>
    </row>
    <row r="284" spans="1:16" x14ac:dyDescent="0.25">
      <c r="A284">
        <v>261.10000000000002</v>
      </c>
      <c r="B284" s="2">
        <f t="shared" si="12"/>
        <v>302.26784349286237</v>
      </c>
      <c r="C284" s="2" cm="1">
        <f t="array" ref="C284">INDEX( ComputeThermoProps($A284, $B284, ParametersRange), 1, COLUMN()-2 )</f>
        <v>36.31660608268453</v>
      </c>
      <c r="M284" s="2" cm="1">
        <f t="array" ref="M284">INDEX( ComputeThermoProps($A284, $B284, ParametersRange), 1, COLUMN()-2 )</f>
        <v>17172.713328035494</v>
      </c>
      <c r="O284" s="2">
        <f t="shared" si="13"/>
        <v>2.4803919475865861</v>
      </c>
      <c r="P284" s="2">
        <f t="shared" si="14"/>
        <v>10416.403327212578</v>
      </c>
    </row>
    <row r="285" spans="1:16" x14ac:dyDescent="0.25">
      <c r="A285">
        <v>262.10000000000002</v>
      </c>
      <c r="B285" s="2">
        <f t="shared" si="12"/>
        <v>305.64130581158065</v>
      </c>
      <c r="C285" s="2" cm="1">
        <f t="array" ref="C285">INDEX( ComputeThermoProps($A285, $B285, ParametersRange), 1, COLUMN()-2 )</f>
        <v>36.29632318786549</v>
      </c>
      <c r="M285" s="2" cm="1">
        <f t="array" ref="M285">INDEX( ComputeThermoProps($A285, $B285, ParametersRange), 1, COLUMN()-2 )</f>
        <v>17310.404837290531</v>
      </c>
      <c r="O285" s="2">
        <f t="shared" si="13"/>
        <v>2.4852120464802638</v>
      </c>
      <c r="P285" s="2">
        <f t="shared" si="14"/>
        <v>10554.094836467615</v>
      </c>
    </row>
    <row r="286" spans="1:16" x14ac:dyDescent="0.25">
      <c r="A286">
        <v>263.10000000000002</v>
      </c>
      <c r="B286" s="2">
        <f t="shared" si="12"/>
        <v>309.01983699619336</v>
      </c>
      <c r="C286" s="2" cm="1">
        <f t="array" ref="C286">INDEX( ComputeThermoProps($A286, $B286, ParametersRange), 1, COLUMN()-2 )</f>
        <v>36.276089762297381</v>
      </c>
      <c r="M286" s="2" cm="1">
        <f t="array" ref="M286">INDEX( ComputeThermoProps($A286, $B286, ParametersRange), 1, COLUMN()-2 )</f>
        <v>17448.193448375558</v>
      </c>
      <c r="O286" s="2">
        <f t="shared" si="13"/>
        <v>2.4899863591059437</v>
      </c>
      <c r="P286" s="2">
        <f t="shared" si="14"/>
        <v>10691.883447552642</v>
      </c>
    </row>
    <row r="287" spans="1:16" x14ac:dyDescent="0.25">
      <c r="A287">
        <v>264.10000000000002</v>
      </c>
      <c r="B287" s="2">
        <f t="shared" si="12"/>
        <v>312.40340720896131</v>
      </c>
      <c r="C287" s="2" cm="1">
        <f t="array" ref="C287">INDEX( ComputeThermoProps($A287, $B287, ParametersRange), 1, COLUMN()-2 )</f>
        <v>36.255905748715698</v>
      </c>
      <c r="M287" s="2" cm="1">
        <f t="array" ref="M287">INDEX( ComputeThermoProps($A287, $B287, ParametersRange), 1, COLUMN()-2 )</f>
        <v>17586.078185779235</v>
      </c>
      <c r="O287" s="2">
        <f t="shared" si="13"/>
        <v>2.4947157618377251</v>
      </c>
      <c r="P287" s="2">
        <f t="shared" si="14"/>
        <v>10829.76818495632</v>
      </c>
    </row>
    <row r="288" spans="1:16" x14ac:dyDescent="0.25">
      <c r="A288">
        <v>265.10000000000002</v>
      </c>
      <c r="B288" s="2">
        <f t="shared" si="12"/>
        <v>315.79198704501152</v>
      </c>
      <c r="C288" s="2" cm="1">
        <f t="array" ref="C288">INDEX( ComputeThermoProps($A288, $B288, ParametersRange), 1, COLUMN()-2 )</f>
        <v>36.235771083704066</v>
      </c>
      <c r="M288" s="2" cm="1">
        <f t="array" ref="M288">INDEX( ComputeThermoProps($A288, $B288, ParametersRange), 1, COLUMN()-2 )</f>
        <v>17724.058089046925</v>
      </c>
      <c r="O288" s="2">
        <f t="shared" si="13"/>
        <v>2.4994011059563612</v>
      </c>
      <c r="P288" s="2">
        <f t="shared" si="14"/>
        <v>10967.748088224009</v>
      </c>
    </row>
    <row r="289" spans="1:16" x14ac:dyDescent="0.25">
      <c r="A289">
        <v>266.10000000000002</v>
      </c>
      <c r="B289" s="2">
        <f t="shared" si="12"/>
        <v>319.18554752235644</v>
      </c>
      <c r="C289" s="2" cm="1">
        <f t="array" ref="C289">INDEX( ComputeThermoProps($A289, $B289, ParametersRange), 1, COLUMN()-2 )</f>
        <v>36.215685697984057</v>
      </c>
      <c r="M289" s="2" cm="1">
        <f t="array" ref="M289">INDEX( ComputeThermoProps($A289, $B289, ParametersRange), 1, COLUMN()-2 )</f>
        <v>17862.132212440192</v>
      </c>
      <c r="O289" s="2">
        <f t="shared" si="13"/>
        <v>2.5040432186016592</v>
      </c>
      <c r="P289" s="2">
        <f t="shared" si="14"/>
        <v>11105.822211617276</v>
      </c>
    </row>
    <row r="290" spans="1:16" x14ac:dyDescent="0.25">
      <c r="A290">
        <v>267.10000000000002</v>
      </c>
      <c r="B290" s="2">
        <f t="shared" si="12"/>
        <v>322.58406007222669</v>
      </c>
      <c r="C290" s="2" cm="1">
        <f t="array" ref="C290">INDEX( ComputeThermoProps($A290, $B290, ParametersRange), 1, COLUMN()-2 )</f>
        <v>36.195649516692562</v>
      </c>
      <c r="M290" s="2" cm="1">
        <f t="array" ref="M290">INDEX( ComputeThermoProps($A290, $B290, ParametersRange), 1, COLUMN()-2 )</f>
        <v>18000.299624606661</v>
      </c>
      <c r="O290" s="2">
        <f t="shared" si="13"/>
        <v>2.5086429036800175</v>
      </c>
      <c r="P290" s="2">
        <f t="shared" si="14"/>
        <v>11243.989623783746</v>
      </c>
    </row>
    <row r="291" spans="1:16" x14ac:dyDescent="0.25">
      <c r="A291">
        <v>268.10000000000002</v>
      </c>
      <c r="B291" s="2">
        <f t="shared" si="12"/>
        <v>325.98749652970497</v>
      </c>
      <c r="C291" s="2" cm="1">
        <f t="array" ref="C291">INDEX( ComputeThermoProps($A291, $B291, ParametersRange), 1, COLUMN()-2 )</f>
        <v>36.175662459647562</v>
      </c>
      <c r="M291" s="2" cm="1">
        <f t="array" ref="M291">INDEX( ComputeThermoProps($A291, $B291, ParametersRange), 1, COLUMN()-2 )</f>
        <v>18138.559408259862</v>
      </c>
      <c r="O291" s="2">
        <f t="shared" si="13"/>
        <v>2.5132009427296209</v>
      </c>
      <c r="P291" s="2">
        <f t="shared" si="14"/>
        <v>11382.249407436946</v>
      </c>
    </row>
    <row r="292" spans="1:16" x14ac:dyDescent="0.25">
      <c r="A292">
        <v>269.10000000000002</v>
      </c>
      <c r="B292" s="2">
        <f t="shared" si="12"/>
        <v>329.39582912464977</v>
      </c>
      <c r="C292" s="2" cm="1">
        <f t="array" ref="C292">INDEX( ComputeThermoProps($A292, $B292, ParametersRange), 1, COLUMN()-2 )</f>
        <v>36.155724441602473</v>
      </c>
      <c r="M292" s="2" cm="1">
        <f t="array" ref="M292">INDEX( ComputeThermoProps($A292, $B292, ParametersRange), 1, COLUMN()-2 )</f>
        <v>18276.91065986867</v>
      </c>
      <c r="O292" s="2">
        <f t="shared" si="13"/>
        <v>2.5177180957456442</v>
      </c>
      <c r="P292" s="2">
        <f t="shared" si="14"/>
        <v>11520.600659045755</v>
      </c>
    </row>
    <row r="293" spans="1:16" x14ac:dyDescent="0.25">
      <c r="A293">
        <v>270.10000000000002</v>
      </c>
      <c r="B293" s="2">
        <f t="shared" si="12"/>
        <v>332.80903047289706</v>
      </c>
      <c r="C293" s="2" cm="1">
        <f t="array" ref="C293">INDEX( ComputeThermoProps($A293, $B293, ParametersRange), 1, COLUMN()-2 )</f>
        <v>36.135835372489858</v>
      </c>
      <c r="M293" s="2" cm="1">
        <f t="array" ref="M293">INDEX( ComputeThermoProps($A293, $B293, ParametersRange), 1, COLUMN()-2 )</f>
        <v>18415.352489355944</v>
      </c>
      <c r="O293" s="2">
        <f t="shared" si="13"/>
        <v>2.5221951019676627</v>
      </c>
      <c r="P293" s="2">
        <f t="shared" si="14"/>
        <v>11659.042488533029</v>
      </c>
    </row>
    <row r="294" spans="1:16" x14ac:dyDescent="0.25">
      <c r="A294">
        <v>271.10000000000002</v>
      </c>
      <c r="B294" s="2">
        <f t="shared" si="12"/>
        <v>336.22707356772895</v>
      </c>
      <c r="C294" s="2" cm="1">
        <f t="array" ref="C294">INDEX( ComputeThermoProps($A294, $B294, ParametersRange), 1, COLUMN()-2 )</f>
        <v>36.115995157654872</v>
      </c>
      <c r="M294" s="2" cm="1">
        <f t="array" ref="M294">INDEX( ComputeThermoProps($A294, $B294, ParametersRange), 1, COLUMN()-2 )</f>
        <v>18553.884019806093</v>
      </c>
      <c r="O294" s="2">
        <f t="shared" si="13"/>
        <v>2.5266326806313359</v>
      </c>
      <c r="P294" s="2">
        <f t="shared" si="14"/>
        <v>11797.574018983178</v>
      </c>
    </row>
    <row r="295" spans="1:16" x14ac:dyDescent="0.25">
      <c r="A295">
        <v>272.10000000000002</v>
      </c>
      <c r="B295" s="2">
        <f t="shared" si="12"/>
        <v>339.64993177160051</v>
      </c>
      <c r="C295" s="2" cm="1">
        <f t="array" ref="C295">INDEX( ComputeThermoProps($A295, $B295, ParametersRange), 1, COLUMN()-2 )</f>
        <v>36.096203698078817</v>
      </c>
      <c r="M295" s="2" cm="1">
        <f t="array" ref="M295">INDEX( ComputeThermoProps($A295, $B295, ParametersRange), 1, COLUMN()-2 )</f>
        <v>18692.504387181139</v>
      </c>
      <c r="O295" s="2">
        <f t="shared" si="13"/>
        <v>2.531031531686291</v>
      </c>
      <c r="P295" s="2">
        <f t="shared" si="14"/>
        <v>11936.194386358224</v>
      </c>
    </row>
    <row r="296" spans="1:16" x14ac:dyDescent="0.25">
      <c r="A296">
        <v>273.10000000000002</v>
      </c>
      <c r="B296" s="2">
        <f t="shared" si="12"/>
        <v>343.07757880811278</v>
      </c>
      <c r="C296" s="2" cm="1">
        <f t="array" ref="C296">INDEX( ComputeThermoProps($A296, $B296, ParametersRange), 1, COLUMN()-2 )</f>
        <v>36.076460890593417</v>
      </c>
      <c r="M296" s="2" cm="1">
        <f t="array" ref="M296">INDEX( ComputeThermoProps($A296, $B296, ParametersRange), 1, COLUMN()-2 )</f>
        <v>18831.212740045052</v>
      </c>
      <c r="O296" s="2">
        <f t="shared" si="13"/>
        <v>2.5353923364820194</v>
      </c>
      <c r="P296" s="2">
        <f t="shared" si="14"/>
        <v>12074.902739222136</v>
      </c>
    </row>
    <row r="297" spans="1:16" x14ac:dyDescent="0.25">
      <c r="A297">
        <v>274.10000000000002</v>
      </c>
      <c r="B297" s="2">
        <f t="shared" si="12"/>
        <v>346.50998875422448</v>
      </c>
      <c r="C297" s="2" cm="1">
        <f t="array" ref="C297">INDEX( ComputeThermoProps($A297, $B297, ParametersRange), 1, COLUMN()-2 )</f>
        <v>36.056766628086088</v>
      </c>
      <c r="M297" s="2" cm="1">
        <f t="array" ref="M297">INDEX( ComputeThermoProps($A297, $B297, ParametersRange), 1, COLUMN()-2 )</f>
        <v>18970.008239295978</v>
      </c>
      <c r="O297" s="2">
        <f t="shared" si="13"/>
        <v>2.5397157584234793</v>
      </c>
      <c r="P297" s="2">
        <f t="shared" si="14"/>
        <v>12213.698238473062</v>
      </c>
    </row>
    <row r="298" spans="1:16" x14ac:dyDescent="0.25">
      <c r="A298">
        <v>275.10000000000002</v>
      </c>
      <c r="B298" s="2">
        <f t="shared" si="12"/>
        <v>349.94713603269344</v>
      </c>
      <c r="C298" s="2" cm="1">
        <f t="array" ref="C298">INDEX( ComputeThermoProps($A298, $B298, ParametersRange), 1, COLUMN()-2 )</f>
        <v>36.037120799696623</v>
      </c>
      <c r="M298" s="2" cm="1">
        <f t="array" ref="M298">INDEX( ComputeThermoProps($A298, $B298, ParametersRange), 1, COLUMN()-2 )</f>
        <v>19108.890057906141</v>
      </c>
      <c r="O298" s="2">
        <f t="shared" si="13"/>
        <v>2.5440024435980058</v>
      </c>
      <c r="P298" s="2">
        <f t="shared" si="14"/>
        <v>12352.580057083225</v>
      </c>
    </row>
    <row r="299" spans="1:16" x14ac:dyDescent="0.25">
      <c r="A299">
        <v>276.10000000000002</v>
      </c>
      <c r="B299" s="2">
        <f t="shared" si="12"/>
        <v>353.3889954047371</v>
      </c>
      <c r="C299" s="2" cm="1">
        <f t="array" ref="C299">INDEX( ComputeThermoProps($A299, $B299, ParametersRange), 1, COLUMN()-2 )</f>
        <v>36.017523291005688</v>
      </c>
      <c r="M299" s="2" cm="1">
        <f t="array" ref="M299">INDEX( ComputeThermoProps($A299, $B299, ParametersRange), 1, COLUMN()-2 )</f>
        <v>19247.857380669058</v>
      </c>
      <c r="O299" s="2">
        <f t="shared" si="13"/>
        <v>2.5482530213750163</v>
      </c>
      <c r="P299" s="2">
        <f t="shared" si="14"/>
        <v>12491.547379846143</v>
      </c>
    </row>
    <row r="300" spans="1:16" x14ac:dyDescent="0.25">
      <c r="A300">
        <v>277.10000000000002</v>
      </c>
      <c r="B300" s="2">
        <f t="shared" si="12"/>
        <v>356.83554196290794</v>
      </c>
      <c r="C300" s="2" cm="1">
        <f t="array" ref="C300">INDEX( ComputeThermoProps($A300, $B300, ParametersRange), 1, COLUMN()-2 )</f>
        <v>35.997973984215527</v>
      </c>
      <c r="M300" s="2" cm="1">
        <f t="array" ref="M300">INDEX( ComputeThermoProps($A300, $B300, ParametersRange), 1, COLUMN()-2 )</f>
        <v>19386.909403953963</v>
      </c>
      <c r="O300" s="2">
        <f t="shared" si="13"/>
        <v>2.5524681049799258</v>
      </c>
      <c r="P300" s="2">
        <f t="shared" si="14"/>
        <v>12630.599403131047</v>
      </c>
    </row>
    <row r="301" spans="1:16" x14ac:dyDescent="0.25">
      <c r="A301">
        <v>278.10000000000002</v>
      </c>
      <c r="B301" s="2">
        <f t="shared" si="12"/>
        <v>360.28675112417068</v>
      </c>
      <c r="C301" s="2" cm="1">
        <f t="array" ref="C301">INDEX( ComputeThermoProps($A301, $B301, ParametersRange), 1, COLUMN()-2 )</f>
        <v>35.978472758323058</v>
      </c>
      <c r="M301" s="2" cm="1">
        <f t="array" ref="M301">INDEX( ComputeThermoProps($A301, $B301, ParametersRange), 1, COLUMN()-2 )</f>
        <v>19526.045335466883</v>
      </c>
      <c r="O301" s="2">
        <f t="shared" si="13"/>
        <v>2.5566482920435858</v>
      </c>
      <c r="P301" s="2">
        <f t="shared" si="14"/>
        <v>12769.735334643967</v>
      </c>
    </row>
    <row r="302" spans="1:16" x14ac:dyDescent="0.25">
      <c r="A302">
        <v>279.10000000000002</v>
      </c>
      <c r="B302" s="2">
        <f t="shared" si="12"/>
        <v>363.74259862318002</v>
      </c>
      <c r="C302" s="2" cm="1">
        <f t="array" ref="C302">INDEX( ComputeThermoProps($A302, $B302, ParametersRange), 1, COLUMN()-2 )</f>
        <v>35.959019489285929</v>
      </c>
      <c r="M302" s="2" cm="1">
        <f t="array" ref="M302">INDEX( ComputeThermoProps($A302, $B302, ParametersRange), 1, COLUMN()-2 )</f>
        <v>19665.264394018541</v>
      </c>
      <c r="O302" s="2">
        <f t="shared" si="13"/>
        <v>2.5607941651284958</v>
      </c>
      <c r="P302" s="2">
        <f t="shared" si="14"/>
        <v>12908.954393195625</v>
      </c>
    </row>
    <row r="303" spans="1:16" x14ac:dyDescent="0.25">
      <c r="A303">
        <v>280.10000000000002</v>
      </c>
      <c r="B303" s="2">
        <f t="shared" si="12"/>
        <v>367.20306050574578</v>
      </c>
      <c r="C303" s="2" cm="1">
        <f t="array" ref="C303">INDEX( ComputeThermoProps($A303, $B303, ParametersRange), 1, COLUMN()-2 )</f>
        <v>35.939614050181582</v>
      </c>
      <c r="M303" s="2" cm="1">
        <f t="array" ref="M303">INDEX( ComputeThermoProps($A303, $B303, ParametersRange), 1, COLUMN()-2 )</f>
        <v>19804.565809298467</v>
      </c>
      <c r="O303" s="2">
        <f t="shared" si="13"/>
        <v>2.564906292232958</v>
      </c>
      <c r="P303" s="2">
        <f t="shared" si="14"/>
        <v>13048.255808475551</v>
      </c>
    </row>
    <row r="304" spans="1:16" x14ac:dyDescent="0.25">
      <c r="A304">
        <v>281.10000000000002</v>
      </c>
      <c r="B304" s="2">
        <f t="shared" si="12"/>
        <v>370.66811312248387</v>
      </c>
      <c r="C304" s="2" cm="1">
        <f t="array" ref="C304">INDEX( ComputeThermoProps($A304, $B304, ParametersRange), 1, COLUMN()-2 )</f>
        <v>35.920256311359829</v>
      </c>
      <c r="M304" s="2" cm="1">
        <f t="array" ref="M304">INDEX( ComputeThermoProps($A304, $B304, ParametersRange), 1, COLUMN()-2 )</f>
        <v>19943.94882165534</v>
      </c>
      <c r="O304" s="2">
        <f t="shared" si="13"/>
        <v>2.5689852272742737</v>
      </c>
      <c r="P304" s="2">
        <f t="shared" si="14"/>
        <v>13187.638820832424</v>
      </c>
    </row>
    <row r="305" spans="1:16" x14ac:dyDescent="0.25">
      <c r="A305">
        <v>282.10000000000002</v>
      </c>
      <c r="B305" s="2">
        <f t="shared" si="12"/>
        <v>374.13773312264277</v>
      </c>
      <c r="C305" s="2" cm="1">
        <f t="array" ref="C305">INDEX( ComputeThermoProps($A305, $B305, ParametersRange), 1, COLUMN()-2 )</f>
        <v>35.900946140589078</v>
      </c>
      <c r="M305" s="2" cm="1">
        <f t="array" ref="M305">INDEX( ComputeThermoProps($A305, $B305, ParametersRange), 1, COLUMN()-2 )</f>
        <v>20083.412681883263</v>
      </c>
      <c r="O305" s="2">
        <f t="shared" si="13"/>
        <v>2.5730315105520218</v>
      </c>
      <c r="P305" s="2">
        <f t="shared" si="14"/>
        <v>13327.102681060347</v>
      </c>
    </row>
    <row r="306" spans="1:16" x14ac:dyDescent="0.25">
      <c r="A306">
        <v>283.10000000000002</v>
      </c>
      <c r="B306" s="2">
        <f t="shared" si="12"/>
        <v>377.61189744810105</v>
      </c>
      <c r="C306" s="2" cm="1">
        <f t="array" ref="C306">INDEX( ComputeThermoProps($A306, $B306, ParametersRange), 1, COLUMN()-2 )</f>
        <v>35.88168340319654</v>
      </c>
      <c r="M306" s="2" cm="1">
        <f t="array" ref="M306">INDEX( ComputeThermoProps($A306, $B306, ParametersRange), 1, COLUMN()-2 )</f>
        <v>20222.956651013723</v>
      </c>
      <c r="O306" s="2">
        <f t="shared" si="13"/>
        <v>2.5770456691923971</v>
      </c>
      <c r="P306" s="2">
        <f t="shared" si="14"/>
        <v>13466.646650190807</v>
      </c>
    </row>
    <row r="307" spans="1:16" x14ac:dyDescent="0.25">
      <c r="A307">
        <v>284.10000000000002</v>
      </c>
      <c r="B307" s="2">
        <f t="shared" si="12"/>
        <v>381.09058332752971</v>
      </c>
      <c r="C307" s="2" cm="1">
        <f t="array" ref="C307">INDEX( ComputeThermoProps($A307, $B307, ParametersRange), 1, COLUMN()-2 )</f>
        <v>35.86246796220275</v>
      </c>
      <c r="M307" s="2" cm="1">
        <f t="array" ref="M307">INDEX( ComputeThermoProps($A307, $B307, ParametersRange), 1, COLUMN()-2 )</f>
        <v>20362.580000113179</v>
      </c>
      <c r="O307" s="2">
        <f t="shared" si="13"/>
        <v>2.5810282175745338</v>
      </c>
      <c r="P307" s="2">
        <f t="shared" si="14"/>
        <v>13606.269999290264</v>
      </c>
    </row>
    <row r="308" spans="1:16" x14ac:dyDescent="0.25">
      <c r="A308">
        <v>285.10000000000002</v>
      </c>
      <c r="B308" s="2">
        <f t="shared" si="12"/>
        <v>384.57376827071431</v>
      </c>
      <c r="C308" s="2" cm="1">
        <f t="array" ref="C308">INDEX( ComputeThermoProps($A308, $B308, ParametersRange), 1, COLUMN()-2 )</f>
        <v>35.843299678450379</v>
      </c>
      <c r="M308" s="2" cm="1">
        <f t="array" ref="M308">INDEX( ComputeThermoProps($A308, $B308, ParametersRange), 1, COLUMN()-2 )</f>
        <v>20502.282010085924</v>
      </c>
      <c r="O308" s="2">
        <f t="shared" si="13"/>
        <v>2.5849796577396833</v>
      </c>
      <c r="P308" s="2">
        <f t="shared" si="14"/>
        <v>13745.972009263009</v>
      </c>
    </row>
    <row r="309" spans="1:16" x14ac:dyDescent="0.25">
      <c r="A309">
        <v>286.10000000000002</v>
      </c>
      <c r="B309" s="2">
        <f t="shared" si="12"/>
        <v>388.06143006302909</v>
      </c>
      <c r="C309" s="2" cm="1">
        <f t="array" ref="C309">INDEX( ComputeThermoProps($A309, $B309, ParametersRange), 1, COLUMN()-2 )</f>
        <v>35.824178410727953</v>
      </c>
      <c r="M309" s="2" cm="1">
        <f t="array" ref="M309">INDEX( ComputeThermoProps($A309, $B309, ParametersRange), 1, COLUMN()-2 )</f>
        <v>20642.061971482162</v>
      </c>
      <c r="O309" s="2">
        <f t="shared" si="13"/>
        <v>2.5889004797840656</v>
      </c>
      <c r="P309" s="2">
        <f t="shared" si="14"/>
        <v>13885.751970659247</v>
      </c>
    </row>
    <row r="310" spans="1:16" x14ac:dyDescent="0.25">
      <c r="A310">
        <v>287.10000000000002</v>
      </c>
      <c r="B310" s="2">
        <f t="shared" si="12"/>
        <v>391.55354676006141</v>
      </c>
      <c r="C310" s="2" cm="1">
        <f t="array" ref="C310">INDEX( ComputeThermoProps($A310, $B310, ParametersRange), 1, COLUMN()-2 )</f>
        <v>35.805104015888354</v>
      </c>
      <c r="M310" s="2" cm="1">
        <f t="array" ref="M310">INDEX( ComputeThermoProps($A310, $B310, ParametersRange), 1, COLUMN()-2 )</f>
        <v>20781.919184311093</v>
      </c>
      <c r="O310" s="2">
        <f t="shared" si="13"/>
        <v>2.5927911622361774</v>
      </c>
      <c r="P310" s="2">
        <f t="shared" si="14"/>
        <v>14025.609183488177</v>
      </c>
    </row>
    <row r="311" spans="1:16" x14ac:dyDescent="0.25">
      <c r="A311">
        <v>288.10000000000002</v>
      </c>
      <c r="B311" s="2">
        <f t="shared" si="12"/>
        <v>395.05009668237778</v>
      </c>
      <c r="C311" s="2" cm="1">
        <f t="array" ref="C311">INDEX( ComputeThermoProps($A311, $B311, ParametersRange), 1, COLUMN()-2 )</f>
        <v>35.786076348962524</v>
      </c>
      <c r="M311" s="2" cm="1">
        <f t="array" ref="M311">INDEX( ComputeThermoProps($A311, $B311, ParametersRange), 1, COLUMN()-2 )</f>
        <v>20921.85295785882</v>
      </c>
      <c r="O311" s="2">
        <f t="shared" si="13"/>
        <v>2.5966521724192835</v>
      </c>
      <c r="P311" s="2">
        <f t="shared" si="14"/>
        <v>14165.542957035905</v>
      </c>
    </row>
    <row r="312" spans="1:16" x14ac:dyDescent="0.25">
      <c r="A312">
        <v>289.10000000000002</v>
      </c>
      <c r="B312" s="2">
        <f t="shared" si="12"/>
        <v>398.5510584104295</v>
      </c>
      <c r="C312" s="2" cm="1">
        <f t="array" ref="C312">INDEX( ComputeThermoProps($A312, $B312, ParametersRange), 1, COLUMN()-2 )</f>
        <v>35.767095263268509</v>
      </c>
      <c r="M312" s="2" cm="1">
        <f t="array" ref="M312">INDEX( ComputeThermoProps($A312, $B312, ParametersRange), 1, COLUMN()-2 )</f>
        <v>21061.862610510954</v>
      </c>
      <c r="O312" s="2">
        <f t="shared" si="13"/>
        <v>2.600483966799791</v>
      </c>
      <c r="P312" s="2">
        <f t="shared" si="14"/>
        <v>14305.552609688039</v>
      </c>
    </row>
    <row r="313" spans="1:16" x14ac:dyDescent="0.25">
      <c r="A313">
        <v>290.10000000000002</v>
      </c>
      <c r="B313" s="2">
        <f t="shared" si="12"/>
        <v>402.05641077959143</v>
      </c>
      <c r="C313" s="2" cm="1">
        <f t="array" ref="C313">INDEX( ComputeThermoProps($A313, $B313, ParametersRange), 1, COLUMN()-2 )</f>
        <v>35.748160610516003</v>
      </c>
      <c r="M313" s="2" cm="1">
        <f t="array" ref="M313">INDEX( ComputeThermoProps($A313, $B313, ParametersRange), 1, COLUMN()-2 )</f>
        <v>21201.9474695797</v>
      </c>
      <c r="O313" s="2">
        <f t="shared" si="13"/>
        <v>2.6042869913221565</v>
      </c>
      <c r="P313" s="2">
        <f t="shared" si="14"/>
        <v>14445.637468756784</v>
      </c>
    </row>
    <row r="314" spans="1:16" x14ac:dyDescent="0.25">
      <c r="A314">
        <v>291.10000000000002</v>
      </c>
      <c r="B314" s="2">
        <f t="shared" si="12"/>
        <v>405.56613287533111</v>
      </c>
      <c r="C314" s="2" cm="1">
        <f t="array" ref="C314">INDEX( ComputeThermoProps($A314, $B314, ParametersRange), 1, COLUMN()-2 )</f>
        <v>35.729272240906631</v>
      </c>
      <c r="M314" s="2" cm="1">
        <f t="array" ref="M314">INDEX( ComputeThermoProps($A314, $B314, ParametersRange), 1, COLUMN()-2 )</f>
        <v>21342.106871135424</v>
      </c>
      <c r="O314" s="2">
        <f t="shared" si="13"/>
        <v>2.6080616817309528</v>
      </c>
      <c r="P314" s="2">
        <f t="shared" si="14"/>
        <v>14585.796870312508</v>
      </c>
    </row>
    <row r="315" spans="1:16" x14ac:dyDescent="0.25">
      <c r="A315">
        <v>292.10000000000002</v>
      </c>
      <c r="B315" s="2">
        <f t="shared" si="12"/>
        <v>409.08020402850178</v>
      </c>
      <c r="C315" s="2" cm="1">
        <f t="array" ref="C315">INDEX( ComputeThermoProps($A315, $B315, ParametersRange), 1, COLUMN()-2 )</f>
        <v>35.710430003230151</v>
      </c>
      <c r="M315" s="2" cm="1">
        <f t="array" ref="M315">INDEX( ComputeThermoProps($A315, $B315, ParametersRange), 1, COLUMN()-2 )</f>
        <v>21482.340159842322</v>
      </c>
      <c r="O315" s="2">
        <f t="shared" si="13"/>
        <v>2.6118084638806773</v>
      </c>
      <c r="P315" s="2">
        <f t="shared" si="14"/>
        <v>14726.030159019407</v>
      </c>
    </row>
    <row r="316" spans="1:16" x14ac:dyDescent="0.25">
      <c r="A316">
        <v>293.10000000000002</v>
      </c>
      <c r="B316" s="2">
        <f t="shared" si="12"/>
        <v>412.59860381075816</v>
      </c>
      <c r="C316" s="2" cm="1">
        <f t="array" ref="C316">INDEX( ComputeThermoProps($A316, $B316, ParametersRange), 1, COLUMN()-2 )</f>
        <v>35.691633744956683</v>
      </c>
      <c r="M316" s="2" cm="1">
        <f t="array" ref="M316">INDEX( ComputeThermoProps($A316, $B316, ParametersRange), 1, COLUMN()-2 )</f>
        <v>21622.646688798377</v>
      </c>
      <c r="O316" s="2">
        <f t="shared" si="13"/>
        <v>2.6155277540338626</v>
      </c>
      <c r="P316" s="2">
        <f t="shared" si="14"/>
        <v>14866.336687975461</v>
      </c>
    </row>
    <row r="317" spans="1:16" x14ac:dyDescent="0.25">
      <c r="A317">
        <v>294.10000000000002</v>
      </c>
      <c r="B317" s="2">
        <f t="shared" si="12"/>
        <v>416.12131203008704</v>
      </c>
      <c r="C317" s="2" cm="1">
        <f t="array" ref="C317">INDEX( ComputeThermoProps($A317, $B317, ParametersRange), 1, COLUMN()-2 )</f>
        <v>35.672883312325169</v>
      </c>
      <c r="M317" s="2" cm="1">
        <f t="array" ref="M317">INDEX( ComputeThermoProps($A317, $B317, ParametersRange), 1, COLUMN()-2 )</f>
        <v>21763.025819379076</v>
      </c>
      <c r="O317" s="2">
        <f t="shared" si="13"/>
        <v>2.6192199591480096</v>
      </c>
      <c r="P317" s="2">
        <f t="shared" si="14"/>
        <v>15006.71581855616</v>
      </c>
    </row>
    <row r="318" spans="1:16" x14ac:dyDescent="0.25">
      <c r="A318">
        <v>295.10000000000002</v>
      </c>
      <c r="B318" s="2">
        <f t="shared" si="12"/>
        <v>419.64830872645365</v>
      </c>
      <c r="C318" s="2" cm="1">
        <f t="array" ref="C318">INDEX( ComputeThermoProps($A318, $B318, ParametersRange), 1, COLUMN()-2 )</f>
        <v>35.654178550428227</v>
      </c>
      <c r="M318" s="2" cm="1">
        <f t="array" ref="M318">INDEX( ComputeThermoProps($A318, $B318, ParametersRange), 1, COLUMN()-2 )</f>
        <v>21903.476921085177</v>
      </c>
      <c r="O318" s="2">
        <f t="shared" si="13"/>
        <v>2.6228854771518559</v>
      </c>
      <c r="P318" s="2">
        <f t="shared" si="14"/>
        <v>15147.166920262262</v>
      </c>
    </row>
    <row r="319" spans="1:16" x14ac:dyDescent="0.25">
      <c r="A319">
        <v>296.10000000000002</v>
      </c>
      <c r="B319" s="2">
        <f t="shared" si="12"/>
        <v>423.17957416755587</v>
      </c>
      <c r="C319" s="2" cm="1">
        <f t="array" ref="C319">INDEX( ComputeThermoProps($A319, $B319, ParametersRange), 1, COLUMN()-2 )</f>
        <v>35.635519303293563</v>
      </c>
      <c r="M319" s="2" cm="1">
        <f t="array" ref="M319">INDEX( ComputeThermoProps($A319, $B319, ParametersRange), 1, COLUMN()-2 )</f>
        <v>22043.999371394111</v>
      </c>
      <c r="O319" s="2">
        <f t="shared" si="13"/>
        <v>2.6265246972114351</v>
      </c>
      <c r="P319" s="2">
        <f t="shared" si="14"/>
        <v>15287.689370571195</v>
      </c>
    </row>
    <row r="320" spans="1:16" x14ac:dyDescent="0.25">
      <c r="A320">
        <v>297.10000000000002</v>
      </c>
      <c r="B320" s="2">
        <f t="shared" si="12"/>
        <v>426.71508884468574</v>
      </c>
      <c r="C320" s="2" cm="1">
        <f t="array" ref="C320">INDEX( ComputeThermoProps($A320, $B320, ParametersRange), 1, COLUMN()-2 )</f>
        <v>35.616905413961938</v>
      </c>
      <c r="M320" s="2" cm="1">
        <f t="array" ref="M320">INDEX( ComputeThermoProps($A320, $B320, ParametersRange), 1, COLUMN()-2 )</f>
        <v>22184.592555614981</v>
      </c>
      <c r="O320" s="2">
        <f t="shared" si="13"/>
        <v>2.6301379999863927</v>
      </c>
      <c r="P320" s="2">
        <f t="shared" si="14"/>
        <v>15428.282554792066</v>
      </c>
    </row>
    <row r="321" spans="1:16" x14ac:dyDescent="0.25">
      <c r="A321">
        <v>298.10000000000002</v>
      </c>
      <c r="B321" s="2">
        <f t="shared" si="12"/>
        <v>430.25483346869402</v>
      </c>
      <c r="C321" s="2" cm="1">
        <f t="array" ref="C321">INDEX( ComputeThermoProps($A321, $B321, ParametersRange), 1, COLUMN()-2 )</f>
        <v>35.598336724562088</v>
      </c>
      <c r="M321" s="2" cm="1">
        <f t="array" ref="M321">INDEX( ComputeThermoProps($A321, $B321, ParametersRange), 1, COLUMN()-2 )</f>
        <v>22325.25586674716</v>
      </c>
      <c r="O321" s="2">
        <f t="shared" si="13"/>
        <v>2.6337257578769746</v>
      </c>
      <c r="P321" s="2">
        <f t="shared" si="14"/>
        <v>15568.945865924245</v>
      </c>
    </row>
    <row r="322" spans="1:16" x14ac:dyDescent="0.25">
      <c r="A322">
        <v>299.10000000000002</v>
      </c>
      <c r="B322" s="2">
        <f t="shared" si="12"/>
        <v>433.79878896605248</v>
      </c>
      <c r="C322" s="2" cm="1">
        <f t="array" ref="C322">INDEX( ComputeThermoProps($A322, $B322, ParametersRange), 1, COLUMN()-2 )</f>
        <v>35.579813076382472</v>
      </c>
      <c r="M322" s="2" cm="1">
        <f t="array" ref="M322">INDEX( ComputeThermoProps($A322, $B322, ParametersRange), 1, COLUMN()-2 )</f>
        <v>22465.988705342184</v>
      </c>
      <c r="O322" s="2">
        <f t="shared" si="13"/>
        <v>2.6372883352620957</v>
      </c>
      <c r="P322" s="2">
        <f t="shared" si="14"/>
        <v>15709.678704519269</v>
      </c>
    </row>
    <row r="323" spans="1:16" x14ac:dyDescent="0.25">
      <c r="A323">
        <v>300.10000000000002</v>
      </c>
      <c r="B323" s="2">
        <f t="shared" si="12"/>
        <v>437.34693647501564</v>
      </c>
      <c r="C323" s="2" cm="1">
        <f t="array" ref="C323">INDEX( ComputeThermoProps($A323, $B323, ParametersRange), 1, COLUMN()-2 )</f>
        <v>35.561334309940094</v>
      </c>
      <c r="M323" s="2" cm="1">
        <f t="array" ref="M323">INDEX( ComputeThermoProps($A323, $B323, ParametersRange), 1, COLUMN()-2 )</f>
        <v>22606.790479369018</v>
      </c>
      <c r="O323" s="2">
        <f t="shared" si="13"/>
        <v>2.6408260887288768</v>
      </c>
      <c r="P323" s="2">
        <f t="shared" si="14"/>
        <v>15850.480478546102</v>
      </c>
    </row>
    <row r="324" spans="1:16" x14ac:dyDescent="0.25">
      <c r="A324">
        <v>301.10000000000002</v>
      </c>
      <c r="B324" s="2">
        <f t="shared" si="12"/>
        <v>440.89925734187312</v>
      </c>
      <c r="C324" s="2" cm="1">
        <f t="array" ref="C324">INDEX( ComputeThermoProps($A324, $B324, ParametersRange), 1, COLUMN()-2 )</f>
        <v>35.542900265046548</v>
      </c>
      <c r="M324" s="2" cm="1">
        <f t="array" ref="M324">INDEX( ComputeThermoProps($A324, $B324, ParametersRange), 1, COLUMN()-2 )</f>
        <v>22747.66060408247</v>
      </c>
      <c r="O324" s="2">
        <f t="shared" si="13"/>
        <v>2.6443393672940068</v>
      </c>
      <c r="P324" s="2">
        <f t="shared" si="14"/>
        <v>15991.350603259554</v>
      </c>
    </row>
    <row r="325" spans="1:16" x14ac:dyDescent="0.25">
      <c r="A325">
        <v>302.10000000000002</v>
      </c>
      <c r="B325" s="2">
        <f t="shared" si="12"/>
        <v>444.45573311729493</v>
      </c>
      <c r="C325" s="2" cm="1">
        <f t="array" ref="C325">INDEX( ComputeThermoProps($A325, $B325, ParametersRange), 1, COLUMN()-2 )</f>
        <v>35.524510780871282</v>
      </c>
      <c r="M325" s="2" cm="1">
        <f t="array" ref="M325">INDEX( ComputeThermoProps($A325, $B325, ParametersRange), 1, COLUMN()-2 )</f>
        <v>22888.59850189475</v>
      </c>
      <c r="O325" s="2">
        <f t="shared" si="13"/>
        <v>2.647828512617286</v>
      </c>
      <c r="P325" s="2">
        <f t="shared" si="14"/>
        <v>16132.288501071835</v>
      </c>
    </row>
    <row r="326" spans="1:16" x14ac:dyDescent="0.25">
      <c r="A326">
        <v>303.10000000000002</v>
      </c>
      <c r="B326" s="2">
        <f t="shared" si="12"/>
        <v>448.01634555276348</v>
      </c>
      <c r="C326" s="2" cm="1">
        <f t="array" ref="C326">INDEX( ComputeThermoProps($A326, $B326, ParametersRange), 1, COLUMN()-2 )</f>
        <v>35.506165696002313</v>
      </c>
      <c r="M326" s="2" cm="1">
        <f t="array" ref="M326">INDEX( ComputeThermoProps($A326, $B326, ParametersRange), 1, COLUMN()-2 )</f>
        <v>23029.603602250005</v>
      </c>
      <c r="O326" s="2">
        <f t="shared" si="13"/>
        <v>2.651293859207676</v>
      </c>
      <c r="P326" s="2">
        <f t="shared" si="14"/>
        <v>16273.293601427089</v>
      </c>
    </row>
    <row r="327" spans="1:16" x14ac:dyDescent="0.25">
      <c r="A327">
        <v>304.10000000000002</v>
      </c>
      <c r="B327" s="2">
        <f t="shared" si="12"/>
        <v>451.58107659709077</v>
      </c>
      <c r="C327" s="2" cm="1">
        <f t="array" ref="C327">INDEX( ComputeThermoProps($A327, $B327, ParametersRange), 1, COLUMN()-2 )</f>
        <v>35.487864848504415</v>
      </c>
      <c r="M327" s="2" cm="1">
        <f t="array" ref="M327">INDEX( ComputeThermoProps($A327, $B327, ParametersRange), 1, COLUMN()-2 )</f>
        <v>23170.675341501781</v>
      </c>
      <c r="O327" s="2">
        <f t="shared" si="13"/>
        <v>2.6547357346221649</v>
      </c>
      <c r="P327" s="2">
        <f t="shared" si="14"/>
        <v>16414.365340678865</v>
      </c>
    </row>
    <row r="328" spans="1:16" x14ac:dyDescent="0.25">
      <c r="A328">
        <v>305.10000000000002</v>
      </c>
      <c r="B328" s="2">
        <f t="shared" si="12"/>
        <v>455.14990839301845</v>
      </c>
      <c r="C328" s="2" cm="1">
        <f t="array" ref="C328">INDEX( ComputeThermoProps($A328, $B328, ParametersRange), 1, COLUMN()-2 )</f>
        <v>35.469608075974904</v>
      </c>
      <c r="M328" s="2" cm="1">
        <f t="array" ref="M328">INDEX( ComputeThermoProps($A328, $B328, ParametersRange), 1, COLUMN()-2 )</f>
        <v>23311.813162793329</v>
      </c>
      <c r="O328" s="2">
        <f t="shared" si="13"/>
        <v>2.6581544596577618</v>
      </c>
      <c r="P328" s="2">
        <f t="shared" si="14"/>
        <v>16555.503161970413</v>
      </c>
    </row>
    <row r="329" spans="1:16" x14ac:dyDescent="0.25">
      <c r="A329">
        <v>306.10000000000002</v>
      </c>
      <c r="B329" s="2">
        <f t="shared" si="12"/>
        <v>458.72282327389831</v>
      </c>
      <c r="C329" s="2" cm="1">
        <f t="array" ref="C329">INDEX( ComputeThermoProps($A329, $B329, ParametersRange), 1, COLUMN()-2 )</f>
        <v>35.451395215597117</v>
      </c>
      <c r="M329" s="2" cm="1">
        <f t="array" ref="M329">INDEX( ComputeThermoProps($A329, $B329, ParametersRange), 1, COLUMN()-2 )</f>
        <v>23453.016515940661</v>
      </c>
      <c r="O329" s="2">
        <f t="shared" si="13"/>
        <v>2.661550348536883</v>
      </c>
      <c r="P329" s="2">
        <f t="shared" si="14"/>
        <v>16696.706515117745</v>
      </c>
    </row>
    <row r="330" spans="1:16" x14ac:dyDescent="0.25">
      <c r="A330">
        <v>307.10000000000002</v>
      </c>
      <c r="B330" s="2">
        <f t="shared" si="12"/>
        <v>462.29980376044995</v>
      </c>
      <c r="C330" s="2" cm="1">
        <f t="array" ref="C330">INDEX( ComputeThermoProps($A330, $B330, ParametersRange), 1, COLUMN()-2 )</f>
        <v>35.433226104191718</v>
      </c>
      <c r="M330" s="2" cm="1">
        <f t="array" ref="M330">INDEX( ComputeThermoProps($A330, $B330, ParametersRange), 1, COLUMN()-2 )</f>
        <v>23594.284857318275</v>
      </c>
      <c r="O330" s="2">
        <f t="shared" si="13"/>
        <v>2.6649237090864233</v>
      </c>
      <c r="P330" s="2">
        <f t="shared" si="14"/>
        <v>16837.974856495359</v>
      </c>
    </row>
    <row r="331" spans="1:16" x14ac:dyDescent="0.25">
      <c r="A331">
        <v>308.10000000000002</v>
      </c>
      <c r="B331" s="2">
        <f t="shared" si="12"/>
        <v>465.88083255759443</v>
      </c>
      <c r="C331" s="2" cm="1">
        <f t="array" ref="C331">INDEX( ComputeThermoProps($A331, $B331, ParametersRange), 1, COLUMN()-2 )</f>
        <v>35.415100578265815</v>
      </c>
      <c r="M331" s="2" cm="1">
        <f t="array" ref="M331">INDEX( ComputeThermoProps($A331, $B331, ParametersRange), 1, COLUMN()-2 )</f>
        <v>23735.617649747484</v>
      </c>
      <c r="O331" s="2">
        <f t="shared" si="13"/>
        <v>2.6682748429107503</v>
      </c>
      <c r="P331" s="2">
        <f t="shared" si="14"/>
        <v>16979.307648924569</v>
      </c>
    </row>
    <row r="332" spans="1:16" x14ac:dyDescent="0.25">
      <c r="A332">
        <v>309.10000000000002</v>
      </c>
      <c r="B332" s="2">
        <f t="shared" si="12"/>
        <v>469.46589255136047</v>
      </c>
      <c r="C332" s="2" cm="1">
        <f t="array" ref="C332">INDEX( ComputeThermoProps($A332, $B332, ParametersRange), 1, COLUMN()-2 )</f>
        <v>35.397018474060069</v>
      </c>
      <c r="M332" s="2" cm="1">
        <f t="array" ref="M332">INDEX( ComputeThermoProps($A332, $B332, ParametersRange), 1, COLUMN()-2 )</f>
        <v>23877.01436238725</v>
      </c>
      <c r="O332" s="2">
        <f t="shared" si="13"/>
        <v>2.671604045558881</v>
      </c>
      <c r="P332" s="2">
        <f t="shared" si="14"/>
        <v>17120.704361564334</v>
      </c>
    </row>
    <row r="333" spans="1:16" x14ac:dyDescent="0.25">
      <c r="A333">
        <v>310.10000000000002</v>
      </c>
      <c r="B333" s="2">
        <f t="shared" si="12"/>
        <v>473.05496680586293</v>
      </c>
      <c r="C333" s="2" cm="1">
        <f t="array" ref="C333">INDEX( ComputeThermoProps($A333, $B333, ParametersRange), 1, COLUMN()-2 )</f>
        <v>35.378979627593829</v>
      </c>
      <c r="M333" s="2" cm="1">
        <f t="array" ref="M333">INDEX( ComputeThermoProps($A333, $B333, ParametersRange), 1, COLUMN()-2 )</f>
        <v>24018.474470627476</v>
      </c>
      <c r="O333" s="2">
        <f t="shared" si="13"/>
        <v>2.6749116066860674</v>
      </c>
      <c r="P333" s="2">
        <f t="shared" si="14"/>
        <v>17262.16446980456</v>
      </c>
    </row>
    <row r="334" spans="1:16" x14ac:dyDescent="0.25">
      <c r="A334">
        <v>311.10000000000002</v>
      </c>
      <c r="B334" s="2">
        <f t="shared" si="12"/>
        <v>476.64803856034865</v>
      </c>
      <c r="C334" s="2" cm="1">
        <f t="array" ref="C334">INDEX( ComputeThermoProps($A334, $B334, ParametersRange), 1, COLUMN()-2 )</f>
        <v>35.360983874708403</v>
      </c>
      <c r="M334" s="2" cm="1">
        <f t="array" ref="M334">INDEX( ComputeThermoProps($A334, $B334, ParametersRange), 1, COLUMN()-2 )</f>
        <v>24159.997455984696</v>
      </c>
      <c r="O334" s="2">
        <f t="shared" si="13"/>
        <v>2.6781978102100155</v>
      </c>
      <c r="P334" s="2">
        <f t="shared" si="14"/>
        <v>17403.68745516178</v>
      </c>
    </row>
    <row r="335" spans="1:16" x14ac:dyDescent="0.25">
      <c r="A335">
        <v>312.10000000000002</v>
      </c>
      <c r="B335" s="2">
        <f t="shared" si="12"/>
        <v>480.24509122631065</v>
      </c>
      <c r="C335" s="2" cm="1">
        <f t="array" ref="C335">INDEX( ComputeThermoProps($A335, $B335, ParametersRange), 1, COLUMN()-2 )</f>
        <v>35.34303105110849</v>
      </c>
      <c r="M335" s="2" cm="1">
        <f t="array" ref="M335">INDEX( ComputeThermoProps($A335, $B335, ParametersRange), 1, COLUMN()-2 )</f>
        <v>24301.582806000053</v>
      </c>
      <c r="O335" s="2">
        <f t="shared" si="13"/>
        <v>2.6814629344619534</v>
      </c>
      <c r="P335" s="2">
        <f t="shared" si="14"/>
        <v>17545.272805177137</v>
      </c>
    </row>
    <row r="336" spans="1:16" x14ac:dyDescent="0.25">
      <c r="A336">
        <v>313.10000000000002</v>
      </c>
      <c r="B336" s="2">
        <f t="shared" si="12"/>
        <v>483.84610838466773</v>
      </c>
      <c r="C336" s="2" cm="1">
        <f t="array" ref="C336">INDEX( ComputeThermoProps($A336, $B336, ParametersRange), 1, COLUMN()-2 )</f>
        <v>35.325120992401878</v>
      </c>
      <c r="M336" s="2" cm="1">
        <f t="array" ref="M336">INDEX( ComputeThermoProps($A336, $B336, ParametersRange), 1, COLUMN()-2 )</f>
        <v>24443.230014139557</v>
      </c>
      <c r="O336" s="2">
        <f t="shared" si="13"/>
        <v>2.6847072523327475</v>
      </c>
      <c r="P336" s="2">
        <f t="shared" si="14"/>
        <v>17686.920013316641</v>
      </c>
    </row>
    <row r="337" spans="1:16" x14ac:dyDescent="0.25">
      <c r="A337">
        <v>314.10000000000002</v>
      </c>
      <c r="B337" s="2">
        <f t="shared" si="12"/>
        <v>487.45107378300509</v>
      </c>
      <c r="C337" s="2" cm="1">
        <f t="array" ref="C337">INDEX( ComputeThermoProps($A337, $B337, ParametersRange), 1, COLUMN()-2 )</f>
        <v>35.307253534137473</v>
      </c>
      <c r="M337" s="2" cm="1">
        <f t="array" ref="M337">INDEX( ComputeThermoProps($A337, $B337, ParametersRange), 1, COLUMN()-2 )</f>
        <v>24584.938579696467</v>
      </c>
      <c r="O337" s="2">
        <f t="shared" si="13"/>
        <v>2.6879310314142639</v>
      </c>
      <c r="P337" s="2">
        <f t="shared" si="14"/>
        <v>17828.628578873551</v>
      </c>
    </row>
    <row r="338" spans="1:16" x14ac:dyDescent="0.25">
      <c r="A338">
        <v>315.10000000000002</v>
      </c>
      <c r="B338" s="2">
        <f t="shared" si="12"/>
        <v>491.05997133287889</v>
      </c>
      <c r="C338" s="2" cm="1">
        <f t="array" ref="C338">INDEX( ComputeThermoProps($A338, $B338, ParametersRange), 1, COLUMN()-2 )</f>
        <v>35.289428511841756</v>
      </c>
      <c r="M338" s="2" cm="1">
        <f t="array" ref="M338">INDEX( ComputeThermoProps($A338, $B338, ParametersRange), 1, COLUMN()-2 )</f>
        <v>24726.70800769591</v>
      </c>
      <c r="O338" s="2">
        <f t="shared" si="13"/>
        <v>2.6911345341361539</v>
      </c>
      <c r="P338" s="2">
        <f t="shared" si="14"/>
        <v>17970.398006872994</v>
      </c>
    </row>
    <row r="339" spans="1:16" x14ac:dyDescent="0.25">
      <c r="A339">
        <v>316.10000000000002</v>
      </c>
      <c r="B339" s="2">
        <f t="shared" si="12"/>
        <v>494.67278510717949</v>
      </c>
      <c r="C339" s="2" cm="1">
        <f t="array" ref="C339">INDEX( ComputeThermoProps($A339, $B339, ParametersRange), 1, COLUMN()-2 )</f>
        <v>35.271645761053577</v>
      </c>
      <c r="M339" s="2" cm="1">
        <f t="array" ref="M339">INDEX( ComputeThermoProps($A339, $B339, ParametersRange), 1, COLUMN()-2 )</f>
        <v>24868.537808801426</v>
      </c>
      <c r="O339" s="2">
        <f t="shared" si="13"/>
        <v>2.6943180178982504</v>
      </c>
      <c r="P339" s="2">
        <f t="shared" si="14"/>
        <v>18112.22780797851</v>
      </c>
    </row>
    <row r="340" spans="1:16" x14ac:dyDescent="0.25">
      <c r="A340">
        <v>317.10000000000002</v>
      </c>
      <c r="B340" s="2">
        <f t="shared" si="12"/>
        <v>498.28949933755246</v>
      </c>
      <c r="C340" s="2" cm="1">
        <f t="array" ref="C340">INDEX( ComputeThermoProps($A340, $B340, ParametersRange), 1, COLUMN()-2 )</f>
        <v>35.253905117357654</v>
      </c>
      <c r="M340" s="2" cm="1">
        <f t="array" ref="M340">INDEX( ComputeThermoProps($A340, $B340, ParametersRange), 1, COLUMN()-2 )</f>
        <v>25010.427499223679</v>
      </c>
      <c r="O340" s="2">
        <f t="shared" si="13"/>
        <v>2.6974817351987341</v>
      </c>
      <c r="P340" s="2">
        <f t="shared" si="14"/>
        <v>18254.117498400763</v>
      </c>
    </row>
    <row r="341" spans="1:16" x14ac:dyDescent="0.25">
      <c r="A341">
        <v>318.10000000000002</v>
      </c>
      <c r="B341" s="2">
        <f t="shared" si="12"/>
        <v>501.91009841187662</v>
      </c>
      <c r="C341" s="2" cm="1">
        <f t="array" ref="C341">INDEX( ComputeThermoProps($A341, $B341, ParametersRange), 1, COLUMN()-2 )</f>
        <v>35.236206416416437</v>
      </c>
      <c r="M341" s="2" cm="1">
        <f t="array" ref="M341">INDEX( ComputeThermoProps($A341, $B341, ParametersRange), 1, COLUMN()-2 )</f>
        <v>25152.376600631003</v>
      </c>
      <c r="O341" s="2">
        <f t="shared" si="13"/>
        <v>2.7006259337582352</v>
      </c>
      <c r="P341" s="2">
        <f t="shared" si="14"/>
        <v>18396.066599808088</v>
      </c>
    </row>
    <row r="342" spans="1:16" x14ac:dyDescent="0.25">
      <c r="A342">
        <v>319.10000000000002</v>
      </c>
      <c r="B342" s="2">
        <f t="shared" si="12"/>
        <v>505.53456687179636</v>
      </c>
      <c r="C342" s="2" cm="1">
        <f t="array" ref="C342">INDEX( ComputeThermoProps($A342, $B342, ParametersRange), 1, COLUMN()-2 )</f>
        <v>35.21854949400074</v>
      </c>
      <c r="M342" s="2" cm="1">
        <f t="array" ref="M342">INDEX( ComputeThermoProps($A342, $B342, ParametersRange), 1, COLUMN()-2 )</f>
        <v>25294.384640061886</v>
      </c>
      <c r="O342" s="2">
        <f t="shared" si="13"/>
        <v>2.7037508566400219</v>
      </c>
      <c r="P342" s="2">
        <f t="shared" si="14"/>
        <v>18538.07463923897</v>
      </c>
    </row>
    <row r="343" spans="1:16" x14ac:dyDescent="0.25">
      <c r="A343">
        <v>320.10000000000002</v>
      </c>
      <c r="B343" s="2">
        <f t="shared" si="12"/>
        <v>509.16288941030774</v>
      </c>
      <c r="C343" s="2" cm="1">
        <f t="array" ref="C343">INDEX( ComputeThermoProps($A343, $B343, ParametersRange), 1, COLUMN()-2 )</f>
        <v>35.200934186019033</v>
      </c>
      <c r="M343" s="2" cm="1">
        <f t="array" ref="M343">INDEX( ComputeThermoProps($A343, $B343, ParametersRange), 1, COLUMN()-2 )</f>
        <v>25436.45114983938</v>
      </c>
      <c r="O343" s="2">
        <f t="shared" si="13"/>
        <v>2.7068567423664289</v>
      </c>
      <c r="P343" s="2">
        <f t="shared" si="14"/>
        <v>18680.141149016465</v>
      </c>
    </row>
    <row r="344" spans="1:16" x14ac:dyDescent="0.25">
      <c r="A344">
        <v>321.10000000000002</v>
      </c>
      <c r="B344" s="2">
        <f t="shared" ref="B344:B391" si="15">IF(
  A344 &lt;= $B$5,
  $B$6 * EXP( ($B$5/A344) * ( $B$13*(1 - A344/$B$5) + $B$14*(1 - A344/$B$5)^1.5 + $B$15*(1 - A344/$B$5)^5 ) ),
  $B$6 * ( 1 + $B$17 * MAX(A344/$B$5 - 1, 0)^$B$18 + $B$19 * MAX(A344/$B$5 - 1, 0)^$B$20 )
)</f>
        <v>512.79505086939639</v>
      </c>
      <c r="C344" s="2" cm="1">
        <f t="array" ref="C344">INDEX( ComputeThermoProps($A344, $B344, ParametersRange), 1, COLUMN()-2 )</f>
        <v>35.183360328545412</v>
      </c>
      <c r="M344" s="2" cm="1">
        <f t="array" ref="M344">INDEX( ComputeThermoProps($A344, $B344, ParametersRange), 1, COLUMN()-2 )</f>
        <v>25578.575667487206</v>
      </c>
      <c r="O344" s="2">
        <f t="shared" ref="O344:O372" si="16">LOG10(B344)</f>
        <v>2.709943825031659</v>
      </c>
      <c r="P344" s="2">
        <f t="shared" ref="P344:P372" si="17">M344-$B$11</f>
        <v>18822.265666664291</v>
      </c>
    </row>
    <row r="345" spans="1:16" x14ac:dyDescent="0.25">
      <c r="A345">
        <v>322.10000000000002</v>
      </c>
      <c r="B345" s="2">
        <f t="shared" si="15"/>
        <v>516.43103623772583</v>
      </c>
      <c r="C345" s="2" cm="1">
        <f t="array" ref="C345">INDEX( ComputeThermoProps($A345, $B345, ParametersRange), 1, COLUMN()-2 )</f>
        <v>35.165827757846387</v>
      </c>
      <c r="M345" s="2" cm="1">
        <f t="array" ref="M345">INDEX( ComputeThermoProps($A345, $B345, ParametersRange), 1, COLUMN()-2 )</f>
        <v>25720.757735647698</v>
      </c>
      <c r="O345" s="2">
        <f t="shared" si="16"/>
        <v>2.7130123344110983</v>
      </c>
      <c r="P345" s="2">
        <f t="shared" si="17"/>
        <v>18964.447734824782</v>
      </c>
    </row>
    <row r="346" spans="1:16" x14ac:dyDescent="0.25">
      <c r="A346">
        <v>323.10000000000002</v>
      </c>
      <c r="B346" s="2">
        <f t="shared" si="15"/>
        <v>520.07083064837491</v>
      </c>
      <c r="C346" s="2" cm="1">
        <f t="array" ref="C346">INDEX( ComputeThermoProps($A346, $B346, ParametersRange), 1, COLUMN()-2 )</f>
        <v>35.148336310406471</v>
      </c>
      <c r="M346" s="2" cm="1">
        <f t="array" ref="M346">INDEX( ComputeThermoProps($A346, $B346, ParametersRange), 1, COLUMN()-2 )</f>
        <v>25862.996902001392</v>
      </c>
      <c r="O346" s="2">
        <f t="shared" si="16"/>
        <v>2.7160624960672681</v>
      </c>
      <c r="P346" s="2">
        <f t="shared" si="17"/>
        <v>19106.686901178477</v>
      </c>
    </row>
    <row r="347" spans="1:16" x14ac:dyDescent="0.25">
      <c r="A347">
        <v>324.10000000000002</v>
      </c>
      <c r="B347" s="2">
        <f t="shared" si="15"/>
        <v>523.71441937662235</v>
      </c>
      <c r="C347" s="2" cm="1">
        <f t="array" ref="C347">INDEX( ComputeThermoProps($A347, $B347, ParametersRange), 1, COLUMN()-2 )</f>
        <v>35.130885822952727</v>
      </c>
      <c r="M347" s="2" cm="1">
        <f t="array" ref="M347">INDEX( ComputeThermoProps($A347, $B347, ParametersRange), 1, COLUMN()-2 )</f>
        <v>26005.292719188365</v>
      </c>
      <c r="O347" s="2">
        <f t="shared" si="16"/>
        <v>2.7190945314525452</v>
      </c>
      <c r="P347" s="2">
        <f t="shared" si="17"/>
        <v>19248.982718365449</v>
      </c>
    </row>
    <row r="348" spans="1:16" x14ac:dyDescent="0.25">
      <c r="A348">
        <v>325.10000000000002</v>
      </c>
      <c r="B348" s="2">
        <f t="shared" si="15"/>
        <v>527.36178783778053</v>
      </c>
      <c r="C348" s="2" cm="1">
        <f t="array" ref="C348">INDEX( ComputeThermoProps($A348, $B348, ParametersRange), 1, COLUMN()-2 )</f>
        <v>35.11347613247807</v>
      </c>
      <c r="M348" s="2" cm="1">
        <f t="array" ref="M348">INDEX( ComputeThermoProps($A348, $B348, ParametersRange), 1, COLUMN()-2 )</f>
        <v>26147.644744731129</v>
      </c>
      <c r="O348" s="2">
        <f t="shared" si="16"/>
        <v>2.7221086580087608</v>
      </c>
      <c r="P348" s="2">
        <f t="shared" si="17"/>
        <v>19391.334743908214</v>
      </c>
    </row>
    <row r="349" spans="1:16" x14ac:dyDescent="0.25">
      <c r="A349">
        <v>326.10000000000002</v>
      </c>
      <c r="B349" s="2">
        <f t="shared" si="15"/>
        <v>531.01292158506942</v>
      </c>
      <c r="C349" s="2" cm="1">
        <f t="array" ref="C349">INDEX( ComputeThermoProps($A349, $B349, ParametersRange), 1, COLUMN()-2 )</f>
        <v>35.096107076263692</v>
      </c>
      <c r="M349" s="2" cm="1">
        <f t="array" ref="M349">INDEX( ComputeThermoProps($A349, $B349, ParametersRange), 1, COLUMN()-2 )</f>
        <v>26290.052540959095</v>
      </c>
      <c r="O349" s="2">
        <f t="shared" si="16"/>
        <v>2.7251050892637938</v>
      </c>
      <c r="P349" s="2">
        <f t="shared" si="17"/>
        <v>19533.74254013618</v>
      </c>
    </row>
    <row r="350" spans="1:16" x14ac:dyDescent="0.25">
      <c r="A350">
        <v>327.10000000000002</v>
      </c>
      <c r="B350" s="2">
        <f t="shared" si="15"/>
        <v>534.6678063075409</v>
      </c>
      <c r="C350" s="2" cm="1">
        <f t="array" ref="C350">INDEX( ComputeThermoProps($A350, $B350, ParametersRange), 1, COLUMN()-2 )</f>
        <v>35.078778491900387</v>
      </c>
      <c r="M350" s="2" cm="1">
        <f t="array" ref="M350">INDEX( ComputeThermoProps($A350, $B350, ParametersRange), 1, COLUMN()-2 )</f>
        <v>26432.515674934686</v>
      </c>
      <c r="O350" s="2">
        <f t="shared" si="16"/>
        <v>2.7280840349252693</v>
      </c>
      <c r="P350" s="2">
        <f t="shared" si="17"/>
        <v>19676.20567411177</v>
      </c>
    </row>
    <row r="351" spans="1:16" x14ac:dyDescent="0.25">
      <c r="A351">
        <v>328.1</v>
      </c>
      <c r="B351" s="2">
        <f t="shared" si="15"/>
        <v>538.32642782803941</v>
      </c>
      <c r="C351" s="2" cm="1">
        <f t="array" ref="C351">INDEX( ComputeThermoProps($A351, $B351, ParametersRange), 1, COLUMN()-2 )</f>
        <v>35.061490217308922</v>
      </c>
      <c r="M351" s="2" cm="1">
        <f t="array" ref="M351">INDEX( ComputeThermoProps($A351, $B351, ParametersRange), 1, COLUMN()-2 )</f>
        <v>26575.033718380761</v>
      </c>
      <c r="O351" s="2">
        <f t="shared" si="16"/>
        <v>2.7310457009714608</v>
      </c>
      <c r="P351" s="2">
        <f t="shared" si="17"/>
        <v>19818.723717557845</v>
      </c>
    </row>
    <row r="352" spans="1:16" x14ac:dyDescent="0.25">
      <c r="A352">
        <v>329.1</v>
      </c>
      <c r="B352" s="2">
        <f t="shared" si="15"/>
        <v>541.98877210121134</v>
      </c>
      <c r="C352" s="2" cm="1">
        <f t="array" ref="C352">INDEX( ComputeThermoProps($A352, $B352, ParametersRange), 1, COLUMN()-2 )</f>
        <v>35.044242090759518</v>
      </c>
      <c r="M352" s="2" cm="1">
        <f t="array" ref="M352">INDEX( ComputeThermoProps($A352, $B352, ParametersRange), 1, COLUMN()-2 )</f>
        <v>26717.60624760974</v>
      </c>
      <c r="O352" s="2">
        <f t="shared" si="16"/>
        <v>2.733990289739503</v>
      </c>
      <c r="P352" s="2">
        <f t="shared" si="17"/>
        <v>19961.296246786824</v>
      </c>
    </row>
    <row r="353" spans="1:16" x14ac:dyDescent="0.25">
      <c r="A353">
        <v>330.1</v>
      </c>
      <c r="B353" s="2">
        <f t="shared" si="15"/>
        <v>545.65482521154922</v>
      </c>
      <c r="C353" s="2" cm="1">
        <f t="array" ref="C353">INDEX( ComputeThermoProps($A353, $B353, ParametersRange), 1, COLUMN()-2 )</f>
        <v>35.027033950890377</v>
      </c>
      <c r="M353" s="2" cm="1">
        <f t="array" ref="M353">INDEX( ComputeThermoProps($A353, $B353, ParametersRange), 1, COLUMN()-2 )</f>
        <v>26860.23284345396</v>
      </c>
      <c r="O353" s="2">
        <f t="shared" si="16"/>
        <v>2.7369180000110029</v>
      </c>
      <c r="P353" s="2">
        <f t="shared" si="17"/>
        <v>20103.922842631044</v>
      </c>
    </row>
    <row r="354" spans="1:16" x14ac:dyDescent="0.25">
      <c r="A354">
        <v>331.1</v>
      </c>
      <c r="B354" s="2">
        <f t="shared" si="15"/>
        <v>549.32457337147764</v>
      </c>
      <c r="C354" s="2" cm="1">
        <f t="array" ref="C354">INDEX( ComputeThermoProps($A354, $B354, ParametersRange), 1, COLUMN()-2 )</f>
        <v>35.009865636725422</v>
      </c>
      <c r="M354" s="2" cm="1">
        <f t="array" ref="M354">INDEX( ComputeThermoProps($A354, $B354, ParametersRange), 1, COLUMN()-2 )</f>
        <v>27002.913091197453</v>
      </c>
      <c r="O354" s="2">
        <f t="shared" si="16"/>
        <v>2.7398290270951429</v>
      </c>
      <c r="P354" s="2">
        <f t="shared" si="17"/>
        <v>20246.603090374538</v>
      </c>
    </row>
    <row r="355" spans="1:16" x14ac:dyDescent="0.25">
      <c r="A355">
        <v>332.1</v>
      </c>
      <c r="B355" s="2">
        <f t="shared" si="15"/>
        <v>552.9980029194802</v>
      </c>
      <c r="C355" s="2" cm="1">
        <f t="array" ref="C355">INDEX( ComputeThermoProps($A355, $B355, ParametersRange), 1, COLUMN()-2 )</f>
        <v>34.99273698769116</v>
      </c>
      <c r="M355" s="2" cm="1">
        <f t="array" ref="M355">INDEX( ComputeThermoProps($A355, $B355, ParametersRange), 1, COLUMN()-2 )</f>
        <v>27145.646580509234</v>
      </c>
      <c r="O355" s="2">
        <f t="shared" si="16"/>
        <v>2.7427235629093714</v>
      </c>
      <c r="P355" s="2">
        <f t="shared" si="17"/>
        <v>20389.336579686318</v>
      </c>
    </row>
    <row r="356" spans="1:16" x14ac:dyDescent="0.25">
      <c r="A356">
        <v>333.1</v>
      </c>
      <c r="B356" s="2">
        <f t="shared" si="15"/>
        <v>556.67510031825918</v>
      </c>
      <c r="C356" s="2" cm="1">
        <f t="array" ref="C356">INDEX( ComputeThermoProps($A356, $B356, ParametersRange), 1, COLUMN()-2 )</f>
        <v>34.975647843632764</v>
      </c>
      <c r="M356" s="2" cm="1">
        <f t="array" ref="M356">INDEX( ComputeThermoProps($A356, $B356, ParametersRange), 1, COLUMN()-2 )</f>
        <v>27288.432905377667</v>
      </c>
      <c r="O356" s="2">
        <f t="shared" si="16"/>
        <v>2.7456017960577479</v>
      </c>
      <c r="P356" s="2">
        <f t="shared" si="17"/>
        <v>20532.122904554752</v>
      </c>
    </row>
    <row r="357" spans="1:16" x14ac:dyDescent="0.25">
      <c r="A357">
        <v>334.1</v>
      </c>
      <c r="B357" s="2">
        <f t="shared" si="15"/>
        <v>560.35585215293759</v>
      </c>
      <c r="C357" s="2" cm="1">
        <f t="array" ref="C357">INDEX( ComputeThermoProps($A357, $B357, ParametersRange), 1, COLUMN()-2 )</f>
        <v>34.958598044829394</v>
      </c>
      <c r="M357" s="2" cm="1">
        <f t="array" ref="M357">INDEX( ComputeThermoProps($A357, $B357, ParametersRange), 1, COLUMN()-2 )</f>
        <v>27431.271664046351</v>
      </c>
      <c r="O357" s="2">
        <f t="shared" si="16"/>
        <v>2.7484639119070455</v>
      </c>
      <c r="P357" s="2">
        <f t="shared" si="17"/>
        <v>20674.961663223436</v>
      </c>
    </row>
    <row r="358" spans="1:16" x14ac:dyDescent="0.25">
      <c r="A358">
        <v>335.1</v>
      </c>
      <c r="B358" s="2">
        <f t="shared" si="15"/>
        <v>564.04024512929197</v>
      </c>
      <c r="C358" s="2" cm="1">
        <f t="array" ref="C358">INDEX( ComputeThermoProps($A358, $B358, ParametersRange), 1, COLUMN()-2 )</f>
        <v>34.941587432008774</v>
      </c>
      <c r="M358" s="2" cm="1">
        <f t="array" ref="M358">INDEX( ComputeThermoProps($A358, $B358, ParametersRange), 1, COLUMN()-2 )</f>
        <v>27574.162458951079</v>
      </c>
      <c r="O358" s="2">
        <f t="shared" si="16"/>
        <v>2.7513100926606664</v>
      </c>
      <c r="P358" s="2">
        <f t="shared" si="17"/>
        <v>20817.852458128164</v>
      </c>
    </row>
    <row r="359" spans="1:16" x14ac:dyDescent="0.25">
      <c r="A359">
        <v>336.1</v>
      </c>
      <c r="B359" s="2">
        <f t="shared" si="15"/>
        <v>567.72826607202228</v>
      </c>
      <c r="C359" s="2" cm="1">
        <f t="array" ref="C359">INDEX( ComputeThermoProps($A359, $B359, ParametersRange), 1, COLUMN()-2 )</f>
        <v>34.924615846361085</v>
      </c>
      <c r="M359" s="2" cm="1">
        <f t="array" ref="M359">INDEX( ComputeThermoProps($A359, $B359, ParametersRange), 1, COLUMN()-2 )</f>
        <v>27717.10489665814</v>
      </c>
      <c r="O359" s="2">
        <f t="shared" si="16"/>
        <v>2.7541405174304603</v>
      </c>
      <c r="P359" s="2">
        <f t="shared" si="17"/>
        <v>20960.794895835224</v>
      </c>
    </row>
    <row r="360" spans="1:16" x14ac:dyDescent="0.25">
      <c r="A360">
        <v>337.1</v>
      </c>
      <c r="B360" s="2">
        <f t="shared" si="15"/>
        <v>571.41990192305741</v>
      </c>
      <c r="C360" s="2" cm="1">
        <f t="array" ref="C360">INDEX( ComputeThermoProps($A360, $B360, ParametersRange), 1, COLUMN()-2 )</f>
        <v>34.907683129552147</v>
      </c>
      <c r="M360" s="2" cm="1">
        <f t="array" ref="M360">INDEX( ComputeThermoProps($A360, $B360, ParametersRange), 1, COLUMN()-2 )</f>
        <v>27860.098587803801</v>
      </c>
      <c r="O360" s="2">
        <f t="shared" si="16"/>
        <v>2.7569553623065128</v>
      </c>
      <c r="P360" s="2">
        <f t="shared" si="17"/>
        <v>21103.788586980885</v>
      </c>
    </row>
    <row r="361" spans="1:16" x14ac:dyDescent="0.25">
      <c r="A361">
        <v>338.1</v>
      </c>
      <c r="B361" s="2">
        <f t="shared" si="15"/>
        <v>575.11513973989008</v>
      </c>
      <c r="C361" s="2" cm="1">
        <f t="array" ref="C361">INDEX( ComputeThermoProps($A361, $B361, ParametersRange), 1, COLUMN()-2 )</f>
        <v>34.890789123735956</v>
      </c>
      <c r="M361" s="2" cm="1">
        <f t="array" ref="M361">INDEX( ComputeThermoProps($A361, $B361, ParametersRange), 1, COLUMN()-2 )</f>
        <v>28003.14314703488</v>
      </c>
      <c r="O361" s="2">
        <f t="shared" si="16"/>
        <v>2.7597548004249672</v>
      </c>
      <c r="P361" s="2">
        <f t="shared" si="17"/>
        <v>21246.833146211964</v>
      </c>
    </row>
    <row r="362" spans="1:16" x14ac:dyDescent="0.25">
      <c r="A362">
        <v>339.1</v>
      </c>
      <c r="B362" s="2">
        <f t="shared" si="15"/>
        <v>578.81396669394701</v>
      </c>
      <c r="C362" s="2" cm="1">
        <f t="array" ref="C362">INDEX( ComputeThermoProps($A362, $B362, ParametersRange), 1, COLUMN()-2 )</f>
        <v>34.873933671566597</v>
      </c>
      <c r="M362" s="2" cm="1">
        <f t="array" ref="M362">INDEX( ComputeThermoProps($A362, $B362, ParametersRange), 1, COLUMN()-2 )</f>
        <v>28146.238192950546</v>
      </c>
      <c r="O362" s="2">
        <f t="shared" si="16"/>
        <v>2.7625390020339546</v>
      </c>
      <c r="P362" s="2">
        <f t="shared" si="17"/>
        <v>21389.928192127631</v>
      </c>
    </row>
    <row r="363" spans="1:16" x14ac:dyDescent="0.25">
      <c r="A363">
        <v>340.1</v>
      </c>
      <c r="B363" s="2">
        <f t="shared" si="15"/>
        <v>582.51637006899057</v>
      </c>
      <c r="C363" s="2" cm="1">
        <f t="array" ref="C363">INDEX( ComputeThermoProps($A363, $B363, ParametersRange), 1, COLUMN()-2 )</f>
        <v>34.857116616209574</v>
      </c>
      <c r="M363" s="2" cm="1">
        <f t="array" ref="M363">INDEX( ComputeThermoProps($A363, $B363, ParametersRange), 1, COLUMN()-2 )</f>
        <v>28289.383348045256</v>
      </c>
      <c r="O363" s="2">
        <f t="shared" si="16"/>
        <v>2.765308134557686</v>
      </c>
      <c r="P363" s="2">
        <f t="shared" si="17"/>
        <v>21533.07334722234</v>
      </c>
    </row>
    <row r="364" spans="1:16" x14ac:dyDescent="0.25">
      <c r="A364">
        <v>341.1</v>
      </c>
      <c r="B364" s="2">
        <f t="shared" si="15"/>
        <v>586.22233725954766</v>
      </c>
      <c r="C364" s="2" cm="1">
        <f t="array" ref="C364">INDEX( ComputeThermoProps($A364, $B364, ParametersRange), 1, COLUMN()-2 )</f>
        <v>34.840337801352483</v>
      </c>
      <c r="M364" s="2" cm="1">
        <f t="array" ref="M364">INDEX( ComputeThermoProps($A364, $B364, ParametersRange), 1, COLUMN()-2 )</f>
        <v>28432.578238652564</v>
      </c>
      <c r="O364" s="2">
        <f t="shared" si="16"/>
        <v>2.7680623626587777</v>
      </c>
      <c r="P364" s="2">
        <f t="shared" si="17"/>
        <v>21676.268237829649</v>
      </c>
    </row>
    <row r="365" spans="1:16" x14ac:dyDescent="0.25">
      <c r="A365">
        <v>342.1</v>
      </c>
      <c r="B365" s="2">
        <f t="shared" si="15"/>
        <v>589.93185576937424</v>
      </c>
      <c r="C365" s="2" cm="1">
        <f t="array" ref="C365">INDEX( ComputeThermoProps($A365, $B365, ParametersRange), 1, COLUMN()-2 )</f>
        <v>34.823597071215232</v>
      </c>
      <c r="M365" s="2" cm="1">
        <f t="array" ref="M365">INDEX( ComputeThermoProps($A365, $B365, ParametersRange), 1, COLUMN()-2 )</f>
        <v>28575.822494890326</v>
      </c>
      <c r="O365" s="2">
        <f t="shared" si="16"/>
        <v>2.7708018482988588</v>
      </c>
      <c r="P365" s="2">
        <f t="shared" si="17"/>
        <v>21819.51249406741</v>
      </c>
    </row>
    <row r="366" spans="1:16" x14ac:dyDescent="0.25">
      <c r="A366">
        <v>343.1</v>
      </c>
      <c r="B366" s="2">
        <f t="shared" si="15"/>
        <v>593.64491320994398</v>
      </c>
      <c r="C366" s="2" cm="1">
        <f t="array" ref="C366">INDEX( ComputeThermoProps($A366, $B366, ParametersRange), 1, COLUMN()-2 )</f>
        <v>34.806894270559603</v>
      </c>
      <c r="M366" s="2" cm="1">
        <f t="array" ref="M366">INDEX( ComputeThermoProps($A366, $B366, ParametersRange), 1, COLUMN()-2 )</f>
        <v>28719.115750606627</v>
      </c>
      <c r="O366" s="2">
        <f t="shared" si="16"/>
        <v>2.7735267507975232</v>
      </c>
      <c r="P366" s="2">
        <f t="shared" si="17"/>
        <v>21962.805749783711</v>
      </c>
    </row>
    <row r="367" spans="1:16" x14ac:dyDescent="0.25">
      <c r="A367">
        <v>344.1</v>
      </c>
      <c r="B367" s="2">
        <f t="shared" si="15"/>
        <v>597.3614972989692</v>
      </c>
      <c r="C367" s="2" cm="1">
        <f t="array" ref="C367">INDEX( ComputeThermoProps($A367, $B367, ParametersRange), 1, COLUMN()-2 )</f>
        <v>34.790229244698402</v>
      </c>
      <c r="M367" s="2" cm="1">
        <f t="array" ref="M367">INDEX( ComputeThermoProps($A367, $B367, ParametersRange), 1, COLUMN()-2 )</f>
        <v>28862.457643326939</v>
      </c>
      <c r="O367" s="2">
        <f t="shared" si="16"/>
        <v>2.77623722688968</v>
      </c>
      <c r="P367" s="2">
        <f t="shared" si="17"/>
        <v>22106.147642504024</v>
      </c>
    </row>
    <row r="368" spans="1:16" x14ac:dyDescent="0.25">
      <c r="A368">
        <v>345.1</v>
      </c>
      <c r="B368" s="2">
        <f t="shared" si="15"/>
        <v>601.08159585894691</v>
      </c>
      <c r="C368" s="2" cm="1">
        <f t="array" ref="C368">INDEX( ComputeThermoProps($A368, $B368, ParametersRange), 1, COLUMN()-2 )</f>
        <v>34.773601839504032</v>
      </c>
      <c r="M368" s="2" cm="1">
        <f t="array" ref="M368">INDEX( ComputeThermoProps($A368, $B368, ParametersRange), 1, COLUMN()-2 )</f>
        <v>29005.847814202119</v>
      </c>
      <c r="O368" s="2">
        <f t="shared" si="16"/>
        <v>2.7789334307813505</v>
      </c>
      <c r="P368" s="2">
        <f t="shared" si="17"/>
        <v>22249.537813379204</v>
      </c>
    </row>
    <row r="369" spans="1:16" x14ac:dyDescent="0.25">
      <c r="A369">
        <v>346.1</v>
      </c>
      <c r="B369" s="2">
        <f t="shared" si="15"/>
        <v>604.80519681573389</v>
      </c>
      <c r="C369" s="2" cm="1">
        <f t="array" ref="C369">INDEX( ComputeThermoProps($A369, $B369, ParametersRange), 1, COLUMN()-2 )</f>
        <v>34.757011901416625</v>
      </c>
      <c r="M369" s="2" cm="1">
        <f t="array" ref="M369">INDEX( ComputeThermoProps($A369, $B369, ParametersRange), 1, COLUMN()-2 )</f>
        <v>29149.285907957445</v>
      </c>
      <c r="O369" s="2">
        <f t="shared" si="16"/>
        <v>2.7816155142039638</v>
      </c>
      <c r="P369" s="2">
        <f t="shared" si="17"/>
        <v>22392.975907134529</v>
      </c>
    </row>
    <row r="370" spans="1:16" x14ac:dyDescent="0.25">
      <c r="A370">
        <v>347.1</v>
      </c>
      <c r="B370" s="2">
        <f t="shared" si="15"/>
        <v>608.53228819714764</v>
      </c>
      <c r="C370" s="2" cm="1">
        <f t="array" ref="C370">INDEX( ComputeThermoProps($A370, $B370, ParametersRange), 1, COLUMN()-2 )</f>
        <v>34.740459277451713</v>
      </c>
      <c r="M370" s="2" cm="1">
        <f t="array" ref="M370">INDEX( ComputeThermoProps($A370, $B370, ParametersRange), 1, COLUMN()-2 )</f>
        <v>29292.771572842601</v>
      </c>
      <c r="O370" s="2">
        <f t="shared" si="16"/>
        <v>2.7842836264672046</v>
      </c>
      <c r="P370" s="2">
        <f t="shared" si="17"/>
        <v>22536.461572019685</v>
      </c>
    </row>
    <row r="371" spans="1:16" x14ac:dyDescent="0.25">
      <c r="A371">
        <v>348.1</v>
      </c>
      <c r="B371" s="2">
        <f t="shared" si="15"/>
        <v>612.26285813159325</v>
      </c>
      <c r="C371" s="2" cm="1">
        <f t="array" ref="C371">INDEX( ComputeThermoProps($A371, $B371, ParametersRange), 1, COLUMN()-2 )</f>
        <v>34.723943815207427</v>
      </c>
      <c r="M371" s="2" cm="1">
        <f t="array" ref="M371">INDEX( ComputeThermoProps($A371, $B371, ParametersRange), 1, COLUMN()-2 )</f>
        <v>29436.30446058252</v>
      </c>
      <c r="O371" s="2">
        <f t="shared" si="16"/>
        <v>2.7869379145104487</v>
      </c>
      <c r="P371" s="2">
        <f t="shared" si="17"/>
        <v>22679.994459759604</v>
      </c>
    </row>
    <row r="372" spans="1:16" x14ac:dyDescent="0.25">
      <c r="A372">
        <v>349.1</v>
      </c>
      <c r="B372" s="2">
        <f t="shared" si="15"/>
        <v>615.99689484671592</v>
      </c>
      <c r="C372" s="2" cm="1">
        <f t="array" ref="C372">INDEX( ComputeThermoProps($A372, $B372, ParametersRange), 1, COLUMN()-2 )</f>
        <v>34.707465362871297</v>
      </c>
      <c r="M372" s="2" cm="1">
        <f t="array" ref="M372">INDEX( ComputeThermoProps($A372, $B372, ParametersRange), 1, COLUMN()-2 )</f>
        <v>29579.884226329181</v>
      </c>
      <c r="O372" s="2">
        <f t="shared" si="16"/>
        <v>2.7895785229528416</v>
      </c>
      <c r="P372" s="2">
        <f t="shared" si="17"/>
        <v>22823.574225506265</v>
      </c>
    </row>
    <row r="373" spans="1:16" x14ac:dyDescent="0.25">
      <c r="A373" s="2">
        <v>143</v>
      </c>
      <c r="B373" s="2">
        <f t="shared" si="15"/>
        <v>1.1707351779849324E-2</v>
      </c>
      <c r="M373" s="2" cm="1">
        <f t="array" ref="M373">INDEX( ComputeThermoProps($A373, $B373, ParametersRange), 1, COLUMN()-2 )</f>
        <v>3567.8408695288963</v>
      </c>
    </row>
    <row r="374" spans="1:16" x14ac:dyDescent="0.25">
      <c r="A374" s="2">
        <v>144</v>
      </c>
      <c r="B374" s="2">
        <f t="shared" si="15"/>
        <v>1.301302493088881E-2</v>
      </c>
      <c r="M374" s="2" cm="1">
        <f t="array" ref="M374">INDEX( ComputeThermoProps($A374, $B374, ParametersRange), 1, COLUMN()-2 )</f>
        <v>3602.0205654929159</v>
      </c>
    </row>
    <row r="375" spans="1:16" x14ac:dyDescent="0.25">
      <c r="A375" s="2">
        <v>145</v>
      </c>
      <c r="B375" s="2">
        <f t="shared" si="15"/>
        <v>1.4458962933298637E-2</v>
      </c>
      <c r="M375" s="2" cm="1">
        <f t="array" ref="M375">INDEX( ComputeThermoProps($A375, $B375, ParametersRange), 1, COLUMN()-2 )</f>
        <v>3636.3415380297729</v>
      </c>
    </row>
    <row r="376" spans="1:16" x14ac:dyDescent="0.25">
      <c r="A376" s="2">
        <v>146</v>
      </c>
      <c r="B376" s="2">
        <f t="shared" si="15"/>
        <v>1.6060306194794479E-2</v>
      </c>
      <c r="M376" s="2" cm="1">
        <f t="array" ref="M376">INDEX( ComputeThermoProps($A376, $B376, ParametersRange), 1, COLUMN()-2 )</f>
        <v>3670.8066286614685</v>
      </c>
    </row>
    <row r="377" spans="1:16" x14ac:dyDescent="0.25">
      <c r="A377" s="2">
        <v>147</v>
      </c>
      <c r="B377" s="2">
        <f t="shared" si="15"/>
        <v>1.7833950205205656E-2</v>
      </c>
      <c r="M377" s="2" cm="1">
        <f t="array" ref="M377">INDEX( ComputeThermoProps($A377, $B377, ParametersRange), 1, COLUMN()-2 )</f>
        <v>3705.4188189789406</v>
      </c>
    </row>
    <row r="378" spans="1:16" x14ac:dyDescent="0.25">
      <c r="A378" s="2">
        <v>148</v>
      </c>
      <c r="B378" s="2">
        <f t="shared" si="15"/>
        <v>1.9798785649906808E-2</v>
      </c>
      <c r="M378" s="2" cm="1">
        <f t="array" ref="M378">INDEX( ComputeThermoProps($A378, $B378, ParametersRange), 1, COLUMN()-2 )</f>
        <v>3740.1812420213232</v>
      </c>
    </row>
    <row r="379" spans="1:16" x14ac:dyDescent="0.25">
      <c r="A379" s="2">
        <v>149</v>
      </c>
      <c r="B379" s="2">
        <f t="shared" si="15"/>
        <v>2.1975981704616367E-2</v>
      </c>
      <c r="M379" s="2" cm="1">
        <f t="array" ref="M379">INDEX( ComputeThermoProps($A379, $B379, ParametersRange), 1, COLUMN()-2 )</f>
        <v>3775.0971952141495</v>
      </c>
    </row>
    <row r="380" spans="1:16" x14ac:dyDescent="0.25">
      <c r="A380" s="2">
        <v>150</v>
      </c>
      <c r="B380" s="2">
        <f t="shared" si="15"/>
        <v>2.4389323540726874E-2</v>
      </c>
      <c r="M380" s="2" cm="1">
        <f t="array" ref="M380">INDEX( ComputeThermoProps($A380, $B380, ParametersRange), 1, COLUMN()-2 )</f>
        <v>3810.1701552179302</v>
      </c>
    </row>
    <row r="381" spans="1:16" x14ac:dyDescent="0.25">
      <c r="A381" s="2">
        <v>151</v>
      </c>
      <c r="B381" s="2">
        <f t="shared" si="15"/>
        <v>2.7065619126217719E-2</v>
      </c>
      <c r="M381" s="2" cm="1">
        <f t="array" ref="M381">INDEX( ComputeThermoProps($A381, $B381, ParametersRange), 1, COLUMN()-2 )</f>
        <v>3845.4037951635528</v>
      </c>
    </row>
    <row r="382" spans="1:16" x14ac:dyDescent="0.25">
      <c r="A382" s="2">
        <v>152</v>
      </c>
      <c r="B382" s="2">
        <f t="shared" si="15"/>
        <v>3.0035196546943418E-2</v>
      </c>
      <c r="M382" s="2" cm="1">
        <f t="array" ref="M382">INDEX( ComputeThermoProps($A382, $B382, ParametersRange), 1, COLUMN()-2 )</f>
        <v>3880.8020049400975</v>
      </c>
    </row>
    <row r="383" spans="1:16" x14ac:dyDescent="0.25">
      <c r="A383" s="2">
        <v>153</v>
      </c>
      <c r="B383" s="2">
        <f t="shared" si="15"/>
        <v>3.3332522739187416E-2</v>
      </c>
      <c r="M383" s="2" cm="1">
        <f t="array" ref="M383">INDEX( ComputeThermoProps($A383, $B383, ParametersRange), 1, COLUMN()-2 )</f>
        <v>3916.3689154988892</v>
      </c>
    </row>
    <row r="384" spans="1:16" x14ac:dyDescent="0.25">
      <c r="A384" s="2">
        <v>154</v>
      </c>
      <c r="B384" s="2">
        <f t="shared" si="15"/>
        <v>3.6996990471587353E-2</v>
      </c>
      <c r="M384" s="2" cm="1">
        <f t="array" ref="M384">INDEX( ComputeThermoProps($A384, $B384, ParametersRange), 1, COLUMN()-2 )</f>
        <v>3952.1089286298743</v>
      </c>
    </row>
    <row r="385" spans="1:13" x14ac:dyDescent="0.25">
      <c r="A385" s="2">
        <v>155</v>
      </c>
      <c r="B385" s="2">
        <f t="shared" si="15"/>
        <v>4.1073948261610302E-2</v>
      </c>
      <c r="M385" s="2" cm="1">
        <f t="array" ref="M385">INDEX( ComputeThermoProps($A385, $B385, ParametersRange), 1, COLUMN()-2 )</f>
        <v>3988.0267545280199</v>
      </c>
    </row>
    <row r="386" spans="1:13" x14ac:dyDescent="0.25">
      <c r="A386" s="2">
        <v>156</v>
      </c>
      <c r="B386" s="2">
        <f t="shared" si="15"/>
        <v>4.5616100080424445E-2</v>
      </c>
      <c r="M386" s="2" cm="1">
        <f t="array" ref="M386">INDEX( ComputeThermoProps($A386, $B386, ParametersRange), 1, COLUMN()-2 )</f>
        <v>4024.1274610848982</v>
      </c>
    </row>
    <row r="387" spans="1:13" x14ac:dyDescent="0.25">
      <c r="A387" s="2">
        <v>157</v>
      </c>
      <c r="B387" s="2">
        <f t="shared" si="15"/>
        <v>5.068550858492072E-2</v>
      </c>
      <c r="M387" s="2" cm="1">
        <f t="array" ref="M387">INDEX( ComputeThermoProps($A387, $B387, ParametersRange), 1, COLUMN()-2 )</f>
        <v>4060.4165421629641</v>
      </c>
    </row>
    <row r="388" spans="1:13" x14ac:dyDescent="0.25">
      <c r="A388" s="2">
        <v>158</v>
      </c>
      <c r="B388" s="2">
        <f t="shared" si="15"/>
        <v>5.6356682159955616E-2</v>
      </c>
      <c r="M388" s="2" cm="1">
        <f t="array" ref="M388">INDEX( ComputeThermoProps($A388, $B388, ParametersRange), 1, COLUMN()-2 )</f>
        <v>4096.9000197922833</v>
      </c>
    </row>
    <row r="389" spans="1:13" x14ac:dyDescent="0.25">
      <c r="A389" s="2">
        <v>159</v>
      </c>
      <c r="B389" s="2">
        <f t="shared" si="15"/>
        <v>6.2721897785878097E-2</v>
      </c>
      <c r="M389" s="2" cm="1">
        <f t="array" ref="M389">INDEX( ComputeThermoProps($A389, $B389, ParametersRange), 1, COLUMN()-2 )</f>
        <v>4133.5846162126945</v>
      </c>
    </row>
    <row r="390" spans="1:13" x14ac:dyDescent="0.25">
      <c r="A390" s="2">
        <v>160</v>
      </c>
      <c r="B390" s="2">
        <f t="shared" si="15"/>
        <v>6.9902283915377478E-2</v>
      </c>
      <c r="M390" s="2" cm="1">
        <f t="array" ref="M390">INDEX( ComputeThermoProps($A390, $B390, ParametersRange), 1, COLUMN()-2 )</f>
        <v>4170.478105959377</v>
      </c>
    </row>
    <row r="391" spans="1:13" x14ac:dyDescent="0.25">
      <c r="A391" s="2">
        <v>161</v>
      </c>
      <c r="B391" s="2">
        <f t="shared" si="15"/>
        <v>7.8082232964026776E-2</v>
      </c>
      <c r="M391" s="2" cm="1">
        <f t="array" ref="M391">INDEX( ComputeThermoProps($A391, $B391, ParametersRange), 1, COLUMN()-2 )</f>
        <v>4207.590399017794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Parameters</vt:lpstr>
      <vt:lpstr>Inputs</vt:lpstr>
      <vt:lpstr>Outputs</vt:lpstr>
      <vt:lpstr>Sweep</vt:lpstr>
      <vt:lpstr>Ht_REFPROP</vt:lpstr>
      <vt:lpstr>p_in</vt:lpstr>
      <vt:lpstr>ParametersRange</vt:lpstr>
      <vt:lpstr>St_REFPROP</vt:lpstr>
      <vt:lpstr>T_in</vt:lpstr>
      <vt:lpstr>Tt_REF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2025-10-05T08:15:46Z</dcterms:modified>
</cp:coreProperties>
</file>