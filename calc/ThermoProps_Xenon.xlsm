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325" documentId="8_{B0C8A4BE-9622-4CEE-91F7-C2B4B71EBE2F}" xr6:coauthVersionLast="47" xr6:coauthVersionMax="47" xr10:uidLastSave="{27C58122-9AC6-402C-9649-EF43DFD91FA6}"/>
  <bookViews>
    <workbookView xWindow="-12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p_in">Inputs!$B$3</definedName>
    <definedName name="ParametersRange">Parameters!$B$2:$B$32</definedName>
    <definedName name="T_in">Inputs!$B$2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8" i="4" l="1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C218" i="4" a="1"/>
  <c r="C224" i="4" a="1"/>
  <c r="C230" i="4" a="1"/>
  <c r="C236" i="4" a="1"/>
  <c r="C242" i="4" a="1"/>
  <c r="C248" i="4" a="1"/>
  <c r="C254" i="4" a="1"/>
  <c r="C260" i="4" a="1"/>
  <c r="C266" i="4" a="1"/>
  <c r="C272" i="4" a="1"/>
  <c r="C278" i="4" a="1"/>
  <c r="C284" i="4" a="1"/>
  <c r="C290" i="4" a="1"/>
  <c r="C296" i="4" a="1"/>
  <c r="C302" i="4" a="1"/>
  <c r="C308" i="4" a="1"/>
  <c r="C314" i="4" a="1"/>
  <c r="C320" i="4" a="1"/>
  <c r="C326" i="4" a="1"/>
  <c r="C332" i="4" a="1"/>
  <c r="C344" i="4" a="1"/>
  <c r="C350" i="4" a="1"/>
  <c r="C356" i="4" a="1"/>
  <c r="C362" i="4" a="1"/>
  <c r="C357" i="4" a="1"/>
  <c r="C240" i="4" a="1"/>
  <c r="C324" i="4" a="1"/>
  <c r="C253" i="4" a="1"/>
  <c r="C307" i="4" a="1"/>
  <c r="C343" i="4" a="1"/>
  <c r="C309" i="4" a="1"/>
  <c r="C219" i="4" a="1"/>
  <c r="C225" i="4" a="1"/>
  <c r="C231" i="4" a="1"/>
  <c r="C237" i="4" a="1"/>
  <c r="C243" i="4" a="1"/>
  <c r="C249" i="4" a="1"/>
  <c r="C255" i="4" a="1"/>
  <c r="C261" i="4" a="1"/>
  <c r="C267" i="4" a="1"/>
  <c r="C273" i="4" a="1"/>
  <c r="C279" i="4" a="1"/>
  <c r="C285" i="4" a="1"/>
  <c r="C291" i="4" a="1"/>
  <c r="C297" i="4" a="1"/>
  <c r="C303" i="4" a="1"/>
  <c r="C315" i="4" a="1"/>
  <c r="C321" i="4" a="1"/>
  <c r="C327" i="4" a="1"/>
  <c r="C333" i="4" a="1"/>
  <c r="C339" i="4" a="1"/>
  <c r="C345" i="4" a="1"/>
  <c r="C351" i="4" a="1"/>
  <c r="C363" i="4" a="1"/>
  <c r="C270" i="4" a="1"/>
  <c r="C348" i="4" a="1"/>
  <c r="C271" i="4" a="1"/>
  <c r="C319" i="4" a="1"/>
  <c r="C361" i="4" a="1"/>
  <c r="C328" i="4" a="1"/>
  <c r="C365" i="4" a="1"/>
  <c r="C264" i="4" a="1"/>
  <c r="C288" i="4" a="1"/>
  <c r="C330" i="4" a="1"/>
  <c r="C360" i="4" a="1"/>
  <c r="C259" i="4" a="1"/>
  <c r="C301" i="4" a="1"/>
  <c r="C337" i="4" a="1"/>
  <c r="C220" i="4" a="1"/>
  <c r="C226" i="4" a="1"/>
  <c r="C232" i="4" a="1"/>
  <c r="C238" i="4" a="1"/>
  <c r="C244" i="4" a="1"/>
  <c r="C250" i="4" a="1"/>
  <c r="C256" i="4" a="1"/>
  <c r="C262" i="4" a="1"/>
  <c r="C268" i="4" a="1"/>
  <c r="C274" i="4" a="1"/>
  <c r="C280" i="4" a="1"/>
  <c r="C286" i="4" a="1"/>
  <c r="C292" i="4" a="1"/>
  <c r="C298" i="4" a="1"/>
  <c r="C304" i="4" a="1"/>
  <c r="C310" i="4" a="1"/>
  <c r="C316" i="4" a="1"/>
  <c r="C322" i="4" a="1"/>
  <c r="C334" i="4" a="1"/>
  <c r="C340" i="4" a="1"/>
  <c r="C346" i="4" a="1"/>
  <c r="C352" i="4" a="1"/>
  <c r="C358" i="4" a="1"/>
  <c r="C364" i="4" a="1"/>
  <c r="C353" i="4" a="1"/>
  <c r="C246" i="4" a="1"/>
  <c r="C306" i="4" a="1"/>
  <c r="C366" i="4" a="1"/>
  <c r="C247" i="4" a="1"/>
  <c r="C295" i="4" a="1"/>
  <c r="C355" i="4" a="1"/>
  <c r="C281" i="4" a="1"/>
  <c r="C329" i="4" a="1"/>
  <c r="C347" i="4" a="1"/>
  <c r="C258" i="4" a="1"/>
  <c r="C294" i="4" a="1"/>
  <c r="C336" i="4" a="1"/>
  <c r="C241" i="4" a="1"/>
  <c r="C289" i="4" a="1"/>
  <c r="C349" i="4" a="1"/>
  <c r="C221" i="4" a="1"/>
  <c r="C227" i="4" a="1"/>
  <c r="C233" i="4" a="1"/>
  <c r="C239" i="4" a="1"/>
  <c r="C245" i="4" a="1"/>
  <c r="C251" i="4" a="1"/>
  <c r="C257" i="4" a="1"/>
  <c r="C263" i="4" a="1"/>
  <c r="C269" i="4" a="1"/>
  <c r="C275" i="4" a="1"/>
  <c r="C287" i="4" a="1"/>
  <c r="C293" i="4" a="1"/>
  <c r="C299" i="4" a="1"/>
  <c r="C305" i="4" a="1"/>
  <c r="C311" i="4" a="1"/>
  <c r="C317" i="4" a="1"/>
  <c r="C323" i="4" a="1"/>
  <c r="C335" i="4" a="1"/>
  <c r="C341" i="4" a="1"/>
  <c r="C359" i="4" a="1"/>
  <c r="C276" i="4" a="1"/>
  <c r="C312" i="4" a="1"/>
  <c r="C354" i="4" a="1"/>
  <c r="C229" i="4" a="1"/>
  <c r="C277" i="4" a="1"/>
  <c r="C325" i="4" a="1"/>
  <c r="C367" i="4" a="1"/>
  <c r="C222" i="4" a="1"/>
  <c r="C228" i="4" a="1"/>
  <c r="C252" i="4" a="1"/>
  <c r="C282" i="4" a="1"/>
  <c r="C318" i="4" a="1"/>
  <c r="C265" i="4" a="1"/>
  <c r="C313" i="4" a="1"/>
  <c r="C223" i="4" a="1"/>
  <c r="C338" i="4" a="1"/>
  <c r="C234" i="4" a="1"/>
  <c r="C300" i="4" a="1"/>
  <c r="C342" i="4" a="1"/>
  <c r="C235" i="4" a="1"/>
  <c r="C283" i="4" a="1"/>
  <c r="C331" i="4" a="1"/>
  <c r="C331" i="4" l="1"/>
  <c r="C283" i="4"/>
  <c r="C235" i="4"/>
  <c r="C342" i="4"/>
  <c r="C300" i="4"/>
  <c r="C234" i="4"/>
  <c r="C338" i="4"/>
  <c r="C223" i="4"/>
  <c r="C313" i="4"/>
  <c r="C265" i="4"/>
  <c r="C318" i="4"/>
  <c r="C282" i="4"/>
  <c r="C252" i="4"/>
  <c r="C228" i="4"/>
  <c r="C222" i="4"/>
  <c r="C367" i="4"/>
  <c r="C325" i="4"/>
  <c r="C277" i="4"/>
  <c r="C229" i="4"/>
  <c r="C354" i="4"/>
  <c r="C312" i="4"/>
  <c r="C276" i="4"/>
  <c r="C359" i="4"/>
  <c r="C341" i="4"/>
  <c r="C335" i="4"/>
  <c r="C323" i="4"/>
  <c r="C317" i="4"/>
  <c r="C311" i="4"/>
  <c r="C305" i="4"/>
  <c r="C299" i="4"/>
  <c r="C293" i="4"/>
  <c r="C287" i="4"/>
  <c r="C275" i="4"/>
  <c r="C269" i="4"/>
  <c r="C263" i="4"/>
  <c r="C257" i="4"/>
  <c r="C251" i="4"/>
  <c r="C245" i="4"/>
  <c r="C239" i="4"/>
  <c r="C233" i="4"/>
  <c r="C227" i="4"/>
  <c r="C221" i="4"/>
  <c r="C349" i="4"/>
  <c r="C289" i="4"/>
  <c r="C241" i="4"/>
  <c r="C336" i="4"/>
  <c r="C294" i="4"/>
  <c r="C258" i="4"/>
  <c r="C347" i="4"/>
  <c r="C329" i="4"/>
  <c r="C281" i="4"/>
  <c r="C355" i="4"/>
  <c r="C295" i="4"/>
  <c r="C247" i="4"/>
  <c r="C366" i="4"/>
  <c r="C306" i="4"/>
  <c r="C246" i="4"/>
  <c r="C353" i="4"/>
  <c r="C364" i="4"/>
  <c r="C358" i="4"/>
  <c r="C352" i="4"/>
  <c r="C346" i="4"/>
  <c r="C340" i="4"/>
  <c r="C334" i="4"/>
  <c r="C322" i="4"/>
  <c r="C316" i="4"/>
  <c r="C310" i="4"/>
  <c r="C304" i="4"/>
  <c r="C298" i="4"/>
  <c r="C292" i="4"/>
  <c r="C286" i="4"/>
  <c r="C280" i="4"/>
  <c r="C274" i="4"/>
  <c r="C268" i="4"/>
  <c r="C262" i="4"/>
  <c r="C256" i="4"/>
  <c r="C250" i="4"/>
  <c r="C244" i="4"/>
  <c r="C238" i="4"/>
  <c r="C232" i="4"/>
  <c r="C226" i="4"/>
  <c r="C220" i="4"/>
  <c r="C337" i="4"/>
  <c r="C301" i="4"/>
  <c r="C259" i="4"/>
  <c r="C360" i="4"/>
  <c r="C330" i="4"/>
  <c r="C288" i="4"/>
  <c r="C264" i="4"/>
  <c r="C365" i="4"/>
  <c r="C328" i="4"/>
  <c r="C361" i="4"/>
  <c r="C319" i="4"/>
  <c r="C271" i="4"/>
  <c r="C348" i="4"/>
  <c r="C270" i="4"/>
  <c r="C363" i="4"/>
  <c r="C351" i="4"/>
  <c r="C345" i="4"/>
  <c r="C339" i="4"/>
  <c r="C333" i="4"/>
  <c r="C327" i="4"/>
  <c r="C321" i="4"/>
  <c r="C315" i="4"/>
  <c r="C303" i="4"/>
  <c r="C297" i="4"/>
  <c r="C291" i="4"/>
  <c r="C285" i="4"/>
  <c r="C279" i="4"/>
  <c r="C273" i="4"/>
  <c r="C267" i="4"/>
  <c r="C261" i="4"/>
  <c r="C255" i="4"/>
  <c r="C249" i="4"/>
  <c r="C243" i="4"/>
  <c r="C237" i="4"/>
  <c r="C231" i="4"/>
  <c r="C225" i="4"/>
  <c r="C219" i="4"/>
  <c r="C309" i="4"/>
  <c r="C343" i="4"/>
  <c r="C307" i="4"/>
  <c r="C253" i="4"/>
  <c r="C324" i="4"/>
  <c r="C240" i="4"/>
  <c r="C357" i="4"/>
  <c r="C362" i="4"/>
  <c r="C356" i="4"/>
  <c r="C350" i="4"/>
  <c r="C344" i="4"/>
  <c r="C332" i="4"/>
  <c r="C326" i="4"/>
  <c r="C320" i="4"/>
  <c r="C314" i="4"/>
  <c r="C308" i="4"/>
  <c r="C302" i="4"/>
  <c r="C296" i="4"/>
  <c r="C290" i="4"/>
  <c r="C284" i="4"/>
  <c r="C278" i="4"/>
  <c r="C272" i="4"/>
  <c r="C266" i="4"/>
  <c r="C260" i="4"/>
  <c r="C254" i="4"/>
  <c r="C248" i="4"/>
  <c r="C242" i="4"/>
  <c r="C236" i="4"/>
  <c r="C230" i="4"/>
  <c r="C224" i="4"/>
  <c r="C218" i="4"/>
  <c r="A18" i="4" a="1"/>
  <c r="B3" i="3"/>
  <c r="B7" i="3"/>
  <c r="B11" i="3"/>
  <c r="B5" i="3"/>
  <c r="B6" i="3"/>
  <c r="B12" i="3"/>
  <c r="B4" i="3"/>
  <c r="B9" i="3"/>
  <c r="B16" i="3"/>
  <c r="B2" i="3"/>
  <c r="B8" i="3"/>
  <c r="B10" i="3"/>
  <c r="B13" i="3"/>
  <c r="A18" i="4" l="1"/>
  <c r="B18" i="4" s="1"/>
  <c r="B122" i="4"/>
  <c r="B134" i="4"/>
  <c r="B146" i="4"/>
  <c r="B158" i="4"/>
  <c r="B170" i="4"/>
  <c r="B182" i="4"/>
  <c r="B194" i="4"/>
  <c r="B206" i="4"/>
  <c r="B177" i="4"/>
  <c r="B129" i="4"/>
  <c r="B200" i="4"/>
  <c r="B164" i="4"/>
  <c r="B187" i="4"/>
  <c r="B139" i="4"/>
  <c r="B210" i="4"/>
  <c r="B174" i="4"/>
  <c r="B126" i="4"/>
  <c r="B197" i="4"/>
  <c r="B161" i="4"/>
  <c r="B208" i="4"/>
  <c r="B184" i="4"/>
  <c r="B160" i="4"/>
  <c r="B136" i="4"/>
  <c r="B124" i="4"/>
  <c r="B217" i="4"/>
  <c r="B205" i="4"/>
  <c r="B193" i="4"/>
  <c r="B181" i="4"/>
  <c r="B169" i="4"/>
  <c r="B157" i="4"/>
  <c r="B145" i="4"/>
  <c r="B133" i="4"/>
  <c r="B121" i="4"/>
  <c r="B213" i="4"/>
  <c r="B153" i="4"/>
  <c r="B152" i="4"/>
  <c r="B189" i="4"/>
  <c r="B141" i="4"/>
  <c r="B188" i="4"/>
  <c r="B140" i="4"/>
  <c r="B211" i="4"/>
  <c r="B163" i="4"/>
  <c r="B151" i="4"/>
  <c r="B186" i="4"/>
  <c r="B150" i="4"/>
  <c r="B185" i="4"/>
  <c r="B137" i="4"/>
  <c r="B216" i="4"/>
  <c r="B204" i="4"/>
  <c r="B192" i="4"/>
  <c r="B180" i="4"/>
  <c r="B168" i="4"/>
  <c r="B156" i="4"/>
  <c r="B144" i="4"/>
  <c r="B132" i="4"/>
  <c r="B120" i="4"/>
  <c r="B215" i="4"/>
  <c r="B203" i="4"/>
  <c r="B191" i="4"/>
  <c r="B179" i="4"/>
  <c r="B167" i="4"/>
  <c r="B155" i="4"/>
  <c r="B143" i="4"/>
  <c r="B131" i="4"/>
  <c r="B119" i="4"/>
  <c r="B201" i="4"/>
  <c r="B165" i="4"/>
  <c r="B214" i="4"/>
  <c r="B202" i="4"/>
  <c r="B190" i="4"/>
  <c r="B178" i="4"/>
  <c r="B166" i="4"/>
  <c r="B154" i="4"/>
  <c r="B142" i="4"/>
  <c r="B130" i="4"/>
  <c r="B118" i="4"/>
  <c r="B212" i="4"/>
  <c r="B176" i="4"/>
  <c r="B128" i="4"/>
  <c r="B199" i="4"/>
  <c r="B175" i="4"/>
  <c r="B127" i="4"/>
  <c r="B198" i="4"/>
  <c r="B162" i="4"/>
  <c r="B138" i="4"/>
  <c r="B209" i="4"/>
  <c r="B173" i="4"/>
  <c r="B149" i="4"/>
  <c r="B125" i="4"/>
  <c r="B196" i="4"/>
  <c r="B172" i="4"/>
  <c r="B148" i="4"/>
  <c r="B207" i="4"/>
  <c r="B195" i="4"/>
  <c r="B183" i="4"/>
  <c r="B171" i="4"/>
  <c r="B159" i="4"/>
  <c r="B147" i="4"/>
  <c r="B135" i="4"/>
  <c r="B123" i="4"/>
  <c r="B76" i="4"/>
  <c r="O76" i="4" s="1"/>
  <c r="B99" i="4"/>
  <c r="O99" i="4" s="1"/>
  <c r="B114" i="4"/>
  <c r="O114" i="4" s="1"/>
  <c r="B102" i="4"/>
  <c r="O102" i="4" s="1"/>
  <c r="B90" i="4"/>
  <c r="O90" i="4" s="1"/>
  <c r="B78" i="4"/>
  <c r="O78" i="4" s="1"/>
  <c r="B66" i="4"/>
  <c r="O66" i="4" s="1"/>
  <c r="B54" i="4"/>
  <c r="O54" i="4" s="1"/>
  <c r="B42" i="4"/>
  <c r="O42" i="4" s="1"/>
  <c r="B30" i="4"/>
  <c r="O30" i="4" s="1"/>
  <c r="B112" i="4"/>
  <c r="O112" i="4" s="1"/>
  <c r="B40" i="4"/>
  <c r="O40" i="4" s="1"/>
  <c r="B63" i="4"/>
  <c r="O63" i="4" s="1"/>
  <c r="B113" i="4"/>
  <c r="O113" i="4" s="1"/>
  <c r="B101" i="4"/>
  <c r="O101" i="4" s="1"/>
  <c r="B89" i="4"/>
  <c r="O89" i="4" s="1"/>
  <c r="B77" i="4"/>
  <c r="O77" i="4" s="1"/>
  <c r="B65" i="4"/>
  <c r="O65" i="4" s="1"/>
  <c r="B53" i="4"/>
  <c r="O53" i="4" s="1"/>
  <c r="B41" i="4"/>
  <c r="O41" i="4" s="1"/>
  <c r="B29" i="4"/>
  <c r="O29" i="4" s="1"/>
  <c r="B28" i="4"/>
  <c r="O28" i="4" s="1"/>
  <c r="B88" i="4"/>
  <c r="O88" i="4" s="1"/>
  <c r="B52" i="4"/>
  <c r="O52" i="4" s="1"/>
  <c r="B75" i="4"/>
  <c r="O75" i="4" s="1"/>
  <c r="B39" i="4"/>
  <c r="O39" i="4" s="1"/>
  <c r="B110" i="4"/>
  <c r="O110" i="4" s="1"/>
  <c r="B86" i="4"/>
  <c r="O86" i="4" s="1"/>
  <c r="B62" i="4"/>
  <c r="O62" i="4" s="1"/>
  <c r="B38" i="4"/>
  <c r="O38" i="4" s="1"/>
  <c r="B109" i="4"/>
  <c r="O109" i="4" s="1"/>
  <c r="B85" i="4"/>
  <c r="O85" i="4" s="1"/>
  <c r="B61" i="4"/>
  <c r="O61" i="4" s="1"/>
  <c r="B37" i="4"/>
  <c r="O37" i="4" s="1"/>
  <c r="B108" i="4"/>
  <c r="O108" i="4" s="1"/>
  <c r="B72" i="4"/>
  <c r="O72" i="4" s="1"/>
  <c r="B60" i="4"/>
  <c r="O60" i="4" s="1"/>
  <c r="B36" i="4"/>
  <c r="O36" i="4" s="1"/>
  <c r="B95" i="4"/>
  <c r="O95" i="4" s="1"/>
  <c r="B59" i="4"/>
  <c r="O59" i="4" s="1"/>
  <c r="B35" i="4"/>
  <c r="O35" i="4" s="1"/>
  <c r="B82" i="4"/>
  <c r="O82" i="4" s="1"/>
  <c r="B46" i="4"/>
  <c r="O46" i="4" s="1"/>
  <c r="B22" i="4"/>
  <c r="O22" i="4" s="1"/>
  <c r="B117" i="4"/>
  <c r="O117" i="4" s="1"/>
  <c r="B105" i="4"/>
  <c r="O105" i="4" s="1"/>
  <c r="B93" i="4"/>
  <c r="O93" i="4" s="1"/>
  <c r="B81" i="4"/>
  <c r="O81" i="4" s="1"/>
  <c r="B69" i="4"/>
  <c r="O69" i="4" s="1"/>
  <c r="B57" i="4"/>
  <c r="O57" i="4" s="1"/>
  <c r="B45" i="4"/>
  <c r="O45" i="4" s="1"/>
  <c r="B33" i="4"/>
  <c r="O33" i="4" s="1"/>
  <c r="B21" i="4"/>
  <c r="O21" i="4" s="1"/>
  <c r="B83" i="4"/>
  <c r="O83" i="4" s="1"/>
  <c r="B94" i="4"/>
  <c r="O94" i="4" s="1"/>
  <c r="B58" i="4"/>
  <c r="O58" i="4" s="1"/>
  <c r="B34" i="4"/>
  <c r="O34" i="4" s="1"/>
  <c r="B116" i="4"/>
  <c r="O116" i="4" s="1"/>
  <c r="B104" i="4"/>
  <c r="O104" i="4" s="1"/>
  <c r="B92" i="4"/>
  <c r="O92" i="4" s="1"/>
  <c r="B80" i="4"/>
  <c r="O80" i="4" s="1"/>
  <c r="B68" i="4"/>
  <c r="O68" i="4" s="1"/>
  <c r="B56" i="4"/>
  <c r="O56" i="4" s="1"/>
  <c r="B44" i="4"/>
  <c r="O44" i="4" s="1"/>
  <c r="B32" i="4"/>
  <c r="O32" i="4" s="1"/>
  <c r="B20" i="4"/>
  <c r="O20" i="4" s="1"/>
  <c r="B100" i="4"/>
  <c r="O100" i="4" s="1"/>
  <c r="B64" i="4"/>
  <c r="O64" i="4" s="1"/>
  <c r="B111" i="4"/>
  <c r="O111" i="4" s="1"/>
  <c r="B87" i="4"/>
  <c r="O87" i="4" s="1"/>
  <c r="B51" i="4"/>
  <c r="O51" i="4" s="1"/>
  <c r="B27" i="4"/>
  <c r="O27" i="4" s="1"/>
  <c r="B98" i="4"/>
  <c r="O98" i="4" s="1"/>
  <c r="B74" i="4"/>
  <c r="O74" i="4" s="1"/>
  <c r="B50" i="4"/>
  <c r="O50" i="4" s="1"/>
  <c r="B26" i="4"/>
  <c r="O26" i="4" s="1"/>
  <c r="B97" i="4"/>
  <c r="O97" i="4" s="1"/>
  <c r="B73" i="4"/>
  <c r="O73" i="4" s="1"/>
  <c r="B49" i="4"/>
  <c r="O49" i="4" s="1"/>
  <c r="B25" i="4"/>
  <c r="O25" i="4" s="1"/>
  <c r="B96" i="4"/>
  <c r="O96" i="4" s="1"/>
  <c r="B84" i="4"/>
  <c r="O84" i="4" s="1"/>
  <c r="B48" i="4"/>
  <c r="O48" i="4" s="1"/>
  <c r="B24" i="4"/>
  <c r="O24" i="4" s="1"/>
  <c r="B107" i="4"/>
  <c r="O107" i="4" s="1"/>
  <c r="B71" i="4"/>
  <c r="O71" i="4" s="1"/>
  <c r="B47" i="4"/>
  <c r="O47" i="4" s="1"/>
  <c r="B23" i="4"/>
  <c r="O23" i="4" s="1"/>
  <c r="B106" i="4"/>
  <c r="O106" i="4" s="1"/>
  <c r="B70" i="4"/>
  <c r="O70" i="4" s="1"/>
  <c r="B115" i="4"/>
  <c r="O115" i="4" s="1"/>
  <c r="B103" i="4"/>
  <c r="O103" i="4" s="1"/>
  <c r="B91" i="4"/>
  <c r="O91" i="4" s="1"/>
  <c r="B79" i="4"/>
  <c r="O79" i="4" s="1"/>
  <c r="B67" i="4"/>
  <c r="O67" i="4" s="1"/>
  <c r="B55" i="4"/>
  <c r="O55" i="4" s="1"/>
  <c r="B43" i="4"/>
  <c r="O43" i="4" s="1"/>
  <c r="B31" i="4"/>
  <c r="O31" i="4" s="1"/>
  <c r="B19" i="4"/>
  <c r="O19" i="4" s="1"/>
  <c r="E18" i="4" a="1"/>
  <c r="C18" i="4" a="1"/>
  <c r="N18" i="4" a="1"/>
  <c r="H18" i="4" a="1"/>
  <c r="F18" i="4" a="1"/>
  <c r="G18" i="4" a="1"/>
  <c r="D18" i="4" a="1"/>
  <c r="M18" i="4" a="1"/>
  <c r="J18" i="4" a="1"/>
  <c r="K18" i="4" a="1"/>
  <c r="L18" i="4" a="1"/>
  <c r="I18" i="4" a="1"/>
  <c r="C164" i="4" a="1"/>
  <c r="D164" i="4" a="1"/>
  <c r="E164" i="4" a="1"/>
  <c r="F164" i="4" a="1"/>
  <c r="G164" i="4" a="1"/>
  <c r="H164" i="4" a="1"/>
  <c r="I164" i="4" a="1"/>
  <c r="J164" i="4" a="1"/>
  <c r="K164" i="4" a="1"/>
  <c r="L164" i="4" a="1"/>
  <c r="M164" i="4" a="1"/>
  <c r="N164" i="4" a="1"/>
  <c r="C124" i="4" a="1"/>
  <c r="D124" i="4" a="1"/>
  <c r="E124" i="4" a="1"/>
  <c r="F124" i="4" a="1"/>
  <c r="G124" i="4" a="1"/>
  <c r="H124" i="4" a="1"/>
  <c r="I124" i="4" a="1"/>
  <c r="J124" i="4" a="1"/>
  <c r="K124" i="4" a="1"/>
  <c r="L124" i="4" a="1"/>
  <c r="M124" i="4" a="1"/>
  <c r="N124" i="4" a="1"/>
  <c r="C152" i="4" a="1"/>
  <c r="D152" i="4" a="1"/>
  <c r="E152" i="4" a="1"/>
  <c r="F152" i="4" a="1"/>
  <c r="G152" i="4" a="1"/>
  <c r="H152" i="4" a="1"/>
  <c r="I152" i="4" a="1"/>
  <c r="J152" i="4" a="1"/>
  <c r="K152" i="4" a="1"/>
  <c r="L152" i="4" a="1"/>
  <c r="M152" i="4" a="1"/>
  <c r="N152" i="4" a="1"/>
  <c r="C216" i="4" a="1"/>
  <c r="D216" i="4" a="1"/>
  <c r="E216" i="4" a="1"/>
  <c r="F216" i="4" a="1"/>
  <c r="G216" i="4" a="1"/>
  <c r="H216" i="4" a="1"/>
  <c r="I216" i="4" a="1"/>
  <c r="J216" i="4" a="1"/>
  <c r="K216" i="4" a="1"/>
  <c r="L216" i="4" a="1"/>
  <c r="M216" i="4" a="1"/>
  <c r="N216" i="4" a="1"/>
  <c r="C179" i="4" a="1"/>
  <c r="D179" i="4" a="1"/>
  <c r="E179" i="4" a="1"/>
  <c r="F179" i="4" a="1"/>
  <c r="G179" i="4" a="1"/>
  <c r="H179" i="4" a="1"/>
  <c r="I179" i="4" a="1"/>
  <c r="J179" i="4" a="1"/>
  <c r="K179" i="4" a="1"/>
  <c r="L179" i="4" a="1"/>
  <c r="M179" i="4" a="1"/>
  <c r="N179" i="4" a="1"/>
  <c r="C166" i="4" a="1"/>
  <c r="D166" i="4" a="1"/>
  <c r="E166" i="4" a="1"/>
  <c r="F166" i="4" a="1"/>
  <c r="G166" i="4" a="1"/>
  <c r="H166" i="4" a="1"/>
  <c r="I166" i="4" a="1"/>
  <c r="J166" i="4" a="1"/>
  <c r="K166" i="4" a="1"/>
  <c r="L166" i="4" a="1"/>
  <c r="M166" i="4" a="1"/>
  <c r="N166" i="4" a="1"/>
  <c r="C162" i="4" a="1"/>
  <c r="D162" i="4" a="1"/>
  <c r="E162" i="4" a="1"/>
  <c r="F162" i="4" a="1"/>
  <c r="G162" i="4" a="1"/>
  <c r="H162" i="4" a="1"/>
  <c r="I162" i="4" a="1"/>
  <c r="J162" i="4" a="1"/>
  <c r="K162" i="4" a="1"/>
  <c r="L162" i="4" a="1"/>
  <c r="M162" i="4" a="1"/>
  <c r="N162" i="4" a="1"/>
  <c r="C171" i="4" a="1"/>
  <c r="D171" i="4" a="1"/>
  <c r="E171" i="4" a="1"/>
  <c r="F171" i="4" a="1"/>
  <c r="G171" i="4" a="1"/>
  <c r="H171" i="4" a="1"/>
  <c r="I171" i="4" a="1"/>
  <c r="J171" i="4" a="1"/>
  <c r="K171" i="4" a="1"/>
  <c r="L171" i="4" a="1"/>
  <c r="M171" i="4" a="1"/>
  <c r="N171" i="4" a="1"/>
  <c r="C122" i="4" a="1"/>
  <c r="D122" i="4" a="1"/>
  <c r="E122" i="4" a="1"/>
  <c r="F122" i="4" a="1"/>
  <c r="G122" i="4" a="1"/>
  <c r="H122" i="4" a="1"/>
  <c r="I122" i="4" a="1"/>
  <c r="J122" i="4" a="1"/>
  <c r="K122" i="4" a="1"/>
  <c r="L122" i="4" a="1"/>
  <c r="M122" i="4" a="1"/>
  <c r="N122" i="4" a="1"/>
  <c r="C187" i="4" a="1"/>
  <c r="D187" i="4" a="1"/>
  <c r="E187" i="4" a="1"/>
  <c r="F187" i="4" a="1"/>
  <c r="G187" i="4" a="1"/>
  <c r="H187" i="4" a="1"/>
  <c r="I187" i="4" a="1"/>
  <c r="J187" i="4" a="1"/>
  <c r="K187" i="4" a="1"/>
  <c r="L187" i="4" a="1"/>
  <c r="M187" i="4" a="1"/>
  <c r="N187" i="4" a="1"/>
  <c r="C217" i="4" a="1"/>
  <c r="D217" i="4" a="1"/>
  <c r="E217" i="4" a="1"/>
  <c r="F217" i="4" a="1"/>
  <c r="G217" i="4" a="1"/>
  <c r="H217" i="4" a="1"/>
  <c r="I217" i="4" a="1"/>
  <c r="J217" i="4" a="1"/>
  <c r="K217" i="4" a="1"/>
  <c r="L217" i="4" a="1"/>
  <c r="M217" i="4" a="1"/>
  <c r="N217" i="4" a="1"/>
  <c r="C189" i="4" a="1"/>
  <c r="D189" i="4" a="1"/>
  <c r="E189" i="4" a="1"/>
  <c r="F189" i="4" a="1"/>
  <c r="G189" i="4" a="1"/>
  <c r="H189" i="4" a="1"/>
  <c r="I189" i="4" a="1"/>
  <c r="J189" i="4" a="1"/>
  <c r="K189" i="4" a="1"/>
  <c r="L189" i="4" a="1"/>
  <c r="M189" i="4" a="1"/>
  <c r="N189" i="4" a="1"/>
  <c r="C204" i="4" a="1"/>
  <c r="D204" i="4" a="1"/>
  <c r="E204" i="4" a="1"/>
  <c r="F204" i="4" a="1"/>
  <c r="G204" i="4" a="1"/>
  <c r="H204" i="4" a="1"/>
  <c r="I204" i="4" a="1"/>
  <c r="J204" i="4" a="1"/>
  <c r="K204" i="4" a="1"/>
  <c r="L204" i="4" a="1"/>
  <c r="M204" i="4" a="1"/>
  <c r="N204" i="4" a="1"/>
  <c r="C167" i="4" a="1"/>
  <c r="D167" i="4" a="1"/>
  <c r="E167" i="4" a="1"/>
  <c r="F167" i="4" a="1"/>
  <c r="G167" i="4" a="1"/>
  <c r="H167" i="4" a="1"/>
  <c r="I167" i="4" a="1"/>
  <c r="J167" i="4" a="1"/>
  <c r="K167" i="4" a="1"/>
  <c r="L167" i="4" a="1"/>
  <c r="M167" i="4" a="1"/>
  <c r="N167" i="4" a="1"/>
  <c r="C154" i="4" a="1"/>
  <c r="D154" i="4" a="1"/>
  <c r="E154" i="4" a="1"/>
  <c r="F154" i="4" a="1"/>
  <c r="G154" i="4" a="1"/>
  <c r="H154" i="4" a="1"/>
  <c r="I154" i="4" a="1"/>
  <c r="J154" i="4" a="1"/>
  <c r="K154" i="4" a="1"/>
  <c r="L154" i="4" a="1"/>
  <c r="M154" i="4" a="1"/>
  <c r="N154" i="4" a="1"/>
  <c r="C138" i="4" a="1"/>
  <c r="D138" i="4" a="1"/>
  <c r="E138" i="4" a="1"/>
  <c r="F138" i="4" a="1"/>
  <c r="G138" i="4" a="1"/>
  <c r="H138" i="4" a="1"/>
  <c r="I138" i="4" a="1"/>
  <c r="J138" i="4" a="1"/>
  <c r="K138" i="4" a="1"/>
  <c r="L138" i="4" a="1"/>
  <c r="M138" i="4" a="1"/>
  <c r="N138" i="4" a="1"/>
  <c r="C159" i="4" a="1"/>
  <c r="D159" i="4" a="1"/>
  <c r="E159" i="4" a="1"/>
  <c r="F159" i="4" a="1"/>
  <c r="G159" i="4" a="1"/>
  <c r="H159" i="4" a="1"/>
  <c r="I159" i="4" a="1"/>
  <c r="J159" i="4" a="1"/>
  <c r="K159" i="4" a="1"/>
  <c r="L159" i="4" a="1"/>
  <c r="M159" i="4" a="1"/>
  <c r="N159" i="4" a="1"/>
  <c r="C134" i="4" a="1"/>
  <c r="D134" i="4" a="1"/>
  <c r="E134" i="4" a="1"/>
  <c r="F134" i="4" a="1"/>
  <c r="G134" i="4" a="1"/>
  <c r="H134" i="4" a="1"/>
  <c r="I134" i="4" a="1"/>
  <c r="J134" i="4" a="1"/>
  <c r="K134" i="4" a="1"/>
  <c r="L134" i="4" a="1"/>
  <c r="M134" i="4" a="1"/>
  <c r="N134" i="4" a="1"/>
  <c r="C139" i="4" a="1"/>
  <c r="D139" i="4" a="1"/>
  <c r="E139" i="4" a="1"/>
  <c r="F139" i="4" a="1"/>
  <c r="G139" i="4" a="1"/>
  <c r="H139" i="4" a="1"/>
  <c r="I139" i="4" a="1"/>
  <c r="J139" i="4" a="1"/>
  <c r="K139" i="4" a="1"/>
  <c r="L139" i="4" a="1"/>
  <c r="M139" i="4" a="1"/>
  <c r="N139" i="4" a="1"/>
  <c r="C205" i="4" a="1"/>
  <c r="D205" i="4" a="1"/>
  <c r="E205" i="4" a="1"/>
  <c r="F205" i="4" a="1"/>
  <c r="G205" i="4" a="1"/>
  <c r="H205" i="4" a="1"/>
  <c r="I205" i="4" a="1"/>
  <c r="J205" i="4" a="1"/>
  <c r="K205" i="4" a="1"/>
  <c r="L205" i="4" a="1"/>
  <c r="M205" i="4" a="1"/>
  <c r="N205" i="4" a="1"/>
  <c r="C141" i="4" a="1"/>
  <c r="D141" i="4" a="1"/>
  <c r="E141" i="4" a="1"/>
  <c r="F141" i="4" a="1"/>
  <c r="G141" i="4" a="1"/>
  <c r="H141" i="4" a="1"/>
  <c r="I141" i="4" a="1"/>
  <c r="J141" i="4" a="1"/>
  <c r="K141" i="4" a="1"/>
  <c r="L141" i="4" a="1"/>
  <c r="M141" i="4" a="1"/>
  <c r="N141" i="4" a="1"/>
  <c r="C192" i="4" a="1"/>
  <c r="D192" i="4" a="1"/>
  <c r="E192" i="4" a="1"/>
  <c r="F192" i="4" a="1"/>
  <c r="G192" i="4" a="1"/>
  <c r="H192" i="4" a="1"/>
  <c r="I192" i="4" a="1"/>
  <c r="J192" i="4" a="1"/>
  <c r="K192" i="4" a="1"/>
  <c r="L192" i="4" a="1"/>
  <c r="M192" i="4" a="1"/>
  <c r="N192" i="4" a="1"/>
  <c r="C155" i="4" a="1"/>
  <c r="D155" i="4" a="1"/>
  <c r="E155" i="4" a="1"/>
  <c r="F155" i="4" a="1"/>
  <c r="G155" i="4" a="1"/>
  <c r="H155" i="4" a="1"/>
  <c r="I155" i="4" a="1"/>
  <c r="J155" i="4" a="1"/>
  <c r="K155" i="4" a="1"/>
  <c r="L155" i="4" a="1"/>
  <c r="M155" i="4" a="1"/>
  <c r="N155" i="4" a="1"/>
  <c r="C142" i="4" a="1"/>
  <c r="D142" i="4" a="1"/>
  <c r="E142" i="4" a="1"/>
  <c r="F142" i="4" a="1"/>
  <c r="G142" i="4" a="1"/>
  <c r="H142" i="4" a="1"/>
  <c r="I142" i="4" a="1"/>
  <c r="J142" i="4" a="1"/>
  <c r="K142" i="4" a="1"/>
  <c r="L142" i="4" a="1"/>
  <c r="M142" i="4" a="1"/>
  <c r="N142" i="4" a="1"/>
  <c r="C209" i="4" a="1"/>
  <c r="D209" i="4" a="1"/>
  <c r="E209" i="4" a="1"/>
  <c r="F209" i="4" a="1"/>
  <c r="G209" i="4" a="1"/>
  <c r="H209" i="4" a="1"/>
  <c r="I209" i="4" a="1"/>
  <c r="J209" i="4" a="1"/>
  <c r="K209" i="4" a="1"/>
  <c r="L209" i="4" a="1"/>
  <c r="M209" i="4" a="1"/>
  <c r="N209" i="4" a="1"/>
  <c r="C147" i="4" a="1"/>
  <c r="D147" i="4" a="1"/>
  <c r="E147" i="4" a="1"/>
  <c r="F147" i="4" a="1"/>
  <c r="G147" i="4" a="1"/>
  <c r="H147" i="4" a="1"/>
  <c r="I147" i="4" a="1"/>
  <c r="J147" i="4" a="1"/>
  <c r="K147" i="4" a="1"/>
  <c r="L147" i="4" a="1"/>
  <c r="M147" i="4" a="1"/>
  <c r="N147" i="4" a="1"/>
  <c r="C146" i="4" a="1"/>
  <c r="D146" i="4" a="1"/>
  <c r="E146" i="4" a="1"/>
  <c r="F146" i="4" a="1"/>
  <c r="G146" i="4" a="1"/>
  <c r="H146" i="4" a="1"/>
  <c r="I146" i="4" a="1"/>
  <c r="J146" i="4" a="1"/>
  <c r="K146" i="4" a="1"/>
  <c r="L146" i="4" a="1"/>
  <c r="M146" i="4" a="1"/>
  <c r="N146" i="4" a="1"/>
  <c r="C210" i="4" a="1"/>
  <c r="D210" i="4" a="1"/>
  <c r="E210" i="4" a="1"/>
  <c r="F210" i="4" a="1"/>
  <c r="G210" i="4" a="1"/>
  <c r="H210" i="4" a="1"/>
  <c r="I210" i="4" a="1"/>
  <c r="J210" i="4" a="1"/>
  <c r="K210" i="4" a="1"/>
  <c r="L210" i="4" a="1"/>
  <c r="M210" i="4" a="1"/>
  <c r="N210" i="4" a="1"/>
  <c r="C193" i="4" a="1"/>
  <c r="D193" i="4" a="1"/>
  <c r="E193" i="4" a="1"/>
  <c r="F193" i="4" a="1"/>
  <c r="G193" i="4" a="1"/>
  <c r="H193" i="4" a="1"/>
  <c r="I193" i="4" a="1"/>
  <c r="J193" i="4" a="1"/>
  <c r="K193" i="4" a="1"/>
  <c r="L193" i="4" a="1"/>
  <c r="M193" i="4" a="1"/>
  <c r="N193" i="4" a="1"/>
  <c r="C188" i="4" a="1"/>
  <c r="D188" i="4" a="1"/>
  <c r="E188" i="4" a="1"/>
  <c r="F188" i="4" a="1"/>
  <c r="G188" i="4" a="1"/>
  <c r="H188" i="4" a="1"/>
  <c r="I188" i="4" a="1"/>
  <c r="J188" i="4" a="1"/>
  <c r="K188" i="4" a="1"/>
  <c r="L188" i="4" a="1"/>
  <c r="M188" i="4" a="1"/>
  <c r="N188" i="4" a="1"/>
  <c r="C180" i="4" a="1"/>
  <c r="D180" i="4" a="1"/>
  <c r="E180" i="4" a="1"/>
  <c r="F180" i="4" a="1"/>
  <c r="G180" i="4" a="1"/>
  <c r="H180" i="4" a="1"/>
  <c r="I180" i="4" a="1"/>
  <c r="J180" i="4" a="1"/>
  <c r="K180" i="4" a="1"/>
  <c r="L180" i="4" a="1"/>
  <c r="M180" i="4" a="1"/>
  <c r="N180" i="4" a="1"/>
  <c r="C143" i="4" a="1"/>
  <c r="D143" i="4" a="1"/>
  <c r="E143" i="4" a="1"/>
  <c r="F143" i="4" a="1"/>
  <c r="G143" i="4" a="1"/>
  <c r="H143" i="4" a="1"/>
  <c r="I143" i="4" a="1"/>
  <c r="J143" i="4" a="1"/>
  <c r="K143" i="4" a="1"/>
  <c r="L143" i="4" a="1"/>
  <c r="M143" i="4" a="1"/>
  <c r="N143" i="4" a="1"/>
  <c r="C130" i="4" a="1"/>
  <c r="D130" i="4" a="1"/>
  <c r="E130" i="4" a="1"/>
  <c r="F130" i="4" a="1"/>
  <c r="G130" i="4" a="1"/>
  <c r="H130" i="4" a="1"/>
  <c r="I130" i="4" a="1"/>
  <c r="J130" i="4" a="1"/>
  <c r="K130" i="4" a="1"/>
  <c r="L130" i="4" a="1"/>
  <c r="M130" i="4" a="1"/>
  <c r="N130" i="4" a="1"/>
  <c r="C173" i="4" a="1"/>
  <c r="D173" i="4" a="1"/>
  <c r="E173" i="4" a="1"/>
  <c r="F173" i="4" a="1"/>
  <c r="G173" i="4" a="1"/>
  <c r="H173" i="4" a="1"/>
  <c r="I173" i="4" a="1"/>
  <c r="J173" i="4" a="1"/>
  <c r="K173" i="4" a="1"/>
  <c r="L173" i="4" a="1"/>
  <c r="M173" i="4" a="1"/>
  <c r="N173" i="4" a="1"/>
  <c r="C135" i="4" a="1"/>
  <c r="D135" i="4" a="1"/>
  <c r="E135" i="4" a="1"/>
  <c r="F135" i="4" a="1"/>
  <c r="G135" i="4" a="1"/>
  <c r="H135" i="4" a="1"/>
  <c r="I135" i="4" a="1"/>
  <c r="J135" i="4" a="1"/>
  <c r="K135" i="4" a="1"/>
  <c r="L135" i="4" a="1"/>
  <c r="M135" i="4" a="1"/>
  <c r="N135" i="4" a="1"/>
  <c r="C158" i="4" a="1"/>
  <c r="D158" i="4" a="1"/>
  <c r="E158" i="4" a="1"/>
  <c r="F158" i="4" a="1"/>
  <c r="G158" i="4" a="1"/>
  <c r="H158" i="4" a="1"/>
  <c r="I158" i="4" a="1"/>
  <c r="J158" i="4" a="1"/>
  <c r="K158" i="4" a="1"/>
  <c r="L158" i="4" a="1"/>
  <c r="M158" i="4" a="1"/>
  <c r="N158" i="4" a="1"/>
  <c r="C174" i="4" a="1"/>
  <c r="D174" i="4" a="1"/>
  <c r="E174" i="4" a="1"/>
  <c r="F174" i="4" a="1"/>
  <c r="G174" i="4" a="1"/>
  <c r="H174" i="4" a="1"/>
  <c r="I174" i="4" a="1"/>
  <c r="J174" i="4" a="1"/>
  <c r="K174" i="4" a="1"/>
  <c r="L174" i="4" a="1"/>
  <c r="M174" i="4" a="1"/>
  <c r="N174" i="4" a="1"/>
  <c r="C181" i="4" a="1"/>
  <c r="D181" i="4" a="1"/>
  <c r="E181" i="4" a="1"/>
  <c r="F181" i="4" a="1"/>
  <c r="G181" i="4" a="1"/>
  <c r="H181" i="4" a="1"/>
  <c r="I181" i="4" a="1"/>
  <c r="J181" i="4" a="1"/>
  <c r="K181" i="4" a="1"/>
  <c r="L181" i="4" a="1"/>
  <c r="M181" i="4" a="1"/>
  <c r="N181" i="4" a="1"/>
  <c r="C140" i="4" a="1"/>
  <c r="D140" i="4" a="1"/>
  <c r="E140" i="4" a="1"/>
  <c r="F140" i="4" a="1"/>
  <c r="G140" i="4" a="1"/>
  <c r="H140" i="4" a="1"/>
  <c r="I140" i="4" a="1"/>
  <c r="J140" i="4" a="1"/>
  <c r="K140" i="4" a="1"/>
  <c r="L140" i="4" a="1"/>
  <c r="M140" i="4" a="1"/>
  <c r="N140" i="4" a="1"/>
  <c r="C168" i="4" a="1"/>
  <c r="D168" i="4" a="1"/>
  <c r="E168" i="4" a="1"/>
  <c r="F168" i="4" a="1"/>
  <c r="G168" i="4" a="1"/>
  <c r="H168" i="4" a="1"/>
  <c r="I168" i="4" a="1"/>
  <c r="J168" i="4" a="1"/>
  <c r="K168" i="4" a="1"/>
  <c r="L168" i="4" a="1"/>
  <c r="M168" i="4" a="1"/>
  <c r="N168" i="4" a="1"/>
  <c r="C131" i="4" a="1"/>
  <c r="D131" i="4" a="1"/>
  <c r="E131" i="4" a="1"/>
  <c r="F131" i="4" a="1"/>
  <c r="G131" i="4" a="1"/>
  <c r="H131" i="4" a="1"/>
  <c r="I131" i="4" a="1"/>
  <c r="J131" i="4" a="1"/>
  <c r="K131" i="4" a="1"/>
  <c r="L131" i="4" a="1"/>
  <c r="M131" i="4" a="1"/>
  <c r="N131" i="4" a="1"/>
  <c r="C118" i="4" a="1"/>
  <c r="D118" i="4" a="1"/>
  <c r="E118" i="4" a="1"/>
  <c r="F118" i="4" a="1"/>
  <c r="G118" i="4" a="1"/>
  <c r="H118" i="4" a="1"/>
  <c r="I118" i="4" a="1"/>
  <c r="J118" i="4" a="1"/>
  <c r="K118" i="4" a="1"/>
  <c r="L118" i="4" a="1"/>
  <c r="M118" i="4" a="1"/>
  <c r="N118" i="4" a="1"/>
  <c r="C149" i="4" a="1"/>
  <c r="D149" i="4" a="1"/>
  <c r="E149" i="4" a="1"/>
  <c r="F149" i="4" a="1"/>
  <c r="G149" i="4" a="1"/>
  <c r="H149" i="4" a="1"/>
  <c r="I149" i="4" a="1"/>
  <c r="J149" i="4" a="1"/>
  <c r="K149" i="4" a="1"/>
  <c r="L149" i="4" a="1"/>
  <c r="M149" i="4" a="1"/>
  <c r="N149" i="4" a="1"/>
  <c r="C123" i="4" a="1"/>
  <c r="D123" i="4" a="1"/>
  <c r="E123" i="4" a="1"/>
  <c r="F123" i="4" a="1"/>
  <c r="G123" i="4" a="1"/>
  <c r="H123" i="4" a="1"/>
  <c r="I123" i="4" a="1"/>
  <c r="J123" i="4" a="1"/>
  <c r="K123" i="4" a="1"/>
  <c r="L123" i="4" a="1"/>
  <c r="M123" i="4" a="1"/>
  <c r="N123" i="4" a="1"/>
  <c r="C170" i="4" a="1"/>
  <c r="D170" i="4" a="1"/>
  <c r="E170" i="4" a="1"/>
  <c r="F170" i="4" a="1"/>
  <c r="G170" i="4" a="1"/>
  <c r="H170" i="4" a="1"/>
  <c r="I170" i="4" a="1"/>
  <c r="J170" i="4" a="1"/>
  <c r="K170" i="4" a="1"/>
  <c r="L170" i="4" a="1"/>
  <c r="M170" i="4" a="1"/>
  <c r="N170" i="4" a="1"/>
  <c r="C126" i="4" a="1"/>
  <c r="D126" i="4" a="1"/>
  <c r="E126" i="4" a="1"/>
  <c r="F126" i="4" a="1"/>
  <c r="G126" i="4" a="1"/>
  <c r="H126" i="4" a="1"/>
  <c r="I126" i="4" a="1"/>
  <c r="J126" i="4" a="1"/>
  <c r="K126" i="4" a="1"/>
  <c r="L126" i="4" a="1"/>
  <c r="M126" i="4" a="1"/>
  <c r="N126" i="4" a="1"/>
  <c r="C169" i="4" a="1"/>
  <c r="D169" i="4" a="1"/>
  <c r="E169" i="4" a="1"/>
  <c r="F169" i="4" a="1"/>
  <c r="G169" i="4" a="1"/>
  <c r="H169" i="4" a="1"/>
  <c r="I169" i="4" a="1"/>
  <c r="J169" i="4" a="1"/>
  <c r="K169" i="4" a="1"/>
  <c r="L169" i="4" a="1"/>
  <c r="M169" i="4" a="1"/>
  <c r="N169" i="4" a="1"/>
  <c r="C211" i="4" a="1"/>
  <c r="D211" i="4" a="1"/>
  <c r="E211" i="4" a="1"/>
  <c r="F211" i="4" a="1"/>
  <c r="G211" i="4" a="1"/>
  <c r="H211" i="4" a="1"/>
  <c r="I211" i="4" a="1"/>
  <c r="J211" i="4" a="1"/>
  <c r="K211" i="4" a="1"/>
  <c r="L211" i="4" a="1"/>
  <c r="M211" i="4" a="1"/>
  <c r="N211" i="4" a="1"/>
  <c r="C156" i="4" a="1"/>
  <c r="D156" i="4" a="1"/>
  <c r="E156" i="4" a="1"/>
  <c r="F156" i="4" a="1"/>
  <c r="G156" i="4" a="1"/>
  <c r="H156" i="4" a="1"/>
  <c r="I156" i="4" a="1"/>
  <c r="J156" i="4" a="1"/>
  <c r="K156" i="4" a="1"/>
  <c r="L156" i="4" a="1"/>
  <c r="M156" i="4" a="1"/>
  <c r="N156" i="4" a="1"/>
  <c r="C119" i="4" a="1"/>
  <c r="D119" i="4" a="1"/>
  <c r="E119" i="4" a="1"/>
  <c r="F119" i="4" a="1"/>
  <c r="G119" i="4" a="1"/>
  <c r="H119" i="4" a="1"/>
  <c r="I119" i="4" a="1"/>
  <c r="J119" i="4" a="1"/>
  <c r="K119" i="4" a="1"/>
  <c r="L119" i="4" a="1"/>
  <c r="M119" i="4" a="1"/>
  <c r="N119" i="4" a="1"/>
  <c r="C212" i="4" a="1"/>
  <c r="D212" i="4" a="1"/>
  <c r="E212" i="4" a="1"/>
  <c r="F212" i="4" a="1"/>
  <c r="G212" i="4" a="1"/>
  <c r="H212" i="4" a="1"/>
  <c r="I212" i="4" a="1"/>
  <c r="J212" i="4" a="1"/>
  <c r="K212" i="4" a="1"/>
  <c r="L212" i="4" a="1"/>
  <c r="M212" i="4" a="1"/>
  <c r="N212" i="4" a="1"/>
  <c r="C125" i="4" a="1"/>
  <c r="D125" i="4" a="1"/>
  <c r="E125" i="4" a="1"/>
  <c r="F125" i="4" a="1"/>
  <c r="G125" i="4" a="1"/>
  <c r="H125" i="4" a="1"/>
  <c r="I125" i="4" a="1"/>
  <c r="J125" i="4" a="1"/>
  <c r="K125" i="4" a="1"/>
  <c r="L125" i="4" a="1"/>
  <c r="M125" i="4" a="1"/>
  <c r="N125" i="4" a="1"/>
  <c r="C182" i="4" a="1"/>
  <c r="D182" i="4" a="1"/>
  <c r="E182" i="4" a="1"/>
  <c r="F182" i="4" a="1"/>
  <c r="G182" i="4" a="1"/>
  <c r="H182" i="4" a="1"/>
  <c r="I182" i="4" a="1"/>
  <c r="J182" i="4" a="1"/>
  <c r="K182" i="4" a="1"/>
  <c r="L182" i="4" a="1"/>
  <c r="M182" i="4" a="1"/>
  <c r="N182" i="4" a="1"/>
  <c r="C197" i="4" a="1"/>
  <c r="D197" i="4" a="1"/>
  <c r="E197" i="4" a="1"/>
  <c r="F197" i="4" a="1"/>
  <c r="G197" i="4" a="1"/>
  <c r="H197" i="4" a="1"/>
  <c r="I197" i="4" a="1"/>
  <c r="J197" i="4" a="1"/>
  <c r="K197" i="4" a="1"/>
  <c r="L197" i="4" a="1"/>
  <c r="M197" i="4" a="1"/>
  <c r="N197" i="4" a="1"/>
  <c r="C157" i="4" a="1"/>
  <c r="D157" i="4" a="1"/>
  <c r="E157" i="4" a="1"/>
  <c r="F157" i="4" a="1"/>
  <c r="G157" i="4" a="1"/>
  <c r="H157" i="4" a="1"/>
  <c r="I157" i="4" a="1"/>
  <c r="J157" i="4" a="1"/>
  <c r="K157" i="4" a="1"/>
  <c r="L157" i="4" a="1"/>
  <c r="M157" i="4" a="1"/>
  <c r="N157" i="4" a="1"/>
  <c r="C163" i="4" a="1"/>
  <c r="D163" i="4" a="1"/>
  <c r="E163" i="4" a="1"/>
  <c r="F163" i="4" a="1"/>
  <c r="G163" i="4" a="1"/>
  <c r="H163" i="4" a="1"/>
  <c r="I163" i="4" a="1"/>
  <c r="J163" i="4" a="1"/>
  <c r="K163" i="4" a="1"/>
  <c r="L163" i="4" a="1"/>
  <c r="M163" i="4" a="1"/>
  <c r="N163" i="4" a="1"/>
  <c r="C144" i="4" a="1"/>
  <c r="D144" i="4" a="1"/>
  <c r="E144" i="4" a="1"/>
  <c r="F144" i="4" a="1"/>
  <c r="G144" i="4" a="1"/>
  <c r="H144" i="4" a="1"/>
  <c r="I144" i="4" a="1"/>
  <c r="J144" i="4" a="1"/>
  <c r="K144" i="4" a="1"/>
  <c r="L144" i="4" a="1"/>
  <c r="M144" i="4" a="1"/>
  <c r="N144" i="4" a="1"/>
  <c r="C201" i="4" a="1"/>
  <c r="D201" i="4" a="1"/>
  <c r="E201" i="4" a="1"/>
  <c r="F201" i="4" a="1"/>
  <c r="G201" i="4" a="1"/>
  <c r="H201" i="4" a="1"/>
  <c r="I201" i="4" a="1"/>
  <c r="J201" i="4" a="1"/>
  <c r="K201" i="4" a="1"/>
  <c r="L201" i="4" a="1"/>
  <c r="M201" i="4" a="1"/>
  <c r="N201" i="4" a="1"/>
  <c r="C176" i="4" a="1"/>
  <c r="D176" i="4" a="1"/>
  <c r="E176" i="4" a="1"/>
  <c r="F176" i="4" a="1"/>
  <c r="G176" i="4" a="1"/>
  <c r="H176" i="4" a="1"/>
  <c r="I176" i="4" a="1"/>
  <c r="J176" i="4" a="1"/>
  <c r="K176" i="4" a="1"/>
  <c r="L176" i="4" a="1"/>
  <c r="M176" i="4" a="1"/>
  <c r="N176" i="4" a="1"/>
  <c r="C196" i="4" a="1"/>
  <c r="D196" i="4" a="1"/>
  <c r="E196" i="4" a="1"/>
  <c r="F196" i="4" a="1"/>
  <c r="G196" i="4" a="1"/>
  <c r="H196" i="4" a="1"/>
  <c r="I196" i="4" a="1"/>
  <c r="J196" i="4" a="1"/>
  <c r="K196" i="4" a="1"/>
  <c r="L196" i="4" a="1"/>
  <c r="M196" i="4" a="1"/>
  <c r="N196" i="4" a="1"/>
  <c r="C194" i="4" a="1"/>
  <c r="D194" i="4" a="1"/>
  <c r="E194" i="4" a="1"/>
  <c r="F194" i="4" a="1"/>
  <c r="G194" i="4" a="1"/>
  <c r="H194" i="4" a="1"/>
  <c r="I194" i="4" a="1"/>
  <c r="J194" i="4" a="1"/>
  <c r="K194" i="4" a="1"/>
  <c r="L194" i="4" a="1"/>
  <c r="M194" i="4" a="1"/>
  <c r="N194" i="4" a="1"/>
  <c r="C161" i="4" a="1"/>
  <c r="D161" i="4" a="1"/>
  <c r="E161" i="4" a="1"/>
  <c r="F161" i="4" a="1"/>
  <c r="G161" i="4" a="1"/>
  <c r="H161" i="4" a="1"/>
  <c r="I161" i="4" a="1"/>
  <c r="J161" i="4" a="1"/>
  <c r="K161" i="4" a="1"/>
  <c r="L161" i="4" a="1"/>
  <c r="M161" i="4" a="1"/>
  <c r="N161" i="4" a="1"/>
  <c r="C145" i="4" a="1"/>
  <c r="D145" i="4" a="1"/>
  <c r="E145" i="4" a="1"/>
  <c r="F145" i="4" a="1"/>
  <c r="G145" i="4" a="1"/>
  <c r="H145" i="4" a="1"/>
  <c r="I145" i="4" a="1"/>
  <c r="J145" i="4" a="1"/>
  <c r="K145" i="4" a="1"/>
  <c r="L145" i="4" a="1"/>
  <c r="M145" i="4" a="1"/>
  <c r="N145" i="4" a="1"/>
  <c r="C151" i="4" a="1"/>
  <c r="D151" i="4" a="1"/>
  <c r="E151" i="4" a="1"/>
  <c r="F151" i="4" a="1"/>
  <c r="G151" i="4" a="1"/>
  <c r="H151" i="4" a="1"/>
  <c r="I151" i="4" a="1"/>
  <c r="J151" i="4" a="1"/>
  <c r="K151" i="4" a="1"/>
  <c r="L151" i="4" a="1"/>
  <c r="M151" i="4" a="1"/>
  <c r="N151" i="4" a="1"/>
  <c r="C132" i="4" a="1"/>
  <c r="D132" i="4" a="1"/>
  <c r="E132" i="4" a="1"/>
  <c r="F132" i="4" a="1"/>
  <c r="G132" i="4" a="1"/>
  <c r="H132" i="4" a="1"/>
  <c r="I132" i="4" a="1"/>
  <c r="J132" i="4" a="1"/>
  <c r="K132" i="4" a="1"/>
  <c r="L132" i="4" a="1"/>
  <c r="M132" i="4" a="1"/>
  <c r="N132" i="4" a="1"/>
  <c r="C165" i="4" a="1"/>
  <c r="D165" i="4" a="1"/>
  <c r="E165" i="4" a="1"/>
  <c r="F165" i="4" a="1"/>
  <c r="G165" i="4" a="1"/>
  <c r="H165" i="4" a="1"/>
  <c r="I165" i="4" a="1"/>
  <c r="J165" i="4" a="1"/>
  <c r="K165" i="4" a="1"/>
  <c r="L165" i="4" a="1"/>
  <c r="M165" i="4" a="1"/>
  <c r="N165" i="4" a="1"/>
  <c r="C128" i="4" a="1"/>
  <c r="D128" i="4" a="1"/>
  <c r="E128" i="4" a="1"/>
  <c r="F128" i="4" a="1"/>
  <c r="G128" i="4" a="1"/>
  <c r="H128" i="4" a="1"/>
  <c r="I128" i="4" a="1"/>
  <c r="J128" i="4" a="1"/>
  <c r="K128" i="4" a="1"/>
  <c r="L128" i="4" a="1"/>
  <c r="M128" i="4" a="1"/>
  <c r="N128" i="4" a="1"/>
  <c r="C172" i="4" a="1"/>
  <c r="D172" i="4" a="1"/>
  <c r="E172" i="4" a="1"/>
  <c r="F172" i="4" a="1"/>
  <c r="G172" i="4" a="1"/>
  <c r="H172" i="4" a="1"/>
  <c r="I172" i="4" a="1"/>
  <c r="J172" i="4" a="1"/>
  <c r="K172" i="4" a="1"/>
  <c r="L172" i="4" a="1"/>
  <c r="M172" i="4" a="1"/>
  <c r="N172" i="4" a="1"/>
  <c r="C206" i="4" a="1"/>
  <c r="D206" i="4" a="1"/>
  <c r="E206" i="4" a="1"/>
  <c r="F206" i="4" a="1"/>
  <c r="G206" i="4" a="1"/>
  <c r="H206" i="4" a="1"/>
  <c r="I206" i="4" a="1"/>
  <c r="J206" i="4" a="1"/>
  <c r="K206" i="4" a="1"/>
  <c r="L206" i="4" a="1"/>
  <c r="M206" i="4" a="1"/>
  <c r="N206" i="4" a="1"/>
  <c r="C208" i="4" a="1"/>
  <c r="D208" i="4" a="1"/>
  <c r="E208" i="4" a="1"/>
  <c r="F208" i="4" a="1"/>
  <c r="G208" i="4" a="1"/>
  <c r="H208" i="4" a="1"/>
  <c r="I208" i="4" a="1"/>
  <c r="J208" i="4" a="1"/>
  <c r="K208" i="4" a="1"/>
  <c r="L208" i="4" a="1"/>
  <c r="M208" i="4" a="1"/>
  <c r="N208" i="4" a="1"/>
  <c r="C133" i="4" a="1"/>
  <c r="D133" i="4" a="1"/>
  <c r="E133" i="4" a="1"/>
  <c r="F133" i="4" a="1"/>
  <c r="G133" i="4" a="1"/>
  <c r="H133" i="4" a="1"/>
  <c r="I133" i="4" a="1"/>
  <c r="J133" i="4" a="1"/>
  <c r="K133" i="4" a="1"/>
  <c r="L133" i="4" a="1"/>
  <c r="M133" i="4" a="1"/>
  <c r="N133" i="4" a="1"/>
  <c r="C186" i="4" a="1"/>
  <c r="D186" i="4" a="1"/>
  <c r="E186" i="4" a="1"/>
  <c r="F186" i="4" a="1"/>
  <c r="G186" i="4" a="1"/>
  <c r="H186" i="4" a="1"/>
  <c r="I186" i="4" a="1"/>
  <c r="J186" i="4" a="1"/>
  <c r="K186" i="4" a="1"/>
  <c r="L186" i="4" a="1"/>
  <c r="M186" i="4" a="1"/>
  <c r="N186" i="4" a="1"/>
  <c r="C120" i="4" a="1"/>
  <c r="D120" i="4" a="1"/>
  <c r="E120" i="4" a="1"/>
  <c r="F120" i="4" a="1"/>
  <c r="G120" i="4" a="1"/>
  <c r="H120" i="4" a="1"/>
  <c r="I120" i="4" a="1"/>
  <c r="J120" i="4" a="1"/>
  <c r="K120" i="4" a="1"/>
  <c r="L120" i="4" a="1"/>
  <c r="M120" i="4" a="1"/>
  <c r="N120" i="4" a="1"/>
  <c r="C214" i="4" a="1"/>
  <c r="D214" i="4" a="1"/>
  <c r="E214" i="4" a="1"/>
  <c r="F214" i="4" a="1"/>
  <c r="G214" i="4" a="1"/>
  <c r="H214" i="4" a="1"/>
  <c r="I214" i="4" a="1"/>
  <c r="J214" i="4" a="1"/>
  <c r="K214" i="4" a="1"/>
  <c r="L214" i="4" a="1"/>
  <c r="M214" i="4" a="1"/>
  <c r="N214" i="4" a="1"/>
  <c r="C199" i="4" a="1"/>
  <c r="D199" i="4" a="1"/>
  <c r="E199" i="4" a="1"/>
  <c r="F199" i="4" a="1"/>
  <c r="G199" i="4" a="1"/>
  <c r="H199" i="4" a="1"/>
  <c r="I199" i="4" a="1"/>
  <c r="J199" i="4" a="1"/>
  <c r="K199" i="4" a="1"/>
  <c r="L199" i="4" a="1"/>
  <c r="M199" i="4" a="1"/>
  <c r="N199" i="4" a="1"/>
  <c r="C148" i="4" a="1"/>
  <c r="D148" i="4" a="1"/>
  <c r="E148" i="4" a="1"/>
  <c r="F148" i="4" a="1"/>
  <c r="G148" i="4" a="1"/>
  <c r="H148" i="4" a="1"/>
  <c r="I148" i="4" a="1"/>
  <c r="J148" i="4" a="1"/>
  <c r="K148" i="4" a="1"/>
  <c r="L148" i="4" a="1"/>
  <c r="M148" i="4" a="1"/>
  <c r="N148" i="4" a="1"/>
  <c r="C202" i="4" a="1"/>
  <c r="D202" i="4" a="1"/>
  <c r="E202" i="4" a="1"/>
  <c r="F202" i="4" a="1"/>
  <c r="G202" i="4" a="1"/>
  <c r="H202" i="4" a="1"/>
  <c r="I202" i="4" a="1"/>
  <c r="J202" i="4" a="1"/>
  <c r="K202" i="4" a="1"/>
  <c r="L202" i="4" a="1"/>
  <c r="M202" i="4" a="1"/>
  <c r="N202" i="4" a="1"/>
  <c r="C137" i="4" a="1"/>
  <c r="D137" i="4" a="1"/>
  <c r="E137" i="4" a="1"/>
  <c r="F137" i="4" a="1"/>
  <c r="G137" i="4" a="1"/>
  <c r="H137" i="4" a="1"/>
  <c r="I137" i="4" a="1"/>
  <c r="J137" i="4" a="1"/>
  <c r="K137" i="4" a="1"/>
  <c r="L137" i="4" a="1"/>
  <c r="M137" i="4" a="1"/>
  <c r="N137" i="4" a="1"/>
  <c r="C177" i="4" a="1"/>
  <c r="D177" i="4" a="1"/>
  <c r="E177" i="4" a="1"/>
  <c r="F177" i="4" a="1"/>
  <c r="G177" i="4" a="1"/>
  <c r="H177" i="4" a="1"/>
  <c r="I177" i="4" a="1"/>
  <c r="J177" i="4" a="1"/>
  <c r="K177" i="4" a="1"/>
  <c r="L177" i="4" a="1"/>
  <c r="M177" i="4" a="1"/>
  <c r="N177" i="4" a="1"/>
  <c r="C183" i="4" a="1"/>
  <c r="D183" i="4" a="1"/>
  <c r="E183" i="4" a="1"/>
  <c r="F183" i="4" a="1"/>
  <c r="G183" i="4" a="1"/>
  <c r="H183" i="4" a="1"/>
  <c r="I183" i="4" a="1"/>
  <c r="J183" i="4" a="1"/>
  <c r="K183" i="4" a="1"/>
  <c r="L183" i="4" a="1"/>
  <c r="M183" i="4" a="1"/>
  <c r="N183" i="4" a="1"/>
  <c r="C121" i="4" a="1"/>
  <c r="D121" i="4" a="1"/>
  <c r="E121" i="4" a="1"/>
  <c r="F121" i="4" a="1"/>
  <c r="G121" i="4" a="1"/>
  <c r="H121" i="4" a="1"/>
  <c r="I121" i="4" a="1"/>
  <c r="J121" i="4" a="1"/>
  <c r="K121" i="4" a="1"/>
  <c r="L121" i="4" a="1"/>
  <c r="M121" i="4" a="1"/>
  <c r="N121" i="4" a="1"/>
  <c r="C136" i="4" a="1"/>
  <c r="D136" i="4" a="1"/>
  <c r="E136" i="4" a="1"/>
  <c r="F136" i="4" a="1"/>
  <c r="G136" i="4" a="1"/>
  <c r="H136" i="4" a="1"/>
  <c r="I136" i="4" a="1"/>
  <c r="J136" i="4" a="1"/>
  <c r="K136" i="4" a="1"/>
  <c r="L136" i="4" a="1"/>
  <c r="M136" i="4" a="1"/>
  <c r="N136" i="4" a="1"/>
  <c r="C215" i="4" a="1"/>
  <c r="D215" i="4" a="1"/>
  <c r="E215" i="4" a="1"/>
  <c r="F215" i="4" a="1"/>
  <c r="G215" i="4" a="1"/>
  <c r="H215" i="4" a="1"/>
  <c r="I215" i="4" a="1"/>
  <c r="J215" i="4" a="1"/>
  <c r="K215" i="4" a="1"/>
  <c r="L215" i="4" a="1"/>
  <c r="M215" i="4" a="1"/>
  <c r="N215" i="4" a="1"/>
  <c r="C153" i="4" a="1"/>
  <c r="D153" i="4" a="1"/>
  <c r="E153" i="4" a="1"/>
  <c r="F153" i="4" a="1"/>
  <c r="G153" i="4" a="1"/>
  <c r="H153" i="4" a="1"/>
  <c r="I153" i="4" a="1"/>
  <c r="J153" i="4" a="1"/>
  <c r="K153" i="4" a="1"/>
  <c r="L153" i="4" a="1"/>
  <c r="M153" i="4" a="1"/>
  <c r="N153" i="4" a="1"/>
  <c r="C150" i="4" a="1"/>
  <c r="D150" i="4" a="1"/>
  <c r="E150" i="4" a="1"/>
  <c r="F150" i="4" a="1"/>
  <c r="G150" i="4" a="1"/>
  <c r="H150" i="4" a="1"/>
  <c r="I150" i="4" a="1"/>
  <c r="J150" i="4" a="1"/>
  <c r="K150" i="4" a="1"/>
  <c r="L150" i="4" a="1"/>
  <c r="M150" i="4" a="1"/>
  <c r="N150" i="4" a="1"/>
  <c r="C191" i="4" a="1"/>
  <c r="D191" i="4" a="1"/>
  <c r="E191" i="4" a="1"/>
  <c r="F191" i="4" a="1"/>
  <c r="G191" i="4" a="1"/>
  <c r="H191" i="4" a="1"/>
  <c r="I191" i="4" a="1"/>
  <c r="J191" i="4" a="1"/>
  <c r="K191" i="4" a="1"/>
  <c r="L191" i="4" a="1"/>
  <c r="M191" i="4" a="1"/>
  <c r="N191" i="4" a="1"/>
  <c r="C184" i="4" a="1"/>
  <c r="D184" i="4" a="1"/>
  <c r="E184" i="4" a="1"/>
  <c r="F184" i="4" a="1"/>
  <c r="G184" i="4" a="1"/>
  <c r="H184" i="4" a="1"/>
  <c r="I184" i="4" a="1"/>
  <c r="J184" i="4" a="1"/>
  <c r="K184" i="4" a="1"/>
  <c r="L184" i="4" a="1"/>
  <c r="M184" i="4" a="1"/>
  <c r="N184" i="4" a="1"/>
  <c r="C178" i="4" a="1"/>
  <c r="D178" i="4" a="1"/>
  <c r="E178" i="4" a="1"/>
  <c r="F178" i="4" a="1"/>
  <c r="G178" i="4" a="1"/>
  <c r="H178" i="4" a="1"/>
  <c r="I178" i="4" a="1"/>
  <c r="J178" i="4" a="1"/>
  <c r="K178" i="4" a="1"/>
  <c r="L178" i="4" a="1"/>
  <c r="M178" i="4" a="1"/>
  <c r="N178" i="4" a="1"/>
  <c r="C207" i="4" a="1"/>
  <c r="D207" i="4" a="1"/>
  <c r="E207" i="4" a="1"/>
  <c r="F207" i="4" a="1"/>
  <c r="G207" i="4" a="1"/>
  <c r="H207" i="4" a="1"/>
  <c r="I207" i="4" a="1"/>
  <c r="J207" i="4" a="1"/>
  <c r="K207" i="4" a="1"/>
  <c r="L207" i="4" a="1"/>
  <c r="M207" i="4" a="1"/>
  <c r="N207" i="4" a="1"/>
  <c r="C175" i="4" a="1"/>
  <c r="D175" i="4" a="1"/>
  <c r="E175" i="4" a="1"/>
  <c r="F175" i="4" a="1"/>
  <c r="G175" i="4" a="1"/>
  <c r="H175" i="4" a="1"/>
  <c r="I175" i="4" a="1"/>
  <c r="J175" i="4" a="1"/>
  <c r="K175" i="4" a="1"/>
  <c r="L175" i="4" a="1"/>
  <c r="M175" i="4" a="1"/>
  <c r="N175" i="4" a="1"/>
  <c r="C198" i="4" a="1"/>
  <c r="D198" i="4" a="1"/>
  <c r="E198" i="4" a="1"/>
  <c r="F198" i="4" a="1"/>
  <c r="G198" i="4" a="1"/>
  <c r="H198" i="4" a="1"/>
  <c r="I198" i="4" a="1"/>
  <c r="J198" i="4" a="1"/>
  <c r="K198" i="4" a="1"/>
  <c r="L198" i="4" a="1"/>
  <c r="M198" i="4" a="1"/>
  <c r="N198" i="4" a="1"/>
  <c r="C129" i="4" a="1"/>
  <c r="D129" i="4" a="1"/>
  <c r="E129" i="4" a="1"/>
  <c r="F129" i="4" a="1"/>
  <c r="G129" i="4" a="1"/>
  <c r="H129" i="4" a="1"/>
  <c r="I129" i="4" a="1"/>
  <c r="J129" i="4" a="1"/>
  <c r="K129" i="4" a="1"/>
  <c r="L129" i="4" a="1"/>
  <c r="M129" i="4" a="1"/>
  <c r="N129" i="4" a="1"/>
  <c r="C160" i="4" a="1"/>
  <c r="D160" i="4" a="1"/>
  <c r="E160" i="4" a="1"/>
  <c r="F160" i="4" a="1"/>
  <c r="G160" i="4" a="1"/>
  <c r="H160" i="4" a="1"/>
  <c r="I160" i="4" a="1"/>
  <c r="J160" i="4" a="1"/>
  <c r="K160" i="4" a="1"/>
  <c r="L160" i="4" a="1"/>
  <c r="M160" i="4" a="1"/>
  <c r="N160" i="4" a="1"/>
  <c r="C213" i="4" a="1"/>
  <c r="D213" i="4" a="1"/>
  <c r="E213" i="4" a="1"/>
  <c r="F213" i="4" a="1"/>
  <c r="G213" i="4" a="1"/>
  <c r="H213" i="4" a="1"/>
  <c r="I213" i="4" a="1"/>
  <c r="J213" i="4" a="1"/>
  <c r="K213" i="4" a="1"/>
  <c r="L213" i="4" a="1"/>
  <c r="M213" i="4" a="1"/>
  <c r="N213" i="4" a="1"/>
  <c r="C185" i="4" a="1"/>
  <c r="D185" i="4" a="1"/>
  <c r="E185" i="4" a="1"/>
  <c r="F185" i="4" a="1"/>
  <c r="G185" i="4" a="1"/>
  <c r="H185" i="4" a="1"/>
  <c r="I185" i="4" a="1"/>
  <c r="J185" i="4" a="1"/>
  <c r="K185" i="4" a="1"/>
  <c r="L185" i="4" a="1"/>
  <c r="M185" i="4" a="1"/>
  <c r="N185" i="4" a="1"/>
  <c r="C203" i="4" a="1"/>
  <c r="D203" i="4" a="1"/>
  <c r="E203" i="4" a="1"/>
  <c r="F203" i="4" a="1"/>
  <c r="G203" i="4" a="1"/>
  <c r="H203" i="4" a="1"/>
  <c r="I203" i="4" a="1"/>
  <c r="J203" i="4" a="1"/>
  <c r="K203" i="4" a="1"/>
  <c r="L203" i="4" a="1"/>
  <c r="M203" i="4" a="1"/>
  <c r="N203" i="4" a="1"/>
  <c r="C190" i="4" a="1"/>
  <c r="D190" i="4" a="1"/>
  <c r="E190" i="4" a="1"/>
  <c r="F190" i="4" a="1"/>
  <c r="G190" i="4" a="1"/>
  <c r="H190" i="4" a="1"/>
  <c r="I190" i="4" a="1"/>
  <c r="J190" i="4" a="1"/>
  <c r="K190" i="4" a="1"/>
  <c r="L190" i="4" a="1"/>
  <c r="M190" i="4" a="1"/>
  <c r="N190" i="4" a="1"/>
  <c r="C127" i="4" a="1"/>
  <c r="D127" i="4" a="1"/>
  <c r="E127" i="4" a="1"/>
  <c r="F127" i="4" a="1"/>
  <c r="G127" i="4" a="1"/>
  <c r="H127" i="4" a="1"/>
  <c r="I127" i="4" a="1"/>
  <c r="J127" i="4" a="1"/>
  <c r="K127" i="4" a="1"/>
  <c r="L127" i="4" a="1"/>
  <c r="M127" i="4" a="1"/>
  <c r="N127" i="4" a="1"/>
  <c r="C195" i="4" a="1"/>
  <c r="D195" i="4" a="1"/>
  <c r="E195" i="4" a="1"/>
  <c r="F195" i="4" a="1"/>
  <c r="G195" i="4" a="1"/>
  <c r="H195" i="4" a="1"/>
  <c r="I195" i="4" a="1"/>
  <c r="J195" i="4" a="1"/>
  <c r="K195" i="4" a="1"/>
  <c r="L195" i="4" a="1"/>
  <c r="M195" i="4" a="1"/>
  <c r="N195" i="4" a="1"/>
  <c r="C200" i="4" a="1"/>
  <c r="D200" i="4" a="1"/>
  <c r="E200" i="4" a="1"/>
  <c r="F200" i="4" a="1"/>
  <c r="G200" i="4" a="1"/>
  <c r="H200" i="4" a="1"/>
  <c r="I200" i="4" a="1"/>
  <c r="J200" i="4" a="1"/>
  <c r="K200" i="4" a="1"/>
  <c r="L200" i="4" a="1"/>
  <c r="M200" i="4" a="1"/>
  <c r="N200" i="4" a="1"/>
  <c r="M95" i="4" a="1"/>
  <c r="N111" i="4" a="1"/>
  <c r="D56" i="4" a="1"/>
  <c r="E41" i="4" a="1"/>
  <c r="G36" i="4" a="1"/>
  <c r="H54" i="4" a="1"/>
  <c r="J69" i="4" a="1"/>
  <c r="K78" i="4" a="1"/>
  <c r="M112" i="4" a="1"/>
  <c r="N73" i="4" a="1"/>
  <c r="D76" i="4" a="1"/>
  <c r="E62" i="4" a="1"/>
  <c r="F40" i="4" a="1"/>
  <c r="H77" i="4" a="1"/>
  <c r="I91" i="4" a="1"/>
  <c r="K110" i="4" a="1"/>
  <c r="L34" i="4" a="1"/>
  <c r="N19" i="4" a="1"/>
  <c r="C91" i="4" a="1"/>
  <c r="E68" i="4" a="1"/>
  <c r="F41" i="4" a="1"/>
  <c r="H57" i="4" a="1"/>
  <c r="I66" i="4" a="1"/>
  <c r="M67" i="4" a="1"/>
  <c r="L77" i="4" a="1"/>
  <c r="M52" i="4" a="1"/>
  <c r="C21" i="4" a="1"/>
  <c r="D81" i="4" a="1"/>
  <c r="F47" i="4" a="1"/>
  <c r="G30" i="4" a="1"/>
  <c r="I71" i="4" a="1"/>
  <c r="J42" i="4" a="1"/>
  <c r="K72" i="4" a="1"/>
  <c r="M62" i="4" a="1"/>
  <c r="N27" i="4" a="1"/>
  <c r="D21" i="4" a="1"/>
  <c r="E28" i="4" a="1"/>
  <c r="G89" i="4" a="1"/>
  <c r="H30" i="4" a="1"/>
  <c r="J110" i="4" a="1"/>
  <c r="K54" i="4" a="1"/>
  <c r="L91" i="4" a="1"/>
  <c r="N86" i="4" a="1"/>
  <c r="C37" i="4" a="1"/>
  <c r="E31" i="4" a="1"/>
  <c r="F58" i="4" a="1"/>
  <c r="H71" i="4" a="1"/>
  <c r="I46" i="4" a="1"/>
  <c r="K76" i="4" a="1"/>
  <c r="L102" i="4" a="1"/>
  <c r="M30" i="4" a="1"/>
  <c r="C59" i="4" a="1"/>
  <c r="D37" i="4" a="1"/>
  <c r="F71" i="4" a="1"/>
  <c r="G103" i="4" a="1"/>
  <c r="I107" i="4" a="1"/>
  <c r="J115" i="4" a="1"/>
  <c r="L71" i="4" a="1"/>
  <c r="M64" i="4" a="1"/>
  <c r="C101" i="4" a="1"/>
  <c r="D103" i="4" a="1"/>
  <c r="F80" i="4" a="1"/>
  <c r="G94" i="4" a="1"/>
  <c r="I93" i="4" a="1"/>
  <c r="J83" i="4" a="1"/>
  <c r="K112" i="4" a="1"/>
  <c r="M97" i="4" a="1"/>
  <c r="N48" i="4" a="1"/>
  <c r="D78" i="4" a="1"/>
  <c r="E87" i="4" a="1"/>
  <c r="G44" i="4" a="1"/>
  <c r="H116" i="4" a="1"/>
  <c r="J50" i="4" a="1"/>
  <c r="K58" i="4" a="1"/>
  <c r="M114" i="4" a="1"/>
  <c r="N61" i="4" a="1"/>
  <c r="D110" i="4" a="1"/>
  <c r="E49" i="4" a="1"/>
  <c r="G99" i="4" a="1"/>
  <c r="H100" i="4" a="1"/>
  <c r="J63" i="4" a="1"/>
  <c r="K32" i="4" a="1"/>
  <c r="L42" i="4" a="1"/>
  <c r="N45" i="4" a="1"/>
  <c r="C117" i="4" a="1"/>
  <c r="E113" i="4" a="1"/>
  <c r="F100" i="4" a="1"/>
  <c r="H99" i="4" a="1"/>
  <c r="I83" i="4" a="1"/>
  <c r="J112" i="4" a="1"/>
  <c r="L110" i="4" a="1"/>
  <c r="M29" i="4" a="1"/>
  <c r="C56" i="4" a="1"/>
  <c r="D117" i="4" a="1"/>
  <c r="F99" i="4" a="1"/>
  <c r="G54" i="4" a="1"/>
  <c r="I76" i="4" a="1"/>
  <c r="J66" i="4" a="1"/>
  <c r="K55" i="4" a="1"/>
  <c r="D79" i="4" a="1"/>
  <c r="G34" i="4" a="1"/>
  <c r="I36" i="4" a="1"/>
  <c r="M48" i="4" a="1"/>
  <c r="K39" i="4" a="1"/>
  <c r="I112" i="4" a="1"/>
  <c r="J51" i="4" a="1"/>
  <c r="G39" i="4" a="1"/>
  <c r="N57" i="4" a="1"/>
  <c r="D72" i="4" a="1"/>
  <c r="E92" i="4" a="1"/>
  <c r="E32" i="4" a="1"/>
  <c r="D27" i="4" a="1"/>
  <c r="M26" i="4" a="1"/>
  <c r="N52" i="4" a="1"/>
  <c r="D90" i="4" a="1"/>
  <c r="E111" i="4" a="1"/>
  <c r="G50" i="4" a="1"/>
  <c r="H34" i="4" a="1"/>
  <c r="J71" i="4" a="1"/>
  <c r="K94" i="4" a="1"/>
  <c r="M113" i="4" a="1"/>
  <c r="N85" i="4" a="1"/>
  <c r="D36" i="4" a="1"/>
  <c r="E73" i="4" a="1"/>
  <c r="G63" i="4" a="1"/>
  <c r="H20" i="4" a="1"/>
  <c r="I81" i="4" a="1"/>
  <c r="K44" i="4" a="1"/>
  <c r="L40" i="4" a="1"/>
  <c r="N35" i="4" a="1"/>
  <c r="C81" i="4" a="1"/>
  <c r="E19" i="4" a="1"/>
  <c r="F111" i="4" a="1"/>
  <c r="H47" i="4" a="1"/>
  <c r="I58" i="4" a="1"/>
  <c r="K99" i="4" a="1"/>
  <c r="L20" i="4" a="1"/>
  <c r="N60" i="4" a="1"/>
  <c r="C66" i="4" a="1"/>
  <c r="D112" i="4" a="1"/>
  <c r="F62" i="4" a="1"/>
  <c r="G92" i="4" a="1"/>
  <c r="I89" i="4" a="1"/>
  <c r="J116" i="4" a="1"/>
  <c r="L63" i="4" a="1"/>
  <c r="M73" i="4" a="1"/>
  <c r="C69" i="4" a="1"/>
  <c r="D66" i="4" a="1"/>
  <c r="E27" i="4" a="1"/>
  <c r="G32" i="4" a="1"/>
  <c r="H92" i="4" a="1"/>
  <c r="J44" i="4" a="1"/>
  <c r="K34" i="4" a="1"/>
  <c r="L81" i="4" a="1"/>
  <c r="N97" i="4" a="1"/>
  <c r="C24" i="4" a="1"/>
  <c r="E86" i="4" a="1"/>
  <c r="F30" i="4" a="1"/>
  <c r="H89" i="4" a="1"/>
  <c r="I103" i="4" a="1"/>
  <c r="K36" i="4" a="1"/>
  <c r="L21" i="4" a="1"/>
  <c r="M92" i="4" a="1"/>
  <c r="C106" i="4" a="1"/>
  <c r="D24" i="4" a="1"/>
  <c r="F89" i="4" a="1"/>
  <c r="G105" i="4" a="1"/>
  <c r="I101" i="4" a="1"/>
  <c r="J117" i="4" a="1"/>
  <c r="L89" i="4" a="1"/>
  <c r="M28" i="4" a="1"/>
  <c r="C33" i="4" a="1"/>
  <c r="D105" i="4" a="1"/>
  <c r="F31" i="4" a="1"/>
  <c r="G42" i="4" a="1"/>
  <c r="I43" i="4" a="1"/>
  <c r="J54" i="4" a="1"/>
  <c r="L80" i="4" a="1"/>
  <c r="M109" i="4" a="1"/>
  <c r="C43" i="4" a="1"/>
  <c r="D94" i="4" a="1"/>
  <c r="E67" i="4" a="1"/>
  <c r="G65" i="4" a="1"/>
  <c r="H104" i="4" a="1"/>
  <c r="J77" i="4" a="1"/>
  <c r="K30" i="4" a="1"/>
  <c r="M59" i="4" a="1"/>
  <c r="N84" i="4" a="1"/>
  <c r="D44" i="4" a="1"/>
  <c r="E61" i="4" a="1"/>
  <c r="G95" i="4" a="1"/>
  <c r="H29" i="4" a="1"/>
  <c r="J57" i="4" a="1"/>
  <c r="K53" i="4" a="1"/>
  <c r="L116" i="4" a="1"/>
  <c r="N23" i="4" a="1"/>
  <c r="C79" i="4" a="1"/>
  <c r="E45" i="4" a="1"/>
  <c r="F29" i="4" a="1"/>
  <c r="H95" i="4" a="1"/>
  <c r="I54" i="4" a="1"/>
  <c r="K80" i="4" a="1"/>
  <c r="L44" i="4" a="1"/>
  <c r="M87" i="4" a="1"/>
  <c r="C90" i="4" a="1"/>
  <c r="F95" i="4" a="1"/>
  <c r="J58" i="4" a="1"/>
  <c r="N65" i="4" a="1"/>
  <c r="E54" i="4" a="1"/>
  <c r="F117" i="4" a="1"/>
  <c r="F83" i="4" a="1"/>
  <c r="G91" i="4" a="1"/>
  <c r="H81" i="4" a="1"/>
  <c r="H21" i="4" a="1"/>
  <c r="I114" i="4" a="1"/>
  <c r="M38" i="4" a="1"/>
  <c r="C76" i="4" a="1"/>
  <c r="D83" i="4" a="1"/>
  <c r="E52" i="4" a="1"/>
  <c r="G77" i="4" a="1"/>
  <c r="H40" i="4" a="1"/>
  <c r="J89" i="4" a="1"/>
  <c r="K42" i="4" a="1"/>
  <c r="M45" i="4" a="1"/>
  <c r="N96" i="4" a="1"/>
  <c r="D50" i="4" a="1"/>
  <c r="E85" i="4" a="1"/>
  <c r="G57" i="4" a="1"/>
  <c r="H41" i="4" a="1"/>
  <c r="J80" i="4" a="1"/>
  <c r="K65" i="4" a="1"/>
  <c r="N51" i="4" a="1"/>
  <c r="N70" i="4" a="1"/>
  <c r="D63" i="4" a="1"/>
  <c r="E35" i="4" a="1"/>
  <c r="F52" i="4" a="1"/>
  <c r="H62" i="4" a="1"/>
  <c r="I30" i="4" a="1"/>
  <c r="K95" i="4" a="1"/>
  <c r="L41" i="4" a="1"/>
  <c r="N74" i="4" a="1"/>
  <c r="C58" i="4" a="1"/>
  <c r="E60" i="4" a="1"/>
  <c r="F73" i="4" a="1"/>
  <c r="H75" i="4" a="1"/>
  <c r="I32" i="4" a="1"/>
  <c r="J104" i="4" a="1"/>
  <c r="L57" i="4" a="1"/>
  <c r="M85" i="4" a="1"/>
  <c r="C71" i="4" a="1"/>
  <c r="D58" i="4" a="1"/>
  <c r="F75" i="4" a="1"/>
  <c r="G53" i="4" a="1"/>
  <c r="I24" i="4" a="1"/>
  <c r="J65" i="4" a="1"/>
  <c r="K40" i="4" a="1"/>
  <c r="M75" i="4" a="1"/>
  <c r="N109" i="4" a="1"/>
  <c r="D69" i="4" a="1"/>
  <c r="E97" i="4" a="1"/>
  <c r="F92" i="4" a="1"/>
  <c r="H32" i="4" a="1"/>
  <c r="I105" i="4" a="1"/>
  <c r="K50" i="4" a="1"/>
  <c r="L66" i="4" a="1"/>
  <c r="N98" i="4" a="1"/>
  <c r="C46" i="4" a="1"/>
  <c r="E108" i="4" a="1"/>
  <c r="F32" i="4" a="1"/>
  <c r="G55" i="4" a="1"/>
  <c r="I33" i="4" a="1"/>
  <c r="J79" i="4" a="1"/>
  <c r="L32" i="4" a="1"/>
  <c r="M27" i="4" a="1"/>
  <c r="C78" i="4" a="1"/>
  <c r="D55" i="4" a="1"/>
  <c r="F86" i="4" a="1"/>
  <c r="G116" i="4" a="1"/>
  <c r="I110" i="4" a="1"/>
  <c r="J34" i="4" a="1"/>
  <c r="L31" i="4" a="1"/>
  <c r="M25" i="4" a="1"/>
  <c r="C110" i="4" a="1"/>
  <c r="D42" i="4" a="1"/>
  <c r="F98" i="4" a="1"/>
  <c r="G100" i="4" a="1"/>
  <c r="I108" i="4" a="1"/>
  <c r="J20" i="4" a="1"/>
  <c r="K92" i="4" a="1"/>
  <c r="M106" i="4" a="1"/>
  <c r="N67" i="4" a="1"/>
  <c r="D65" i="4" a="1"/>
  <c r="E84" i="4" a="1"/>
  <c r="G26" i="4" a="1"/>
  <c r="H87" i="4" a="1"/>
  <c r="J47" i="4" a="1"/>
  <c r="K64" i="4" a="1"/>
  <c r="L67" i="4" a="1"/>
  <c r="N82" i="4" a="1"/>
  <c r="C93" i="4" a="1"/>
  <c r="E23" i="4" a="1"/>
  <c r="F87" i="4" a="1"/>
  <c r="H26" i="4" a="1"/>
  <c r="I34" i="4" a="1"/>
  <c r="K31" i="4" a="1"/>
  <c r="L65" i="4" a="1"/>
  <c r="M88" i="4" a="1"/>
  <c r="C83" i="4" a="1"/>
  <c r="D93" i="4" a="1"/>
  <c r="F26" i="4" a="1"/>
  <c r="G40" i="4" a="1"/>
  <c r="I50" i="4" a="1"/>
  <c r="J30" i="4" a="1"/>
  <c r="C51" i="4" a="1"/>
  <c r="H39" i="4" a="1"/>
  <c r="D108" i="4" a="1"/>
  <c r="M34" i="4" a="1"/>
  <c r="I60" i="4" a="1"/>
  <c r="E30" i="4" a="1"/>
  <c r="N32" i="4" a="1"/>
  <c r="M91" i="4" a="1"/>
  <c r="J49" i="4" a="1"/>
  <c r="G114" i="4" a="1"/>
  <c r="N42" i="4" a="1"/>
  <c r="L24" i="4" a="1"/>
  <c r="K74" i="4" a="1"/>
  <c r="I82" i="4" a="1"/>
  <c r="G115" i="4" a="1"/>
  <c r="D45" i="4" a="1"/>
  <c r="L84" i="4" a="1"/>
  <c r="K107" i="4" a="1"/>
  <c r="H76" i="4" a="1"/>
  <c r="F50" i="4" a="1"/>
  <c r="D70" i="4" a="1"/>
  <c r="D60" i="4" a="1"/>
  <c r="C97" i="4" a="1"/>
  <c r="M21" i="4" a="1"/>
  <c r="L99" i="4" a="1"/>
  <c r="M49" i="4" a="1"/>
  <c r="C36" i="4" a="1"/>
  <c r="D54" i="4" a="1"/>
  <c r="F112" i="4" a="1"/>
  <c r="G20" i="4" a="1"/>
  <c r="H88" i="4" a="1"/>
  <c r="J32" i="4" a="1"/>
  <c r="K116" i="4" a="1"/>
  <c r="M23" i="4" a="1"/>
  <c r="N72" i="4" a="1"/>
  <c r="D77" i="4" a="1"/>
  <c r="E96" i="4" a="1"/>
  <c r="G47" i="4" a="1"/>
  <c r="H111" i="4" a="1"/>
  <c r="J31" i="4" a="1"/>
  <c r="K100" i="4" a="1"/>
  <c r="M39" i="4" a="1"/>
  <c r="N22" i="4" a="1"/>
  <c r="D57" i="4" a="1"/>
  <c r="E70" i="4" a="1"/>
  <c r="G75" i="4" a="1"/>
  <c r="H73" i="4" a="1"/>
  <c r="I92" i="4" a="1"/>
  <c r="K26" i="4" a="1"/>
  <c r="L111" i="4" a="1"/>
  <c r="N102" i="4" a="1"/>
  <c r="C30" i="4" a="1"/>
  <c r="E74" i="4" a="1"/>
  <c r="F85" i="4" a="1"/>
  <c r="H68" i="4" a="1"/>
  <c r="I53" i="4" a="1"/>
  <c r="M108" i="4" a="1"/>
  <c r="L47" i="4" a="1"/>
  <c r="M96" i="4" a="1"/>
  <c r="C89" i="4" a="1"/>
  <c r="D30" i="4" a="1"/>
  <c r="F68" i="4" a="1"/>
  <c r="G64" i="4" a="1"/>
  <c r="I80" i="4" a="1"/>
  <c r="J100" i="4" a="1"/>
  <c r="K88" i="4" a="1"/>
  <c r="M68" i="4" a="1"/>
  <c r="N25" i="4" a="1"/>
  <c r="D71" i="4" a="1"/>
  <c r="E109" i="4" a="1"/>
  <c r="G80" i="4" a="1"/>
  <c r="H53" i="4" a="1"/>
  <c r="I48" i="4" a="1"/>
  <c r="K77" i="4" a="1"/>
  <c r="L58" i="4" a="1"/>
  <c r="N114" i="4" a="1"/>
  <c r="C103" i="4" a="1"/>
  <c r="E98" i="4" a="1"/>
  <c r="F53" i="4" a="1"/>
  <c r="H80" i="4" a="1"/>
  <c r="I78" i="4" a="1"/>
  <c r="J93" i="4" a="1"/>
  <c r="L53" i="4" a="1"/>
  <c r="N107" i="4" a="1"/>
  <c r="C94" i="4" a="1"/>
  <c r="E51" i="4" a="1"/>
  <c r="F97" i="4" a="1"/>
  <c r="G104" i="4" a="1"/>
  <c r="I44" i="4" a="1"/>
  <c r="J40" i="4" a="1"/>
  <c r="L86" i="4" a="1"/>
  <c r="M37" i="4" a="1"/>
  <c r="C44" i="4" a="1"/>
  <c r="D116" i="4" a="1"/>
  <c r="F114" i="4" a="1"/>
  <c r="G29" i="4" a="1"/>
  <c r="I99" i="4" a="1"/>
  <c r="J41" i="4" a="1"/>
  <c r="L98" i="4" a="1"/>
  <c r="M46" i="4" a="1"/>
  <c r="C99" i="4" a="1"/>
  <c r="D100" i="4" a="1"/>
  <c r="E88" i="4" a="1"/>
  <c r="G38" i="4" a="1"/>
  <c r="H48" i="4" a="1"/>
  <c r="J62" i="4" a="1"/>
  <c r="K28" i="4" a="1"/>
  <c r="M107" i="4" a="1"/>
  <c r="N115" i="4" a="1"/>
  <c r="D99" i="4" a="1"/>
  <c r="E82" i="4" a="1"/>
  <c r="F48" i="4" a="1"/>
  <c r="H38" i="4" a="1"/>
  <c r="I40" i="4" a="1"/>
  <c r="K86" i="4" a="1"/>
  <c r="L100" i="4" a="1"/>
  <c r="N39" i="4" a="1"/>
  <c r="C54" i="4" a="1"/>
  <c r="G51" i="4" a="1"/>
  <c r="F38" i="4" a="1"/>
  <c r="G88" i="4" a="1"/>
  <c r="I77" i="4" a="1"/>
  <c r="J92" i="4" a="1"/>
  <c r="K98" i="4" a="1"/>
  <c r="F115" i="4" a="1"/>
  <c r="C73" i="4" a="1"/>
  <c r="L56" i="4" a="1"/>
  <c r="J46" i="4" a="1"/>
  <c r="H91" i="4" a="1"/>
  <c r="E89" i="4" a="1"/>
  <c r="D28" i="4" a="1"/>
  <c r="N105" i="4" a="1"/>
  <c r="K73" i="4" a="1"/>
  <c r="H46" i="4" a="1"/>
  <c r="H33" i="4" a="1"/>
  <c r="E99" i="4" a="1"/>
  <c r="C45" i="4" a="1"/>
  <c r="K24" i="4" a="1"/>
  <c r="K106" i="4" a="1"/>
  <c r="C52" i="4" a="1"/>
  <c r="C85" i="4" a="1"/>
  <c r="M40" i="4" a="1"/>
  <c r="L76" i="4" a="1"/>
  <c r="K117" i="4" a="1"/>
  <c r="I37" i="4" a="1"/>
  <c r="G37" i="4" a="1"/>
  <c r="L95" i="4" a="1"/>
  <c r="M61" i="4" a="1"/>
  <c r="C50" i="4" a="1"/>
  <c r="D34" i="4" a="1"/>
  <c r="F113" i="4" a="1"/>
  <c r="G41" i="4" a="1"/>
  <c r="I63" i="4" a="1"/>
  <c r="J53" i="4" a="1"/>
  <c r="K104" i="4" a="1"/>
  <c r="M82" i="4" a="1"/>
  <c r="C63" i="4" a="1"/>
  <c r="D20" i="4" a="1"/>
  <c r="E72" i="4" a="1"/>
  <c r="G62" i="4" a="1"/>
  <c r="H52" i="4" a="1"/>
  <c r="J86" i="4" a="1"/>
  <c r="K29" i="4" a="1"/>
  <c r="M56" i="4" a="1"/>
  <c r="N91" i="4" a="1"/>
  <c r="D47" i="4" a="1"/>
  <c r="E22" i="4" a="1"/>
  <c r="G68" i="4" a="1"/>
  <c r="H85" i="4" a="1"/>
  <c r="J98" i="4" a="1"/>
  <c r="K38" i="4" a="1"/>
  <c r="L52" i="4" a="1"/>
  <c r="N21" i="4" a="1"/>
  <c r="C92" i="4" a="1"/>
  <c r="E102" i="4" a="1"/>
  <c r="F96" i="4" a="1"/>
  <c r="H19" i="4" a="1"/>
  <c r="I64" i="4" a="1"/>
  <c r="K113" i="4" a="1"/>
  <c r="L62" i="4" a="1"/>
  <c r="M72" i="4" a="1"/>
  <c r="C32" i="4" a="1"/>
  <c r="D92" i="4" a="1"/>
  <c r="F19" i="4" a="1"/>
  <c r="G28" i="4" a="1"/>
  <c r="I31" i="4" a="1"/>
  <c r="J29" i="4" a="1"/>
  <c r="K51" i="4" a="1"/>
  <c r="M19" i="4" a="1"/>
  <c r="N37" i="4" a="1"/>
  <c r="D89" i="4" a="1"/>
  <c r="E25" i="4" a="1"/>
  <c r="G31" i="4" a="1"/>
  <c r="H64" i="4" a="1"/>
  <c r="J99" i="4" a="1"/>
  <c r="K20" i="4" a="1"/>
  <c r="L30" i="4" a="1"/>
  <c r="N59" i="4" a="1"/>
  <c r="C105" i="4" a="1"/>
  <c r="E114" i="4" a="1"/>
  <c r="F64" i="4" a="1"/>
  <c r="H31" i="4" a="1"/>
  <c r="I94" i="4" a="1"/>
  <c r="K63" i="4" a="1"/>
  <c r="L64" i="4" a="1"/>
  <c r="N101" i="4" a="1"/>
  <c r="C42" i="4" a="1"/>
  <c r="E107" i="4" a="1"/>
  <c r="F109" i="4" a="1"/>
  <c r="H98" i="4" a="1"/>
  <c r="I65" i="4" a="1"/>
  <c r="J88" i="4" a="1"/>
  <c r="L97" i="4" a="1"/>
  <c r="M24" i="4" a="1"/>
  <c r="C65" i="4" a="1"/>
  <c r="D104" i="4" a="1"/>
  <c r="F59" i="4" a="1"/>
  <c r="G87" i="4" a="1"/>
  <c r="I95" i="4" a="1"/>
  <c r="J111" i="4" a="1"/>
  <c r="L114" i="4" a="1"/>
  <c r="M103" i="4" a="1"/>
  <c r="C95" i="4" a="1"/>
  <c r="D29" i="4" a="1"/>
  <c r="F107" i="4" a="1"/>
  <c r="G49" i="4" a="1"/>
  <c r="I51" i="4" a="1"/>
  <c r="J73" i="4" a="1"/>
  <c r="K27" i="4" a="1"/>
  <c r="M101" i="4" a="1"/>
  <c r="N117" i="4" a="1"/>
  <c r="D95" i="4" a="1"/>
  <c r="E115" i="4" a="1"/>
  <c r="G113" i="4" a="1"/>
  <c r="H49" i="4" a="1"/>
  <c r="J75" i="4" a="1"/>
  <c r="K97" i="4" a="1"/>
  <c r="L29" i="4" a="1"/>
  <c r="N56" i="4" a="1"/>
  <c r="C34" i="4" a="1"/>
  <c r="E39" i="4" a="1"/>
  <c r="F49" i="4" a="1"/>
  <c r="H113" i="4" a="1"/>
  <c r="I20" i="4" a="1"/>
  <c r="L48" i="4" a="1"/>
  <c r="L61" i="4" a="1"/>
  <c r="E36" i="4" a="1"/>
  <c r="L82" i="4" a="1"/>
  <c r="I19" i="4" a="1"/>
  <c r="F36" i="4" a="1"/>
  <c r="D35" i="4" a="1"/>
  <c r="L72" i="4" a="1"/>
  <c r="I25" i="4" a="1"/>
  <c r="G25" i="4" a="1"/>
  <c r="D86" i="4" a="1"/>
  <c r="M71" i="4" a="1"/>
  <c r="K35" i="4" a="1"/>
  <c r="I61" i="4" a="1"/>
  <c r="F94" i="4" a="1"/>
  <c r="D61" i="4" a="1"/>
  <c r="M110" i="4" a="1"/>
  <c r="N77" i="4" a="1"/>
  <c r="L115" i="4" a="1"/>
  <c r="J24" i="4" a="1"/>
  <c r="I74" i="4" a="1"/>
  <c r="G21" i="4" a="1"/>
  <c r="F81" i="4" a="1"/>
  <c r="F102" i="4" a="1"/>
  <c r="D97" i="4" a="1"/>
  <c r="L26" i="4" a="1"/>
  <c r="M84" i="4" a="1"/>
  <c r="C77" i="4" a="1"/>
  <c r="D40" i="4" a="1"/>
  <c r="F45" i="4" a="1"/>
  <c r="G111" i="4" a="1"/>
  <c r="I57" i="4" a="1"/>
  <c r="J64" i="4" a="1"/>
  <c r="L113" i="4" a="1"/>
  <c r="M115" i="4" a="1"/>
  <c r="C57" i="4" a="1"/>
  <c r="D41" i="4" a="1"/>
  <c r="G112" i="4" a="1"/>
  <c r="G73" i="4" a="1"/>
  <c r="H108" i="4" a="1"/>
  <c r="J97" i="4" a="1"/>
  <c r="K87" i="4" a="1"/>
  <c r="M90" i="4" a="1"/>
  <c r="N81" i="4" a="1"/>
  <c r="D62" i="4" a="1"/>
  <c r="E91" i="4" a="1"/>
  <c r="G19" i="4" a="1"/>
  <c r="H96" i="4" a="1"/>
  <c r="J114" i="4" a="1"/>
  <c r="K49" i="4" a="1"/>
  <c r="M76" i="4" a="1"/>
  <c r="N66" i="4" a="1"/>
  <c r="D75" i="4" a="1"/>
  <c r="E21" i="4" a="1"/>
  <c r="F72" i="4" a="1"/>
  <c r="H35" i="4" a="1"/>
  <c r="I28" i="4" a="1"/>
  <c r="K45" i="4" a="1"/>
  <c r="L73" i="4" a="1"/>
  <c r="N69" i="4" a="1"/>
  <c r="C53" i="4" a="1"/>
  <c r="E48" i="4" a="1"/>
  <c r="F35" i="4" a="1"/>
  <c r="G27" i="4" a="1"/>
  <c r="I86" i="4" a="1"/>
  <c r="J87" i="4" a="1"/>
  <c r="L104" i="4" a="1"/>
  <c r="M35" i="4" a="1"/>
  <c r="N24" i="4" a="1"/>
  <c r="D32" i="4" a="1"/>
  <c r="E37" i="4" a="1"/>
  <c r="G86" i="4" a="1"/>
  <c r="H28" i="4" a="1"/>
  <c r="J95" i="4" a="1"/>
  <c r="K41" i="4" a="1"/>
  <c r="L92" i="4" a="1"/>
  <c r="N106" i="4" a="1"/>
  <c r="C55" i="4" a="1"/>
  <c r="E59" i="4" a="1"/>
  <c r="F28" i="4" a="1"/>
  <c r="H86" i="4" a="1"/>
  <c r="I42" i="4" a="1"/>
  <c r="K57" i="4" a="1"/>
  <c r="L28" i="4" a="1"/>
  <c r="N33" i="4" a="1"/>
  <c r="C116" i="4" a="1"/>
  <c r="E101" i="4" a="1"/>
  <c r="F25" i="4" a="1"/>
  <c r="H114" i="4" a="1"/>
  <c r="I100" i="4" a="1"/>
  <c r="K75" i="4" a="1"/>
  <c r="L109" i="4" a="1"/>
  <c r="N43" i="4" a="1"/>
  <c r="C100" i="4" a="1"/>
  <c r="F67" i="4" a="1"/>
  <c r="F106" i="4" a="1"/>
  <c r="G48" i="4" a="1"/>
  <c r="I26" i="4" a="1"/>
  <c r="J52" i="4" a="1"/>
  <c r="L59" i="4" a="1"/>
  <c r="M105" i="4" a="1"/>
  <c r="C26" i="4" a="1"/>
  <c r="D87" i="4" a="1"/>
  <c r="F101" i="4" a="1"/>
  <c r="G61" i="4" a="1"/>
  <c r="I113" i="4" a="1"/>
  <c r="J85" i="4" a="1"/>
  <c r="L93" i="4" a="1"/>
  <c r="M33" i="4" a="1"/>
  <c r="N79" i="4" a="1"/>
  <c r="D26" i="4" a="1"/>
  <c r="E117" i="4" a="1"/>
  <c r="G45" i="4" a="1"/>
  <c r="H61" i="4" a="1"/>
  <c r="J68" i="4" a="1"/>
  <c r="K109" i="4" a="1"/>
  <c r="L87" i="4" a="1"/>
  <c r="N90" i="4" a="1"/>
  <c r="C40" i="4" a="1"/>
  <c r="E56" i="4" a="1"/>
  <c r="F61" i="4" a="1"/>
  <c r="H45" i="4" a="1"/>
  <c r="I41" i="4" a="1"/>
  <c r="N63" i="4" a="1"/>
  <c r="C19" i="4" a="1"/>
  <c r="M77" i="4" a="1"/>
  <c r="J101" i="4" a="1"/>
  <c r="F91" i="4" a="1"/>
  <c r="C86" i="4" a="1"/>
  <c r="K108" i="4" a="1"/>
  <c r="J113" i="4" a="1"/>
  <c r="G107" i="4" a="1"/>
  <c r="F105" i="4" a="1"/>
  <c r="N95" i="4" a="1"/>
  <c r="L101" i="4" a="1"/>
  <c r="N112" i="4" a="1"/>
  <c r="H115" i="4" a="1"/>
  <c r="E50" i="4" a="1"/>
  <c r="E63" i="4" a="1"/>
  <c r="C35" i="4" a="1"/>
  <c r="C60" i="4" a="1"/>
  <c r="N53" i="4" a="1"/>
  <c r="L35" i="4" a="1"/>
  <c r="J61" i="4" a="1"/>
  <c r="L38" i="4" a="1"/>
  <c r="N76" i="4" a="1"/>
  <c r="C20" i="4" a="1"/>
  <c r="D88" i="4" a="1"/>
  <c r="F23" i="4" a="1"/>
  <c r="G52" i="4" a="1"/>
  <c r="I47" i="4" a="1"/>
  <c r="J28" i="4" a="1"/>
  <c r="L45" i="4" a="1"/>
  <c r="M117" i="4" a="1"/>
  <c r="C47" i="4" a="1"/>
  <c r="D111" i="4" a="1"/>
  <c r="F39" i="4" a="1"/>
  <c r="G85" i="4" a="1"/>
  <c r="I75" i="4" a="1"/>
  <c r="J109" i="4" a="1"/>
  <c r="K48" i="4" a="1"/>
  <c r="M83" i="4" a="1"/>
  <c r="C75" i="4" a="1"/>
  <c r="D73" i="4" a="1"/>
  <c r="E81" i="4" a="1"/>
  <c r="G35" i="4" a="1"/>
  <c r="H72" i="4" a="1"/>
  <c r="J59" i="4" a="1"/>
  <c r="K61" i="4" a="1"/>
  <c r="M36" i="4" a="1"/>
  <c r="N58" i="4" a="1"/>
  <c r="D68" i="4" a="1"/>
  <c r="E66" i="4" a="1"/>
  <c r="G60" i="4" a="1"/>
  <c r="H70" i="4" a="1"/>
  <c r="I27" i="4" a="1"/>
  <c r="K23" i="4" a="1"/>
  <c r="L85" i="4" a="1"/>
  <c r="N71" i="4" a="1"/>
  <c r="C64" i="4" a="1"/>
  <c r="E69" i="4" a="1"/>
  <c r="F70" i="4" a="1"/>
  <c r="H60" i="4" a="1"/>
  <c r="I97" i="4" a="1"/>
  <c r="J48" i="4" a="1"/>
  <c r="L75" i="4" a="1"/>
  <c r="M70" i="4" a="1"/>
  <c r="C80" i="4" a="1"/>
  <c r="D53" i="4" a="1"/>
  <c r="E24" i="4" a="1"/>
  <c r="G97" i="4" a="1"/>
  <c r="H27" i="4" a="1"/>
  <c r="J26" i="4" a="1"/>
  <c r="K111" i="4" a="1"/>
  <c r="M60" i="4" a="1"/>
  <c r="N46" i="4" a="1"/>
  <c r="D80" i="4" a="1"/>
  <c r="E106" i="4" a="1"/>
  <c r="F27" i="4" a="1"/>
  <c r="H97" i="4" a="1"/>
  <c r="I116" i="4" a="1"/>
  <c r="K47" i="4" a="1"/>
  <c r="L27" i="4" a="1"/>
  <c r="N78" i="4" a="1"/>
  <c r="C104" i="4" a="1"/>
  <c r="E33" i="4" a="1"/>
  <c r="F37" i="4" a="1"/>
  <c r="H59" i="4" a="1"/>
  <c r="I29" i="4" a="1"/>
  <c r="K68" i="4" a="1"/>
  <c r="L25" i="4" a="1"/>
  <c r="N110" i="4" a="1"/>
  <c r="C29" i="4" a="1"/>
  <c r="E43" i="4" a="1"/>
  <c r="F46" i="4" a="1"/>
  <c r="H107" i="4" a="1"/>
  <c r="I38" i="4" a="1"/>
  <c r="J108" i="4" a="1"/>
  <c r="L106" i="4" a="1"/>
  <c r="M55" i="4" a="1"/>
  <c r="C38" i="4" a="1"/>
  <c r="D48" i="4" a="1"/>
  <c r="F33" i="4" a="1"/>
  <c r="G84" i="4" a="1"/>
  <c r="I45" i="4" a="1"/>
  <c r="J96" i="4" a="1"/>
  <c r="M51" i="4" a="1"/>
  <c r="M78" i="4" a="1"/>
  <c r="N93" i="4" a="1"/>
  <c r="D38" i="4" a="1"/>
  <c r="E79" i="4" a="1"/>
  <c r="G23" i="4" a="1"/>
  <c r="H84" i="4" a="1"/>
  <c r="J19" i="4" a="1"/>
  <c r="K25" i="4" a="1"/>
  <c r="L108" i="4" a="1"/>
  <c r="N83" i="4" a="1"/>
  <c r="C88" i="4" a="1"/>
  <c r="E90" i="4" a="1"/>
  <c r="F84" i="4" a="1"/>
  <c r="H23" i="4" a="1"/>
  <c r="I111" i="4" a="1"/>
  <c r="K114" i="4" a="1"/>
  <c r="I73" i="4" a="1"/>
  <c r="G72" i="4" a="1"/>
  <c r="D96" i="4" a="1"/>
  <c r="K67" i="4" a="1"/>
  <c r="G102" i="4" a="1"/>
  <c r="C27" i="4" a="1"/>
  <c r="L19" i="4" a="1"/>
  <c r="I98" i="4" a="1"/>
  <c r="E103" i="4" a="1"/>
  <c r="D114" i="4" a="1"/>
  <c r="C48" i="4" a="1"/>
  <c r="L103" i="4" a="1"/>
  <c r="H43" i="4" a="1"/>
  <c r="F43" i="4" a="1"/>
  <c r="N34" i="4" a="1"/>
  <c r="I85" i="4" a="1"/>
  <c r="L90" i="4" a="1"/>
  <c r="M20" i="4" a="1"/>
  <c r="M63" i="4" a="1"/>
  <c r="M81" i="4" a="1"/>
  <c r="N55" i="4" a="1"/>
  <c r="L49" i="4" a="1"/>
  <c r="N36" i="4" a="1"/>
  <c r="C41" i="4" a="1"/>
  <c r="E76" i="4" a="1"/>
  <c r="F82" i="4" a="1"/>
  <c r="G108" i="4" a="1"/>
  <c r="I62" i="4" a="1"/>
  <c r="J27" i="4" a="1"/>
  <c r="L23" i="4" a="1"/>
  <c r="M79" i="4" a="1"/>
  <c r="C62" i="4" a="1"/>
  <c r="D52" i="4" a="1"/>
  <c r="F56" i="4" a="1"/>
  <c r="G96" i="4" a="1"/>
  <c r="I68" i="4" a="1"/>
  <c r="J25" i="4" a="1"/>
  <c r="L39" i="4" a="1"/>
  <c r="M54" i="4" a="1"/>
  <c r="C68" i="4" a="1"/>
  <c r="D85" i="4" a="1"/>
  <c r="F76" i="4" a="1"/>
  <c r="G70" i="4" a="1"/>
  <c r="H51" i="4" a="1"/>
  <c r="J106" i="4" a="1"/>
  <c r="K84" i="4" a="1"/>
  <c r="M50" i="4" a="1"/>
  <c r="N30" i="4" a="1"/>
  <c r="D19" i="4" a="1"/>
  <c r="E58" i="4" a="1"/>
  <c r="G74" i="4" a="1"/>
  <c r="H22" i="4" a="1"/>
  <c r="J107" i="4" a="1"/>
  <c r="K82" i="4" a="1"/>
  <c r="L96" i="4" a="1"/>
  <c r="N89" i="4" a="1"/>
  <c r="C28" i="4" a="1"/>
  <c r="E71" i="4" a="1"/>
  <c r="F22" i="4" a="1"/>
  <c r="H74" i="4" a="1"/>
  <c r="I109" i="4" a="1"/>
  <c r="C108" i="4" a="1"/>
  <c r="L68" i="4" a="1"/>
  <c r="M22" i="4" a="1"/>
  <c r="C31" i="4" a="1"/>
  <c r="D64" i="4" a="1"/>
  <c r="F60" i="4" a="1"/>
  <c r="G109" i="4" a="1"/>
  <c r="I104" i="4" a="1"/>
  <c r="J38" i="4" a="1"/>
  <c r="K52" i="4" a="1"/>
  <c r="M74" i="4" a="1"/>
  <c r="N103" i="4" a="1"/>
  <c r="D31" i="4" a="1"/>
  <c r="E46" i="4" a="1"/>
  <c r="G98" i="4" a="1"/>
  <c r="H109" i="4" a="1"/>
  <c r="I88" i="4" a="1"/>
  <c r="K62" i="4" a="1"/>
  <c r="M69" i="4" a="1"/>
  <c r="N94" i="4" a="1"/>
  <c r="D98" i="4" a="1"/>
  <c r="E78" i="4" a="1"/>
  <c r="F24" i="4" a="1"/>
  <c r="H106" i="4" a="1"/>
  <c r="I87" i="4" a="1"/>
  <c r="K19" i="4" a="1"/>
  <c r="L37" i="4" a="1"/>
  <c r="N44" i="4" a="1"/>
  <c r="C87" i="4" a="1"/>
  <c r="E110" i="4" a="1"/>
  <c r="F103" i="4" a="1"/>
  <c r="H101" i="4" a="1"/>
  <c r="I49" i="4" a="1"/>
  <c r="K60" i="4" a="1"/>
  <c r="L46" i="4" a="1"/>
  <c r="N99" i="4" a="1"/>
  <c r="C49" i="4" a="1"/>
  <c r="F88" i="4" a="1"/>
  <c r="F78" i="4" a="1"/>
  <c r="G67" i="4" a="1"/>
  <c r="I23" i="4" a="1"/>
  <c r="J72" i="4" a="1"/>
  <c r="L107" i="4" a="1"/>
  <c r="M94" i="4" a="1"/>
  <c r="C113" i="4" a="1"/>
  <c r="D49" i="4" a="1"/>
  <c r="E112" i="4" a="1"/>
  <c r="G82" i="4" a="1"/>
  <c r="H67" i="4" a="1"/>
  <c r="J35" i="4" a="1"/>
  <c r="K37" i="4" a="1"/>
  <c r="M43" i="4" a="1"/>
  <c r="N54" i="4" a="1"/>
  <c r="D113" i="4" a="1"/>
  <c r="E83" i="4" a="1"/>
  <c r="F93" i="4" a="1"/>
  <c r="H82" i="4" a="1"/>
  <c r="I52" i="4" a="1"/>
  <c r="K59" i="4" a="1"/>
  <c r="N50" i="4" a="1"/>
  <c r="C111" i="4" a="1"/>
  <c r="L88" i="4" a="1"/>
  <c r="F90" i="4" a="1"/>
  <c r="J37" i="4" a="1"/>
  <c r="G22" i="4" a="1"/>
  <c r="N92" i="4" a="1"/>
  <c r="K115" i="4" a="1"/>
  <c r="H102" i="4" a="1"/>
  <c r="F74" i="4" a="1"/>
  <c r="M102" i="4" a="1"/>
  <c r="H25" i="4" a="1"/>
  <c r="E94" i="4" a="1"/>
  <c r="E44" i="4" a="1"/>
  <c r="C61" i="4" a="1"/>
  <c r="M42" i="4" a="1"/>
  <c r="J70" i="4" a="1"/>
  <c r="J60" i="4" a="1"/>
  <c r="H56" i="4" a="1"/>
  <c r="I35" i="4" a="1"/>
  <c r="J103" i="4" a="1"/>
  <c r="J33" i="4" a="1"/>
  <c r="K56" i="4" a="1"/>
  <c r="K81" i="4" a="1"/>
  <c r="M93" i="4" a="1"/>
  <c r="N20" i="4" a="1"/>
  <c r="C112" i="4" a="1"/>
  <c r="E77" i="4" a="1"/>
  <c r="F79" i="4" a="1"/>
  <c r="H90" i="4" a="1"/>
  <c r="I96" i="4" a="1"/>
  <c r="K101" i="4" a="1"/>
  <c r="L117" i="4" a="1"/>
  <c r="N47" i="4" a="1"/>
  <c r="C96" i="4" a="1"/>
  <c r="E57" i="4" a="1"/>
  <c r="F54" i="4" a="1"/>
  <c r="H36" i="4" a="1"/>
  <c r="I70" i="4" a="1"/>
  <c r="L112" i="4" a="1"/>
  <c r="L83" i="4" a="1"/>
  <c r="N75" i="4" a="1"/>
  <c r="C70" i="4" a="1"/>
  <c r="D51" i="4" a="1"/>
  <c r="F77" i="4" a="1"/>
  <c r="G81" i="4" a="1"/>
  <c r="I102" i="4" a="1"/>
  <c r="J105" i="4" a="1"/>
  <c r="L36" i="4" a="1"/>
  <c r="M41" i="4" a="1"/>
  <c r="C74" i="4" a="1"/>
  <c r="D22" i="4" a="1"/>
  <c r="F63" i="4" a="1"/>
  <c r="G66" i="4" a="1"/>
  <c r="H112" i="4" a="1"/>
  <c r="J78" i="4" a="1"/>
  <c r="K79" i="4" a="1"/>
  <c r="M57" i="4" a="1"/>
  <c r="N64" i="4" a="1"/>
  <c r="D74" i="4" a="1"/>
  <c r="E53" i="4" a="1"/>
  <c r="G69" i="4" a="1"/>
  <c r="H66" i="4" a="1"/>
  <c r="I55" i="4" a="1"/>
  <c r="K90" i="4" a="1"/>
  <c r="L70" i="4" a="1"/>
  <c r="N80" i="4" a="1"/>
  <c r="C109" i="4" a="1"/>
  <c r="E93" i="4" a="1"/>
  <c r="F21" i="4" a="1"/>
  <c r="G24" i="4" a="1"/>
  <c r="I59" i="4" a="1"/>
  <c r="J84" i="4" a="1"/>
  <c r="L60" i="4" a="1"/>
  <c r="M66" i="4" a="1"/>
  <c r="C98" i="4" a="1"/>
  <c r="D109" i="4" a="1"/>
  <c r="E55" i="4" a="1"/>
  <c r="G106" i="4" a="1"/>
  <c r="H24" i="4" a="1"/>
  <c r="J23" i="4" a="1"/>
  <c r="K96" i="4" a="1"/>
  <c r="M32" i="4" a="1"/>
  <c r="N104" i="4" a="1"/>
  <c r="D106" i="4" a="1"/>
  <c r="E116" i="4" a="1"/>
  <c r="G33" i="4" a="1"/>
  <c r="H105" i="4" a="1"/>
  <c r="J56" i="4" a="1"/>
  <c r="K22" i="4" a="1"/>
  <c r="M31" i="4" a="1"/>
  <c r="N29" i="4" a="1"/>
  <c r="D101" i="4" a="1"/>
  <c r="E100" i="4" a="1"/>
  <c r="G43" i="4" a="1"/>
  <c r="H94" i="4" a="1"/>
  <c r="J76" i="4" a="1"/>
  <c r="K21" i="4" a="1"/>
  <c r="L55" i="4" a="1"/>
  <c r="N38" i="4" a="1"/>
  <c r="C67" i="4" a="1"/>
  <c r="E26" i="4" a="1"/>
  <c r="F116" i="4" a="1"/>
  <c r="H44" i="4" a="1"/>
  <c r="I117" i="4" a="1"/>
  <c r="K71" i="4" a="1"/>
  <c r="L78" i="4" a="1"/>
  <c r="M104" i="4" a="1"/>
  <c r="C82" i="4" a="1"/>
  <c r="D67" i="4" a="1"/>
  <c r="F44" i="4" a="1"/>
  <c r="G79" i="4" a="1"/>
  <c r="I56" i="4" a="1"/>
  <c r="J91" i="4" a="1"/>
  <c r="N108" i="4" a="1"/>
  <c r="M65" i="4" a="1"/>
  <c r="N88" i="4" a="1"/>
  <c r="D82" i="4" a="1"/>
  <c r="E40" i="4" a="1"/>
  <c r="G90" i="4" a="1"/>
  <c r="H79" i="4" a="1"/>
  <c r="J102" i="4" a="1"/>
  <c r="K103" i="4" a="1"/>
  <c r="N41" i="4" a="1"/>
  <c r="D39" i="4" a="1"/>
  <c r="E20" i="4" a="1"/>
  <c r="G76" i="4" a="1"/>
  <c r="H83" i="4" a="1"/>
  <c r="I72" i="4" a="1"/>
  <c r="L79" i="4" a="1"/>
  <c r="N62" i="4" a="1"/>
  <c r="E47" i="4" a="1"/>
  <c r="F34" i="4" a="1"/>
  <c r="I22" i="4" a="1"/>
  <c r="L54" i="4" a="1"/>
  <c r="C22" i="4" a="1"/>
  <c r="F20" i="4" a="1"/>
  <c r="I21" i="4" a="1"/>
  <c r="L50" i="4" a="1"/>
  <c r="C102" i="4" a="1"/>
  <c r="D91" i="4" a="1"/>
  <c r="G58" i="4" a="1"/>
  <c r="J94" i="4" a="1"/>
  <c r="M47" i="4" a="1"/>
  <c r="D102" i="4" a="1"/>
  <c r="G71" i="4" a="1"/>
  <c r="J43" i="4" a="1"/>
  <c r="L22" i="4" a="1"/>
  <c r="C25" i="4" a="1"/>
  <c r="F66" i="4" a="1"/>
  <c r="I106" i="4" a="1"/>
  <c r="M99" i="4" a="1"/>
  <c r="K33" i="4" a="1"/>
  <c r="C72" i="4" a="1"/>
  <c r="H50" i="4" a="1"/>
  <c r="K43" i="4" a="1"/>
  <c r="N68" i="4" a="1"/>
  <c r="E75" i="4" a="1"/>
  <c r="H63" i="4" a="1"/>
  <c r="J55" i="4" a="1"/>
  <c r="M111" i="4" a="1"/>
  <c r="F57" i="4" a="1"/>
  <c r="I69" i="4" a="1"/>
  <c r="K93" i="4" a="1"/>
  <c r="N28" i="4" a="1"/>
  <c r="E64" i="4" a="1"/>
  <c r="H58" i="4" a="1"/>
  <c r="K83" i="4" a="1"/>
  <c r="N31" i="4" a="1"/>
  <c r="E80" i="4" a="1"/>
  <c r="H69" i="4" a="1"/>
  <c r="J67" i="4" a="1"/>
  <c r="M58" i="4" a="1"/>
  <c r="C114" i="4" a="1"/>
  <c r="D25" i="4" a="1"/>
  <c r="F69" i="4" a="1"/>
  <c r="G46" i="4" a="1"/>
  <c r="I67" i="4" a="1"/>
  <c r="J82" i="4" a="1"/>
  <c r="L69" i="4" a="1"/>
  <c r="M53" i="4" a="1"/>
  <c r="C107" i="4" a="1"/>
  <c r="D46" i="4" a="1"/>
  <c r="E104" i="4" a="1"/>
  <c r="G78" i="4" a="1"/>
  <c r="H55" i="4" a="1"/>
  <c r="J90" i="4" a="1"/>
  <c r="L74" i="4" a="1"/>
  <c r="J39" i="4" a="1"/>
  <c r="G110" i="4" a="1"/>
  <c r="D43" i="4" a="1"/>
  <c r="L94" i="4" a="1"/>
  <c r="I90" i="4" a="1"/>
  <c r="F108" i="4" a="1"/>
  <c r="M116" i="4" a="1"/>
  <c r="G56" i="4" a="1"/>
  <c r="G83" i="4" a="1"/>
  <c r="C23" i="4" a="1"/>
  <c r="H117" i="4" a="1"/>
  <c r="C115" i="4" a="1"/>
  <c r="M100" i="4" a="1"/>
  <c r="D59" i="4" a="1"/>
  <c r="K105" i="4" a="1"/>
  <c r="K89" i="4" a="1"/>
  <c r="E105" i="4" a="1"/>
  <c r="K70" i="4" a="1"/>
  <c r="H78" i="4" a="1"/>
  <c r="E95" i="4" a="1"/>
  <c r="J22" i="4" a="1"/>
  <c r="L51" i="4" a="1"/>
  <c r="F104" i="4" a="1"/>
  <c r="J21" i="4" a="1"/>
  <c r="K46" i="4" a="1"/>
  <c r="D33" i="4" a="1"/>
  <c r="E29" i="4" a="1"/>
  <c r="G59" i="4" a="1"/>
  <c r="K91" i="4" a="1"/>
  <c r="H42" i="4" a="1"/>
  <c r="E38" i="4" a="1"/>
  <c r="N113" i="4" a="1"/>
  <c r="J81" i="4" a="1"/>
  <c r="F42" i="4" a="1"/>
  <c r="H93" i="4" a="1"/>
  <c r="J74" i="4" a="1"/>
  <c r="N116" i="4" a="1"/>
  <c r="E42" i="4" a="1"/>
  <c r="D23" i="4" a="1"/>
  <c r="C84" i="4" a="1"/>
  <c r="H37" i="4" a="1"/>
  <c r="M80" i="4" a="1"/>
  <c r="I84" i="4" a="1"/>
  <c r="M44" i="4" a="1"/>
  <c r="D107" i="4" a="1"/>
  <c r="C39" i="4" a="1"/>
  <c r="E65" i="4" a="1"/>
  <c r="F55" i="4" a="1"/>
  <c r="J45" i="4" a="1"/>
  <c r="M86" i="4" a="1"/>
  <c r="J36" i="4" a="1"/>
  <c r="L43" i="4" a="1"/>
  <c r="I115" i="4" a="1"/>
  <c r="I79" i="4" a="1"/>
  <c r="N26" i="4" a="1"/>
  <c r="D115" i="4" a="1"/>
  <c r="L33" i="4" a="1"/>
  <c r="K85" i="4" a="1"/>
  <c r="N100" i="4" a="1"/>
  <c r="K102" i="4" a="1"/>
  <c r="H110" i="4" a="1"/>
  <c r="D84" i="4" a="1"/>
  <c r="N40" i="4" a="1"/>
  <c r="F65" i="4" a="1"/>
  <c r="G117" i="4" a="1"/>
  <c r="H103" i="4" a="1"/>
  <c r="M89" i="4" a="1"/>
  <c r="N87" i="4" a="1"/>
  <c r="K66" i="4" a="1"/>
  <c r="H65" i="4" a="1"/>
  <c r="F51" i="4" a="1"/>
  <c r="F110" i="4" a="1"/>
  <c r="M98" i="4" a="1"/>
  <c r="K69" i="4" a="1"/>
  <c r="G93" i="4" a="1"/>
  <c r="I39" i="4" a="1"/>
  <c r="L105" i="4" a="1"/>
  <c r="N49" i="4" a="1"/>
  <c r="E34" i="4" a="1"/>
  <c r="G101" i="4" a="1"/>
  <c r="N200" i="4" l="1"/>
  <c r="M200" i="4"/>
  <c r="L200" i="4"/>
  <c r="K200" i="4"/>
  <c r="J200" i="4"/>
  <c r="I200" i="4"/>
  <c r="H200" i="4"/>
  <c r="G200" i="4"/>
  <c r="F200" i="4"/>
  <c r="E200" i="4"/>
  <c r="D200" i="4"/>
  <c r="C200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N207" i="4"/>
  <c r="M207" i="4"/>
  <c r="L207" i="4"/>
  <c r="K207" i="4"/>
  <c r="J207" i="4"/>
  <c r="I207" i="4"/>
  <c r="H207" i="4"/>
  <c r="G207" i="4"/>
  <c r="F207" i="4"/>
  <c r="E207" i="4"/>
  <c r="D207" i="4"/>
  <c r="C207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N208" i="4"/>
  <c r="M208" i="4"/>
  <c r="L208" i="4"/>
  <c r="K208" i="4"/>
  <c r="J208" i="4"/>
  <c r="I208" i="4"/>
  <c r="H208" i="4"/>
  <c r="G208" i="4"/>
  <c r="F208" i="4"/>
  <c r="E208" i="4"/>
  <c r="D208" i="4"/>
  <c r="C208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N210" i="4"/>
  <c r="M210" i="4"/>
  <c r="L210" i="4"/>
  <c r="K210" i="4"/>
  <c r="J210" i="4"/>
  <c r="I210" i="4"/>
  <c r="H210" i="4"/>
  <c r="G210" i="4"/>
  <c r="F210" i="4"/>
  <c r="E210" i="4"/>
  <c r="D210" i="4"/>
  <c r="C210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N209" i="4"/>
  <c r="M209" i="4"/>
  <c r="L209" i="4"/>
  <c r="K209" i="4"/>
  <c r="J209" i="4"/>
  <c r="I209" i="4"/>
  <c r="H209" i="4"/>
  <c r="G209" i="4"/>
  <c r="F209" i="4"/>
  <c r="E209" i="4"/>
  <c r="D209" i="4"/>
  <c r="C209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I18" i="4"/>
  <c r="L18" i="4"/>
  <c r="K18" i="4"/>
  <c r="J18" i="4"/>
  <c r="M18" i="4"/>
  <c r="D18" i="4"/>
  <c r="G18" i="4"/>
  <c r="F18" i="4"/>
  <c r="H18" i="4"/>
  <c r="N18" i="4"/>
  <c r="C18" i="4"/>
  <c r="E18" i="4"/>
  <c r="O200" i="4"/>
  <c r="O195" i="4"/>
  <c r="O127" i="4"/>
  <c r="O190" i="4"/>
  <c r="O203" i="4"/>
  <c r="O185" i="4"/>
  <c r="O213" i="4"/>
  <c r="O160" i="4"/>
  <c r="O129" i="4"/>
  <c r="O198" i="4"/>
  <c r="O175" i="4"/>
  <c r="O207" i="4"/>
  <c r="O178" i="4"/>
  <c r="O184" i="4"/>
  <c r="O191" i="4"/>
  <c r="O150" i="4"/>
  <c r="O153" i="4"/>
  <c r="O215" i="4"/>
  <c r="O136" i="4"/>
  <c r="O121" i="4"/>
  <c r="O183" i="4"/>
  <c r="O177" i="4"/>
  <c r="O137" i="4"/>
  <c r="O202" i="4"/>
  <c r="O148" i="4"/>
  <c r="O199" i="4"/>
  <c r="O214" i="4"/>
  <c r="O120" i="4"/>
  <c r="O186" i="4"/>
  <c r="O133" i="4"/>
  <c r="O208" i="4"/>
  <c r="O206" i="4"/>
  <c r="O172" i="4"/>
  <c r="O128" i="4"/>
  <c r="O165" i="4"/>
  <c r="O132" i="4"/>
  <c r="O151" i="4"/>
  <c r="O145" i="4"/>
  <c r="O161" i="4"/>
  <c r="O194" i="4"/>
  <c r="O196" i="4"/>
  <c r="O176" i="4"/>
  <c r="O201" i="4"/>
  <c r="O144" i="4"/>
  <c r="O163" i="4"/>
  <c r="O157" i="4"/>
  <c r="O197" i="4"/>
  <c r="O182" i="4"/>
  <c r="O125" i="4"/>
  <c r="O212" i="4"/>
  <c r="O119" i="4"/>
  <c r="O156" i="4"/>
  <c r="O211" i="4"/>
  <c r="O169" i="4"/>
  <c r="O126" i="4"/>
  <c r="O170" i="4"/>
  <c r="O123" i="4"/>
  <c r="O149" i="4"/>
  <c r="O118" i="4"/>
  <c r="O131" i="4"/>
  <c r="O168" i="4"/>
  <c r="O140" i="4"/>
  <c r="O181" i="4"/>
  <c r="O174" i="4"/>
  <c r="O158" i="4"/>
  <c r="O135" i="4"/>
  <c r="O173" i="4"/>
  <c r="O130" i="4"/>
  <c r="O143" i="4"/>
  <c r="O180" i="4"/>
  <c r="O188" i="4"/>
  <c r="O193" i="4"/>
  <c r="O210" i="4"/>
  <c r="O146" i="4"/>
  <c r="O147" i="4"/>
  <c r="O209" i="4"/>
  <c r="O142" i="4"/>
  <c r="O155" i="4"/>
  <c r="O192" i="4"/>
  <c r="O141" i="4"/>
  <c r="O205" i="4"/>
  <c r="O139" i="4"/>
  <c r="O134" i="4"/>
  <c r="O159" i="4"/>
  <c r="O138" i="4"/>
  <c r="O154" i="4"/>
  <c r="O167" i="4"/>
  <c r="O204" i="4"/>
  <c r="O189" i="4"/>
  <c r="O217" i="4"/>
  <c r="O187" i="4"/>
  <c r="O122" i="4"/>
  <c r="O171" i="4"/>
  <c r="O162" i="4"/>
  <c r="O166" i="4"/>
  <c r="O179" i="4"/>
  <c r="O216" i="4"/>
  <c r="O152" i="4"/>
  <c r="O124" i="4"/>
  <c r="O164" i="4"/>
  <c r="O18" i="4"/>
  <c r="G101" i="4"/>
  <c r="E34" i="4"/>
  <c r="N49" i="4"/>
  <c r="L105" i="4"/>
  <c r="I39" i="4"/>
  <c r="G93" i="4"/>
  <c r="K69" i="4"/>
  <c r="M98" i="4"/>
  <c r="F110" i="4"/>
  <c r="F51" i="4"/>
  <c r="H65" i="4"/>
  <c r="K66" i="4"/>
  <c r="N87" i="4"/>
  <c r="M89" i="4"/>
  <c r="H103" i="4"/>
  <c r="G117" i="4"/>
  <c r="F65" i="4"/>
  <c r="N40" i="4"/>
  <c r="D84" i="4"/>
  <c r="H110" i="4"/>
  <c r="K102" i="4"/>
  <c r="N100" i="4"/>
  <c r="K85" i="4"/>
  <c r="L33" i="4"/>
  <c r="D115" i="4"/>
  <c r="N26" i="4"/>
  <c r="I79" i="4"/>
  <c r="I115" i="4"/>
  <c r="L43" i="4"/>
  <c r="J36" i="4"/>
  <c r="M86" i="4"/>
  <c r="J45" i="4"/>
  <c r="F55" i="4"/>
  <c r="E65" i="4"/>
  <c r="C39" i="4"/>
  <c r="D107" i="4"/>
  <c r="M44" i="4"/>
  <c r="I84" i="4"/>
  <c r="M80" i="4"/>
  <c r="H37" i="4"/>
  <c r="C84" i="4"/>
  <c r="D23" i="4"/>
  <c r="E42" i="4"/>
  <c r="N116" i="4"/>
  <c r="J74" i="4"/>
  <c r="H93" i="4"/>
  <c r="F42" i="4"/>
  <c r="J81" i="4"/>
  <c r="N113" i="4"/>
  <c r="E38" i="4"/>
  <c r="H42" i="4"/>
  <c r="K91" i="4"/>
  <c r="G59" i="4"/>
  <c r="E29" i="4"/>
  <c r="D33" i="4"/>
  <c r="K46" i="4"/>
  <c r="J21" i="4"/>
  <c r="F104" i="4"/>
  <c r="L51" i="4"/>
  <c r="J22" i="4"/>
  <c r="E95" i="4"/>
  <c r="H78" i="4"/>
  <c r="K70" i="4"/>
  <c r="E105" i="4"/>
  <c r="K89" i="4"/>
  <c r="K105" i="4"/>
  <c r="D59" i="4"/>
  <c r="M100" i="4"/>
  <c r="C115" i="4"/>
  <c r="H117" i="4"/>
  <c r="C23" i="4"/>
  <c r="G83" i="4"/>
  <c r="G56" i="4"/>
  <c r="M116" i="4"/>
  <c r="F108" i="4"/>
  <c r="I90" i="4"/>
  <c r="L94" i="4"/>
  <c r="D43" i="4"/>
  <c r="G110" i="4"/>
  <c r="J39" i="4"/>
  <c r="L74" i="4"/>
  <c r="J90" i="4"/>
  <c r="H55" i="4"/>
  <c r="G78" i="4"/>
  <c r="E104" i="4"/>
  <c r="D46" i="4"/>
  <c r="C107" i="4"/>
  <c r="M53" i="4"/>
  <c r="L69" i="4"/>
  <c r="J82" i="4"/>
  <c r="I67" i="4"/>
  <c r="G46" i="4"/>
  <c r="F69" i="4"/>
  <c r="D25" i="4"/>
  <c r="C114" i="4"/>
  <c r="M58" i="4"/>
  <c r="J67" i="4"/>
  <c r="H69" i="4"/>
  <c r="E80" i="4"/>
  <c r="N31" i="4"/>
  <c r="K83" i="4"/>
  <c r="H58" i="4"/>
  <c r="E64" i="4"/>
  <c r="N28" i="4"/>
  <c r="K93" i="4"/>
  <c r="I69" i="4"/>
  <c r="F57" i="4"/>
  <c r="M111" i="4"/>
  <c r="J55" i="4"/>
  <c r="H63" i="4"/>
  <c r="E75" i="4"/>
  <c r="N68" i="4"/>
  <c r="K43" i="4"/>
  <c r="H50" i="4"/>
  <c r="C72" i="4"/>
  <c r="K33" i="4"/>
  <c r="M99" i="4"/>
  <c r="I106" i="4"/>
  <c r="F66" i="4"/>
  <c r="C25" i="4"/>
  <c r="L22" i="4"/>
  <c r="J43" i="4"/>
  <c r="G71" i="4"/>
  <c r="D102" i="4"/>
  <c r="M47" i="4"/>
  <c r="J94" i="4"/>
  <c r="G58" i="4"/>
  <c r="D91" i="4"/>
  <c r="C102" i="4"/>
  <c r="L50" i="4"/>
  <c r="I21" i="4"/>
  <c r="F20" i="4"/>
  <c r="C22" i="4"/>
  <c r="L54" i="4"/>
  <c r="I22" i="4"/>
  <c r="F34" i="4"/>
  <c r="E47" i="4"/>
  <c r="N62" i="4"/>
  <c r="L79" i="4"/>
  <c r="I72" i="4"/>
  <c r="H83" i="4"/>
  <c r="G76" i="4"/>
  <c r="E20" i="4"/>
  <c r="D39" i="4"/>
  <c r="N41" i="4"/>
  <c r="K103" i="4"/>
  <c r="J102" i="4"/>
  <c r="H79" i="4"/>
  <c r="G90" i="4"/>
  <c r="E40" i="4"/>
  <c r="D82" i="4"/>
  <c r="N88" i="4"/>
  <c r="M65" i="4"/>
  <c r="N108" i="4"/>
  <c r="J91" i="4"/>
  <c r="I56" i="4"/>
  <c r="G79" i="4"/>
  <c r="F44" i="4"/>
  <c r="D67" i="4"/>
  <c r="C82" i="4"/>
  <c r="M104" i="4"/>
  <c r="L78" i="4"/>
  <c r="K71" i="4"/>
  <c r="I117" i="4"/>
  <c r="H44" i="4"/>
  <c r="F116" i="4"/>
  <c r="E26" i="4"/>
  <c r="C67" i="4"/>
  <c r="N38" i="4"/>
  <c r="L55" i="4"/>
  <c r="K21" i="4"/>
  <c r="J76" i="4"/>
  <c r="H94" i="4"/>
  <c r="G43" i="4"/>
  <c r="E100" i="4"/>
  <c r="D101" i="4"/>
  <c r="N29" i="4"/>
  <c r="M31" i="4"/>
  <c r="K22" i="4"/>
  <c r="J56" i="4"/>
  <c r="H105" i="4"/>
  <c r="G33" i="4"/>
  <c r="E116" i="4"/>
  <c r="D106" i="4"/>
  <c r="N104" i="4"/>
  <c r="M32" i="4"/>
  <c r="K96" i="4"/>
  <c r="J23" i="4"/>
  <c r="H24" i="4"/>
  <c r="G106" i="4"/>
  <c r="E55" i="4"/>
  <c r="D109" i="4"/>
  <c r="C98" i="4"/>
  <c r="M66" i="4"/>
  <c r="L60" i="4"/>
  <c r="J84" i="4"/>
  <c r="I59" i="4"/>
  <c r="G24" i="4"/>
  <c r="F21" i="4"/>
  <c r="E93" i="4"/>
  <c r="C109" i="4"/>
  <c r="N80" i="4"/>
  <c r="L70" i="4"/>
  <c r="K90" i="4"/>
  <c r="I55" i="4"/>
  <c r="H66" i="4"/>
  <c r="G69" i="4"/>
  <c r="E53" i="4"/>
  <c r="D74" i="4"/>
  <c r="N64" i="4"/>
  <c r="M57" i="4"/>
  <c r="K79" i="4"/>
  <c r="J78" i="4"/>
  <c r="H112" i="4"/>
  <c r="G66" i="4"/>
  <c r="F63" i="4"/>
  <c r="D22" i="4"/>
  <c r="C74" i="4"/>
  <c r="M41" i="4"/>
  <c r="L36" i="4"/>
  <c r="J105" i="4"/>
  <c r="I102" i="4"/>
  <c r="G81" i="4"/>
  <c r="F77" i="4"/>
  <c r="D51" i="4"/>
  <c r="C70" i="4"/>
  <c r="N75" i="4"/>
  <c r="L83" i="4"/>
  <c r="L112" i="4"/>
  <c r="I70" i="4"/>
  <c r="H36" i="4"/>
  <c r="F54" i="4"/>
  <c r="E57" i="4"/>
  <c r="C96" i="4"/>
  <c r="N47" i="4"/>
  <c r="L117" i="4"/>
  <c r="K101" i="4"/>
  <c r="I96" i="4"/>
  <c r="H90" i="4"/>
  <c r="F79" i="4"/>
  <c r="E77" i="4"/>
  <c r="C112" i="4"/>
  <c r="N20" i="4"/>
  <c r="M93" i="4"/>
  <c r="K81" i="4"/>
  <c r="K56" i="4"/>
  <c r="J33" i="4"/>
  <c r="J103" i="4"/>
  <c r="I35" i="4"/>
  <c r="H56" i="4"/>
  <c r="J60" i="4"/>
  <c r="J70" i="4"/>
  <c r="M42" i="4"/>
  <c r="C61" i="4"/>
  <c r="E44" i="4"/>
  <c r="E94" i="4"/>
  <c r="H25" i="4"/>
  <c r="M102" i="4"/>
  <c r="F74" i="4"/>
  <c r="H102" i="4"/>
  <c r="K115" i="4"/>
  <c r="N92" i="4"/>
  <c r="G22" i="4"/>
  <c r="J37" i="4"/>
  <c r="F90" i="4"/>
  <c r="L88" i="4"/>
  <c r="C111" i="4"/>
  <c r="N50" i="4"/>
  <c r="K59" i="4"/>
  <c r="I52" i="4"/>
  <c r="H82" i="4"/>
  <c r="F93" i="4"/>
  <c r="E83" i="4"/>
  <c r="D113" i="4"/>
  <c r="N54" i="4"/>
  <c r="M43" i="4"/>
  <c r="K37" i="4"/>
  <c r="J35" i="4"/>
  <c r="H67" i="4"/>
  <c r="G82" i="4"/>
  <c r="E112" i="4"/>
  <c r="D49" i="4"/>
  <c r="C113" i="4"/>
  <c r="M94" i="4"/>
  <c r="L107" i="4"/>
  <c r="J72" i="4"/>
  <c r="I23" i="4"/>
  <c r="G67" i="4"/>
  <c r="F78" i="4"/>
  <c r="F88" i="4"/>
  <c r="C49" i="4"/>
  <c r="N99" i="4"/>
  <c r="L46" i="4"/>
  <c r="K60" i="4"/>
  <c r="I49" i="4"/>
  <c r="H101" i="4"/>
  <c r="F103" i="4"/>
  <c r="E110" i="4"/>
  <c r="C87" i="4"/>
  <c r="N44" i="4"/>
  <c r="L37" i="4"/>
  <c r="K19" i="4"/>
  <c r="I87" i="4"/>
  <c r="H106" i="4"/>
  <c r="F24" i="4"/>
  <c r="E78" i="4"/>
  <c r="D98" i="4"/>
  <c r="N94" i="4"/>
  <c r="M69" i="4"/>
  <c r="K62" i="4"/>
  <c r="I88" i="4"/>
  <c r="H109" i="4"/>
  <c r="G98" i="4"/>
  <c r="E46" i="4"/>
  <c r="D31" i="4"/>
  <c r="N103" i="4"/>
  <c r="M74" i="4"/>
  <c r="K52" i="4"/>
  <c r="J38" i="4"/>
  <c r="I104" i="4"/>
  <c r="G109" i="4"/>
  <c r="F60" i="4"/>
  <c r="D64" i="4"/>
  <c r="C31" i="4"/>
  <c r="M22" i="4"/>
  <c r="L68" i="4"/>
  <c r="C108" i="4"/>
  <c r="I109" i="4"/>
  <c r="H74" i="4"/>
  <c r="F22" i="4"/>
  <c r="E71" i="4"/>
  <c r="C28" i="4"/>
  <c r="N89" i="4"/>
  <c r="L96" i="4"/>
  <c r="K82" i="4"/>
  <c r="J107" i="4"/>
  <c r="H22" i="4"/>
  <c r="G74" i="4"/>
  <c r="E58" i="4"/>
  <c r="D19" i="4"/>
  <c r="N30" i="4"/>
  <c r="M50" i="4"/>
  <c r="K84" i="4"/>
  <c r="J106" i="4"/>
  <c r="H51" i="4"/>
  <c r="G70" i="4"/>
  <c r="F76" i="4"/>
  <c r="D85" i="4"/>
  <c r="C68" i="4"/>
  <c r="M54" i="4"/>
  <c r="L39" i="4"/>
  <c r="J25" i="4"/>
  <c r="I68" i="4"/>
  <c r="G96" i="4"/>
  <c r="F56" i="4"/>
  <c r="D52" i="4"/>
  <c r="C62" i="4"/>
  <c r="M79" i="4"/>
  <c r="L23" i="4"/>
  <c r="J27" i="4"/>
  <c r="I62" i="4"/>
  <c r="G108" i="4"/>
  <c r="F82" i="4"/>
  <c r="E76" i="4"/>
  <c r="C41" i="4"/>
  <c r="N36" i="4"/>
  <c r="L49" i="4"/>
  <c r="N55" i="4"/>
  <c r="M81" i="4"/>
  <c r="M63" i="4"/>
  <c r="M20" i="4"/>
  <c r="L90" i="4"/>
  <c r="I85" i="4"/>
  <c r="N34" i="4"/>
  <c r="F43" i="4"/>
  <c r="H43" i="4"/>
  <c r="L103" i="4"/>
  <c r="C48" i="4"/>
  <c r="D114" i="4"/>
  <c r="E103" i="4"/>
  <c r="I98" i="4"/>
  <c r="L19" i="4"/>
  <c r="C27" i="4"/>
  <c r="G102" i="4"/>
  <c r="K67" i="4"/>
  <c r="D96" i="4"/>
  <c r="G72" i="4"/>
  <c r="I73" i="4"/>
  <c r="K114" i="4"/>
  <c r="I111" i="4"/>
  <c r="H23" i="4"/>
  <c r="F84" i="4"/>
  <c r="E90" i="4"/>
  <c r="C88" i="4"/>
  <c r="N83" i="4"/>
  <c r="L108" i="4"/>
  <c r="K25" i="4"/>
  <c r="J19" i="4"/>
  <c r="H84" i="4"/>
  <c r="G23" i="4"/>
  <c r="E79" i="4"/>
  <c r="D38" i="4"/>
  <c r="N93" i="4"/>
  <c r="M78" i="4"/>
  <c r="M51" i="4"/>
  <c r="J96" i="4"/>
  <c r="I45" i="4"/>
  <c r="G84" i="4"/>
  <c r="F33" i="4"/>
  <c r="D48" i="4"/>
  <c r="C38" i="4"/>
  <c r="M55" i="4"/>
  <c r="L106" i="4"/>
  <c r="J108" i="4"/>
  <c r="I38" i="4"/>
  <c r="H107" i="4"/>
  <c r="F46" i="4"/>
  <c r="E43" i="4"/>
  <c r="C29" i="4"/>
  <c r="N110" i="4"/>
  <c r="L25" i="4"/>
  <c r="K68" i="4"/>
  <c r="I29" i="4"/>
  <c r="H59" i="4"/>
  <c r="F37" i="4"/>
  <c r="E33" i="4"/>
  <c r="C104" i="4"/>
  <c r="N78" i="4"/>
  <c r="L27" i="4"/>
  <c r="K47" i="4"/>
  <c r="I116" i="4"/>
  <c r="H97" i="4"/>
  <c r="F27" i="4"/>
  <c r="E106" i="4"/>
  <c r="D80" i="4"/>
  <c r="N46" i="4"/>
  <c r="M60" i="4"/>
  <c r="K111" i="4"/>
  <c r="J26" i="4"/>
  <c r="H27" i="4"/>
  <c r="G97" i="4"/>
  <c r="E24" i="4"/>
  <c r="D53" i="4"/>
  <c r="C80" i="4"/>
  <c r="M70" i="4"/>
  <c r="L75" i="4"/>
  <c r="J48" i="4"/>
  <c r="I97" i="4"/>
  <c r="H60" i="4"/>
  <c r="F70" i="4"/>
  <c r="E69" i="4"/>
  <c r="C64" i="4"/>
  <c r="N71" i="4"/>
  <c r="L85" i="4"/>
  <c r="K23" i="4"/>
  <c r="I27" i="4"/>
  <c r="H70" i="4"/>
  <c r="G60" i="4"/>
  <c r="E66" i="4"/>
  <c r="D68" i="4"/>
  <c r="N58" i="4"/>
  <c r="M36" i="4"/>
  <c r="K61" i="4"/>
  <c r="J59" i="4"/>
  <c r="H72" i="4"/>
  <c r="G35" i="4"/>
  <c r="E81" i="4"/>
  <c r="D73" i="4"/>
  <c r="C75" i="4"/>
  <c r="M83" i="4"/>
  <c r="K48" i="4"/>
  <c r="J109" i="4"/>
  <c r="I75" i="4"/>
  <c r="G85" i="4"/>
  <c r="F39" i="4"/>
  <c r="D111" i="4"/>
  <c r="C47" i="4"/>
  <c r="M117" i="4"/>
  <c r="L45" i="4"/>
  <c r="J28" i="4"/>
  <c r="I47" i="4"/>
  <c r="G52" i="4"/>
  <c r="F23" i="4"/>
  <c r="D88" i="4"/>
  <c r="C20" i="4"/>
  <c r="N76" i="4"/>
  <c r="L38" i="4"/>
  <c r="J61" i="4"/>
  <c r="L35" i="4"/>
  <c r="N53" i="4"/>
  <c r="C60" i="4"/>
  <c r="C35" i="4"/>
  <c r="E63" i="4"/>
  <c r="E50" i="4"/>
  <c r="H115" i="4"/>
  <c r="N112" i="4"/>
  <c r="L101" i="4"/>
  <c r="N95" i="4"/>
  <c r="F105" i="4"/>
  <c r="G107" i="4"/>
  <c r="J113" i="4"/>
  <c r="K108" i="4"/>
  <c r="C86" i="4"/>
  <c r="F91" i="4"/>
  <c r="J101" i="4"/>
  <c r="M77" i="4"/>
  <c r="C19" i="4"/>
  <c r="N63" i="4"/>
  <c r="I41" i="4"/>
  <c r="H45" i="4"/>
  <c r="F61" i="4"/>
  <c r="E56" i="4"/>
  <c r="C40" i="4"/>
  <c r="N90" i="4"/>
  <c r="L87" i="4"/>
  <c r="K109" i="4"/>
  <c r="J68" i="4"/>
  <c r="H61" i="4"/>
  <c r="G45" i="4"/>
  <c r="E117" i="4"/>
  <c r="D26" i="4"/>
  <c r="N79" i="4"/>
  <c r="M33" i="4"/>
  <c r="L93" i="4"/>
  <c r="J85" i="4"/>
  <c r="I113" i="4"/>
  <c r="G61" i="4"/>
  <c r="F101" i="4"/>
  <c r="D87" i="4"/>
  <c r="C26" i="4"/>
  <c r="M105" i="4"/>
  <c r="L59" i="4"/>
  <c r="J52" i="4"/>
  <c r="I26" i="4"/>
  <c r="G48" i="4"/>
  <c r="F106" i="4"/>
  <c r="F67" i="4"/>
  <c r="C100" i="4"/>
  <c r="N43" i="4"/>
  <c r="L109" i="4"/>
  <c r="K75" i="4"/>
  <c r="I100" i="4"/>
  <c r="H114" i="4"/>
  <c r="F25" i="4"/>
  <c r="E101" i="4"/>
  <c r="C116" i="4"/>
  <c r="N33" i="4"/>
  <c r="L28" i="4"/>
  <c r="K57" i="4"/>
  <c r="I42" i="4"/>
  <c r="H86" i="4"/>
  <c r="F28" i="4"/>
  <c r="E59" i="4"/>
  <c r="C55" i="4"/>
  <c r="N106" i="4"/>
  <c r="L92" i="4"/>
  <c r="K41" i="4"/>
  <c r="J95" i="4"/>
  <c r="H28" i="4"/>
  <c r="G86" i="4"/>
  <c r="E37" i="4"/>
  <c r="D32" i="4"/>
  <c r="N24" i="4"/>
  <c r="M35" i="4"/>
  <c r="L104" i="4"/>
  <c r="J87" i="4"/>
  <c r="I86" i="4"/>
  <c r="G27" i="4"/>
  <c r="F35" i="4"/>
  <c r="E48" i="4"/>
  <c r="C53" i="4"/>
  <c r="N69" i="4"/>
  <c r="L73" i="4"/>
  <c r="K45" i="4"/>
  <c r="I28" i="4"/>
  <c r="H35" i="4"/>
  <c r="F72" i="4"/>
  <c r="E21" i="4"/>
  <c r="D75" i="4"/>
  <c r="N66" i="4"/>
  <c r="M76" i="4"/>
  <c r="K49" i="4"/>
  <c r="J114" i="4"/>
  <c r="H96" i="4"/>
  <c r="G19" i="4"/>
  <c r="E91" i="4"/>
  <c r="D62" i="4"/>
  <c r="N81" i="4"/>
  <c r="M90" i="4"/>
  <c r="K87" i="4"/>
  <c r="J97" i="4"/>
  <c r="H108" i="4"/>
  <c r="G73" i="4"/>
  <c r="G112" i="4"/>
  <c r="D41" i="4"/>
  <c r="C57" i="4"/>
  <c r="M115" i="4"/>
  <c r="L113" i="4"/>
  <c r="J64" i="4"/>
  <c r="I57" i="4"/>
  <c r="G111" i="4"/>
  <c r="F45" i="4"/>
  <c r="D40" i="4"/>
  <c r="C77" i="4"/>
  <c r="M84" i="4"/>
  <c r="L26" i="4"/>
  <c r="D97" i="4"/>
  <c r="F102" i="4"/>
  <c r="F81" i="4"/>
  <c r="G21" i="4"/>
  <c r="I74" i="4"/>
  <c r="J24" i="4"/>
  <c r="L115" i="4"/>
  <c r="N77" i="4"/>
  <c r="M110" i="4"/>
  <c r="D61" i="4"/>
  <c r="F94" i="4"/>
  <c r="I61" i="4"/>
  <c r="K35" i="4"/>
  <c r="M71" i="4"/>
  <c r="D86" i="4"/>
  <c r="G25" i="4"/>
  <c r="I25" i="4"/>
  <c r="L72" i="4"/>
  <c r="D35" i="4"/>
  <c r="F36" i="4"/>
  <c r="I19" i="4"/>
  <c r="L82" i="4"/>
  <c r="E36" i="4"/>
  <c r="L61" i="4"/>
  <c r="L48" i="4"/>
  <c r="I20" i="4"/>
  <c r="H113" i="4"/>
  <c r="F49" i="4"/>
  <c r="E39" i="4"/>
  <c r="C34" i="4"/>
  <c r="N56" i="4"/>
  <c r="L29" i="4"/>
  <c r="K97" i="4"/>
  <c r="J75" i="4"/>
  <c r="H49" i="4"/>
  <c r="G113" i="4"/>
  <c r="E115" i="4"/>
  <c r="D95" i="4"/>
  <c r="N117" i="4"/>
  <c r="M101" i="4"/>
  <c r="K27" i="4"/>
  <c r="J73" i="4"/>
  <c r="I51" i="4"/>
  <c r="G49" i="4"/>
  <c r="F107" i="4"/>
  <c r="D29" i="4"/>
  <c r="C95" i="4"/>
  <c r="M103" i="4"/>
  <c r="L114" i="4"/>
  <c r="J111" i="4"/>
  <c r="I95" i="4"/>
  <c r="G87" i="4"/>
  <c r="F59" i="4"/>
  <c r="D104" i="4"/>
  <c r="C65" i="4"/>
  <c r="M24" i="4"/>
  <c r="L97" i="4"/>
  <c r="J88" i="4"/>
  <c r="I65" i="4"/>
  <c r="H98" i="4"/>
  <c r="F109" i="4"/>
  <c r="E107" i="4"/>
  <c r="C42" i="4"/>
  <c r="N101" i="4"/>
  <c r="L64" i="4"/>
  <c r="K63" i="4"/>
  <c r="I94" i="4"/>
  <c r="H31" i="4"/>
  <c r="F64" i="4"/>
  <c r="E114" i="4"/>
  <c r="C105" i="4"/>
  <c r="N59" i="4"/>
  <c r="L30" i="4"/>
  <c r="K20" i="4"/>
  <c r="J99" i="4"/>
  <c r="H64" i="4"/>
  <c r="G31" i="4"/>
  <c r="E25" i="4"/>
  <c r="D89" i="4"/>
  <c r="N37" i="4"/>
  <c r="M19" i="4"/>
  <c r="K51" i="4"/>
  <c r="J29" i="4"/>
  <c r="I31" i="4"/>
  <c r="G28" i="4"/>
  <c r="F19" i="4"/>
  <c r="D92" i="4"/>
  <c r="C32" i="4"/>
  <c r="M72" i="4"/>
  <c r="L62" i="4"/>
  <c r="K113" i="4"/>
  <c r="I64" i="4"/>
  <c r="H19" i="4"/>
  <c r="F96" i="4"/>
  <c r="E102" i="4"/>
  <c r="C92" i="4"/>
  <c r="N21" i="4"/>
  <c r="L52" i="4"/>
  <c r="K38" i="4"/>
  <c r="J98" i="4"/>
  <c r="H85" i="4"/>
  <c r="G68" i="4"/>
  <c r="E22" i="4"/>
  <c r="D47" i="4"/>
  <c r="N91" i="4"/>
  <c r="M56" i="4"/>
  <c r="K29" i="4"/>
  <c r="J86" i="4"/>
  <c r="H52" i="4"/>
  <c r="G62" i="4"/>
  <c r="E72" i="4"/>
  <c r="D20" i="4"/>
  <c r="C63" i="4"/>
  <c r="M82" i="4"/>
  <c r="K104" i="4"/>
  <c r="J53" i="4"/>
  <c r="I63" i="4"/>
  <c r="G41" i="4"/>
  <c r="F113" i="4"/>
  <c r="D34" i="4"/>
  <c r="C50" i="4"/>
  <c r="M61" i="4"/>
  <c r="L95" i="4"/>
  <c r="G37" i="4"/>
  <c r="I37" i="4"/>
  <c r="K117" i="4"/>
  <c r="L76" i="4"/>
  <c r="M40" i="4"/>
  <c r="C85" i="4"/>
  <c r="C52" i="4"/>
  <c r="K106" i="4"/>
  <c r="K24" i="4"/>
  <c r="C45" i="4"/>
  <c r="E99" i="4"/>
  <c r="H33" i="4"/>
  <c r="H46" i="4"/>
  <c r="K73" i="4"/>
  <c r="N105" i="4"/>
  <c r="D28" i="4"/>
  <c r="E89" i="4"/>
  <c r="H91" i="4"/>
  <c r="J46" i="4"/>
  <c r="L56" i="4"/>
  <c r="C73" i="4"/>
  <c r="F115" i="4"/>
  <c r="K98" i="4"/>
  <c r="J92" i="4"/>
  <c r="I77" i="4"/>
  <c r="G88" i="4"/>
  <c r="F38" i="4"/>
  <c r="G51" i="4"/>
  <c r="C54" i="4"/>
  <c r="N39" i="4"/>
  <c r="L100" i="4"/>
  <c r="K86" i="4"/>
  <c r="I40" i="4"/>
  <c r="H38" i="4"/>
  <c r="F48" i="4"/>
  <c r="E82" i="4"/>
  <c r="D99" i="4"/>
  <c r="N115" i="4"/>
  <c r="M107" i="4"/>
  <c r="K28" i="4"/>
  <c r="J62" i="4"/>
  <c r="H48" i="4"/>
  <c r="G38" i="4"/>
  <c r="E88" i="4"/>
  <c r="D100" i="4"/>
  <c r="C99" i="4"/>
  <c r="M46" i="4"/>
  <c r="L98" i="4"/>
  <c r="J41" i="4"/>
  <c r="I99" i="4"/>
  <c r="G29" i="4"/>
  <c r="F114" i="4"/>
  <c r="D116" i="4"/>
  <c r="C44" i="4"/>
  <c r="M37" i="4"/>
  <c r="L86" i="4"/>
  <c r="J40" i="4"/>
  <c r="I44" i="4"/>
  <c r="G104" i="4"/>
  <c r="F97" i="4"/>
  <c r="E51" i="4"/>
  <c r="C94" i="4"/>
  <c r="N107" i="4"/>
  <c r="L53" i="4"/>
  <c r="J93" i="4"/>
  <c r="I78" i="4"/>
  <c r="H80" i="4"/>
  <c r="F53" i="4"/>
  <c r="E98" i="4"/>
  <c r="C103" i="4"/>
  <c r="N114" i="4"/>
  <c r="L58" i="4"/>
  <c r="K77" i="4"/>
  <c r="I48" i="4"/>
  <c r="H53" i="4"/>
  <c r="G80" i="4"/>
  <c r="E109" i="4"/>
  <c r="D71" i="4"/>
  <c r="N25" i="4"/>
  <c r="M68" i="4"/>
  <c r="K88" i="4"/>
  <c r="J100" i="4"/>
  <c r="I80" i="4"/>
  <c r="G64" i="4"/>
  <c r="F68" i="4"/>
  <c r="D30" i="4"/>
  <c r="C89" i="4"/>
  <c r="M96" i="4"/>
  <c r="L47" i="4"/>
  <c r="M108" i="4"/>
  <c r="I53" i="4"/>
  <c r="H68" i="4"/>
  <c r="F85" i="4"/>
  <c r="E74" i="4"/>
  <c r="C30" i="4"/>
  <c r="N102" i="4"/>
  <c r="L111" i="4"/>
  <c r="K26" i="4"/>
  <c r="I92" i="4"/>
  <c r="H73" i="4"/>
  <c r="G75" i="4"/>
  <c r="E70" i="4"/>
  <c r="D57" i="4"/>
  <c r="N22" i="4"/>
  <c r="M39" i="4"/>
  <c r="K100" i="4"/>
  <c r="J31" i="4"/>
  <c r="H111" i="4"/>
  <c r="G47" i="4"/>
  <c r="E96" i="4"/>
  <c r="D77" i="4"/>
  <c r="N72" i="4"/>
  <c r="M23" i="4"/>
  <c r="K116" i="4"/>
  <c r="J32" i="4"/>
  <c r="H88" i="4"/>
  <c r="G20" i="4"/>
  <c r="F112" i="4"/>
  <c r="D54" i="4"/>
  <c r="C36" i="4"/>
  <c r="M49" i="4"/>
  <c r="L99" i="4"/>
  <c r="M21" i="4"/>
  <c r="C97" i="4"/>
  <c r="D60" i="4"/>
  <c r="D70" i="4"/>
  <c r="F50" i="4"/>
  <c r="H76" i="4"/>
  <c r="K107" i="4"/>
  <c r="L84" i="4"/>
  <c r="D45" i="4"/>
  <c r="G115" i="4"/>
  <c r="I82" i="4"/>
  <c r="K74" i="4"/>
  <c r="L24" i="4"/>
  <c r="N42" i="4"/>
  <c r="G114" i="4"/>
  <c r="J49" i="4"/>
  <c r="M91" i="4"/>
  <c r="N32" i="4"/>
  <c r="E30" i="4"/>
  <c r="I60" i="4"/>
  <c r="M34" i="4"/>
  <c r="D108" i="4"/>
  <c r="H39" i="4"/>
  <c r="C51" i="4"/>
  <c r="J30" i="4"/>
  <c r="I50" i="4"/>
  <c r="G40" i="4"/>
  <c r="F26" i="4"/>
  <c r="D93" i="4"/>
  <c r="C83" i="4"/>
  <c r="M88" i="4"/>
  <c r="L65" i="4"/>
  <c r="K31" i="4"/>
  <c r="I34" i="4"/>
  <c r="H26" i="4"/>
  <c r="F87" i="4"/>
  <c r="E23" i="4"/>
  <c r="C93" i="4"/>
  <c r="N82" i="4"/>
  <c r="L67" i="4"/>
  <c r="K64" i="4"/>
  <c r="J47" i="4"/>
  <c r="H87" i="4"/>
  <c r="G26" i="4"/>
  <c r="E84" i="4"/>
  <c r="D65" i="4"/>
  <c r="N67" i="4"/>
  <c r="M106" i="4"/>
  <c r="K92" i="4"/>
  <c r="J20" i="4"/>
  <c r="I108" i="4"/>
  <c r="G100" i="4"/>
  <c r="F98" i="4"/>
  <c r="D42" i="4"/>
  <c r="C110" i="4"/>
  <c r="M25" i="4"/>
  <c r="L31" i="4"/>
  <c r="J34" i="4"/>
  <c r="I110" i="4"/>
  <c r="G116" i="4"/>
  <c r="F86" i="4"/>
  <c r="D55" i="4"/>
  <c r="C78" i="4"/>
  <c r="M27" i="4"/>
  <c r="L32" i="4"/>
  <c r="J79" i="4"/>
  <c r="I33" i="4"/>
  <c r="G55" i="4"/>
  <c r="F32" i="4"/>
  <c r="E108" i="4"/>
  <c r="C46" i="4"/>
  <c r="N98" i="4"/>
  <c r="L66" i="4"/>
  <c r="K50" i="4"/>
  <c r="I105" i="4"/>
  <c r="H32" i="4"/>
  <c r="F92" i="4"/>
  <c r="E97" i="4"/>
  <c r="D69" i="4"/>
  <c r="N109" i="4"/>
  <c r="M75" i="4"/>
  <c r="K40" i="4"/>
  <c r="J65" i="4"/>
  <c r="I24" i="4"/>
  <c r="G53" i="4"/>
  <c r="F75" i="4"/>
  <c r="D58" i="4"/>
  <c r="C71" i="4"/>
  <c r="M85" i="4"/>
  <c r="L57" i="4"/>
  <c r="J104" i="4"/>
  <c r="I32" i="4"/>
  <c r="H75" i="4"/>
  <c r="F73" i="4"/>
  <c r="E60" i="4"/>
  <c r="C58" i="4"/>
  <c r="N74" i="4"/>
  <c r="L41" i="4"/>
  <c r="K95" i="4"/>
  <c r="I30" i="4"/>
  <c r="H62" i="4"/>
  <c r="F52" i="4"/>
  <c r="E35" i="4"/>
  <c r="D63" i="4"/>
  <c r="N70" i="4"/>
  <c r="N51" i="4"/>
  <c r="K65" i="4"/>
  <c r="J80" i="4"/>
  <c r="H41" i="4"/>
  <c r="G57" i="4"/>
  <c r="E85" i="4"/>
  <c r="D50" i="4"/>
  <c r="N96" i="4"/>
  <c r="M45" i="4"/>
  <c r="K42" i="4"/>
  <c r="J89" i="4"/>
  <c r="H40" i="4"/>
  <c r="G77" i="4"/>
  <c r="E52" i="4"/>
  <c r="D83" i="4"/>
  <c r="C76" i="4"/>
  <c r="M38" i="4"/>
  <c r="I114" i="4"/>
  <c r="H21" i="4"/>
  <c r="H81" i="4"/>
  <c r="G91" i="4"/>
  <c r="F83" i="4"/>
  <c r="F117" i="4"/>
  <c r="E54" i="4"/>
  <c r="N65" i="4"/>
  <c r="J58" i="4"/>
  <c r="F95" i="4"/>
  <c r="C90" i="4"/>
  <c r="M87" i="4"/>
  <c r="L44" i="4"/>
  <c r="K80" i="4"/>
  <c r="I54" i="4"/>
  <c r="H95" i="4"/>
  <c r="F29" i="4"/>
  <c r="E45" i="4"/>
  <c r="C79" i="4"/>
  <c r="N23" i="4"/>
  <c r="L116" i="4"/>
  <c r="K53" i="4"/>
  <c r="J57" i="4"/>
  <c r="H29" i="4"/>
  <c r="G95" i="4"/>
  <c r="E61" i="4"/>
  <c r="D44" i="4"/>
  <c r="N84" i="4"/>
  <c r="M59" i="4"/>
  <c r="K30" i="4"/>
  <c r="J77" i="4"/>
  <c r="H104" i="4"/>
  <c r="G65" i="4"/>
  <c r="E67" i="4"/>
  <c r="D94" i="4"/>
  <c r="C43" i="4"/>
  <c r="M109" i="4"/>
  <c r="L80" i="4"/>
  <c r="J54" i="4"/>
  <c r="I43" i="4"/>
  <c r="G42" i="4"/>
  <c r="F31" i="4"/>
  <c r="D105" i="4"/>
  <c r="C33" i="4"/>
  <c r="M28" i="4"/>
  <c r="L89" i="4"/>
  <c r="J117" i="4"/>
  <c r="I101" i="4"/>
  <c r="G105" i="4"/>
  <c r="F89" i="4"/>
  <c r="D24" i="4"/>
  <c r="C106" i="4"/>
  <c r="M92" i="4"/>
  <c r="L21" i="4"/>
  <c r="K36" i="4"/>
  <c r="I103" i="4"/>
  <c r="H89" i="4"/>
  <c r="F30" i="4"/>
  <c r="E86" i="4"/>
  <c r="C24" i="4"/>
  <c r="N97" i="4"/>
  <c r="L81" i="4"/>
  <c r="K34" i="4"/>
  <c r="J44" i="4"/>
  <c r="H92" i="4"/>
  <c r="G32" i="4"/>
  <c r="E27" i="4"/>
  <c r="D66" i="4"/>
  <c r="C69" i="4"/>
  <c r="M73" i="4"/>
  <c r="L63" i="4"/>
  <c r="J116" i="4"/>
  <c r="I89" i="4"/>
  <c r="G92" i="4"/>
  <c r="F62" i="4"/>
  <c r="D112" i="4"/>
  <c r="C66" i="4"/>
  <c r="N60" i="4"/>
  <c r="L20" i="4"/>
  <c r="K99" i="4"/>
  <c r="I58" i="4"/>
  <c r="H47" i="4"/>
  <c r="F111" i="4"/>
  <c r="E19" i="4"/>
  <c r="C81" i="4"/>
  <c r="N35" i="4"/>
  <c r="L40" i="4"/>
  <c r="K44" i="4"/>
  <c r="I81" i="4"/>
  <c r="H20" i="4"/>
  <c r="G63" i="4"/>
  <c r="E73" i="4"/>
  <c r="D36" i="4"/>
  <c r="N85" i="4"/>
  <c r="M113" i="4"/>
  <c r="K94" i="4"/>
  <c r="J71" i="4"/>
  <c r="H34" i="4"/>
  <c r="G50" i="4"/>
  <c r="E111" i="4"/>
  <c r="D90" i="4"/>
  <c r="N52" i="4"/>
  <c r="M26" i="4"/>
  <c r="D27" i="4"/>
  <c r="E32" i="4"/>
  <c r="E92" i="4"/>
  <c r="D72" i="4"/>
  <c r="N57" i="4"/>
  <c r="G39" i="4"/>
  <c r="J51" i="4"/>
  <c r="I112" i="4"/>
  <c r="K39" i="4"/>
  <c r="M48" i="4"/>
  <c r="I36" i="4"/>
  <c r="G34" i="4"/>
  <c r="D79" i="4"/>
  <c r="K55" i="4"/>
  <c r="J66" i="4"/>
  <c r="I76" i="4"/>
  <c r="G54" i="4"/>
  <c r="F99" i="4"/>
  <c r="D117" i="4"/>
  <c r="C56" i="4"/>
  <c r="M29" i="4"/>
  <c r="L110" i="4"/>
  <c r="J112" i="4"/>
  <c r="I83" i="4"/>
  <c r="H99" i="4"/>
  <c r="F100" i="4"/>
  <c r="E113" i="4"/>
  <c r="C117" i="4"/>
  <c r="N45" i="4"/>
  <c r="L42" i="4"/>
  <c r="K32" i="4"/>
  <c r="J63" i="4"/>
  <c r="H100" i="4"/>
  <c r="G99" i="4"/>
  <c r="E49" i="4"/>
  <c r="D110" i="4"/>
  <c r="N61" i="4"/>
  <c r="M114" i="4"/>
  <c r="K58" i="4"/>
  <c r="J50" i="4"/>
  <c r="H116" i="4"/>
  <c r="G44" i="4"/>
  <c r="E87" i="4"/>
  <c r="D78" i="4"/>
  <c r="N48" i="4"/>
  <c r="M97" i="4"/>
  <c r="K112" i="4"/>
  <c r="J83" i="4"/>
  <c r="I93" i="4"/>
  <c r="G94" i="4"/>
  <c r="F80" i="4"/>
  <c r="D103" i="4"/>
  <c r="C101" i="4"/>
  <c r="M64" i="4"/>
  <c r="L71" i="4"/>
  <c r="J115" i="4"/>
  <c r="I107" i="4"/>
  <c r="G103" i="4"/>
  <c r="F71" i="4"/>
  <c r="D37" i="4"/>
  <c r="C59" i="4"/>
  <c r="M30" i="4"/>
  <c r="L102" i="4"/>
  <c r="K76" i="4"/>
  <c r="I46" i="4"/>
  <c r="H71" i="4"/>
  <c r="F58" i="4"/>
  <c r="E31" i="4"/>
  <c r="C37" i="4"/>
  <c r="N86" i="4"/>
  <c r="L91" i="4"/>
  <c r="K54" i="4"/>
  <c r="J110" i="4"/>
  <c r="H30" i="4"/>
  <c r="G89" i="4"/>
  <c r="E28" i="4"/>
  <c r="D21" i="4"/>
  <c r="N27" i="4"/>
  <c r="M62" i="4"/>
  <c r="K72" i="4"/>
  <c r="J42" i="4"/>
  <c r="I71" i="4"/>
  <c r="G30" i="4"/>
  <c r="F47" i="4"/>
  <c r="D81" i="4"/>
  <c r="C21" i="4"/>
  <c r="M52" i="4"/>
  <c r="L77" i="4"/>
  <c r="M67" i="4"/>
  <c r="I66" i="4"/>
  <c r="H57" i="4"/>
  <c r="F41" i="4"/>
  <c r="E68" i="4"/>
  <c r="C91" i="4"/>
  <c r="N19" i="4"/>
  <c r="L34" i="4"/>
  <c r="K110" i="4"/>
  <c r="I91" i="4"/>
  <c r="H77" i="4"/>
  <c r="F40" i="4"/>
  <c r="E62" i="4"/>
  <c r="D76" i="4"/>
  <c r="N73" i="4"/>
  <c r="M112" i="4"/>
  <c r="K78" i="4"/>
  <c r="J69" i="4"/>
  <c r="H54" i="4"/>
  <c r="G36" i="4"/>
  <c r="E41" i="4"/>
  <c r="D56" i="4"/>
  <c r="N111" i="4"/>
  <c r="M9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<sst xmlns="http://schemas.openxmlformats.org/spreadsheetml/2006/main" count="84" uniqueCount="82">
  <si>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</si>
  <si>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</si>
  <si>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</si>
  <si>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</si>
  <si>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</si>
  <si>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</si>
  <si>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</si>
  <si>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</si>
  <si>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</si>
  <si>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</si>
  <si>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</si>
  <si>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</si>
  <si>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</si>
  <si>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</si>
  <si>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</si>
  <si>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</si>
  <si>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</si>
  <si>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</si>
  <si>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</si>
  <si>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</si>
  <si>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</si>
  <si>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</si>
  <si>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</si>
  <si>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</si>
  <si>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</si>
  <si>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</si>
  <si>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</si>
  <si>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</si>
  <si>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</si>
  <si>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</si>
  <si>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</si>
  <si>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</si>
  <si>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</si>
  <si>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</si>
  <si>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</si>
  <si>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</si>
  <si>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</si>
  <si>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</si>
  <si>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</si>
  <si>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</si>
  <si>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</si>
  <si>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</si>
  <si>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</si>
  <si>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</si>
  <si>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</si>
  <si>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</si>
  <si>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</si>
  <si>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</si>
  <si>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</si>
  <si>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</si>
  <si>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</si>
  <si>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</si>
  <si>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</si>
  <si>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</si>
  <si>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</si>
  <si>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</si>
  <si>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</si>
  <si>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</si>
  <si>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</si>
  <si>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</si>
  <si>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</si>
  <si>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</si>
  <si>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</si>
  <si>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</si>
  <si>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</si>
  <si>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</si>
  <si>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</si>
  <si>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</si>
  <si>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</si>
  <si>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</si>
  <si>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</si>
  <si>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</si>
  <si>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</si>
  <si>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</si>
  <si>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</si>
  <si>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</si>
  <si>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</si>
  <si>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</si>
  <si>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</si>
  <si>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</si>
  <si>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</si>
  <si>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Log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</si>
</sst>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0" fillId="0" borderId="2" xfId="0" applyFill="1" applyBorder="1"/>
  </cellXfs>
  <cellStyles count="2"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Sweep!$A$18:$A$367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Sweep!$C$18:$C$367</c:f>
              <c:numCache>
                <c:formatCode>General</c:formatCode>
                <c:ptCount val="350"/>
                <c:pt idx="0">
                  <c:v>0</c:v>
                </c:pt>
                <c:pt idx="1">
                  <c:v>34.53000282184361</c:v>
                </c:pt>
                <c:pt idx="2">
                  <c:v>34.53003748106461</c:v>
                </c:pt>
                <c:pt idx="3">
                  <c:v>34.530177985898604</c:v>
                </c:pt>
                <c:pt idx="4">
                  <c:v>34.530544459829585</c:v>
                </c:pt>
                <c:pt idx="5">
                  <c:v>34.531300074086325</c:v>
                </c:pt>
                <c:pt idx="6">
                  <c:v>34.532635776144254</c:v>
                </c:pt>
                <c:pt idx="7">
                  <c:v>34.534739787284657</c:v>
                </c:pt>
                <c:pt idx="8">
                  <c:v>34.53776653735445</c:v>
                </c:pt>
                <c:pt idx="9">
                  <c:v>34.541819559795776</c:v>
                </c:pt>
                <c:pt idx="10">
                  <c:v>34.546950006692036</c:v>
                </c:pt>
                <c:pt idx="11">
                  <c:v>34.553164836163276</c:v>
                </c:pt>
                <c:pt idx="12">
                  <c:v>34.560438412355168</c:v>
                </c:pt>
                <c:pt idx="13">
                  <c:v>34.56872365509772</c:v>
                </c:pt>
                <c:pt idx="14">
                  <c:v>34.577961099316759</c:v>
                </c:pt>
                <c:pt idx="15">
                  <c:v>34.588085553359932</c:v>
                </c:pt>
                <c:pt idx="16">
                  <c:v>34.599030645700793</c:v>
                </c:pt>
                <c:pt idx="17">
                  <c:v>34.610731729628469</c:v>
                </c:pt>
                <c:pt idx="18">
                  <c:v>34.623127601008797</c:v>
                </c:pt>
                <c:pt idx="19">
                  <c:v>34.63616140133913</c:v>
                </c:pt>
                <c:pt idx="20">
                  <c:v>34.649780984323797</c:v>
                </c:pt>
                <c:pt idx="21">
                  <c:v>34.663938944548995</c:v>
                </c:pt>
                <c:pt idx="22">
                  <c:v>34.678592443687926</c:v>
                </c:pt>
                <c:pt idx="23">
                  <c:v>34.69370292463416</c:v>
                </c:pt>
                <c:pt idx="24">
                  <c:v>34.709235772017834</c:v>
                </c:pt>
                <c:pt idx="25">
                  <c:v>34.725159955855261</c:v>
                </c:pt>
                <c:pt idx="26">
                  <c:v>34.741447680567191</c:v>
                </c:pt>
                <c:pt idx="27">
                  <c:v>34.758074052077831</c:v>
                </c:pt>
                <c:pt idx="28">
                  <c:v>34.775016769576595</c:v>
                </c:pt>
                <c:pt idx="29">
                  <c:v>34.792255844663323</c:v>
                </c:pt>
                <c:pt idx="30">
                  <c:v>34.809773348239204</c:v>
                </c:pt>
                <c:pt idx="31">
                  <c:v>34.827553184124199</c:v>
                </c:pt>
                <c:pt idx="32">
                  <c:v>34.845580887631669</c:v>
                </c:pt>
                <c:pt idx="33">
                  <c:v>34.863843446978372</c:v>
                </c:pt>
                <c:pt idx="34">
                  <c:v>34.882329145302414</c:v>
                </c:pt>
                <c:pt idx="35">
                  <c:v>34.901027421099045</c:v>
                </c:pt>
                <c:pt idx="36">
                  <c:v>34.919928745012122</c:v>
                </c:pt>
                <c:pt idx="37">
                  <c:v>34.939024511077328</c:v>
                </c:pt>
                <c:pt idx="38">
                  <c:v>34.958306940697732</c:v>
                </c:pt>
                <c:pt idx="39">
                  <c:v>34.97776899781271</c:v>
                </c:pt>
                <c:pt idx="40">
                  <c:v>34.997404313895025</c:v>
                </c:pt>
                <c:pt idx="41">
                  <c:v>35.017207121572177</c:v>
                </c:pt>
                <c:pt idx="42">
                  <c:v>35.037172195814861</c:v>
                </c:pt>
                <c:pt idx="43">
                  <c:v>35.057294801766375</c:v>
                </c:pt>
                <c:pt idx="44">
                  <c:v>35.077570648403636</c:v>
                </c:pt>
                <c:pt idx="45">
                  <c:v>35.097995847322984</c:v>
                </c:pt>
                <c:pt idx="46">
                  <c:v>35.11856687603408</c:v>
                </c:pt>
                <c:pt idx="47">
                  <c:v>35.139280545223635</c:v>
                </c:pt>
                <c:pt idx="48">
                  <c:v>35.160133969519535</c:v>
                </c:pt>
                <c:pt idx="49">
                  <c:v>35.181124541345099</c:v>
                </c:pt>
                <c:pt idx="50">
                  <c:v>35.202249907505426</c:v>
                </c:pt>
                <c:pt idx="51">
                  <c:v>35.223507948192378</c:v>
                </c:pt>
                <c:pt idx="52">
                  <c:v>35.244896758134146</c:v>
                </c:pt>
                <c:pt idx="53">
                  <c:v>35.266414629648985</c:v>
                </c:pt>
                <c:pt idx="54">
                  <c:v>35.288060037391347</c:v>
                </c:pt>
                <c:pt idx="55">
                  <c:v>35.309831624610226</c:v>
                </c:pt>
                <c:pt idx="56">
                  <c:v>35.331728190746887</c:v>
                </c:pt>
                <c:pt idx="57">
                  <c:v>35.353748680243456</c:v>
                </c:pt>
                <c:pt idx="58">
                  <c:v>35.375892172411383</c:v>
                </c:pt>
                <c:pt idx="59">
                  <c:v>35.398157872282738</c:v>
                </c:pt>
                <c:pt idx="60">
                  <c:v>35.420545102315707</c:v>
                </c:pt>
                <c:pt idx="61">
                  <c:v>35.443053294880642</c:v>
                </c:pt>
                <c:pt idx="62">
                  <c:v>35.465681985446658</c:v>
                </c:pt>
                <c:pt idx="63">
                  <c:v>35.488430806400125</c:v>
                </c:pt>
                <c:pt idx="64">
                  <c:v>35.511299481433845</c:v>
                </c:pt>
                <c:pt idx="65">
                  <c:v>35.534287820452775</c:v>
                </c:pt>
                <c:pt idx="66">
                  <c:v>35.557395714947766</c:v>
                </c:pt>
                <c:pt idx="67">
                  <c:v>35.580623133794155</c:v>
                </c:pt>
                <c:pt idx="68">
                  <c:v>35.603970119436781</c:v>
                </c:pt>
                <c:pt idx="69">
                  <c:v>35.627436784426855</c:v>
                </c:pt>
                <c:pt idx="70">
                  <c:v>35.651023308279989</c:v>
                </c:pt>
                <c:pt idx="71">
                  <c:v>35.674729934627671</c:v>
                </c:pt>
                <c:pt idx="72">
                  <c:v>35.698556968637597</c:v>
                </c:pt>
                <c:pt idx="73">
                  <c:v>35.722504774680495</c:v>
                </c:pt>
                <c:pt idx="74">
                  <c:v>35.746573774223769</c:v>
                </c:pt>
                <c:pt idx="75">
                  <c:v>35.770764443933778</c:v>
                </c:pt>
                <c:pt idx="76">
                  <c:v>35.795077313970985</c:v>
                </c:pt>
                <c:pt idx="77">
                  <c:v>35.819512966463307</c:v>
                </c:pt>
                <c:pt idx="78">
                  <c:v>35.844072034144702</c:v>
                </c:pt>
                <c:pt idx="79">
                  <c:v>35.868755199147472</c:v>
                </c:pt>
                <c:pt idx="80">
                  <c:v>35.893563191937538</c:v>
                </c:pt>
                <c:pt idx="81">
                  <c:v>35.918496790383429</c:v>
                </c:pt>
                <c:pt idx="82">
                  <c:v>35.94355681895037</c:v>
                </c:pt>
                <c:pt idx="83">
                  <c:v>35.968744148011915</c:v>
                </c:pt>
                <c:pt idx="84">
                  <c:v>35.994059693272355</c:v>
                </c:pt>
                <c:pt idx="85">
                  <c:v>36.019504415293575</c:v>
                </c:pt>
                <c:pt idx="86">
                  <c:v>36.045079319121129</c:v>
                </c:pt>
                <c:pt idx="87">
                  <c:v>36.070785454004472</c:v>
                </c:pt>
                <c:pt idx="88">
                  <c:v>36.096623913207182</c:v>
                </c:pt>
                <c:pt idx="89">
                  <c:v>36.122595833903155</c:v>
                </c:pt>
                <c:pt idx="90">
                  <c:v>36.148702397135246</c:v>
                </c:pt>
                <c:pt idx="91">
                  <c:v>36.174944827911709</c:v>
                </c:pt>
                <c:pt idx="92">
                  <c:v>36.201324395395908</c:v>
                </c:pt>
                <c:pt idx="93">
                  <c:v>36.227842412931558</c:v>
                </c:pt>
                <c:pt idx="94">
                  <c:v>36.254500238486315</c:v>
                </c:pt>
                <c:pt idx="95">
                  <c:v>36.281299274961619</c:v>
                </c:pt>
                <c:pt idx="96">
                  <c:v>36.308240970618328</c:v>
                </c:pt>
                <c:pt idx="97">
                  <c:v>36.335326819571762</c:v>
                </c:pt>
                <c:pt idx="98">
                  <c:v>36.362558362355202</c:v>
                </c:pt>
                <c:pt idx="99">
                  <c:v>36.389937186551599</c:v>
                </c:pt>
                <c:pt idx="100">
                  <c:v>36.417464927493135</c:v>
                </c:pt>
                <c:pt idx="101">
                  <c:v>36.445143269028655</c:v>
                </c:pt>
                <c:pt idx="102">
                  <c:v>36.472973944359182</c:v>
                </c:pt>
                <c:pt idx="103">
                  <c:v>36.500958736942039</c:v>
                </c:pt>
                <c:pt idx="104">
                  <c:v>36.529099481464094</c:v>
                </c:pt>
                <c:pt idx="105">
                  <c:v>36.557398064884978</c:v>
                </c:pt>
                <c:pt idx="106">
                  <c:v>36.585856427551441</c:v>
                </c:pt>
                <c:pt idx="107">
                  <c:v>36.614476564383949</c:v>
                </c:pt>
                <c:pt idx="108">
                  <c:v>36.643260526136935</c:v>
                </c:pt>
                <c:pt idx="109">
                  <c:v>36.672210420734437</c:v>
                </c:pt>
                <c:pt idx="110">
                  <c:v>36.70132841468282</c:v>
                </c:pt>
                <c:pt idx="111">
                  <c:v>36.730616734562602</c:v>
                </c:pt>
                <c:pt idx="112">
                  <c:v>36.760077668601532</c:v>
                </c:pt>
                <c:pt idx="113">
                  <c:v>36.789713568331337</c:v>
                </c:pt>
                <c:pt idx="114">
                  <c:v>36.819526850330618</c:v>
                </c:pt>
                <c:pt idx="115">
                  <c:v>36.849519998056671</c:v>
                </c:pt>
                <c:pt idx="116">
                  <c:v>36.87969556376904</c:v>
                </c:pt>
                <c:pt idx="117">
                  <c:v>36.910056170548067</c:v>
                </c:pt>
                <c:pt idx="118">
                  <c:v>36.940604514411532</c:v>
                </c:pt>
                <c:pt idx="119">
                  <c:v>36.971343366532913</c:v>
                </c:pt>
                <c:pt idx="120">
                  <c:v>37.00227557556483</c:v>
                </c:pt>
                <c:pt idx="121">
                  <c:v>37.033404070071477</c:v>
                </c:pt>
                <c:pt idx="122">
                  <c:v>37.064731861073916</c:v>
                </c:pt>
                <c:pt idx="123">
                  <c:v>37.096262044712248</c:v>
                </c:pt>
                <c:pt idx="124">
                  <c:v>37.127997805028912</c:v>
                </c:pt>
                <c:pt idx="125">
                  <c:v>37.15994241687725</c:v>
                </c:pt>
                <c:pt idx="126">
                  <c:v>37.1920992489597</c:v>
                </c:pt>
                <c:pt idx="127">
                  <c:v>37.224471766999862</c:v>
                </c:pt>
                <c:pt idx="128">
                  <c:v>37.257063537052794</c:v>
                </c:pt>
                <c:pt idx="129">
                  <c:v>37.289878228957619</c:v>
                </c:pt>
                <c:pt idx="130">
                  <c:v>37.3229196199364</c:v>
                </c:pt>
                <c:pt idx="131">
                  <c:v>37.356191598343088</c:v>
                </c:pt>
                <c:pt idx="132">
                  <c:v>37.389698167565541</c:v>
                </c:pt>
                <c:pt idx="133">
                  <c:v>37.423443450083447</c:v>
                </c:pt>
                <c:pt idx="134">
                  <c:v>37.457431691683801</c:v>
                </c:pt>
                <c:pt idx="135">
                  <c:v>37.491667265834764</c:v>
                </c:pt>
                <c:pt idx="136">
                  <c:v>37.526154678216976</c:v>
                </c:pt>
                <c:pt idx="137">
                  <c:v>37.560898571409815</c:v>
                </c:pt>
                <c:pt idx="138">
                  <c:v>37.595903729727482</c:v>
                </c:pt>
                <c:pt idx="139">
                  <c:v>37.631175084196535</c:v>
                </c:pt>
                <c:pt idx="140">
                  <c:v>37.666717717662529</c:v>
                </c:pt>
                <c:pt idx="141">
                  <c:v>37.702536870007904</c:v>
                </c:pt>
                <c:pt idx="142">
                  <c:v>37.738637942802676</c:v>
                </c:pt>
                <c:pt idx="143">
                  <c:v>37.775026507290882</c:v>
                </c:pt>
                <c:pt idx="144">
                  <c:v>37.811708305787455</c:v>
                </c:pt>
                <c:pt idx="145">
                  <c:v>37.848689259646193</c:v>
                </c:pt>
                <c:pt idx="146">
                  <c:v>37.885975473760567</c:v>
                </c:pt>
                <c:pt idx="147">
                  <c:v>37.923573241482458</c:v>
                </c:pt>
                <c:pt idx="148">
                  <c:v>37.961489049137562</c:v>
                </c:pt>
                <c:pt idx="149">
                  <c:v>37.999729579929337</c:v>
                </c:pt>
                <c:pt idx="150">
                  <c:v>38.038301716942748</c:v>
                </c:pt>
                <c:pt idx="151">
                  <c:v>38.077212544841636</c:v>
                </c:pt>
                <c:pt idx="152">
                  <c:v>38.116469349674851</c:v>
                </c:pt>
                <c:pt idx="153">
                  <c:v>38.15607961592589</c:v>
                </c:pt>
                <c:pt idx="154">
                  <c:v>38.196051019479306</c:v>
                </c:pt>
                <c:pt idx="155">
                  <c:v>38.236391414373969</c:v>
                </c:pt>
                <c:pt idx="156">
                  <c:v>38.277108809712857</c:v>
                </c:pt>
                <c:pt idx="157">
                  <c:v>38.318211330027943</c:v>
                </c:pt>
                <c:pt idx="158">
                  <c:v>38.359707145296646</c:v>
                </c:pt>
                <c:pt idx="159">
                  <c:v>38.401604337272346</c:v>
                </c:pt>
                <c:pt idx="160">
                  <c:v>38.443910598133144</c:v>
                </c:pt>
                <c:pt idx="161">
                  <c:v>38.48663220450306</c:v>
                </c:pt>
                <c:pt idx="162">
                  <c:v>38.479402137557621</c:v>
                </c:pt>
                <c:pt idx="163">
                  <c:v>38.457352617250223</c:v>
                </c:pt>
                <c:pt idx="164">
                  <c:v>38.436512231186164</c:v>
                </c:pt>
                <c:pt idx="165">
                  <c:v>38.415973155592461</c:v>
                </c:pt>
                <c:pt idx="166">
                  <c:v>38.395464172717951</c:v>
                </c:pt>
                <c:pt idx="167">
                  <c:v>38.374876644907758</c:v>
                </c:pt>
                <c:pt idx="168">
                  <c:v>38.3541628167577</c:v>
                </c:pt>
                <c:pt idx="169">
                  <c:v>38.333302283093765</c:v>
                </c:pt>
                <c:pt idx="170">
                  <c:v>38.312288275595016</c:v>
                </c:pt>
                <c:pt idx="171">
                  <c:v>38.291121254845876</c:v>
                </c:pt>
                <c:pt idx="172">
                  <c:v>38.269805632687927</c:v>
                </c:pt>
                <c:pt idx="173">
                  <c:v>38.248347984581855</c:v>
                </c:pt>
                <c:pt idx="174">
                  <c:v>38.226756028494307</c:v>
                </c:pt>
                <c:pt idx="175">
                  <c:v>38.205038022266429</c:v>
                </c:pt>
                <c:pt idx="176">
                  <c:v>38.183202400322415</c:v>
                </c:pt>
                <c:pt idx="177">
                  <c:v>38.16125755238815</c:v>
                </c:pt>
                <c:pt idx="178">
                  <c:v>38.139211688956244</c:v>
                </c:pt>
                <c:pt idx="179">
                  <c:v>38.117072760954791</c:v>
                </c:pt>
                <c:pt idx="180">
                  <c:v>38.094848413866465</c:v>
                </c:pt>
                <c:pt idx="181">
                  <c:v>38.072545963999374</c:v>
                </c:pt>
                <c:pt idx="182">
                  <c:v>38.050172389088551</c:v>
                </c:pt>
                <c:pt idx="183">
                  <c:v>38.027734328166368</c:v>
                </c:pt>
                <c:pt idx="184">
                  <c:v>38.005238087378935</c:v>
                </c:pt>
                <c:pt idx="185">
                  <c:v>37.982689649542856</c:v>
                </c:pt>
                <c:pt idx="186">
                  <c:v>37.960094685966311</c:v>
                </c:pt>
                <c:pt idx="187">
                  <c:v>37.937458569542066</c:v>
                </c:pt>
                <c:pt idx="188">
                  <c:v>37.914786388444668</c:v>
                </c:pt>
                <c:pt idx="189">
                  <c:v>37.892082959983597</c:v>
                </c:pt>
                <c:pt idx="190">
                  <c:v>37.869352844314776</c:v>
                </c:pt>
                <c:pt idx="191">
                  <c:v>37.846600357815895</c:v>
                </c:pt>
                <c:pt idx="192">
                  <c:v>37.823829586002368</c:v>
                </c:pt>
                <c:pt idx="193">
                  <c:v>37.801044395910345</c:v>
                </c:pt>
                <c:pt idx="194">
                  <c:v>37.778248447906883</c:v>
                </c:pt>
                <c:pt idx="195">
                  <c:v>37.755445206911169</c:v>
                </c:pt>
                <c:pt idx="196">
                  <c:v>37.732637953026625</c:v>
                </c:pt>
                <c:pt idx="197">
                  <c:v>37.709829791594316</c:v>
                </c:pt>
                <c:pt idx="198">
                  <c:v>37.687023662685405</c:v>
                </c:pt>
                <c:pt idx="199">
                  <c:v>37.664222350054558</c:v>
                </c:pt>
                <c:pt idx="200">
                  <c:v>37.641428489578971</c:v>
                </c:pt>
                <c:pt idx="201">
                  <c:v>37.618644577208968</c:v>
                </c:pt>
                <c:pt idx="202">
                  <c:v>37.595872976456377</c:v>
                </c:pt>
                <c:pt idx="203">
                  <c:v>37.573115925446849</c:v>
                </c:pt>
                <c:pt idx="204">
                  <c:v>37.550375543561643</c:v>
                </c:pt>
                <c:pt idx="205">
                  <c:v>37.527653837693229</c:v>
                </c:pt>
                <c:pt idx="206">
                  <c:v>37.504952708138397</c:v>
                </c:pt>
                <c:pt idx="207">
                  <c:v>37.482273954151047</c:v>
                </c:pt>
                <c:pt idx="208">
                  <c:v>37.459619279175769</c:v>
                </c:pt>
                <c:pt idx="209">
                  <c:v>37.436990295782188</c:v>
                </c:pt>
                <c:pt idx="210">
                  <c:v>37.41438853031859</c:v>
                </c:pt>
                <c:pt idx="211">
                  <c:v>37.39181542730249</c:v>
                </c:pt>
                <c:pt idx="212">
                  <c:v>37.369272353564504</c:v>
                </c:pt>
                <c:pt idx="213">
                  <c:v>37.346760602160813</c:v>
                </c:pt>
                <c:pt idx="214">
                  <c:v>37.324281396068642</c:v>
                </c:pt>
                <c:pt idx="215">
                  <c:v>37.301835891678088</c:v>
                </c:pt>
                <c:pt idx="216">
                  <c:v>37.279425182092858</c:v>
                </c:pt>
                <c:pt idx="217">
                  <c:v>37.257050300251535</c:v>
                </c:pt>
                <c:pt idx="218">
                  <c:v>37.234712221880308</c:v>
                </c:pt>
                <c:pt idx="219">
                  <c:v>37.212411868287298</c:v>
                </c:pt>
                <c:pt idx="220">
                  <c:v>37.190150109008101</c:v>
                </c:pt>
                <c:pt idx="221">
                  <c:v>37.16792776431123</c:v>
                </c:pt>
                <c:pt idx="222">
                  <c:v>37.145745607571918</c:v>
                </c:pt>
                <c:pt idx="223">
                  <c:v>37.123604367521878</c:v>
                </c:pt>
                <c:pt idx="224">
                  <c:v>37.101504730382452</c:v>
                </c:pt>
                <c:pt idx="225">
                  <c:v>37.079447341887658</c:v>
                </c:pt>
                <c:pt idx="226">
                  <c:v>37.057432809203732</c:v>
                </c:pt>
                <c:pt idx="227">
                  <c:v>37.035461702750872</c:v>
                </c:pt>
                <c:pt idx="228">
                  <c:v>37.013534557932886</c:v>
                </c:pt>
                <c:pt idx="229">
                  <c:v>36.991651876779855</c:v>
                </c:pt>
                <c:pt idx="230">
                  <c:v>36.969814129508734</c:v>
                </c:pt>
                <c:pt idx="231">
                  <c:v>36.948021756006362</c:v>
                </c:pt>
                <c:pt idx="232">
                  <c:v>36.926275167239304</c:v>
                </c:pt>
                <c:pt idx="233">
                  <c:v>36.904574746594434</c:v>
                </c:pt>
                <c:pt idx="234">
                  <c:v>36.882920851154054</c:v>
                </c:pt>
                <c:pt idx="235">
                  <c:v>36.861313812909138</c:v>
                </c:pt>
                <c:pt idx="236">
                  <c:v>36.839753939913948</c:v>
                </c:pt>
                <c:pt idx="237">
                  <c:v>36.818241517385225</c:v>
                </c:pt>
                <c:pt idx="238">
                  <c:v>36.796776808748888</c:v>
                </c:pt>
                <c:pt idx="239">
                  <c:v>36.775360056636941</c:v>
                </c:pt>
                <c:pt idx="240">
                  <c:v>36.753991483837268</c:v>
                </c:pt>
                <c:pt idx="241">
                  <c:v>36.732671294198795</c:v>
                </c:pt>
                <c:pt idx="242">
                  <c:v>36.711399673494199</c:v>
                </c:pt>
                <c:pt idx="243">
                  <c:v>36.690176790242454</c:v>
                </c:pt>
                <c:pt idx="244">
                  <c:v>36.669002796493324</c:v>
                </c:pt>
                <c:pt idx="245">
                  <c:v>36.647877828575503</c:v>
                </c:pt>
                <c:pt idx="246">
                  <c:v>36.626802007810539</c:v>
                </c:pt>
                <c:pt idx="247">
                  <c:v>36.605775441193991</c:v>
                </c:pt>
                <c:pt idx="248">
                  <c:v>36.584798222045691</c:v>
                </c:pt>
                <c:pt idx="249">
                  <c:v>36.563870430630409</c:v>
                </c:pt>
                <c:pt idx="250">
                  <c:v>36.542992134750591</c:v>
                </c:pt>
                <c:pt idx="251">
                  <c:v>36.522163390312421</c:v>
                </c:pt>
                <c:pt idx="252">
                  <c:v>36.501384241866532</c:v>
                </c:pt>
                <c:pt idx="253">
                  <c:v>36.480654723124616</c:v>
                </c:pt>
                <c:pt idx="254">
                  <c:v>36.459974857453112</c:v>
                </c:pt>
                <c:pt idx="255">
                  <c:v>36.439344658344979</c:v>
                </c:pt>
                <c:pt idx="256">
                  <c:v>36.418764129870745</c:v>
                </c:pt>
                <c:pt idx="257">
                  <c:v>36.398233267109724</c:v>
                </c:pt>
                <c:pt idx="258">
                  <c:v>36.377752056562315</c:v>
                </c:pt>
                <c:pt idx="259">
                  <c:v>36.357320476544373</c:v>
                </c:pt>
                <c:pt idx="260">
                  <c:v>36.336938497564439</c:v>
                </c:pt>
                <c:pt idx="261">
                  <c:v>36.31660608268453</c:v>
                </c:pt>
                <c:pt idx="262">
                  <c:v>36.29632318786549</c:v>
                </c:pt>
                <c:pt idx="263">
                  <c:v>36.276089762297381</c:v>
                </c:pt>
                <c:pt idx="264">
                  <c:v>36.255905748715698</c:v>
                </c:pt>
                <c:pt idx="265">
                  <c:v>36.235771083704066</c:v>
                </c:pt>
                <c:pt idx="266">
                  <c:v>36.215685697984057</c:v>
                </c:pt>
                <c:pt idx="267">
                  <c:v>36.195649516692562</c:v>
                </c:pt>
                <c:pt idx="268">
                  <c:v>36.175662459647562</c:v>
                </c:pt>
                <c:pt idx="269">
                  <c:v>36.155724441602473</c:v>
                </c:pt>
                <c:pt idx="270">
                  <c:v>36.135835372489858</c:v>
                </c:pt>
                <c:pt idx="271">
                  <c:v>36.115995157654872</c:v>
                </c:pt>
                <c:pt idx="272">
                  <c:v>36.096203698078817</c:v>
                </c:pt>
                <c:pt idx="273">
                  <c:v>36.076460890593417</c:v>
                </c:pt>
                <c:pt idx="274">
                  <c:v>36.056766628086088</c:v>
                </c:pt>
                <c:pt idx="275">
                  <c:v>36.037120799696623</c:v>
                </c:pt>
                <c:pt idx="276">
                  <c:v>36.017523291005688</c:v>
                </c:pt>
                <c:pt idx="277">
                  <c:v>35.997973984215527</c:v>
                </c:pt>
                <c:pt idx="278">
                  <c:v>35.978472758323058</c:v>
                </c:pt>
                <c:pt idx="279">
                  <c:v>35.959019489285929</c:v>
                </c:pt>
                <c:pt idx="280">
                  <c:v>35.939614050181582</c:v>
                </c:pt>
                <c:pt idx="281">
                  <c:v>35.920256311359829</c:v>
                </c:pt>
                <c:pt idx="282">
                  <c:v>35.900946140589078</c:v>
                </c:pt>
                <c:pt idx="283">
                  <c:v>35.88168340319654</c:v>
                </c:pt>
                <c:pt idx="284">
                  <c:v>35.86246796220275</c:v>
                </c:pt>
                <c:pt idx="285">
                  <c:v>35.843299678450379</c:v>
                </c:pt>
                <c:pt idx="286">
                  <c:v>35.824178410727953</c:v>
                </c:pt>
                <c:pt idx="287">
                  <c:v>35.805104015888354</c:v>
                </c:pt>
                <c:pt idx="288">
                  <c:v>35.786076348962524</c:v>
                </c:pt>
                <c:pt idx="289">
                  <c:v>35.767095263268509</c:v>
                </c:pt>
                <c:pt idx="290">
                  <c:v>35.748160610516003</c:v>
                </c:pt>
                <c:pt idx="291">
                  <c:v>35.729272240906631</c:v>
                </c:pt>
                <c:pt idx="292">
                  <c:v>35.710430003230151</c:v>
                </c:pt>
                <c:pt idx="293">
                  <c:v>35.691633744956683</c:v>
                </c:pt>
                <c:pt idx="294">
                  <c:v>35.672883312325169</c:v>
                </c:pt>
                <c:pt idx="295">
                  <c:v>35.654178550428227</c:v>
                </c:pt>
                <c:pt idx="296">
                  <c:v>35.635519303293563</c:v>
                </c:pt>
                <c:pt idx="297">
                  <c:v>35.616905413961938</c:v>
                </c:pt>
                <c:pt idx="298">
                  <c:v>35.598336724562088</c:v>
                </c:pt>
                <c:pt idx="299">
                  <c:v>35.579813076382472</c:v>
                </c:pt>
                <c:pt idx="300">
                  <c:v>35.561334309940094</c:v>
                </c:pt>
                <c:pt idx="301">
                  <c:v>35.542900265046548</c:v>
                </c:pt>
                <c:pt idx="302">
                  <c:v>35.524510780871282</c:v>
                </c:pt>
                <c:pt idx="303">
                  <c:v>35.506165696002313</c:v>
                </c:pt>
                <c:pt idx="304">
                  <c:v>35.487864848504415</c:v>
                </c:pt>
                <c:pt idx="305">
                  <c:v>35.469608075974904</c:v>
                </c:pt>
                <c:pt idx="306">
                  <c:v>35.451395215597117</c:v>
                </c:pt>
                <c:pt idx="307">
                  <c:v>35.433226104191718</c:v>
                </c:pt>
                <c:pt idx="308">
                  <c:v>35.415100578265815</c:v>
                </c:pt>
                <c:pt idx="309">
                  <c:v>35.397018474060069</c:v>
                </c:pt>
                <c:pt idx="310">
                  <c:v>35.378979627593829</c:v>
                </c:pt>
                <c:pt idx="311">
                  <c:v>35.360983874708403</c:v>
                </c:pt>
                <c:pt idx="312">
                  <c:v>35.34303105110849</c:v>
                </c:pt>
                <c:pt idx="313">
                  <c:v>35.325120992401878</c:v>
                </c:pt>
                <c:pt idx="314">
                  <c:v>35.307253534137473</c:v>
                </c:pt>
                <c:pt idx="315">
                  <c:v>35.289428511841756</c:v>
                </c:pt>
                <c:pt idx="316">
                  <c:v>35.271645761053577</c:v>
                </c:pt>
                <c:pt idx="317">
                  <c:v>35.253905117357654</c:v>
                </c:pt>
                <c:pt idx="318">
                  <c:v>35.236206416416437</c:v>
                </c:pt>
                <c:pt idx="319">
                  <c:v>35.21854949400074</c:v>
                </c:pt>
                <c:pt idx="320">
                  <c:v>35.200934186019033</c:v>
                </c:pt>
                <c:pt idx="321">
                  <c:v>35.183360328545412</c:v>
                </c:pt>
                <c:pt idx="322">
                  <c:v>35.165827757846387</c:v>
                </c:pt>
                <c:pt idx="323">
                  <c:v>35.148336310406471</c:v>
                </c:pt>
                <c:pt idx="324">
                  <c:v>35.130885822952727</c:v>
                </c:pt>
                <c:pt idx="325">
                  <c:v>35.11347613247807</c:v>
                </c:pt>
                <c:pt idx="326">
                  <c:v>35.096107076263692</c:v>
                </c:pt>
                <c:pt idx="327">
                  <c:v>35.078778491900387</c:v>
                </c:pt>
                <c:pt idx="328">
                  <c:v>35.061490217308922</c:v>
                </c:pt>
                <c:pt idx="329">
                  <c:v>35.044242090759518</c:v>
                </c:pt>
                <c:pt idx="330">
                  <c:v>35.027033950890377</c:v>
                </c:pt>
                <c:pt idx="331">
                  <c:v>35.009865636725422</c:v>
                </c:pt>
                <c:pt idx="332">
                  <c:v>34.99273698769116</c:v>
                </c:pt>
                <c:pt idx="333">
                  <c:v>34.975647843632764</c:v>
                </c:pt>
                <c:pt idx="334">
                  <c:v>34.958598044829394</c:v>
                </c:pt>
                <c:pt idx="335">
                  <c:v>34.941587432008774</c:v>
                </c:pt>
                <c:pt idx="336">
                  <c:v>34.924615846361085</c:v>
                </c:pt>
                <c:pt idx="337">
                  <c:v>34.907683129552147</c:v>
                </c:pt>
                <c:pt idx="338">
                  <c:v>34.890789123735956</c:v>
                </c:pt>
                <c:pt idx="339">
                  <c:v>34.873933671566597</c:v>
                </c:pt>
                <c:pt idx="340">
                  <c:v>34.857116616209574</c:v>
                </c:pt>
                <c:pt idx="341">
                  <c:v>34.840337801352483</c:v>
                </c:pt>
                <c:pt idx="342">
                  <c:v>34.823597071215232</c:v>
                </c:pt>
                <c:pt idx="343">
                  <c:v>34.806894270559603</c:v>
                </c:pt>
                <c:pt idx="344">
                  <c:v>34.790229244698402</c:v>
                </c:pt>
                <c:pt idx="345">
                  <c:v>34.773601839504032</c:v>
                </c:pt>
                <c:pt idx="346">
                  <c:v>34.757011901416625</c:v>
                </c:pt>
                <c:pt idx="347">
                  <c:v>34.740459277451713</c:v>
                </c:pt>
                <c:pt idx="348">
                  <c:v>34.723943815207427</c:v>
                </c:pt>
                <c:pt idx="349">
                  <c:v>34.707465362871297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Sweep!$G$18:$G$217</c:f>
              <c:numCache>
                <c:formatCode>General</c:formatCode>
                <c:ptCount val="200"/>
                <c:pt idx="0">
                  <c:v>0</c:v>
                </c:pt>
                <c:pt idx="1">
                  <c:v>1.2964210951799008E-2</c:v>
                </c:pt>
                <c:pt idx="2">
                  <c:v>9.0200717643974151E-2</c:v>
                </c:pt>
                <c:pt idx="3">
                  <c:v>0.29016474737007403</c:v>
                </c:pt>
                <c:pt idx="4">
                  <c:v>0.67051600894934826</c:v>
                </c:pt>
                <c:pt idx="5">
                  <c:v>1.2796218645230901</c:v>
                </c:pt>
                <c:pt idx="6">
                  <c:v>2.135379812728853</c:v>
                </c:pt>
                <c:pt idx="7">
                  <c:v>3.2125852356149172</c:v>
                </c:pt>
                <c:pt idx="8">
                  <c:v>4.4537893414460434</c:v>
                </c:pt>
                <c:pt idx="9">
                  <c:v>5.7905962393073587</c:v>
                </c:pt>
                <c:pt idx="10">
                  <c:v>7.1603484166175821</c:v>
                </c:pt>
                <c:pt idx="11">
                  <c:v>8.5140363225450226</c:v>
                </c:pt>
                <c:pt idx="12">
                  <c:v>9.8176439176514805</c:v>
                </c:pt>
                <c:pt idx="13">
                  <c:v>11.050172692541004</c:v>
                </c:pt>
                <c:pt idx="14">
                  <c:v>12.200606769347123</c:v>
                </c:pt>
                <c:pt idx="15">
                  <c:v>13.26497757802318</c:v>
                </c:pt>
                <c:pt idx="16">
                  <c:v>14.243966682563114</c:v>
                </c:pt>
                <c:pt idx="17">
                  <c:v>15.141118302856</c:v>
                </c:pt>
                <c:pt idx="18">
                  <c:v>15.961583072210287</c:v>
                </c:pt>
                <c:pt idx="19">
                  <c:v>16.711274223417121</c:v>
                </c:pt>
                <c:pt idx="20">
                  <c:v>17.396323773150563</c:v>
                </c:pt>
                <c:pt idx="21">
                  <c:v>18.022747744808452</c:v>
                </c:pt>
                <c:pt idx="22">
                  <c:v>18.59625250494592</c:v>
                </c:pt>
                <c:pt idx="23">
                  <c:v>19.122133749100232</c:v>
                </c:pt>
                <c:pt idx="24">
                  <c:v>19.605234717533314</c:v>
                </c:pt>
                <c:pt idx="25">
                  <c:v>20.049940948766015</c:v>
                </c:pt>
                <c:pt idx="26">
                  <c:v>20.460196680624158</c:v>
                </c:pt>
                <c:pt idx="27">
                  <c:v>20.839533075034499</c:v>
                </c:pt>
                <c:pt idx="28">
                  <c:v>21.191102102461166</c:v>
                </c:pt>
                <c:pt idx="29">
                  <c:v>21.517712194883721</c:v>
                </c:pt>
                <c:pt idx="30">
                  <c:v>21.821863367450792</c:v>
                </c:pt>
                <c:pt idx="31">
                  <c:v>22.105780457566155</c:v>
                </c:pt>
                <c:pt idx="32">
                  <c:v>22.371443845684258</c:v>
                </c:pt>
                <c:pt idx="33">
                  <c:v>22.62061736101488</c:v>
                </c:pt>
                <c:pt idx="34">
                  <c:v>22.854873323519755</c:v>
                </c:pt>
                <c:pt idx="35">
                  <c:v>23.075614892689909</c:v>
                </c:pt>
                <c:pt idx="36">
                  <c:v>23.284095809334246</c:v>
                </c:pt>
                <c:pt idx="37">
                  <c:v>23.481437878643654</c:v>
                </c:pt>
                <c:pt idx="38">
                  <c:v>23.668646318507719</c:v>
                </c:pt>
                <c:pt idx="39">
                  <c:v>23.846623256068327</c:v>
                </c:pt>
                <c:pt idx="40">
                  <c:v>24.016179584335813</c:v>
                </c:pt>
                <c:pt idx="41">
                  <c:v>24.17804537311968</c:v>
                </c:pt>
                <c:pt idx="42">
                  <c:v>24.332878983864568</c:v>
                </c:pt>
                <c:pt idx="43">
                  <c:v>24.481275098293821</c:v>
                </c:pt>
                <c:pt idx="44">
                  <c:v>24.6237717503273</c:v>
                </c:pt>
                <c:pt idx="45">
                  <c:v>24.760856527688482</c:v>
                </c:pt>
                <c:pt idx="46">
                  <c:v>24.892972019431607</c:v>
                </c:pt>
                <c:pt idx="47">
                  <c:v>25.020520629514863</c:v>
                </c:pt>
                <c:pt idx="48">
                  <c:v>25.143868795235374</c:v>
                </c:pt>
                <c:pt idx="49">
                  <c:v>25.263350752582628</c:v>
                </c:pt>
                <c:pt idx="50">
                  <c:v>25.379271844128606</c:v>
                </c:pt>
                <c:pt idx="51">
                  <c:v>25.491911448293852</c:v>
                </c:pt>
                <c:pt idx="52">
                  <c:v>25.601525578654968</c:v>
                </c:pt>
                <c:pt idx="53">
                  <c:v>25.708349217795039</c:v>
                </c:pt>
                <c:pt idx="54">
                  <c:v>25.812598352815854</c:v>
                </c:pt>
                <c:pt idx="55">
                  <c:v>25.914471837370805</c:v>
                </c:pt>
                <c:pt idx="56">
                  <c:v>26.01415297896882</c:v>
                </c:pt>
                <c:pt idx="57">
                  <c:v>26.111811059621726</c:v>
                </c:pt>
                <c:pt idx="58">
                  <c:v>26.207602613434553</c:v>
                </c:pt>
                <c:pt idx="59">
                  <c:v>26.301672596787213</c:v>
                </c:pt>
                <c:pt idx="60">
                  <c:v>26.394155457418755</c:v>
                </c:pt>
                <c:pt idx="61">
                  <c:v>26.485176075225237</c:v>
                </c:pt>
                <c:pt idx="62">
                  <c:v>26.574850597346131</c:v>
                </c:pt>
                <c:pt idx="63">
                  <c:v>26.663287238925946</c:v>
                </c:pt>
                <c:pt idx="64">
                  <c:v>26.750586949974874</c:v>
                </c:pt>
                <c:pt idx="65">
                  <c:v>26.836844046121623</c:v>
                </c:pt>
                <c:pt idx="66">
                  <c:v>26.922146790899884</c:v>
                </c:pt>
                <c:pt idx="67">
                  <c:v>27.006577885143095</c:v>
                </c:pt>
                <c:pt idx="68">
                  <c:v>27.09021495940387</c:v>
                </c:pt>
                <c:pt idx="69">
                  <c:v>27.173130978214449</c:v>
                </c:pt>
                <c:pt idx="70">
                  <c:v>27.255394635962659</c:v>
                </c:pt>
                <c:pt idx="71">
                  <c:v>27.337070697374045</c:v>
                </c:pt>
                <c:pt idx="72">
                  <c:v>27.418220342087658</c:v>
                </c:pt>
                <c:pt idx="73">
                  <c:v>27.498901432764047</c:v>
                </c:pt>
                <c:pt idx="74">
                  <c:v>27.579168790825179</c:v>
                </c:pt>
                <c:pt idx="75">
                  <c:v>27.659074447596929</c:v>
                </c:pt>
                <c:pt idx="76">
                  <c:v>27.738667870254105</c:v>
                </c:pt>
                <c:pt idx="77">
                  <c:v>27.817996152094533</c:v>
                </c:pt>
                <c:pt idx="78">
                  <c:v>27.897104237231567</c:v>
                </c:pt>
                <c:pt idx="79">
                  <c:v>27.976035052255195</c:v>
                </c:pt>
                <c:pt idx="80">
                  <c:v>28.054829710112628</c:v>
                </c:pt>
                <c:pt idx="81">
                  <c:v>28.133527632494058</c:v>
                </c:pt>
                <c:pt idx="82">
                  <c:v>28.212166694168207</c:v>
                </c:pt>
                <c:pt idx="83">
                  <c:v>28.29078335981546</c:v>
                </c:pt>
                <c:pt idx="84">
                  <c:v>28.369412800046636</c:v>
                </c:pt>
                <c:pt idx="85">
                  <c:v>28.44808899489648</c:v>
                </c:pt>
                <c:pt idx="86">
                  <c:v>28.526844851754142</c:v>
                </c:pt>
                <c:pt idx="87">
                  <c:v>28.605712281755967</c:v>
                </c:pt>
                <c:pt idx="88">
                  <c:v>28.68472231533984</c:v>
                </c:pt>
                <c:pt idx="89">
                  <c:v>28.763905166186813</c:v>
                </c:pt>
                <c:pt idx="90">
                  <c:v>28.843290323156133</c:v>
                </c:pt>
                <c:pt idx="91">
                  <c:v>28.922906617580175</c:v>
                </c:pt>
                <c:pt idx="92">
                  <c:v>29.002782301310386</c:v>
                </c:pt>
                <c:pt idx="93">
                  <c:v>29.08294511100064</c:v>
                </c:pt>
                <c:pt idx="94">
                  <c:v>29.163422327772615</c:v>
                </c:pt>
                <c:pt idx="95">
                  <c:v>29.244240843779256</c:v>
                </c:pt>
                <c:pt idx="96">
                  <c:v>29.325427223207388</c:v>
                </c:pt>
                <c:pt idx="97">
                  <c:v>29.407007750205622</c:v>
                </c:pt>
                <c:pt idx="98">
                  <c:v>29.489008479943323</c:v>
                </c:pt>
                <c:pt idx="99">
                  <c:v>29.571455299871218</c:v>
                </c:pt>
                <c:pt idx="100">
                  <c:v>29.654373972343077</c:v>
                </c:pt>
                <c:pt idx="101">
                  <c:v>29.737790187835337</c:v>
                </c:pt>
                <c:pt idx="102">
                  <c:v>29.821729603315699</c:v>
                </c:pt>
                <c:pt idx="103">
                  <c:v>29.906217900370084</c:v>
                </c:pt>
                <c:pt idx="104">
                  <c:v>29.991280820780343</c:v>
                </c:pt>
                <c:pt idx="105">
                  <c:v>30.076944210139676</c:v>
                </c:pt>
                <c:pt idx="106">
                  <c:v>30.163234069243213</c:v>
                </c:pt>
                <c:pt idx="107">
                  <c:v>30.250176589772895</c:v>
                </c:pt>
                <c:pt idx="108">
                  <c:v>30.337798204936671</c:v>
                </c:pt>
                <c:pt idx="109">
                  <c:v>30.426125622000111</c:v>
                </c:pt>
                <c:pt idx="110">
                  <c:v>30.515185878520395</c:v>
                </c:pt>
                <c:pt idx="111">
                  <c:v>30.605006381708293</c:v>
                </c:pt>
                <c:pt idx="112">
                  <c:v>30.695614936457474</c:v>
                </c:pt>
                <c:pt idx="113">
                  <c:v>30.787039814082366</c:v>
                </c:pt>
                <c:pt idx="114">
                  <c:v>30.879309789633943</c:v>
                </c:pt>
                <c:pt idx="115">
                  <c:v>30.972454178791615</c:v>
                </c:pt>
                <c:pt idx="116">
                  <c:v>31.066502891084625</c:v>
                </c:pt>
                <c:pt idx="117">
                  <c:v>31.161486484376876</c:v>
                </c:pt>
                <c:pt idx="118">
                  <c:v>31.257436205286293</c:v>
                </c:pt>
                <c:pt idx="119">
                  <c:v>31.354384050708049</c:v>
                </c:pt>
                <c:pt idx="120">
                  <c:v>31.452362808419529</c:v>
                </c:pt>
                <c:pt idx="121">
                  <c:v>31.551406119935379</c:v>
                </c:pt>
                <c:pt idx="122">
                  <c:v>31.651548545456695</c:v>
                </c:pt>
                <c:pt idx="123">
                  <c:v>31.752825601742057</c:v>
                </c:pt>
                <c:pt idx="124">
                  <c:v>31.855273852936264</c:v>
                </c:pt>
                <c:pt idx="125">
                  <c:v>31.958930946214767</c:v>
                </c:pt>
                <c:pt idx="126">
                  <c:v>32.063835707646</c:v>
                </c:pt>
                <c:pt idx="127">
                  <c:v>32.170028185635928</c:v>
                </c:pt>
                <c:pt idx="128">
                  <c:v>32.277549758973223</c:v>
                </c:pt>
                <c:pt idx="129">
                  <c:v>32.386443182059956</c:v>
                </c:pt>
                <c:pt idx="130">
                  <c:v>32.496752695005789</c:v>
                </c:pt>
                <c:pt idx="131">
                  <c:v>32.608524097235318</c:v>
                </c:pt>
                <c:pt idx="132">
                  <c:v>32.721804840200967</c:v>
                </c:pt>
                <c:pt idx="133">
                  <c:v>32.836644139239681</c:v>
                </c:pt>
                <c:pt idx="134">
                  <c:v>32.953093053399122</c:v>
                </c:pt>
                <c:pt idx="135">
                  <c:v>33.071204628265868</c:v>
                </c:pt>
                <c:pt idx="136">
                  <c:v>33.191033979553602</c:v>
                </c:pt>
                <c:pt idx="137">
                  <c:v>33.312638442212091</c:v>
                </c:pt>
                <c:pt idx="138">
                  <c:v>33.436077689796221</c:v>
                </c:pt>
                <c:pt idx="139">
                  <c:v>33.561413885281063</c:v>
                </c:pt>
                <c:pt idx="140">
                  <c:v>33.688711807201884</c:v>
                </c:pt>
                <c:pt idx="141">
                  <c:v>33.818039051393534</c:v>
                </c:pt>
                <c:pt idx="142">
                  <c:v>33.949466168294776</c:v>
                </c:pt>
                <c:pt idx="143">
                  <c:v>34.083066827495266</c:v>
                </c:pt>
                <c:pt idx="144">
                  <c:v>34.218918056831939</c:v>
                </c:pt>
                <c:pt idx="145">
                  <c:v>34.357100434697685</c:v>
                </c:pt>
                <c:pt idx="146">
                  <c:v>34.49769829302317</c:v>
                </c:pt>
                <c:pt idx="147">
                  <c:v>34.640799968484927</c:v>
                </c:pt>
                <c:pt idx="148">
                  <c:v>34.786498046862278</c:v>
                </c:pt>
                <c:pt idx="149">
                  <c:v>34.934889632225449</c:v>
                </c:pt>
                <c:pt idx="150">
                  <c:v>35.086076626660336</c:v>
                </c:pt>
                <c:pt idx="151">
                  <c:v>35.240166046615158</c:v>
                </c:pt>
                <c:pt idx="152">
                  <c:v>35.39727033194287</c:v>
                </c:pt>
                <c:pt idx="153">
                  <c:v>35.557507672537085</c:v>
                </c:pt>
                <c:pt idx="154">
                  <c:v>35.721002378349255</c:v>
                </c:pt>
                <c:pt idx="155">
                  <c:v>35.887885240911352</c:v>
                </c:pt>
                <c:pt idx="156">
                  <c:v>36.058293869407869</c:v>
                </c:pt>
                <c:pt idx="157">
                  <c:v>36.232373043622225</c:v>
                </c:pt>
                <c:pt idx="158">
                  <c:v>36.410275005049904</c:v>
                </c:pt>
                <c:pt idx="159">
                  <c:v>36.592159538950881</c:v>
                </c:pt>
                <c:pt idx="160">
                  <c:v>36.7781936013576</c:v>
                </c:pt>
                <c:pt idx="161">
                  <c:v>36.968548697903408</c:v>
                </c:pt>
                <c:pt idx="162">
                  <c:v>37.012414845586541</c:v>
                </c:pt>
                <c:pt idx="163">
                  <c:v>37.012181819984072</c:v>
                </c:pt>
                <c:pt idx="164">
                  <c:v>37.015434864824385</c:v>
                </c:pt>
                <c:pt idx="165">
                  <c:v>37.019471819351921</c:v>
                </c:pt>
                <c:pt idx="166">
                  <c:v>37.023493559643079</c:v>
                </c:pt>
                <c:pt idx="167">
                  <c:v>37.027186318520563</c:v>
                </c:pt>
                <c:pt idx="168">
                  <c:v>37.030417509343039</c:v>
                </c:pt>
                <c:pt idx="169">
                  <c:v>37.033135444236692</c:v>
                </c:pt>
                <c:pt idx="170">
                  <c:v>37.035328371871138</c:v>
                </c:pt>
                <c:pt idx="171">
                  <c:v>37.037005364152598</c:v>
                </c:pt>
                <c:pt idx="172">
                  <c:v>37.03818653667993</c:v>
                </c:pt>
                <c:pt idx="173">
                  <c:v>37.03889777388077</c:v>
                </c:pt>
                <c:pt idx="174">
                  <c:v>37.039167711111837</c:v>
                </c:pt>
                <c:pt idx="175">
                  <c:v>37.039025980877646</c:v>
                </c:pt>
                <c:pt idx="176">
                  <c:v>37.038502181163686</c:v>
                </c:pt>
                <c:pt idx="177">
                  <c:v>37.03762522532795</c:v>
                </c:pt>
                <c:pt idx="178">
                  <c:v>37.036422996269415</c:v>
                </c:pt>
                <c:pt idx="179">
                  <c:v>37.034922166997561</c:v>
                </c:pt>
                <c:pt idx="180">
                  <c:v>37.033148043901207</c:v>
                </c:pt>
                <c:pt idx="181">
                  <c:v>37.031124576272163</c:v>
                </c:pt>
                <c:pt idx="182">
                  <c:v>37.028874334663797</c:v>
                </c:pt>
                <c:pt idx="183">
                  <c:v>37.026418558903565</c:v>
                </c:pt>
                <c:pt idx="184">
                  <c:v>37.023777162149322</c:v>
                </c:pt>
                <c:pt idx="185">
                  <c:v>37.02096883550022</c:v>
                </c:pt>
                <c:pt idx="186">
                  <c:v>37.018011076885351</c:v>
                </c:pt>
                <c:pt idx="187">
                  <c:v>37.014920255427924</c:v>
                </c:pt>
                <c:pt idx="188">
                  <c:v>37.011711674555301</c:v>
                </c:pt>
                <c:pt idx="189">
                  <c:v>37.008399638535828</c:v>
                </c:pt>
                <c:pt idx="190">
                  <c:v>37.004997505433252</c:v>
                </c:pt>
                <c:pt idx="191">
                  <c:v>37.001517739421061</c:v>
                </c:pt>
                <c:pt idx="192">
                  <c:v>36.997971978088394</c:v>
                </c:pt>
                <c:pt idx="193">
                  <c:v>36.994371069297387</c:v>
                </c:pt>
                <c:pt idx="194">
                  <c:v>36.990725124377356</c:v>
                </c:pt>
                <c:pt idx="195">
                  <c:v>36.987043580706548</c:v>
                </c:pt>
                <c:pt idx="196">
                  <c:v>36.983335209813127</c:v>
                </c:pt>
                <c:pt idx="197">
                  <c:v>36.979608183525379</c:v>
                </c:pt>
                <c:pt idx="198">
                  <c:v>36.97587011653011</c:v>
                </c:pt>
                <c:pt idx="199">
                  <c:v>36.972128083181076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Sweep!$F$18:$F$217</c:f>
              <c:numCache>
                <c:formatCode>General</c:formatCode>
                <c:ptCount val="200"/>
                <c:pt idx="0">
                  <c:v>0</c:v>
                </c:pt>
                <c:pt idx="1">
                  <c:v>2.9715780958048278E-7</c:v>
                </c:pt>
                <c:pt idx="2">
                  <c:v>2.0675297431022891E-6</c:v>
                </c:pt>
                <c:pt idx="3">
                  <c:v>6.65103625772427E-6</c:v>
                </c:pt>
                <c:pt idx="4">
                  <c:v>1.5369557631471145E-5</c:v>
                </c:pt>
                <c:pt idx="5">
                  <c:v>2.9332524068161659E-5</c:v>
                </c:pt>
                <c:pt idx="6">
                  <c:v>4.8952000052447008E-5</c:v>
                </c:pt>
                <c:pt idx="7">
                  <c:v>7.3653491658286208E-5</c:v>
                </c:pt>
                <c:pt idx="8">
                  <c:v>1.0212469733670758E-4</c:v>
                </c:pt>
                <c:pt idx="9">
                  <c:v>1.3280305247449748E-4</c:v>
                </c:pt>
                <c:pt idx="10">
                  <c:v>1.642573976499396E-4</c:v>
                </c:pt>
                <c:pt idx="11">
                  <c:v>1.9536864138405022E-4</c:v>
                </c:pt>
                <c:pt idx="12">
                  <c:v>2.253602598502634E-4</c:v>
                </c:pt>
                <c:pt idx="13">
                  <c:v>2.5375293637149845E-4</c:v>
                </c:pt>
                <c:pt idx="14">
                  <c:v>2.8029511079994074E-4</c:v>
                </c:pt>
                <c:pt idx="15">
                  <c:v>3.0489589850638346E-4</c:v>
                </c:pt>
                <c:pt idx="16">
                  <c:v>3.2757036397005604E-4</c:v>
                </c:pt>
                <c:pt idx="17">
                  <c:v>3.4839875059678772E-4</c:v>
                </c:pt>
                <c:pt idx="18">
                  <c:v>3.6749785199879595E-4</c:v>
                </c:pt>
                <c:pt idx="19">
                  <c:v>3.8500179842358381E-4</c:v>
                </c:pt>
                <c:pt idx="20">
                  <c:v>4.0104968484303558E-4</c:v>
                </c:pt>
                <c:pt idx="21">
                  <c:v>4.1577796189530406E-4</c:v>
                </c:pt>
                <c:pt idx="22">
                  <c:v>4.2931603917289318E-4</c:v>
                </c:pt>
                <c:pt idx="23">
                  <c:v>4.4178399571044E-4</c:v>
                </c:pt>
                <c:pt idx="24">
                  <c:v>4.5329163633309319E-4</c:v>
                </c:pt>
                <c:pt idx="25">
                  <c:v>4.6393837733460427E-4</c:v>
                </c:pt>
                <c:pt idx="26">
                  <c:v>4.7381362289381076E-4</c:v>
                </c:pt>
                <c:pt idx="27">
                  <c:v>4.8299740899886709E-4</c:v>
                </c:pt>
                <c:pt idx="28">
                  <c:v>4.9156117498565341E-4</c:v>
                </c:pt>
                <c:pt idx="29">
                  <c:v>4.9956857445613136E-4</c:v>
                </c:pt>
                <c:pt idx="30">
                  <c:v>5.0707627351554297E-4</c:v>
                </c:pt>
                <c:pt idx="31">
                  <c:v>5.1413470577392712E-4</c:v>
                </c:pt>
                <c:pt idx="32">
                  <c:v>5.2078876982284414E-4</c:v>
                </c:pt>
                <c:pt idx="33">
                  <c:v>5.270784625416088E-4</c:v>
                </c:pt>
                <c:pt idx="34">
                  <c:v>5.330394472002688E-4</c:v>
                </c:pt>
                <c:pt idx="35">
                  <c:v>5.3870356032883517E-4</c:v>
                </c:pt>
                <c:pt idx="36">
                  <c:v>5.4409925929767592E-4</c:v>
                </c:pt>
                <c:pt idx="37">
                  <c:v>5.4925201862783286E-4</c:v>
                </c:pt>
                <c:pt idx="38">
                  <c:v>5.5418467780437024E-4</c:v>
                </c:pt>
                <c:pt idx="39">
                  <c:v>5.5891774706854649E-4</c:v>
                </c:pt>
                <c:pt idx="40">
                  <c:v>5.6346967600956455E-4</c:v>
                </c:pt>
                <c:pt idx="41">
                  <c:v>5.6785708937289391E-4</c:v>
                </c:pt>
                <c:pt idx="42">
                  <c:v>5.7209499346391952E-4</c:v>
                </c:pt>
                <c:pt idx="43">
                  <c:v>5.7619695795326387E-4</c:v>
                </c:pt>
                <c:pt idx="44">
                  <c:v>5.8017527507671861E-4</c:v>
                </c:pt>
                <c:pt idx="45">
                  <c:v>5.8404110004137719E-4</c:v>
                </c:pt>
                <c:pt idx="46">
                  <c:v>5.8780457434197929E-4</c:v>
                </c:pt>
                <c:pt idx="47">
                  <c:v>5.914749347350084E-4</c:v>
                </c:pt>
                <c:pt idx="48">
                  <c:v>5.9506060871060439E-4</c:v>
                </c:pt>
                <c:pt idx="49">
                  <c:v>5.9856929974971156E-4</c:v>
                </c:pt>
                <c:pt idx="50">
                  <c:v>6.0200806220488264E-4</c:v>
                </c:pt>
                <c:pt idx="51">
                  <c:v>6.0538336761392956E-4</c:v>
                </c:pt>
                <c:pt idx="52">
                  <c:v>6.0870116355013276E-4</c:v>
                </c:pt>
                <c:pt idx="53">
                  <c:v>6.1196692650002235E-4</c:v>
                </c:pt>
                <c:pt idx="54">
                  <c:v>6.151857079453913E-4</c:v>
                </c:pt>
                <c:pt idx="55">
                  <c:v>6.1836217658515688E-4</c:v>
                </c:pt>
                <c:pt idx="56">
                  <c:v>6.21500654253804E-4</c:v>
                </c:pt>
                <c:pt idx="57">
                  <c:v>6.2460515046857713E-4</c:v>
                </c:pt>
                <c:pt idx="58">
                  <c:v>6.2767939137513002E-4</c:v>
                </c:pt>
                <c:pt idx="59">
                  <c:v>6.3072684630334226E-4</c:v>
                </c:pt>
                <c:pt idx="60">
                  <c:v>6.3375075206824067E-4</c:v>
                </c:pt>
                <c:pt idx="61">
                  <c:v>6.3675413434776383E-4</c:v>
                </c:pt>
                <c:pt idx="62">
                  <c:v>6.3973982665889179E-4</c:v>
                </c:pt>
                <c:pt idx="63">
                  <c:v>6.4271048863495303E-4</c:v>
                </c:pt>
                <c:pt idx="64">
                  <c:v>6.456686211978402E-4</c:v>
                </c:pt>
                <c:pt idx="65">
                  <c:v>6.4861658096309932E-4</c:v>
                </c:pt>
                <c:pt idx="66">
                  <c:v>6.515565935744387E-4</c:v>
                </c:pt>
                <c:pt idx="67">
                  <c:v>6.5449076488350774E-4</c:v>
                </c:pt>
                <c:pt idx="68">
                  <c:v>6.5742109228444793E-4</c:v>
                </c:pt>
                <c:pt idx="69">
                  <c:v>6.6034947399089879E-4</c:v>
                </c:pt>
                <c:pt idx="70">
                  <c:v>6.6327771817881469E-4</c:v>
                </c:pt>
                <c:pt idx="71">
                  <c:v>6.6620755084991076E-4</c:v>
                </c:pt>
                <c:pt idx="72">
                  <c:v>6.6914062385649428E-4</c:v>
                </c:pt>
                <c:pt idx="73">
                  <c:v>6.7207852112192903E-4</c:v>
                </c:pt>
                <c:pt idx="74">
                  <c:v>6.7502276509834801E-4</c:v>
                </c:pt>
                <c:pt idx="75">
                  <c:v>6.779748226753028E-4</c:v>
                </c:pt>
                <c:pt idx="76">
                  <c:v>6.8093611052024252E-4</c:v>
                </c:pt>
                <c:pt idx="77">
                  <c:v>6.8390799958864307E-4</c:v>
                </c:pt>
                <c:pt idx="78">
                  <c:v>6.8689182052188516E-4</c:v>
                </c:pt>
                <c:pt idx="79">
                  <c:v>6.8988886680049287E-4</c:v>
                </c:pt>
                <c:pt idx="80">
                  <c:v>6.9290039971109472E-4</c:v>
                </c:pt>
                <c:pt idx="81">
                  <c:v>6.9592765134528028E-4</c:v>
                </c:pt>
                <c:pt idx="82">
                  <c:v>6.9897182817279298E-4</c:v>
                </c:pt>
                <c:pt idx="83">
                  <c:v>7.0203411446537298E-4</c:v>
                </c:pt>
                <c:pt idx="84">
                  <c:v>7.0511567523965247E-4</c:v>
                </c:pt>
                <c:pt idx="85">
                  <c:v>7.0821765892097499E-4</c:v>
                </c:pt>
                <c:pt idx="86">
                  <c:v>7.1134120039811834E-4</c:v>
                </c:pt>
                <c:pt idx="87">
                  <c:v>7.144874230762074E-4</c:v>
                </c:pt>
                <c:pt idx="88">
                  <c:v>7.1765744193605851E-4</c:v>
                </c:pt>
                <c:pt idx="89">
                  <c:v>7.2085236533767983E-4</c:v>
                </c:pt>
                <c:pt idx="90">
                  <c:v>7.2407329755147575E-4</c:v>
                </c:pt>
                <c:pt idx="91">
                  <c:v>7.2732134070673438E-4</c:v>
                </c:pt>
                <c:pt idx="92">
                  <c:v>7.3059759704097865E-4</c:v>
                </c:pt>
                <c:pt idx="93">
                  <c:v>7.3390317082371211E-4</c:v>
                </c:pt>
                <c:pt idx="94">
                  <c:v>7.3723917021078903E-4</c:v>
                </c:pt>
                <c:pt idx="95">
                  <c:v>7.4060670929468439E-4</c:v>
                </c:pt>
                <c:pt idx="96">
                  <c:v>7.4400691005004017E-4</c:v>
                </c:pt>
                <c:pt idx="97">
                  <c:v>7.4744090398100793E-4</c:v>
                </c:pt>
                <c:pt idx="98">
                  <c:v>7.5090983388027203E-4</c:v>
                </c:pt>
                <c:pt idx="99">
                  <c:v>7.5441485588261274E-4</c:v>
                </c:pt>
                <c:pt idx="100">
                  <c:v>7.579571410808141E-4</c:v>
                </c:pt>
                <c:pt idx="101">
                  <c:v>7.6153787744805568E-4</c:v>
                </c:pt>
                <c:pt idx="102">
                  <c:v>7.6515827141908864E-4</c:v>
                </c:pt>
                <c:pt idx="103">
                  <c:v>7.6881955001660736E-4</c:v>
                </c:pt>
                <c:pt idx="104">
                  <c:v>7.7252296244177882E-4</c:v>
                </c:pt>
                <c:pt idx="105">
                  <c:v>7.7626978191243118E-4</c:v>
                </c:pt>
                <c:pt idx="106">
                  <c:v>7.8006130774696146E-4</c:v>
                </c:pt>
                <c:pt idx="107">
                  <c:v>7.8389886709050638E-4</c:v>
                </c:pt>
                <c:pt idx="108">
                  <c:v>7.8778381707609983E-4</c:v>
                </c:pt>
                <c:pt idx="109">
                  <c:v>7.9171754656845916E-4</c:v>
                </c:pt>
                <c:pt idx="110">
                  <c:v>7.9570147857637775E-4</c:v>
                </c:pt>
                <c:pt idx="111">
                  <c:v>7.9973707228521733E-4</c:v>
                </c:pt>
                <c:pt idx="112">
                  <c:v>8.0382582485103045E-4</c:v>
                </c:pt>
                <c:pt idx="113">
                  <c:v>8.0796927432053717E-4</c:v>
                </c:pt>
                <c:pt idx="114">
                  <c:v>8.1216900179923585E-4</c:v>
                </c:pt>
                <c:pt idx="115">
                  <c:v>8.1642663367577318E-4</c:v>
                </c:pt>
                <c:pt idx="116">
                  <c:v>8.2074384434853388E-4</c:v>
                </c:pt>
                <c:pt idx="117">
                  <c:v>8.2512235906612977E-4</c:v>
                </c:pt>
                <c:pt idx="118">
                  <c:v>8.295639564798007E-4</c:v>
                </c:pt>
                <c:pt idx="119">
                  <c:v>8.3407047184174007E-4</c:v>
                </c:pt>
                <c:pt idx="120">
                  <c:v>8.386437997427046E-4</c:v>
                </c:pt>
                <c:pt idx="121">
                  <c:v>8.4328589753866051E-4</c:v>
                </c:pt>
                <c:pt idx="122">
                  <c:v>8.4799878894163596E-4</c:v>
                </c:pt>
                <c:pt idx="123">
                  <c:v>8.5278456699822863E-4</c:v>
                </c:pt>
                <c:pt idx="124">
                  <c:v>8.5764539860436163E-4</c:v>
                </c:pt>
                <c:pt idx="125">
                  <c:v>8.6258352766860552E-4</c:v>
                </c:pt>
                <c:pt idx="126">
                  <c:v>8.6760128002801419E-4</c:v>
                </c:pt>
                <c:pt idx="127">
                  <c:v>8.7270106709707391E-4</c:v>
                </c:pt>
                <c:pt idx="128">
                  <c:v>8.7788539141535977E-4</c:v>
                </c:pt>
                <c:pt idx="129">
                  <c:v>8.8315685065971255E-4</c:v>
                </c:pt>
                <c:pt idx="130">
                  <c:v>8.8851814359008289E-4</c:v>
                </c:pt>
                <c:pt idx="131">
                  <c:v>8.939720751930222E-4</c:v>
                </c:pt>
                <c:pt idx="132">
                  <c:v>8.9952156254327392E-4</c:v>
                </c:pt>
                <c:pt idx="133">
                  <c:v>9.0516964140567536E-4</c:v>
                </c:pt>
                <c:pt idx="134">
                  <c:v>9.1091947218518814E-4</c:v>
                </c:pt>
                <c:pt idx="135">
                  <c:v>9.1677434785519308E-4</c:v>
                </c:pt>
                <c:pt idx="136">
                  <c:v>9.2273770051383528E-4</c:v>
                </c:pt>
                <c:pt idx="137">
                  <c:v>9.2881311002883545E-4</c:v>
                </c:pt>
                <c:pt idx="138">
                  <c:v>9.3500431215914382E-4</c:v>
                </c:pt>
                <c:pt idx="139">
                  <c:v>9.4131520786903727E-4</c:v>
                </c:pt>
                <c:pt idx="140">
                  <c:v>9.4774987229120228E-4</c:v>
                </c:pt>
                <c:pt idx="141">
                  <c:v>9.5431256617145002E-4</c:v>
                </c:pt>
                <c:pt idx="142">
                  <c:v>9.6100774584074577E-4</c:v>
                </c:pt>
                <c:pt idx="143">
                  <c:v>9.6784007462388593E-4</c:v>
                </c:pt>
                <c:pt idx="144">
                  <c:v>9.7481443624911274E-4</c:v>
                </c:pt>
                <c:pt idx="145">
                  <c:v>9.8193594794841526E-4</c:v>
                </c:pt>
                <c:pt idx="146">
                  <c:v>9.8920997406210377E-4</c:v>
                </c:pt>
                <c:pt idx="147">
                  <c:v>9.9664214157647608E-4</c:v>
                </c:pt>
                <c:pt idx="148">
                  <c:v>1.0042383559900362E-3</c:v>
                </c:pt>
                <c:pt idx="149">
                  <c:v>1.0120048184218545E-3</c:v>
                </c:pt>
                <c:pt idx="150">
                  <c:v>1.0199480435514343E-3</c:v>
                </c:pt>
                <c:pt idx="151">
                  <c:v>1.0280748791262498E-3</c:v>
                </c:pt>
                <c:pt idx="152">
                  <c:v>1.0363925257134837E-3</c:v>
                </c:pt>
                <c:pt idx="153">
                  <c:v>1.0449085573064078E-3</c:v>
                </c:pt>
                <c:pt idx="154">
                  <c:v>1.0536309433551488E-3</c:v>
                </c:pt>
                <c:pt idx="155">
                  <c:v>1.0625680703606967E-3</c:v>
                </c:pt>
                <c:pt idx="156">
                  <c:v>1.0717287618726365E-3</c:v>
                </c:pt>
                <c:pt idx="157">
                  <c:v>1.0811222968885033E-3</c:v>
                </c:pt>
                <c:pt idx="158">
                  <c:v>1.0907584216976623E-3</c:v>
                </c:pt>
                <c:pt idx="159">
                  <c:v>1.1006473443479804E-3</c:v>
                </c:pt>
                <c:pt idx="160">
                  <c:v>1.1107996844313471E-3</c:v>
                </c:pt>
                <c:pt idx="161">
                  <c:v>1.1212262191015159E-3</c:v>
                </c:pt>
                <c:pt idx="162">
                  <c:v>1.1181302872542171E-3</c:v>
                </c:pt>
                <c:pt idx="163">
                  <c:v>1.1110661697240969E-3</c:v>
                </c:pt>
                <c:pt idx="164">
                  <c:v>1.1044048290475307E-3</c:v>
                </c:pt>
                <c:pt idx="165">
                  <c:v>1.0978962845998388E-3</c:v>
                </c:pt>
                <c:pt idx="166">
                  <c:v>1.0914664303581366E-3</c:v>
                </c:pt>
                <c:pt idx="167">
                  <c:v>1.0850859951860034E-3</c:v>
                </c:pt>
                <c:pt idx="168">
                  <c:v>1.0787423827190951E-3</c:v>
                </c:pt>
                <c:pt idx="169">
                  <c:v>1.0724303872738168E-3</c:v>
                </c:pt>
                <c:pt idx="170">
                  <c:v>1.0661484057507011E-3</c:v>
                </c:pt>
                <c:pt idx="171">
                  <c:v>1.0598966759634257E-3</c:v>
                </c:pt>
                <c:pt idx="172">
                  <c:v>1.0536763821997505E-3</c:v>
                </c:pt>
                <c:pt idx="173">
                  <c:v>1.0474891748180539E-3</c:v>
                </c:pt>
                <c:pt idx="174">
                  <c:v>1.0413369005501227E-3</c:v>
                </c:pt>
                <c:pt idx="175">
                  <c:v>1.0352214482654816E-3</c:v>
                </c:pt>
                <c:pt idx="176">
                  <c:v>1.0291446603124502E-3</c:v>
                </c:pt>
                <c:pt idx="177">
                  <c:v>1.0231082811018462E-3</c:v>
                </c:pt>
                <c:pt idx="178">
                  <c:v>1.0171139301269662E-3</c:v>
                </c:pt>
                <c:pt idx="179">
                  <c:v>1.0111630892999182E-3</c:v>
                </c:pt>
                <c:pt idx="180">
                  <c:v>1.0052570968894245E-3</c:v>
                </c:pt>
                <c:pt idx="181">
                  <c:v>9.993971496678241E-4</c:v>
                </c:pt>
                <c:pt idx="182">
                  <c:v>9.935843063770748E-4</c:v>
                </c:pt>
                <c:pt idx="183">
                  <c:v>9.8781949433911459E-4</c:v>
                </c:pt>
                <c:pt idx="184">
                  <c:v>9.8210351554325719E-4</c:v>
                </c:pt>
                <c:pt idx="185">
                  <c:v>9.7643705569549078E-4</c:v>
                </c:pt>
                <c:pt idx="186">
                  <c:v>9.7082069125939289E-4</c:v>
                </c:pt>
                <c:pt idx="187">
                  <c:v>9.6525489731487737E-4</c:v>
                </c:pt>
                <c:pt idx="188">
                  <c:v>9.59740055149094E-4</c:v>
                </c:pt>
                <c:pt idx="189">
                  <c:v>9.5427645964423489E-4</c:v>
                </c:pt>
                <c:pt idx="190">
                  <c:v>9.4886432599098518E-4</c:v>
                </c:pt>
                <c:pt idx="191">
                  <c:v>9.4350379605689667E-4</c:v>
                </c:pt>
                <c:pt idx="192">
                  <c:v>9.3819494480345189E-4</c:v>
                </c:pt>
                <c:pt idx="193">
                  <c:v>9.3293778559549458E-4</c:v>
                </c:pt>
                <c:pt idx="194">
                  <c:v>9.2773227561542687E-4</c:v>
                </c:pt>
                <c:pt idx="195">
                  <c:v>9.2257832120492124E-4</c:v>
                </c:pt>
                <c:pt idx="196">
                  <c:v>9.174757815547189E-4</c:v>
                </c:pt>
                <c:pt idx="197">
                  <c:v>9.1242447358531919E-4</c:v>
                </c:pt>
                <c:pt idx="198">
                  <c:v>9.074241759749244E-4</c:v>
                </c:pt>
                <c:pt idx="199">
                  <c:v>9.0247463231909E-4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Sweep!$D$18:$D$217</c:f>
              <c:numCache>
                <c:formatCode>General</c:formatCode>
                <c:ptCount val="200"/>
                <c:pt idx="0">
                  <c:v>0</c:v>
                </c:pt>
                <c:pt idx="1">
                  <c:v>2.953270718878054E-4</c:v>
                </c:pt>
                <c:pt idx="2">
                  <c:v>2.9533103152427161E-4</c:v>
                </c:pt>
                <c:pt idx="3">
                  <c:v>2.9534708390812291E-4</c:v>
                </c:pt>
                <c:pt idx="4">
                  <c:v>2.9538891002967547E-4</c:v>
                </c:pt>
                <c:pt idx="5">
                  <c:v>2.9547449572242681E-4</c:v>
                </c:pt>
                <c:pt idx="6">
                  <c:v>2.9562261521602401E-4</c:v>
                </c:pt>
                <c:pt idx="7">
                  <c:v>2.9584777220724451E-4</c:v>
                </c:pt>
                <c:pt idx="8">
                  <c:v>2.9615720179783958E-4</c:v>
                </c:pt>
                <c:pt idx="9">
                  <c:v>2.9655108066064227E-4</c:v>
                </c:pt>
                <c:pt idx="10">
                  <c:v>2.9702454918296403E-4</c:v>
                </c:pt>
                <c:pt idx="11">
                  <c:v>2.9756999209379424E-4</c:v>
                </c:pt>
                <c:pt idx="12">
                  <c:v>2.9817881396735306E-4</c:v>
                </c:pt>
                <c:pt idx="13">
                  <c:v>2.988425641551163E-4</c:v>
                </c:pt>
                <c:pt idx="14">
                  <c:v>2.9955353314894701E-4</c:v>
                </c:pt>
                <c:pt idx="15">
                  <c:v>3.0030499636379799E-4</c:v>
                </c:pt>
                <c:pt idx="16">
                  <c:v>3.0109125179085273E-4</c:v>
                </c:pt>
                <c:pt idx="17">
                  <c:v>3.019075515748893E-4</c:v>
                </c:pt>
                <c:pt idx="18">
                  <c:v>3.0274998846916199E-4</c:v>
                </c:pt>
                <c:pt idx="19">
                  <c:v>3.0361537110728631E-4</c:v>
                </c:pt>
                <c:pt idx="20">
                  <c:v>3.0450110522053226E-4</c:v>
                </c:pt>
                <c:pt idx="21">
                  <c:v>3.0540508822040529E-4</c:v>
                </c:pt>
                <c:pt idx="22">
                  <c:v>3.0632561931150917E-4</c:v>
                </c:pt>
                <c:pt idx="23">
                  <c:v>3.0726132467373286E-4</c:v>
                </c:pt>
                <c:pt idx="24">
                  <c:v>3.0821109613590205E-4</c:v>
                </c:pt>
                <c:pt idx="25">
                  <c:v>3.0917404134294079E-4</c:v>
                </c:pt>
                <c:pt idx="26">
                  <c:v>3.1014944351376013E-4</c:v>
                </c:pt>
                <c:pt idx="27">
                  <c:v>3.1113672901135351E-4</c:v>
                </c:pt>
                <c:pt idx="28">
                  <c:v>3.1213544125393265E-4</c:v>
                </c:pt>
                <c:pt idx="29">
                  <c:v>3.1314521971455766E-4</c:v>
                </c:pt>
                <c:pt idx="30">
                  <c:v>3.1416578300742386E-4</c:v>
                </c:pt>
                <c:pt idx="31">
                  <c:v>3.1519691522658496E-4</c:v>
                </c:pt>
                <c:pt idx="32">
                  <c:v>3.1623845490560054E-4</c:v>
                </c:pt>
                <c:pt idx="33">
                  <c:v>3.17290286066721E-4</c:v>
                </c:pt>
                <c:pt idx="34">
                  <c:v>3.1835233093397119E-4</c:v>
                </c:pt>
                <c:pt idx="35">
                  <c:v>3.1942454401792035E-4</c:v>
                </c:pt>
                <c:pt idx="36">
                  <c:v>3.205069072464999E-4</c:v>
                </c:pt>
                <c:pt idx="37">
                  <c:v>3.2159942601336005E-4</c:v>
                </c:pt>
                <c:pt idx="38">
                  <c:v>3.2270212590720796E-4</c:v>
                </c:pt>
                <c:pt idx="39">
                  <c:v>3.2381505002390329E-4</c:v>
                </c:pt>
                <c:pt idx="40">
                  <c:v>3.2493825675404081E-4</c:v>
                </c:pt>
                <c:pt idx="41">
                  <c:v>3.2607181795926612E-4</c:v>
                </c:pt>
                <c:pt idx="42">
                  <c:v>3.2721581744598536E-4</c:v>
                </c:pt>
                <c:pt idx="43">
                  <c:v>3.283703497200727E-4</c:v>
                </c:pt>
                <c:pt idx="44">
                  <c:v>3.2953551893789487E-4</c:v>
                </c:pt>
                <c:pt idx="45">
                  <c:v>3.307114380513237E-4</c:v>
                </c:pt>
                <c:pt idx="46">
                  <c:v>3.318982280911695E-4</c:v>
                </c:pt>
                <c:pt idx="47">
                  <c:v>3.3309601758667399E-4</c:v>
                </c:pt>
                <c:pt idx="48">
                  <c:v>3.34304942062189E-4</c:v>
                </c:pt>
                <c:pt idx="49">
                  <c:v>3.3552514365850229E-4</c:v>
                </c:pt>
                <c:pt idx="50">
                  <c:v>3.3675677080577203E-4</c:v>
                </c:pt>
                <c:pt idx="51">
                  <c:v>3.3799997795831753E-4</c:v>
                </c:pt>
                <c:pt idx="52">
                  <c:v>3.3925492538327726E-4</c:v>
                </c:pt>
                <c:pt idx="53">
                  <c:v>3.4052177902221353E-4</c:v>
                </c:pt>
                <c:pt idx="54">
                  <c:v>3.4180071034759163E-4</c:v>
                </c:pt>
                <c:pt idx="55">
                  <c:v>3.4309189630741952E-4</c:v>
                </c:pt>
                <c:pt idx="56">
                  <c:v>3.44395519216253E-4</c:v>
                </c:pt>
                <c:pt idx="57">
                  <c:v>3.4571176679000661E-4</c:v>
                </c:pt>
                <c:pt idx="58">
                  <c:v>3.4704083210651505E-4</c:v>
                </c:pt>
                <c:pt idx="59">
                  <c:v>3.4838291361722576E-4</c:v>
                </c:pt>
                <c:pt idx="60">
                  <c:v>3.497382152002812E-4</c:v>
                </c:pt>
                <c:pt idx="61">
                  <c:v>3.5110694620576392E-4</c:v>
                </c:pt>
                <c:pt idx="62">
                  <c:v>3.52489321501386E-4</c:v>
                </c:pt>
                <c:pt idx="63">
                  <c:v>3.5388556159464071E-4</c:v>
                </c:pt>
                <c:pt idx="64">
                  <c:v>3.5529589269474169E-4</c:v>
                </c:pt>
                <c:pt idx="65">
                  <c:v>3.5672054682436995E-4</c:v>
                </c:pt>
                <c:pt idx="66">
                  <c:v>3.581597619590173E-4</c:v>
                </c:pt>
                <c:pt idx="67">
                  <c:v>3.5961378212418383E-4</c:v>
                </c:pt>
                <c:pt idx="68">
                  <c:v>3.6108285757190724E-4</c:v>
                </c:pt>
                <c:pt idx="69">
                  <c:v>3.6256724490561423E-4</c:v>
                </c:pt>
                <c:pt idx="70">
                  <c:v>3.6406720725641622E-4</c:v>
                </c:pt>
                <c:pt idx="71">
                  <c:v>3.6558301443944844E-4</c:v>
                </c:pt>
                <c:pt idx="72">
                  <c:v>3.6711494317218145E-4</c:v>
                </c:pt>
                <c:pt idx="73">
                  <c:v>3.6866327723075211E-4</c:v>
                </c:pt>
                <c:pt idx="74">
                  <c:v>3.7022830766435629E-4</c:v>
                </c:pt>
                <c:pt idx="75">
                  <c:v>3.7181033301795043E-4</c:v>
                </c:pt>
                <c:pt idx="76">
                  <c:v>3.7340965955848932E-4</c:v>
                </c:pt>
                <c:pt idx="77">
                  <c:v>3.7502660148325701E-4</c:v>
                </c:pt>
                <c:pt idx="78">
                  <c:v>3.766614812231415E-4</c:v>
                </c:pt>
                <c:pt idx="79">
                  <c:v>3.7831462962854834E-4</c:v>
                </c:pt>
                <c:pt idx="80">
                  <c:v>3.7998638631028299E-4</c:v>
                </c:pt>
                <c:pt idx="81">
                  <c:v>3.8167709987655784E-4</c:v>
                </c:pt>
                <c:pt idx="82">
                  <c:v>3.8338712823807647E-4</c:v>
                </c:pt>
                <c:pt idx="83">
                  <c:v>3.8511683893220541E-4</c:v>
                </c:pt>
                <c:pt idx="84">
                  <c:v>3.8686660944069261E-4</c:v>
                </c:pt>
                <c:pt idx="85">
                  <c:v>3.8863682751329127E-4</c:v>
                </c:pt>
                <c:pt idx="86">
                  <c:v>3.9042789154756802E-4</c:v>
                </c:pt>
                <c:pt idx="87">
                  <c:v>3.9224021091912936E-4</c:v>
                </c:pt>
                <c:pt idx="88">
                  <c:v>3.940742064150321E-4</c:v>
                </c:pt>
                <c:pt idx="89">
                  <c:v>3.9593031059618897E-4</c:v>
                </c:pt>
                <c:pt idx="90">
                  <c:v>3.9780896824123977E-4</c:v>
                </c:pt>
                <c:pt idx="91">
                  <c:v>3.9971063677241079E-4</c:v>
                </c:pt>
                <c:pt idx="92">
                  <c:v>4.016357867323311E-4</c:v>
                </c:pt>
                <c:pt idx="93">
                  <c:v>4.0358490225190005E-4</c:v>
                </c:pt>
                <c:pt idx="94">
                  <c:v>4.0555848155137244E-4</c:v>
                </c:pt>
                <c:pt idx="95">
                  <c:v>4.0755703747761196E-4</c:v>
                </c:pt>
                <c:pt idx="96">
                  <c:v>4.0958109806262541E-4</c:v>
                </c:pt>
                <c:pt idx="97">
                  <c:v>4.1163120708441161E-4</c:v>
                </c:pt>
                <c:pt idx="98">
                  <c:v>4.1370792466590296E-4</c:v>
                </c:pt>
                <c:pt idx="99">
                  <c:v>4.1581182793071485E-4</c:v>
                </c:pt>
                <c:pt idx="100">
                  <c:v>4.1794351165093608E-4</c:v>
                </c:pt>
                <c:pt idx="101">
                  <c:v>4.2010358895472246E-4</c:v>
                </c:pt>
                <c:pt idx="102">
                  <c:v>4.2229269203550578E-4</c:v>
                </c:pt>
                <c:pt idx="103">
                  <c:v>4.245114729469928E-4</c:v>
                </c:pt>
                <c:pt idx="104">
                  <c:v>4.267606043839449E-4</c:v>
                </c:pt>
                <c:pt idx="105">
                  <c:v>4.2904078052334555E-4</c:v>
                </c:pt>
                <c:pt idx="106">
                  <c:v>4.3135271792932431E-4</c:v>
                </c:pt>
                <c:pt idx="107">
                  <c:v>4.3369715646420523E-4</c:v>
                </c:pt>
                <c:pt idx="108">
                  <c:v>4.3607486028583703E-4</c:v>
                </c:pt>
                <c:pt idx="109">
                  <c:v>4.3848661884800998E-4</c:v>
                </c:pt>
                <c:pt idx="110">
                  <c:v>4.4093324801664624E-4</c:v>
                </c:pt>
                <c:pt idx="111">
                  <c:v>4.4341559119785376E-4</c:v>
                </c:pt>
                <c:pt idx="112">
                  <c:v>4.4593452049194662E-4</c:v>
                </c:pt>
                <c:pt idx="113">
                  <c:v>4.4849093802251156E-4</c:v>
                </c:pt>
                <c:pt idx="114">
                  <c:v>4.5108577724562723E-4</c:v>
                </c:pt>
                <c:pt idx="115">
                  <c:v>4.5372000432545141E-4</c:v>
                </c:pt>
                <c:pt idx="116">
                  <c:v>4.5639461962987225E-4</c:v>
                </c:pt>
                <c:pt idx="117">
                  <c:v>4.5911065930936409E-4</c:v>
                </c:pt>
                <c:pt idx="118">
                  <c:v>4.6186919691679321E-4</c:v>
                </c:pt>
                <c:pt idx="119">
                  <c:v>4.64671345178271E-4</c:v>
                </c:pt>
                <c:pt idx="120">
                  <c:v>4.6751825779365463E-4</c:v>
                </c:pt>
                <c:pt idx="121">
                  <c:v>4.7041113140403458E-4</c:v>
                </c:pt>
                <c:pt idx="122">
                  <c:v>4.7335120767330667E-4</c:v>
                </c:pt>
                <c:pt idx="123">
                  <c:v>4.7633977539470932E-4</c:v>
                </c:pt>
                <c:pt idx="124">
                  <c:v>4.7937817288763035E-4</c:v>
                </c:pt>
                <c:pt idx="125">
                  <c:v>4.8246779034259219E-4</c:v>
                </c:pt>
                <c:pt idx="126">
                  <c:v>4.8561007250042773E-4</c:v>
                </c:pt>
                <c:pt idx="127">
                  <c:v>4.8880652130149855E-4</c:v>
                </c:pt>
                <c:pt idx="128">
                  <c:v>4.9205869890940797E-4</c:v>
                </c:pt>
                <c:pt idx="129">
                  <c:v>4.9536823068446734E-4</c:v>
                </c:pt>
                <c:pt idx="130">
                  <c:v>4.9873680855898783E-4</c:v>
                </c:pt>
                <c:pt idx="131">
                  <c:v>5.0216619447479994E-4</c:v>
                </c:pt>
                <c:pt idx="132">
                  <c:v>5.0565822408943958E-4</c:v>
                </c:pt>
                <c:pt idx="133">
                  <c:v>5.0921481077047497E-4</c:v>
                </c:pt>
                <c:pt idx="134">
                  <c:v>5.1283794970212058E-4</c:v>
                </c:pt>
                <c:pt idx="135">
                  <c:v>5.1652972247656658E-4</c:v>
                </c:pt>
                <c:pt idx="136">
                  <c:v>5.202923017267239E-4</c:v>
                </c:pt>
                <c:pt idx="137">
                  <c:v>5.2412795629370589E-4</c:v>
                </c:pt>
                <c:pt idx="138">
                  <c:v>5.2803905658527488E-4</c:v>
                </c:pt>
                <c:pt idx="139">
                  <c:v>5.3202808038428455E-4</c:v>
                </c:pt>
                <c:pt idx="140">
                  <c:v>5.3609761890516434E-4</c:v>
                </c:pt>
                <c:pt idx="141">
                  <c:v>5.4025038353389717E-4</c:v>
                </c:pt>
                <c:pt idx="142">
                  <c:v>5.4448921265468552E-4</c:v>
                </c:pt>
                <c:pt idx="143">
                  <c:v>5.4881707924974289E-4</c:v>
                </c:pt>
                <c:pt idx="144">
                  <c:v>5.532370987864592E-4</c:v>
                </c:pt>
                <c:pt idx="145">
                  <c:v>5.5775253787734684E-4</c:v>
                </c:pt>
                <c:pt idx="146">
                  <c:v>5.6236682324506285E-4</c:v>
                </c:pt>
                <c:pt idx="147">
                  <c:v>5.6708355148408194E-4</c:v>
                </c:pt>
                <c:pt idx="148">
                  <c:v>5.7190649935165644E-4</c:v>
                </c:pt>
                <c:pt idx="149">
                  <c:v>5.7683963474698685E-4</c:v>
                </c:pt>
                <c:pt idx="150">
                  <c:v>5.8188712832299991E-4</c:v>
                </c:pt>
                <c:pt idx="151">
                  <c:v>5.8705336584877232E-4</c:v>
                </c:pt>
                <c:pt idx="152">
                  <c:v>5.9234296108138314E-4</c:v>
                </c:pt>
                <c:pt idx="153">
                  <c:v>5.9776076918369105E-4</c:v>
                </c:pt>
                <c:pt idx="154">
                  <c:v>6.0331190066827026E-4</c:v>
                </c:pt>
                <c:pt idx="155">
                  <c:v>6.0900173532666844E-4</c:v>
                </c:pt>
                <c:pt idx="156">
                  <c:v>6.1483593550396888E-4</c:v>
                </c:pt>
                <c:pt idx="157">
                  <c:v>6.2082045786886501E-4</c:v>
                </c:pt>
                <c:pt idx="158">
                  <c:v>6.2696156101186044E-4</c:v>
                </c:pt>
                <c:pt idx="159">
                  <c:v>6.332658025453025E-4</c:v>
                </c:pt>
                <c:pt idx="160">
                  <c:v>6.3974000718873135E-4</c:v>
                </c:pt>
                <c:pt idx="161">
                  <c:v>6.4639110545055428E-4</c:v>
                </c:pt>
                <c:pt idx="162">
                  <c:v>6.444413585671219E-4</c:v>
                </c:pt>
                <c:pt idx="163">
                  <c:v>6.399677114117422E-4</c:v>
                </c:pt>
                <c:pt idx="164">
                  <c:v>6.3575079131757682E-4</c:v>
                </c:pt>
                <c:pt idx="165">
                  <c:v>6.3163154566721574E-4</c:v>
                </c:pt>
                <c:pt idx="166">
                  <c:v>6.2756281711285797E-4</c:v>
                </c:pt>
                <c:pt idx="167">
                  <c:v>6.2352597315716845E-4</c:v>
                </c:pt>
                <c:pt idx="168">
                  <c:v>6.1951298999312417E-4</c:v>
                </c:pt>
                <c:pt idx="169">
                  <c:v>6.1552054595588037E-4</c:v>
                </c:pt>
                <c:pt idx="170">
                  <c:v>6.1154761130058474E-4</c:v>
                </c:pt>
                <c:pt idx="171">
                  <c:v>6.0759432734090681E-4</c:v>
                </c:pt>
                <c:pt idx="172">
                  <c:v>6.0366143773277561E-4</c:v>
                </c:pt>
                <c:pt idx="173">
                  <c:v>5.9974998255029385E-4</c:v>
                </c:pt>
                <c:pt idx="174">
                  <c:v>5.958611268606427E-4</c:v>
                </c:pt>
                <c:pt idx="175">
                  <c:v>5.9199606257299064E-4</c:v>
                </c:pt>
                <c:pt idx="176">
                  <c:v>5.8815595190488763E-4</c:v>
                </c:pt>
                <c:pt idx="177">
                  <c:v>5.843418950559554E-4</c:v>
                </c:pt>
                <c:pt idx="178">
                  <c:v>5.8055491283415717E-4</c:v>
                </c:pt>
                <c:pt idx="179">
                  <c:v>5.7679593831696564E-4</c:v>
                </c:pt>
                <c:pt idx="180">
                  <c:v>5.7306581367605556E-4</c:v>
                </c:pt>
                <c:pt idx="181">
                  <c:v>5.6936529096175074E-4</c:v>
                </c:pt>
                <c:pt idx="182">
                  <c:v>5.6569503461490758E-4</c:v>
                </c:pt>
                <c:pt idx="183">
                  <c:v>5.6205562544162958E-4</c:v>
                </c:pt>
                <c:pt idx="184">
                  <c:v>5.5844756497800459E-4</c:v>
                </c:pt>
                <c:pt idx="185">
                  <c:v>5.548712806395194E-4</c:v>
                </c:pt>
                <c:pt idx="186">
                  <c:v>5.5132713056737701E-4</c:v>
                </c:pt>
                <c:pt idx="187">
                  <c:v>5.4781540859183961E-4</c:v>
                </c:pt>
                <c:pt idx="188">
                  <c:v>5.4433634904415195E-4</c:v>
                </c:pt>
                <c:pt idx="189">
                  <c:v>5.4089013138847479E-4</c:v>
                </c:pt>
                <c:pt idx="190">
                  <c:v>5.3747688456347721E-4</c:v>
                </c:pt>
                <c:pt idx="191">
                  <c:v>5.3409669108318532E-4</c:v>
                </c:pt>
                <c:pt idx="192">
                  <c:v>5.3074959096588003E-4</c:v>
                </c:pt>
                <c:pt idx="193">
                  <c:v>5.274355852791044E-4</c:v>
                </c:pt>
                <c:pt idx="194">
                  <c:v>5.2415463952938917E-4</c:v>
                </c:pt>
                <c:pt idx="195">
                  <c:v>5.2090668687045463E-4</c:v>
                </c:pt>
                <c:pt idx="196">
                  <c:v>5.1769163084773161E-4</c:v>
                </c:pt>
                <c:pt idx="197">
                  <c:v>5.1450934821090652E-4</c:v>
                </c:pt>
                <c:pt idx="198">
                  <c:v>5.1135969142727239E-4</c:v>
                </c:pt>
                <c:pt idx="199">
                  <c:v>5.0824249090270597E-4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Sweep!$E$18:$E$217</c:f>
              <c:numCache>
                <c:formatCode>General</c:formatCode>
                <c:ptCount val="200"/>
                <c:pt idx="0">
                  <c:v>0</c:v>
                </c:pt>
                <c:pt idx="1">
                  <c:v>2.9532681317524947E-4</c:v>
                </c:pt>
                <c:pt idx="2">
                  <c:v>2.953275950754252E-4</c:v>
                </c:pt>
                <c:pt idx="3">
                  <c:v>2.953307648723889E-4</c:v>
                </c:pt>
                <c:pt idx="4">
                  <c:v>2.9533903296727077E-4</c:v>
                </c:pt>
                <c:pt idx="5">
                  <c:v>2.9535608246594031E-4</c:v>
                </c:pt>
                <c:pt idx="6">
                  <c:v>2.9538622727839106E-4</c:v>
                </c:pt>
                <c:pt idx="7">
                  <c:v>2.9543372814792412E-4</c:v>
                </c:pt>
                <c:pt idx="8">
                  <c:v>2.9550209642447659E-4</c:v>
                </c:pt>
                <c:pt idx="9">
                  <c:v>2.9559371149843452E-4</c:v>
                </c:pt>
                <c:pt idx="10">
                  <c:v>2.9570978820429422E-4</c:v>
                </c:pt>
                <c:pt idx="11">
                  <c:v>2.958505600152422E-4</c:v>
                </c:pt>
                <c:pt idx="12">
                  <c:v>2.9601553759696467E-4</c:v>
                </c:pt>
                <c:pt idx="13">
                  <c:v>2.9620375654268953E-4</c:v>
                </c:pt>
                <c:pt idx="14">
                  <c:v>2.9641397805218702E-4</c:v>
                </c:pt>
                <c:pt idx="15">
                  <c:v>2.9664483598015998E-4</c:v>
                </c:pt>
                <c:pt idx="16">
                  <c:v>2.9689493695143801E-4</c:v>
                </c:pt>
                <c:pt idx="17">
                  <c:v>2.9716292413123921E-4</c:v>
                </c:pt>
                <c:pt idx="18">
                  <c:v>2.9744751482374462E-4</c:v>
                </c:pt>
                <c:pt idx="19">
                  <c:v>2.9774752017322113E-4</c:v>
                </c:pt>
                <c:pt idx="20">
                  <c:v>2.9806185312337199E-4</c:v>
                </c:pt>
                <c:pt idx="21">
                  <c:v>2.9838952901087279E-4</c:v>
                </c:pt>
                <c:pt idx="22">
                  <c:v>2.9872966176511484E-4</c:v>
                </c:pt>
                <c:pt idx="23">
                  <c:v>2.9908145769053513E-4</c:v>
                </c:pt>
                <c:pt idx="24">
                  <c:v>2.9944420810426266E-4</c:v>
                </c:pt>
                <c:pt idx="25">
                  <c:v>2.9981728162578022E-4</c:v>
                </c:pt>
                <c:pt idx="26">
                  <c:v>3.0020011659811683E-4</c:v>
                </c:pt>
                <c:pt idx="27">
                  <c:v>3.0059221391283913E-4</c:v>
                </c:pt>
                <c:pt idx="28">
                  <c:v>3.0099313037823837E-4</c:v>
                </c:pt>
                <c:pt idx="29">
                  <c:v>3.0140247268681985E-4</c:v>
                </c:pt>
                <c:pt idx="30">
                  <c:v>3.0181989198759321E-4</c:v>
                </c:pt>
                <c:pt idx="31">
                  <c:v>3.0224507903925282E-4</c:v>
                </c:pt>
                <c:pt idx="32">
                  <c:v>3.0267775990453611E-4</c:v>
                </c:pt>
                <c:pt idx="33">
                  <c:v>3.0311769213879706E-4</c:v>
                </c:pt>
                <c:pt idx="34">
                  <c:v>3.0356466142386011E-4</c:v>
                </c:pt>
                <c:pt idx="35">
                  <c:v>3.0401847859926138E-4</c:v>
                </c:pt>
                <c:pt idx="36">
                  <c:v>3.0447897704594812E-4</c:v>
                </c:pt>
                <c:pt idx="37">
                  <c:v>3.0494601038106461E-4</c:v>
                </c:pt>
                <c:pt idx="38">
                  <c:v>3.0541945042655469E-4</c:v>
                </c:pt>
                <c:pt idx="39">
                  <c:v>3.0589918541828505E-4</c:v>
                </c:pt>
                <c:pt idx="40">
                  <c:v>3.0638511842620992E-4</c:v>
                </c:pt>
                <c:pt idx="41">
                  <c:v>3.0687716595962429E-4</c:v>
                </c:pt>
                <c:pt idx="42">
                  <c:v>3.0737525673474255E-4</c:v>
                </c:pt>
                <c:pt idx="43">
                  <c:v>3.0787933058470029E-4</c:v>
                </c:pt>
                <c:pt idx="44">
                  <c:v>3.083893374946015E-4</c:v>
                </c:pt>
                <c:pt idx="45">
                  <c:v>3.0890523674645729E-4</c:v>
                </c:pt>
                <c:pt idx="46">
                  <c:v>3.0942699616081298E-4</c:v>
                </c:pt>
                <c:pt idx="47">
                  <c:v>3.0995459142355302E-4</c:v>
                </c:pt>
                <c:pt idx="48">
                  <c:v>3.1048800548785137E-4</c:v>
                </c:pt>
                <c:pt idx="49">
                  <c:v>3.1102722804252899E-4</c:v>
                </c:pt>
                <c:pt idx="50">
                  <c:v>3.1157225503917411E-4</c:v>
                </c:pt>
                <c:pt idx="51">
                  <c:v>3.121230882714516E-4</c:v>
                </c:pt>
                <c:pt idx="52">
                  <c:v>3.1267973500031105E-4</c:v>
                </c:pt>
                <c:pt idx="53">
                  <c:v>3.1324220762111792E-4</c:v>
                </c:pt>
                <c:pt idx="54">
                  <c:v>3.1381052336675611E-4</c:v>
                </c:pt>
                <c:pt idx="55">
                  <c:v>3.1438470404399554E-4</c:v>
                </c:pt>
                <c:pt idx="56">
                  <c:v>3.1496477579900472E-4</c:v>
                </c:pt>
                <c:pt idx="57">
                  <c:v>3.1555076890945266E-4</c:v>
                </c:pt>
                <c:pt idx="58">
                  <c:v>3.1614271759989573E-4</c:v>
                </c:pt>
                <c:pt idx="59">
                  <c:v>3.1674065987903166E-4</c:v>
                </c:pt>
                <c:pt idx="60">
                  <c:v>3.173446373959662E-4</c:v>
                </c:pt>
                <c:pt idx="61">
                  <c:v>3.1795469531404528E-4</c:v>
                </c:pt>
                <c:pt idx="62">
                  <c:v>3.1857088220057969E-4</c:v>
                </c:pt>
                <c:pt idx="63">
                  <c:v>3.1919324993104527E-4</c:v>
                </c:pt>
                <c:pt idx="64">
                  <c:v>3.1982185360651991E-4</c:v>
                </c:pt>
                <c:pt idx="65">
                  <c:v>3.204567514832368E-4</c:v>
                </c:pt>
                <c:pt idx="66">
                  <c:v>3.2109800491329934E-4</c:v>
                </c:pt>
                <c:pt idx="67">
                  <c:v>3.2174567829567296E-4</c:v>
                </c:pt>
                <c:pt idx="68">
                  <c:v>3.2239983903671095E-4</c:v>
                </c:pt>
                <c:pt idx="69">
                  <c:v>3.2306055751953234E-4</c:v>
                </c:pt>
                <c:pt idx="70">
                  <c:v>3.2372790708166233E-4</c:v>
                </c:pt>
                <c:pt idx="71">
                  <c:v>3.2440196400041659E-4</c:v>
                </c:pt>
                <c:pt idx="72">
                  <c:v>3.2508280748556623E-4</c:v>
                </c:pt>
                <c:pt idx="73">
                  <c:v>3.2577051967889E-4</c:v>
                </c:pt>
                <c:pt idx="74">
                  <c:v>3.2646518566026289E-4</c:v>
                </c:pt>
                <c:pt idx="75">
                  <c:v>3.27166893459977E-4</c:v>
                </c:pt>
                <c:pt idx="76">
                  <c:v>3.2787573407703558E-4</c:v>
                </c:pt>
                <c:pt idx="77">
                  <c:v>3.2859180150320212E-4</c:v>
                </c:pt>
                <c:pt idx="78">
                  <c:v>3.2931519275261113E-4</c:v>
                </c:pt>
                <c:pt idx="79">
                  <c:v>3.3004600789679608E-4</c:v>
                </c:pt>
                <c:pt idx="80">
                  <c:v>3.3078435010499912E-4</c:v>
                </c:pt>
                <c:pt idx="81">
                  <c:v>3.3153032568967398E-4</c:v>
                </c:pt>
                <c:pt idx="82">
                  <c:v>3.3228404415710291E-4</c:v>
                </c:pt>
                <c:pt idx="83">
                  <c:v>3.3304561826308837E-4</c:v>
                </c:pt>
                <c:pt idx="84">
                  <c:v>3.3381516407368536E-4</c:v>
                </c:pt>
                <c:pt idx="85">
                  <c:v>3.3459280103097781E-4</c:v>
                </c:pt>
                <c:pt idx="86">
                  <c:v>3.3537865202390915E-4</c:v>
                </c:pt>
                <c:pt idx="87">
                  <c:v>3.3617284346421132E-4</c:v>
                </c:pt>
                <c:pt idx="88">
                  <c:v>3.369755053674773E-4</c:v>
                </c:pt>
                <c:pt idx="89">
                  <c:v>3.3778677143945504E-4</c:v>
                </c:pt>
                <c:pt idx="90">
                  <c:v>3.3860677916702189E-4</c:v>
                </c:pt>
                <c:pt idx="91">
                  <c:v>3.3943566991638925E-4</c:v>
                </c:pt>
                <c:pt idx="92">
                  <c:v>3.4027358903741703E-4</c:v>
                </c:pt>
                <c:pt idx="93">
                  <c:v>3.4112068596600485E-4</c:v>
                </c:pt>
                <c:pt idx="94">
                  <c:v>3.4197711434326281E-4</c:v>
                </c:pt>
                <c:pt idx="95">
                  <c:v>3.4284303213423533E-4</c:v>
                </c:pt>
                <c:pt idx="96">
                  <c:v>3.437186017542961E-4</c:v>
                </c:pt>
                <c:pt idx="97">
                  <c:v>3.4460399020198895E-4</c:v>
                </c:pt>
                <c:pt idx="98">
                  <c:v>3.4549936919855083E-4</c:v>
                </c:pt>
                <c:pt idx="99">
                  <c:v>3.4640491533437988E-4</c:v>
                </c:pt>
                <c:pt idx="100">
                  <c:v>3.4732081022271068E-4</c:v>
                </c:pt>
                <c:pt idx="101">
                  <c:v>3.4824724066080345E-4</c:v>
                </c:pt>
                <c:pt idx="102">
                  <c:v>3.4918439879895712E-4</c:v>
                </c:pt>
                <c:pt idx="103">
                  <c:v>3.5013248231769616E-4</c:v>
                </c:pt>
                <c:pt idx="104">
                  <c:v>3.5109169461348478E-4</c:v>
                </c:pt>
                <c:pt idx="105">
                  <c:v>3.5206224499336657E-4</c:v>
                </c:pt>
                <c:pt idx="106">
                  <c:v>3.5304434887894185E-4</c:v>
                </c:pt>
                <c:pt idx="107">
                  <c:v>3.540382280201223E-4</c:v>
                </c:pt>
                <c:pt idx="108">
                  <c:v>3.5504411071914305E-4</c:v>
                </c:pt>
                <c:pt idx="109">
                  <c:v>3.5606223206532901E-4</c:v>
                </c:pt>
                <c:pt idx="110">
                  <c:v>3.5709283418115161E-4</c:v>
                </c:pt>
                <c:pt idx="111">
                  <c:v>3.5813616648014353E-4</c:v>
                </c:pt>
                <c:pt idx="112">
                  <c:v>3.5919248593728573E-4</c:v>
                </c:pt>
                <c:pt idx="113">
                  <c:v>3.6026205737249589E-4</c:v>
                </c:pt>
                <c:pt idx="114">
                  <c:v>3.6134515374790997E-4</c:v>
                </c:pt>
                <c:pt idx="115">
                  <c:v>3.6244205647968793E-4</c:v>
                </c:pt>
                <c:pt idx="116">
                  <c:v>3.635530557651061E-4</c:v>
                </c:pt>
                <c:pt idx="117">
                  <c:v>3.6467845092575497E-4</c:v>
                </c:pt>
                <c:pt idx="118">
                  <c:v>3.6581855076772327E-4</c:v>
                </c:pt>
                <c:pt idx="119">
                  <c:v>3.6697367395967608E-4</c:v>
                </c:pt>
                <c:pt idx="120">
                  <c:v>3.681441494298153E-4</c:v>
                </c:pt>
                <c:pt idx="121">
                  <c:v>3.6933031678275868E-4</c:v>
                </c:pt>
                <c:pt idx="122">
                  <c:v>3.7053252673742789E-4</c:v>
                </c:pt>
                <c:pt idx="123">
                  <c:v>3.7175114158712383E-4</c:v>
                </c:pt>
                <c:pt idx="124">
                  <c:v>3.7298653568300957E-4</c:v>
                </c:pt>
                <c:pt idx="125">
                  <c:v>3.742390959423095E-4</c:v>
                </c:pt>
                <c:pt idx="126">
                  <c:v>3.7550922238259655E-4</c:v>
                </c:pt>
                <c:pt idx="127">
                  <c:v>3.7679732868362394E-4</c:v>
                </c:pt>
                <c:pt idx="128">
                  <c:v>3.7810384277822136E-4</c:v>
                </c:pt>
                <c:pt idx="129">
                  <c:v>3.7942920747387101E-4</c:v>
                </c:pt>
                <c:pt idx="130">
                  <c:v>3.8077388110664603E-4</c:v>
                </c:pt>
                <c:pt idx="131">
                  <c:v>3.8213833822926536E-4</c:v>
                </c:pt>
                <c:pt idx="132">
                  <c:v>3.8352307033510962E-4</c:v>
                </c:pt>
                <c:pt idx="133">
                  <c:v>3.8492858662010176E-4</c:v>
                </c:pt>
                <c:pt idx="134">
                  <c:v>3.8635541478440545E-4</c:v>
                </c:pt>
                <c:pt idx="135">
                  <c:v>3.8780410187595976E-4</c:v>
                </c:pt>
                <c:pt idx="136">
                  <c:v>3.8927521517788822E-4</c:v>
                </c:pt>
                <c:pt idx="137">
                  <c:v>3.9076934314181153E-4</c:v>
                </c:pt>
                <c:pt idx="138">
                  <c:v>3.922870963690821E-4</c:v>
                </c:pt>
                <c:pt idx="139">
                  <c:v>3.9382910864184324E-4</c:v>
                </c:pt>
                <c:pt idx="140">
                  <c:v>3.9539603800569696E-4</c:v>
                </c:pt>
                <c:pt idx="141">
                  <c:v>3.9698856790549084E-4</c:v>
                </c:pt>
                <c:pt idx="142">
                  <c:v>3.986074083459342E-4</c:v>
                </c:pt>
                <c:pt idx="143">
                  <c:v>4.0025329725476783E-4</c:v>
                </c:pt>
                <c:pt idx="144">
                  <c:v>4.019270016044877E-4</c:v>
                </c:pt>
                <c:pt idx="145">
                  <c:v>4.036293188845284E-4</c:v>
                </c:pt>
                <c:pt idx="146">
                  <c:v>4.0536107847510692E-4</c:v>
                </c:pt>
                <c:pt idx="147">
                  <c:v>4.0712314309648064E-4</c:v>
                </c:pt>
                <c:pt idx="148">
                  <c:v>4.0891641029550455E-4</c:v>
                </c:pt>
                <c:pt idx="149">
                  <c:v>4.1074181395667171E-4</c:v>
                </c:pt>
                <c:pt idx="150">
                  <c:v>4.1260032581817149E-4</c:v>
                </c:pt>
                <c:pt idx="151">
                  <c:v>4.1449295696348553E-4</c:v>
                </c:pt>
                <c:pt idx="152">
                  <c:v>4.1642075924384707E-4</c:v>
                </c:pt>
                <c:pt idx="153">
                  <c:v>4.1838482656271112E-4</c:v>
                </c:pt>
                <c:pt idx="154">
                  <c:v>4.2038629591359584E-4</c:v>
                </c:pt>
                <c:pt idx="155">
                  <c:v>4.2242634799342292E-4</c:v>
                </c:pt>
                <c:pt idx="156">
                  <c:v>4.2450620708446796E-4</c:v>
                </c:pt>
                <c:pt idx="157">
                  <c:v>4.2662713963525557E-4</c:v>
                </c:pt>
                <c:pt idx="158">
                  <c:v>4.2879045036650637E-4</c:v>
                </c:pt>
                <c:pt idx="159">
                  <c:v>4.3099747307695643E-4</c:v>
                </c:pt>
                <c:pt idx="160">
                  <c:v>4.332495473899846E-4</c:v>
                </c:pt>
                <c:pt idx="161">
                  <c:v>4.355479349106876E-4</c:v>
                </c:pt>
                <c:pt idx="162">
                  <c:v>4.3374902541964288E-4</c:v>
                </c:pt>
                <c:pt idx="163">
                  <c:v>4.3076442299816198E-4</c:v>
                </c:pt>
                <c:pt idx="164">
                  <c:v>4.279121515369951E-4</c:v>
                </c:pt>
                <c:pt idx="165">
                  <c:v>4.2511667714637501E-4</c:v>
                </c:pt>
                <c:pt idx="166">
                  <c:v>4.2235546153181013E-4</c:v>
                </c:pt>
                <c:pt idx="167">
                  <c:v>4.1961948384838994E-4</c:v>
                </c:pt>
                <c:pt idx="168">
                  <c:v>4.1690475349734189E-4</c:v>
                </c:pt>
                <c:pt idx="169">
                  <c:v>4.1420951159335402E-4</c:v>
                </c:pt>
                <c:pt idx="170">
                  <c:v>4.1153308892456016E-4</c:v>
                </c:pt>
                <c:pt idx="171">
                  <c:v>4.088753749171389E-4</c:v>
                </c:pt>
                <c:pt idx="172">
                  <c:v>4.0623654831960313E-4</c:v>
                </c:pt>
                <c:pt idx="173">
                  <c:v>4.036169322718702E-4</c:v>
                </c:pt>
                <c:pt idx="174">
                  <c:v>4.0101691316714587E-4</c:v>
                </c:pt>
                <c:pt idx="175">
                  <c:v>3.9843689416706711E-4</c:v>
                </c:pt>
                <c:pt idx="176">
                  <c:v>3.9587726838706338E-4</c:v>
                </c:pt>
                <c:pt idx="177">
                  <c:v>3.9333840362696846E-4</c:v>
                </c:pt>
                <c:pt idx="178">
                  <c:v>3.9082063404729286E-4</c:v>
                </c:pt>
                <c:pt idx="179">
                  <c:v>3.8832425609441082E-4</c:v>
                </c:pt>
                <c:pt idx="180">
                  <c:v>3.8584952704760371E-4</c:v>
                </c:pt>
                <c:pt idx="181">
                  <c:v>3.8339666518327531E-4</c:v>
                </c:pt>
                <c:pt idx="182">
                  <c:v>3.8096585092444016E-4</c:v>
                </c:pt>
                <c:pt idx="183">
                  <c:v>3.7855722857249401E-4</c:v>
                </c:pt>
                <c:pt idx="184">
                  <c:v>3.7617090836184229E-4</c:v>
                </c:pt>
                <c:pt idx="185">
                  <c:v>3.7380696866960234E-4</c:v>
                </c:pt>
                <c:pt idx="186">
                  <c:v>3.7146545827200077E-4</c:v>
                </c:pt>
                <c:pt idx="187">
                  <c:v>3.6914639857803298E-4</c:v>
                </c:pt>
                <c:pt idx="188">
                  <c:v>3.6684978579672065E-4</c:v>
                </c:pt>
                <c:pt idx="189">
                  <c:v>3.6457559301151707E-4</c:v>
                </c:pt>
                <c:pt idx="190">
                  <c:v>3.6232377214685563E-4</c:v>
                </c:pt>
                <c:pt idx="191">
                  <c:v>3.6009425581953091E-4</c:v>
                </c:pt>
                <c:pt idx="192">
                  <c:v>3.5788695907270002E-4</c:v>
                </c:pt>
                <c:pt idx="193">
                  <c:v>3.5570178099363938E-4</c:v>
                </c:pt>
                <c:pt idx="194">
                  <c:v>3.5353860621854485E-4</c:v>
                </c:pt>
                <c:pt idx="195">
                  <c:v>3.5139730632902436E-4</c:v>
                </c:pt>
                <c:pt idx="196">
                  <c:v>3.4927774114568735E-4</c:v>
                </c:pt>
                <c:pt idx="197">
                  <c:v>3.4717975992465004E-4</c:v>
                </c:pt>
                <c:pt idx="198">
                  <c:v>3.4510320246290807E-4</c:v>
                </c:pt>
                <c:pt idx="199">
                  <c:v>3.430479001184865E-4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Pressure]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Sweep!$B$17</c:f>
              <c:strCache>
                <c:ptCount val="1"/>
                <c:pt idx="0">
                  <c:v>p(T) [MPa]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Sweep!$A$18:$A$217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Sweep!$B$18:$B$217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1.8435807213083954E-249</c:v>
                </c:pt>
                <c:pt idx="6">
                  <c:v>6.6327243518992226E-205</c:v>
                </c:pt>
                <c:pt idx="7">
                  <c:v>5.5856495977750459E-173</c:v>
                </c:pt>
                <c:pt idx="8">
                  <c:v>5.2629527538908082E-149</c:v>
                </c:pt>
                <c:pt idx="9">
                  <c:v>2.3263585575192892E-130</c:v>
                </c:pt>
                <c:pt idx="10">
                  <c:v>1.8505363091005237E-115</c:v>
                </c:pt>
                <c:pt idx="11">
                  <c:v>2.7301935033913423E-103</c:v>
                </c:pt>
                <c:pt idx="12">
                  <c:v>3.5607707421086625E-93</c:v>
                </c:pt>
                <c:pt idx="13">
                  <c:v>1.2146206888366937E-84</c:v>
                </c:pt>
                <c:pt idx="14">
                  <c:v>2.3567953385782372E-77</c:v>
                </c:pt>
                <c:pt idx="15">
                  <c:v>4.6049951781501448E-71</c:v>
                </c:pt>
                <c:pt idx="16">
                  <c:v>1.3917792794489802E-65</c:v>
                </c:pt>
                <c:pt idx="17">
                  <c:v>9.0394294665303682E-61</c:v>
                </c:pt>
                <c:pt idx="18">
                  <c:v>1.6299420770743086E-56</c:v>
                </c:pt>
                <c:pt idx="19">
                  <c:v>9.9906400720680629E-53</c:v>
                </c:pt>
                <c:pt idx="20">
                  <c:v>2.448098308478274E-49</c:v>
                </c:pt>
                <c:pt idx="21">
                  <c:v>2.7349304397228741E-46</c:v>
                </c:pt>
                <c:pt idx="22">
                  <c:v>1.5512369901682654E-43</c:v>
                </c:pt>
                <c:pt idx="23">
                  <c:v>4.8826893939413668E-41</c:v>
                </c:pt>
                <c:pt idx="24">
                  <c:v>9.1855669015142465E-39</c:v>
                </c:pt>
                <c:pt idx="25">
                  <c:v>1.0992495032885399E-36</c:v>
                </c:pt>
                <c:pt idx="26">
                  <c:v>8.8217110523094814E-35</c:v>
                </c:pt>
                <c:pt idx="27">
                  <c:v>4.9660405692412144E-33</c:v>
                </c:pt>
                <c:pt idx="28">
                  <c:v>2.0380648112416206E-31</c:v>
                </c:pt>
                <c:pt idx="29">
                  <c:v>6.3040373791350412E-30</c:v>
                </c:pt>
                <c:pt idx="30">
                  <c:v>1.5126273630190961E-28</c:v>
                </c:pt>
                <c:pt idx="31">
                  <c:v>2.8871054864220608E-27</c:v>
                </c:pt>
                <c:pt idx="32">
                  <c:v>4.4807767058663126E-26</c:v>
                </c:pt>
                <c:pt idx="33">
                  <c:v>5.7648695448559556E-25</c:v>
                </c:pt>
                <c:pt idx="34">
                  <c:v>6.2541686990519955E-24</c:v>
                </c:pt>
                <c:pt idx="35">
                  <c:v>5.8082524302438808E-23</c:v>
                </c:pt>
                <c:pt idx="36">
                  <c:v>4.6799342856308233E-22</c:v>
                </c:pt>
                <c:pt idx="37">
                  <c:v>3.3108846790533031E-21</c:v>
                </c:pt>
                <c:pt idx="38">
                  <c:v>2.0787482816467839E-20</c:v>
                </c:pt>
                <c:pt idx="39">
                  <c:v>1.1694423522989679E-19</c:v>
                </c:pt>
                <c:pt idx="40">
                  <c:v>5.9459593304923537E-19</c:v>
                </c:pt>
                <c:pt idx="41">
                  <c:v>2.7536638834830766E-18</c:v>
                </c:pt>
                <c:pt idx="42">
                  <c:v>1.1697732402092181E-17</c:v>
                </c:pt>
                <c:pt idx="43">
                  <c:v>4.5873710355331305E-17</c:v>
                </c:pt>
                <c:pt idx="44">
                  <c:v>1.670372848208396E-16</c:v>
                </c:pt>
                <c:pt idx="45">
                  <c:v>5.6772849731957492E-16</c:v>
                </c:pt>
                <c:pt idx="46">
                  <c:v>1.8098181489378448E-15</c:v>
                </c:pt>
                <c:pt idx="47">
                  <c:v>5.4350767525250891E-15</c:v>
                </c:pt>
                <c:pt idx="48">
                  <c:v>1.543836916640625E-14</c:v>
                </c:pt>
                <c:pt idx="49">
                  <c:v>4.1631882785267622E-14</c:v>
                </c:pt>
                <c:pt idx="50">
                  <c:v>1.0694323293216522E-13</c:v>
                </c:pt>
                <c:pt idx="51">
                  <c:v>2.6250617640061087E-13</c:v>
                </c:pt>
                <c:pt idx="52">
                  <c:v>6.1749710044184206E-13</c:v>
                </c:pt>
                <c:pt idx="53">
                  <c:v>1.3957049256827776E-12</c:v>
                </c:pt>
                <c:pt idx="54">
                  <c:v>3.0386627353531568E-12</c:v>
                </c:pt>
                <c:pt idx="55">
                  <c:v>6.3868868601352157E-12</c:v>
                </c:pt>
                <c:pt idx="56">
                  <c:v>1.2987609544028913E-11</c:v>
                </c:pt>
                <c:pt idx="57">
                  <c:v>2.5600714895693397E-11</c:v>
                </c:pt>
                <c:pt idx="58">
                  <c:v>4.9005774173239167E-11</c:v>
                </c:pt>
                <c:pt idx="59">
                  <c:v>9.1253403146746043E-11</c:v>
                </c:pt>
                <c:pt idx="60">
                  <c:v>1.6555467063566959E-10</c:v>
                </c:pt>
                <c:pt idx="61">
                  <c:v>2.9306363943289423E-10</c:v>
                </c:pt>
                <c:pt idx="62">
                  <c:v>5.0688049645109539E-10</c:v>
                </c:pt>
                <c:pt idx="63">
                  <c:v>8.5768573958285365E-10</c:v>
                </c:pt>
                <c:pt idx="64">
                  <c:v>1.4215085529703069E-9</c:v>
                </c:pt>
                <c:pt idx="65">
                  <c:v>2.3102332777003973E-9</c:v>
                </c:pt>
                <c:pt idx="66">
                  <c:v>3.6855547592994827E-9</c:v>
                </c:pt>
                <c:pt idx="67">
                  <c:v>5.7772039886216731E-9</c:v>
                </c:pt>
                <c:pt idx="68">
                  <c:v>8.9063773669870646E-9</c:v>
                </c:pt>
                <c:pt idx="69">
                  <c:v>1.3515413697901337E-8</c:v>
                </c:pt>
                <c:pt idx="70">
                  <c:v>2.0204870479776375E-8</c:v>
                </c:pt>
                <c:pt idx="71">
                  <c:v>2.9779253543240484E-8</c:v>
                </c:pt>
                <c:pt idx="72">
                  <c:v>4.3302750446821911E-8</c:v>
                </c:pt>
                <c:pt idx="73">
                  <c:v>6.2166407936683745E-8</c:v>
                </c:pt>
                <c:pt idx="74">
                  <c:v>8.8168277585033267E-8</c:v>
                </c:pt>
                <c:pt idx="75">
                  <c:v>1.2360813262357693E-7</c:v>
                </c:pt>
                <c:pt idx="76">
                  <c:v>1.7139843489671264E-7</c:v>
                </c:pt>
                <c:pt idx="77">
                  <c:v>2.3519330634352406E-7</c:v>
                </c:pt>
                <c:pt idx="78">
                  <c:v>3.1953733759130972E-7</c:v>
                </c:pt>
                <c:pt idx="79">
                  <c:v>4.3003615063413345E-7</c:v>
                </c:pt>
                <c:pt idx="80">
                  <c:v>5.7355072698490321E-7</c:v>
                </c:pt>
                <c:pt idx="81">
                  <c:v>7.5841762108561162E-7</c:v>
                </c:pt>
                <c:pt idx="82">
                  <c:v>9.94697305128431E-7</c:v>
                </c:pt>
                <c:pt idx="83">
                  <c:v>1.2944530397103907E-6</c:v>
                </c:pt>
                <c:pt idx="84">
                  <c:v>1.672062838716687E-6</c:v>
                </c:pt>
                <c:pt idx="85">
                  <c:v>2.1445673001302014E-6</c:v>
                </c:pt>
                <c:pt idx="86">
                  <c:v>2.7320563105399358E-6</c:v>
                </c:pt>
                <c:pt idx="87">
                  <c:v>3.458097903235903E-6</c:v>
                </c:pt>
                <c:pt idx="88">
                  <c:v>4.350212861060431E-6</c:v>
                </c:pt>
                <c:pt idx="89">
                  <c:v>5.4403990086783627E-6</c:v>
                </c:pt>
                <c:pt idx="90">
                  <c:v>6.7657095376585508E-6</c:v>
                </c:pt>
                <c:pt idx="91">
                  <c:v>8.3688901548242851E-6</c:v>
                </c:pt>
                <c:pt idx="92">
                  <c:v>1.029908034298704E-5</c:v>
                </c:pt>
                <c:pt idx="93">
                  <c:v>1.261258457694267E-5</c:v>
                </c:pt>
                <c:pt idx="94">
                  <c:v>1.5373719950363008E-5</c:v>
                </c:pt>
                <c:pt idx="95">
                  <c:v>1.8655747345298927E-5</c:v>
                </c:pt>
                <c:pt idx="96">
                  <c:v>2.2541894020356098E-5</c:v>
                </c:pt>
                <c:pt idx="97">
                  <c:v>2.7126476311805692E-5</c:v>
                </c:pt>
                <c:pt idx="98">
                  <c:v>3.251613204037623E-5</c:v>
                </c:pt>
                <c:pt idx="99">
                  <c:v>3.8831173202551702E-5</c:v>
                </c:pt>
                <c:pt idx="100">
                  <c:v>4.6207070607271006E-5</c:v>
                </c:pt>
                <c:pt idx="101">
                  <c:v>5.4796083306529869E-5</c:v>
                </c:pt>
                <c:pt idx="102">
                  <c:v>6.4769046972442296E-5</c:v>
                </c:pt>
                <c:pt idx="103">
                  <c:v>7.6317336806217933E-5</c:v>
                </c:pt>
                <c:pt idx="104">
                  <c:v>8.96550221403603E-5</c:v>
                </c:pt>
                <c:pt idx="105">
                  <c:v>1.0502123163019102E-4</c:v>
                </c:pt>
                <c:pt idx="106">
                  <c:v>1.2268274984276629E-4</c:v>
                </c:pt>
                <c:pt idx="107">
                  <c:v>1.4293686816096979E-4</c:v>
                </c:pt>
                <c:pt idx="108">
                  <c:v>1.6611451525153564E-4</c:v>
                </c:pt>
                <c:pt idx="109">
                  <c:v>1.9258369492459383E-4</c:v>
                </c:pt>
                <c:pt idx="110">
                  <c:v>2.2275326206937498E-4</c:v>
                </c:pt>
                <c:pt idx="111">
                  <c:v>2.5707707052053969E-4</c:v>
                </c:pt>
                <c:pt idx="112">
                  <c:v>2.9605853023164042E-4</c:v>
                </c:pt>
                <c:pt idx="113">
                  <c:v>3.4025561505163617E-4</c:v>
                </c:pt>
                <c:pt idx="114">
                  <c:v>3.9028636676888604E-4</c:v>
                </c:pt>
                <c:pt idx="115">
                  <c:v>4.4683494596407981E-4</c:v>
                </c:pt>
                <c:pt idx="116">
                  <c:v>5.1065828566759048E-4</c:v>
                </c:pt>
                <c:pt idx="117">
                  <c:v>5.8259340992681467E-4</c:v>
                </c:pt>
                <c:pt idx="118">
                  <c:v>6.6356548624676157E-4</c:v>
                </c:pt>
                <c:pt idx="119">
                  <c:v>7.5459668857888148E-4</c:v>
                </c:pt>
                <c:pt idx="120">
                  <c:v>8.5681595622266965E-4</c:v>
                </c:pt>
                <c:pt idx="121">
                  <c:v>9.7146974381707584E-4</c:v>
                </c:pt>
                <c:pt idx="122">
                  <c:v>1.099933868703853E-3</c:v>
                </c:pt>
                <c:pt idx="123">
                  <c:v>1.2437265745429268E-3</c:v>
                </c:pt>
                <c:pt idx="124">
                  <c:v>1.4045229443872135E-3</c:v>
                </c:pt>
                <c:pt idx="125">
                  <c:v>1.5841708127611008E-3</c:v>
                </c:pt>
                <c:pt idx="126">
                  <c:v>1.7847083449680872E-3</c:v>
                </c:pt>
                <c:pt idx="127">
                  <c:v>2.0083834732780035E-3</c:v>
                </c:pt>
                <c:pt idx="128">
                  <c:v>2.257675404294696E-3</c:v>
                </c:pt>
                <c:pt idx="129">
                  <c:v>2.5353184402621266E-3</c:v>
                </c:pt>
                <c:pt idx="130">
                  <c:v>2.8443283900373472E-3</c:v>
                </c:pt>
                <c:pt idx="131">
                  <c:v>3.1880318838063992E-3</c:v>
                </c:pt>
                <c:pt idx="132">
                  <c:v>3.5700989504060311E-3</c:v>
                </c:pt>
                <c:pt idx="133">
                  <c:v>3.9945792686547519E-3</c:v>
                </c:pt>
                <c:pt idx="134">
                  <c:v>4.4659425660305502E-3</c:v>
                </c:pt>
                <c:pt idx="135">
                  <c:v>4.9891237114172747E-3</c:v>
                </c:pt>
                <c:pt idx="136">
                  <c:v>5.5695731360854627E-3</c:v>
                </c:pt>
                <c:pt idx="137">
                  <c:v>6.2133133219056721E-3</c:v>
                </c:pt>
                <c:pt idx="138">
                  <c:v>6.9270022223095404E-3</c:v>
                </c:pt>
                <c:pt idx="139">
                  <c:v>7.7180046353148499E-3</c:v>
                </c:pt>
                <c:pt idx="140">
                  <c:v>8.5944727363921145E-3</c:v>
                </c:pt>
                <c:pt idx="141">
                  <c:v>9.5654372119169731E-3</c:v>
                </c:pt>
                <c:pt idx="142">
                  <c:v>1.0640910724731053E-2</c:v>
                </c:pt>
                <c:pt idx="143">
                  <c:v>1.183200581018188E-2</c:v>
                </c:pt>
                <c:pt idx="144">
                  <c:v>1.3151069769383451E-2</c:v>
                </c:pt>
                <c:pt idx="145">
                  <c:v>1.4611839732446964E-2</c:v>
                </c:pt>
                <c:pt idx="146">
                  <c:v>1.6229621860342061E-2</c:v>
                </c:pt>
                <c:pt idx="147">
                  <c:v>1.8021499717148511E-2</c:v>
                </c:pt>
                <c:pt idx="148">
                  <c:v>2.0006578291866792E-2</c:v>
                </c:pt>
                <c:pt idx="149">
                  <c:v>2.2206272163061522E-2</c:v>
                </c:pt>
                <c:pt idx="150">
                  <c:v>2.4644649173370857E-2</c:v>
                </c:pt>
                <c:pt idx="151">
                  <c:v>2.7348845201801881E-2</c:v>
                </c:pt>
                <c:pt idx="152">
                  <c:v>3.034957203450275E-2</c:v>
                </c:pt>
                <c:pt idx="153">
                  <c:v>3.3681750474221527E-2</c:v>
                </c:pt>
                <c:pt idx="154">
                  <c:v>3.7385317643864414E-2</c:v>
                </c:pt>
                <c:pt idx="155">
                  <c:v>4.1506286989335998E-2</c:v>
                </c:pt>
                <c:pt idx="156">
                  <c:v>4.609819528819141E-2</c:v>
                </c:pt>
                <c:pt idx="157">
                  <c:v>5.1224186485542639E-2</c:v>
                </c:pt>
                <c:pt idx="158">
                  <c:v>5.6960252398671536E-2</c:v>
                </c:pt>
                <c:pt idx="159">
                  <c:v>6.3400901893917685E-2</c:v>
                </c:pt>
                <c:pt idx="160">
                  <c:v>7.0671278307414626E-2</c:v>
                </c:pt>
                <c:pt idx="161">
                  <c:v>7.8967562992883975E-2</c:v>
                </c:pt>
                <c:pt idx="162">
                  <c:v>2.1048784150911288</c:v>
                </c:pt>
                <c:pt idx="163">
                  <c:v>4.7329999051786098</c:v>
                </c:pt>
                <c:pt idx="164">
                  <c:v>7.3194607984165074</c:v>
                </c:pt>
                <c:pt idx="165">
                  <c:v>9.9006287875047612</c:v>
                </c:pt>
                <c:pt idx="166">
                  <c:v>12.487514843583808</c:v>
                </c:pt>
                <c:pt idx="167">
                  <c:v>15.084649648119079</c:v>
                </c:pt>
                <c:pt idx="168">
                  <c:v>17.694128502837781</c:v>
                </c:pt>
                <c:pt idx="169">
                  <c:v>20.31694466780559</c:v>
                </c:pt>
                <c:pt idx="170">
                  <c:v>22.953535010356145</c:v>
                </c:pt>
                <c:pt idx="171">
                  <c:v>25.60403543586812</c:v>
                </c:pt>
                <c:pt idx="172">
                  <c:v>28.268411971172167</c:v>
                </c:pt>
                <c:pt idx="173">
                  <c:v>30.946532635853369</c:v>
                </c:pt>
                <c:pt idx="174">
                  <c:v>33.638208823548005</c:v>
                </c:pt>
                <c:pt idx="175">
                  <c:v>36.343220010197143</c:v>
                </c:pt>
                <c:pt idx="176">
                  <c:v>39.061328902783167</c:v>
                </c:pt>
                <c:pt idx="177">
                  <c:v>41.792290895572407</c:v>
                </c:pt>
                <c:pt idx="178">
                  <c:v>44.535860031586893</c:v>
                </c:pt>
                <c:pt idx="179">
                  <c:v>47.291792765223157</c:v>
                </c:pt>
                <c:pt idx="180">
                  <c:v>50.05985031414356</c:v>
                </c:pt>
                <c:pt idx="181">
                  <c:v>52.839800092389034</c:v>
                </c:pt>
                <c:pt idx="182">
                  <c:v>55.631416538625139</c:v>
                </c:pt>
                <c:pt idx="183">
                  <c:v>58.43448154358439</c:v>
                </c:pt>
                <c:pt idx="184">
                  <c:v>61.248784611436271</c:v>
                </c:pt>
                <c:pt idx="185">
                  <c:v>64.074122845192022</c:v>
                </c:pt>
                <c:pt idx="186">
                  <c:v>66.910300817023838</c:v>
                </c:pt>
                <c:pt idx="187">
                  <c:v>69.757130364950655</c:v>
                </c:pt>
                <c:pt idx="188">
                  <c:v>72.614430344261109</c:v>
                </c:pt>
                <c:pt idx="189">
                  <c:v>75.482026353130621</c:v>
                </c:pt>
                <c:pt idx="190">
                  <c:v>78.359750445769308</c:v>
                </c:pt>
                <c:pt idx="191">
                  <c:v>81.247440842188809</c:v>
                </c:pt>
                <c:pt idx="192">
                  <c:v>84.144941640721512</c:v>
                </c:pt>
                <c:pt idx="193">
                  <c:v>87.052102537353662</c:v>
                </c:pt>
                <c:pt idx="194">
                  <c:v>89.968778554478632</c:v>
                </c:pt>
                <c:pt idx="195">
                  <c:v>92.894829780660089</c:v>
                </c:pt>
                <c:pt idx="196">
                  <c:v>95.830121122275727</c:v>
                </c:pt>
                <c:pt idx="197">
                  <c:v>98.774522067415731</c:v>
                </c:pt>
                <c:pt idx="198">
                  <c:v>101.7279064620672</c:v>
                </c:pt>
                <c:pt idx="199">
                  <c:v>104.69015229837888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0-4294-817F-572F7F43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3359"/>
        <c:axId val="2083467679"/>
      </c:scatterChart>
      <c:valAx>
        <c:axId val="2083463359"/>
        <c:scaling>
          <c:orientation val="minMax"/>
          <c:max val="16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7679"/>
        <c:crosses val="autoZero"/>
        <c:crossBetween val="midCat"/>
      </c:valAx>
      <c:valAx>
        <c:axId val="2083467679"/>
        <c:scaling>
          <c:logBase val="10"/>
          <c:orientation val="minMax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Melting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Sweep!$O$17</c:f>
              <c:strCache>
                <c:ptCount val="1"/>
                <c:pt idx="0">
                  <c:v>Log Pressure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Sweep!$A$18:$A$367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Sweep!$O$18:$O$367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-248.73433784202786</c:v>
                </c:pt>
                <c:pt idx="6">
                  <c:v>-204.17830805108647</c:v>
                </c:pt>
                <c:pt idx="7">
                  <c:v>-172.25292631219497</c:v>
                </c:pt>
                <c:pt idx="8">
                  <c:v>-148.27877052867484</c:v>
                </c:pt>
                <c:pt idx="9">
                  <c:v>-129.6333233474102</c:v>
                </c:pt>
                <c:pt idx="10">
                  <c:v>-114.73270238925717</c:v>
                </c:pt>
                <c:pt idx="11">
                  <c:v>-102.56380657109956</c:v>
                </c:pt>
                <c:pt idx="12">
                  <c:v>-92.448455987191323</c:v>
                </c:pt>
                <c:pt idx="13">
                  <c:v>-83.915559325740134</c:v>
                </c:pt>
                <c:pt idx="14">
                  <c:v>-76.627678129476223</c:v>
                </c:pt>
                <c:pt idx="15">
                  <c:v>-70.33677082021282</c:v>
                </c:pt>
                <c:pt idx="16">
                  <c:v>-64.856429633488332</c:v>
                </c:pt>
                <c:pt idx="17">
                  <c:v>-60.043858979630485</c:v>
                </c:pt>
                <c:pt idx="18">
                  <c:v>-55.78782782875799</c:v>
                </c:pt>
                <c:pt idx="19">
                  <c:v>-52.000406686862874</c:v>
                </c:pt>
                <c:pt idx="20">
                  <c:v>-48.611171146178286</c:v>
                </c:pt>
                <c:pt idx="21">
                  <c:v>-45.56305371504488</c:v>
                </c:pt>
                <c:pt idx="22">
                  <c:v>-42.809321847795758</c:v>
                </c:pt>
                <c:pt idx="23">
                  <c:v>-40.311340901926769</c:v>
                </c:pt>
                <c:pt idx="24">
                  <c:v>-38.036894035373209</c:v>
                </c:pt>
                <c:pt idx="25">
                  <c:v>-35.958903721950328</c:v>
                </c:pt>
                <c:pt idx="26">
                  <c:v>-34.054447171273395</c:v>
                </c:pt>
                <c:pt idx="27">
                  <c:v>-32.303989736870534</c:v>
                </c:pt>
                <c:pt idx="28">
                  <c:v>-30.690782009379127</c:v>
                </c:pt>
                <c:pt idx="29">
                  <c:v>-29.200381220406832</c:v>
                </c:pt>
                <c:pt idx="30">
                  <c:v>-27.82026804759936</c:v>
                </c:pt>
                <c:pt idx="31">
                  <c:v>-26.539537347974463</c:v>
                </c:pt>
                <c:pt idx="32">
                  <c:v>-25.348646698092399</c:v>
                </c:pt>
                <c:pt idx="33">
                  <c:v>-24.239210516051891</c:v>
                </c:pt>
                <c:pt idx="34">
                  <c:v>-23.203830408337847</c:v>
                </c:pt>
                <c:pt idx="35">
                  <c:v>-22.23595451719094</c:v>
                </c:pt>
                <c:pt idx="36">
                  <c:v>-21.329760245128501</c:v>
                </c:pt>
                <c:pt idx="37">
                  <c:v>-20.480055945832955</c:v>
                </c:pt>
                <c:pt idx="38">
                  <c:v>-19.682198096772606</c:v>
                </c:pt>
                <c:pt idx="39">
                  <c:v>-18.932021181888619</c:v>
                </c:pt>
                <c:pt idx="40">
                  <c:v>-18.225778065632788</c:v>
                </c:pt>
                <c:pt idx="41">
                  <c:v>-17.560089071507235</c:v>
                </c:pt>
                <c:pt idx="42">
                  <c:v>-16.931898317801217</c:v>
                </c:pt>
                <c:pt idx="43">
                  <c:v>-16.338436131861073</c:v>
                </c:pt>
                <c:pt idx="44">
                  <c:v>-15.77718657804631</c:v>
                </c:pt>
                <c:pt idx="45">
                  <c:v>-15.245859305672385</c:v>
                </c:pt>
                <c:pt idx="46">
                  <c:v>-14.742365060976397</c:v>
                </c:pt>
                <c:pt idx="47">
                  <c:v>-14.264794318557859</c:v>
                </c:pt>
                <c:pt idx="48">
                  <c:v>-13.811398578316217</c:v>
                </c:pt>
                <c:pt idx="49">
                  <c:v>-13.380573947874636</c:v>
                </c:pt>
                <c:pt idx="50">
                  <c:v>-12.970846691159775</c:v>
                </c:pt>
                <c:pt idx="51">
                  <c:v>-12.580860473800323</c:v>
                </c:pt>
                <c:pt idx="52">
                  <c:v>-12.209365077363948</c:v>
                </c:pt>
                <c:pt idx="53">
                  <c:v>-11.855206388799646</c:v>
                </c:pt>
                <c:pt idx="54">
                  <c:v>-11.517317500085678</c:v>
                </c:pt>
                <c:pt idx="55">
                  <c:v>-11.194710777039786</c:v>
                </c:pt>
                <c:pt idx="56">
                  <c:v>-10.8864707763613</c:v>
                </c:pt>
                <c:pt idx="57">
                  <c:v>-10.591747906917847</c:v>
                </c:pt>
                <c:pt idx="58">
                  <c:v>-10.30975274560754</c:v>
                </c:pt>
                <c:pt idx="59">
                  <c:v>-10.039750930265534</c:v>
                </c:pt>
                <c:pt idx="60">
                  <c:v>-9.7810585624040005</c:v>
                </c:pt>
                <c:pt idx="61">
                  <c:v>-9.5330380613746772</c:v>
                </c:pt>
                <c:pt idx="62">
                  <c:v>-9.2950944190678246</c:v>
                </c:pt>
                <c:pt idx="63">
                  <c:v>-9.0666718107127906</c:v>
                </c:pt>
                <c:pt idx="64">
                  <c:v>-8.8472505228911373</c:v>
                </c:pt>
                <c:pt idx="65">
                  <c:v>-8.6363441646520673</c:v>
                </c:pt>
                <c:pt idx="66">
                  <c:v>-8.4334971317482079</c:v>
                </c:pt>
                <c:pt idx="67">
                  <c:v>-8.2382822975843091</c:v>
                </c:pt>
                <c:pt idx="68">
                  <c:v>-8.0502989075735272</c:v>
                </c:pt>
                <c:pt idx="69">
                  <c:v>-7.8691706562940791</c:v>
                </c:pt>
                <c:pt idx="70">
                  <c:v>-7.6945439291905835</c:v>
                </c:pt>
                <c:pt idx="71">
                  <c:v>-7.5260861926185854</c:v>
                </c:pt>
                <c:pt idx="72">
                  <c:v>-7.3634845178281294</c:v>
                </c:pt>
                <c:pt idx="73">
                  <c:v>-7.2064442260586725</c:v>
                </c:pt>
                <c:pt idx="74">
                  <c:v>-7.0546876433023398</c:v>
                </c:pt>
                <c:pt idx="75">
                  <c:v>-6.9079529545113587</c:v>
                </c:pt>
                <c:pt idx="76">
                  <c:v>-6.7659931481002458</c:v>
                </c:pt>
                <c:pt idx="77">
                  <c:v>-6.6285750425424892</c:v>
                </c:pt>
                <c:pt idx="78">
                  <c:v>-6.4954783877013424</c:v>
                </c:pt>
                <c:pt idx="79">
                  <c:v>-6.3664950342785573</c:v>
                </c:pt>
                <c:pt idx="80">
                  <c:v>-6.2414281654255372</c:v>
                </c:pt>
                <c:pt idx="81">
                  <c:v>-6.1200915851487041</c:v>
                </c:pt>
                <c:pt idx="82">
                  <c:v>-6.0023090586637196</c:v>
                </c:pt>
                <c:pt idx="83">
                  <c:v>-5.8879137003195536</c:v>
                </c:pt>
                <c:pt idx="84">
                  <c:v>-5.7767474051296039</c:v>
                </c:pt>
                <c:pt idx="85">
                  <c:v>-5.6686603203194945</c:v>
                </c:pt>
                <c:pt idx="86">
                  <c:v>-5.5635103536344506</c:v>
                </c:pt>
                <c:pt idx="87">
                  <c:v>-5.4611627154480926</c:v>
                </c:pt>
                <c:pt idx="88">
                  <c:v>-5.3614894919827849</c:v>
                </c:pt>
                <c:pt idx="89">
                  <c:v>-5.2643692471929064</c:v>
                </c:pt>
                <c:pt idx="90">
                  <c:v>-5.169686651079501</c:v>
                </c:pt>
                <c:pt idx="91">
                  <c:v>-5.0773321324003478</c:v>
                </c:pt>
                <c:pt idx="92">
                  <c:v>-4.9872015539159689</c:v>
                </c:pt>
                <c:pt idx="93">
                  <c:v>-4.8991959084714773</c:v>
                </c:pt>
                <c:pt idx="94">
                  <c:v>-4.8132210343581887</c:v>
                </c:pt>
                <c:pt idx="95">
                  <c:v>-4.7291873485294369</c:v>
                </c:pt>
                <c:pt idx="96">
                  <c:v>-4.6470095963630476</c:v>
                </c:pt>
                <c:pt idx="97">
                  <c:v>-4.5666066167701933</c:v>
                </c:pt>
                <c:pt idx="98">
                  <c:v>-4.4879011215475035</c:v>
                </c:pt>
                <c:pt idx="99">
                  <c:v>-4.410819487957756</c:v>
                </c:pt>
                <c:pt idx="100">
                  <c:v>-4.3352915636047351</c:v>
                </c:pt>
                <c:pt idx="101">
                  <c:v>-4.2612504827410245</c:v>
                </c:pt>
                <c:pt idx="102">
                  <c:v>-4.1886324932140466</c:v>
                </c:pt>
                <c:pt idx="103">
                  <c:v>-4.1173767933163337</c:v>
                </c:pt>
                <c:pt idx="104">
                  <c:v>-4.0474253778613472</c:v>
                </c:pt>
                <c:pt idx="105">
                  <c:v>-3.9787228928566245</c:v>
                </c:pt>
                <c:pt idx="106">
                  <c:v>-3.9112164981920352</c:v>
                </c:pt>
                <c:pt idx="107">
                  <c:v>-3.8448557378029902</c:v>
                </c:pt>
                <c:pt idx="108">
                  <c:v>-3.7795924168067807</c:v>
                </c:pt>
                <c:pt idx="109">
                  <c:v>-3.7153804851451921</c:v>
                </c:pt>
                <c:pt idx="110">
                  <c:v>-3.6521759272984688</c:v>
                </c:pt>
                <c:pt idx="111">
                  <c:v>-3.5899366576647544</c:v>
                </c:pt>
                <c:pt idx="112">
                  <c:v>-3.5286224212255881</c:v>
                </c:pt>
                <c:pt idx="113">
                  <c:v>-3.4681946991420567</c:v>
                </c:pt>
                <c:pt idx="114">
                  <c:v>-3.408616618947943</c:v>
                </c:pt>
                <c:pt idx="115">
                  <c:v>-3.34985286902582</c:v>
                </c:pt>
                <c:pt idx="116">
                  <c:v>-3.2918696170696573</c:v>
                </c:pt>
                <c:pt idx="117">
                  <c:v>-3.2346344322531624</c:v>
                </c:pt>
                <c:pt idx="118">
                  <c:v>-3.1781162108369267</c:v>
                </c:pt>
                <c:pt idx="119">
                  <c:v>-3.1222851049593996</c:v>
                </c:pt>
                <c:pt idx="120">
                  <c:v>-3.0671124543669896</c:v>
                </c:pt>
                <c:pt idx="121">
                  <c:v>-3.0125707208469139</c:v>
                </c:pt>
                <c:pt idx="122">
                  <c:v>-2.9586334251330113</c:v>
                </c:pt>
                <c:pt idx="123">
                  <c:v>-2.9052750860593246</c:v>
                </c:pt>
                <c:pt idx="124">
                  <c:v>-2.8524711617387535</c:v>
                </c:pt>
                <c:pt idx="125">
                  <c:v>-2.8001979925444682</c:v>
                </c:pt>
                <c:pt idx="126">
                  <c:v>-2.7484327456694762</c:v>
                </c:pt>
                <c:pt idx="127">
                  <c:v>-2.6971533610348439</c:v>
                </c:pt>
                <c:pt idx="128">
                  <c:v>-2.6463384983088001</c:v>
                </c:pt>
                <c:pt idx="129">
                  <c:v>-2.595967484787002</c:v>
                </c:pt>
                <c:pt idx="130">
                  <c:v>-2.5460202638677694</c:v>
                </c:pt>
                <c:pt idx="131">
                  <c:v>-2.4964773438342882</c:v>
                </c:pt>
                <c:pt idx="132">
                  <c:v>-2.4473197466273646</c:v>
                </c:pt>
                <c:pt idx="133">
                  <c:v>-2.3985289562558423</c:v>
                </c:pt>
                <c:pt idx="134">
                  <c:v>-2.3500868664451442</c:v>
                </c:pt>
                <c:pt idx="135">
                  <c:v>-2.3019757270650776</c:v>
                </c:pt>
                <c:pt idx="136">
                  <c:v>-2.2541780888023144</c:v>
                </c:pt>
                <c:pt idx="137">
                  <c:v>-2.206676745446325</c:v>
                </c:pt>
                <c:pt idx="138">
                  <c:v>-2.1594546730334923</c:v>
                </c:pt>
                <c:pt idx="139">
                  <c:v>-2.1124949649339593</c:v>
                </c:pt>
                <c:pt idx="140">
                  <c:v>-2.0657807617575417</c:v>
                </c:pt>
                <c:pt idx="141">
                  <c:v>-2.019295174681802</c:v>
                </c:pt>
                <c:pt idx="142">
                  <c:v>-1.9730212004433274</c:v>
                </c:pt>
                <c:pt idx="143">
                  <c:v>-1.9269416257480376</c:v>
                </c:pt>
                <c:pt idx="144">
                  <c:v>-1.8810389181975338</c:v>
                </c:pt>
                <c:pt idx="145">
                  <c:v>-1.8352950999213602</c:v>
                </c:pt>
                <c:pt idx="146">
                  <c:v>-1.789691598835504</c:v>
                </c:pt>
                <c:pt idx="147">
                  <c:v>-1.7442090706388391</c:v>
                </c:pt>
                <c:pt idx="148">
                  <c:v>-1.6988271820299969</c:v>
                </c:pt>
                <c:pt idx="149">
                  <c:v>-1.6535243417169816</c:v>
                </c:pt>
                <c:pt idx="150">
                  <c:v>-1.6082773598242746</c:v>
                </c:pt>
                <c:pt idx="151">
                  <c:v>-1.5630610069200692</c:v>
                </c:pt>
                <c:pt idx="152">
                  <c:v>-1.5178474286204977</c:v>
                </c:pt>
                <c:pt idx="153">
                  <c:v>-1.4726053458677548</c:v>
                </c:pt>
                <c:pt idx="154">
                  <c:v>-1.427298925024217</c:v>
                </c:pt>
                <c:pt idx="155">
                  <c:v>-1.3818861153848301</c:v>
                </c:pt>
                <c:pt idx="156">
                  <c:v>-1.3363160765999798</c:v>
                </c:pt>
                <c:pt idx="157">
                  <c:v>-1.2905249300989541</c:v>
                </c:pt>
                <c:pt idx="158">
                  <c:v>-1.2444280949486679</c:v>
                </c:pt>
                <c:pt idx="159">
                  <c:v>-1.1979045641251163</c:v>
                </c:pt>
                <c:pt idx="160">
                  <c:v>-1.1507570530628717</c:v>
                </c:pt>
                <c:pt idx="161">
                  <c:v>-1.1025512644824913</c:v>
                </c:pt>
                <c:pt idx="162">
                  <c:v>0.32322701457547093</c:v>
                </c:pt>
                <c:pt idx="163">
                  <c:v>0.67513649576729529</c:v>
                </c:pt>
                <c:pt idx="164">
                  <c:v>0.86447908913250404</c:v>
                </c:pt>
                <c:pt idx="165">
                  <c:v>0.99566277745328946</c:v>
                </c:pt>
                <c:pt idx="166">
                  <c:v>1.0964760174688901</c:v>
                </c:pt>
                <c:pt idx="167">
                  <c:v>1.1785352278251895</c:v>
                </c:pt>
                <c:pt idx="168">
                  <c:v>1.2478291769916587</c:v>
                </c:pt>
                <c:pt idx="169">
                  <c:v>1.3078583978205254</c:v>
                </c:pt>
                <c:pt idx="170">
                  <c:v>1.3608495795145172</c:v>
                </c:pt>
                <c:pt idx="171">
                  <c:v>1.4083084195857485</c:v>
                </c:pt>
                <c:pt idx="172">
                  <c:v>1.4513014119020256</c:v>
                </c:pt>
                <c:pt idx="173">
                  <c:v>1.490611996119517</c:v>
                </c:pt>
                <c:pt idx="174">
                  <c:v>1.5268328623113765</c:v>
                </c:pt>
                <c:pt idx="175">
                  <c:v>1.5604234031786164</c:v>
                </c:pt>
                <c:pt idx="176">
                  <c:v>1.5917470143058619</c:v>
                </c:pt>
                <c:pt idx="177">
                  <c:v>1.6210961781796691</c:v>
                </c:pt>
                <c:pt idx="178">
                  <c:v>1.6487098433894833</c:v>
                </c:pt>
                <c:pt idx="179">
                  <c:v>1.6747857778193169</c:v>
                </c:pt>
                <c:pt idx="180">
                  <c:v>1.6994895466737494</c:v>
                </c:pt>
                <c:pt idx="181">
                  <c:v>1.7229611658891859</c:v>
                </c:pt>
                <c:pt idx="182">
                  <c:v>1.7453201184897387</c:v>
                </c:pt>
                <c:pt idx="183">
                  <c:v>1.7666691951415627</c:v>
                </c:pt>
                <c:pt idx="184">
                  <c:v>1.7870974752115314</c:v>
                </c:pt>
                <c:pt idx="185">
                  <c:v>1.8066826695406302</c:v>
                </c:pt>
                <c:pt idx="186">
                  <c:v>1.8254929823959432</c:v>
                </c:pt>
                <c:pt idx="187">
                  <c:v>1.8435886064958869</c:v>
                </c:pt>
                <c:pt idx="188">
                  <c:v>1.8610229346964415</c:v>
                </c:pt>
                <c:pt idx="189">
                  <c:v>1.8778435505041606</c:v>
                </c:pt>
                <c:pt idx="190">
                  <c:v>1.8940930442165489</c:v>
                </c:pt>
                <c:pt idx="191">
                  <c:v>1.9098096903202093</c:v>
                </c:pt>
                <c:pt idx="192">
                  <c:v>1.9250280135554378</c:v>
                </c:pt>
                <c:pt idx="193">
                  <c:v>1.9397792649346075</c:v>
                </c:pt>
                <c:pt idx="194">
                  <c:v>1.9540918243954866</c:v>
                </c:pt>
                <c:pt idx="195">
                  <c:v>1.9679915432701316</c:v>
                </c:pt>
                <c:pt idx="196">
                  <c:v>1.9815020370651073</c:v>
                </c:pt>
                <c:pt idx="197">
                  <c:v>1.9946449369716945</c:v>
                </c:pt>
                <c:pt idx="198">
                  <c:v>2.0074401069048311</c:v>
                </c:pt>
                <c:pt idx="199">
                  <c:v>2.0199058315965468</c:v>
                </c:pt>
                <c:pt idx="200">
                  <c:v>2.0320589802621791</c:v>
                </c:pt>
                <c:pt idx="201">
                  <c:v>2.0439151495549046</c:v>
                </c:pt>
                <c:pt idx="202">
                  <c:v>2.0554887888804467</c:v>
                </c:pt>
                <c:pt idx="203">
                  <c:v>2.0667933106246261</c:v>
                </c:pt>
                <c:pt idx="204">
                  <c:v>2.0778411874251512</c:v>
                </c:pt>
                <c:pt idx="205">
                  <c:v>2.0886440382755511</c:v>
                </c:pt>
                <c:pt idx="206">
                  <c:v>2.0992127049674503</c:v>
                </c:pt>
                <c:pt idx="207">
                  <c:v>2.1095573201453952</c:v>
                </c:pt>
                <c:pt idx="208">
                  <c:v>2.1196873680564132</c:v>
                </c:pt>
                <c:pt idx="209">
                  <c:v>2.1296117389168336</c:v>
                </c:pt>
                <c:pt idx="210">
                  <c:v>2.1393387776856918</c:v>
                </c:pt>
                <c:pt idx="211">
                  <c:v>2.1488763279223084</c:v>
                </c:pt>
                <c:pt idx="212">
                  <c:v>2.1582317713116952</c:v>
                </c:pt>
                <c:pt idx="213">
                  <c:v>2.1674120633620748</c:v>
                </c:pt>
                <c:pt idx="214">
                  <c:v>2.1764237657115459</c:v>
                </c:pt>
                <c:pt idx="215">
                  <c:v>2.1852730754237566</c:v>
                </c:pt>
                <c:pt idx="216">
                  <c:v>2.1939658516036458</c:v>
                </c:pt>
                <c:pt idx="217">
                  <c:v>2.2025076396225844</c:v>
                </c:pt>
                <c:pt idx="218">
                  <c:v>2.2109036932063963</c:v>
                </c:pt>
                <c:pt idx="219">
                  <c:v>2.2191589946089034</c:v>
                </c:pt>
                <c:pt idx="220">
                  <c:v>2.227278273067022</c:v>
                </c:pt>
                <c:pt idx="221">
                  <c:v>2.2352660217103657</c:v>
                </c:pt>
                <c:pt idx="222">
                  <c:v>2.2431265130783462</c:v>
                </c:pt>
                <c:pt idx="223">
                  <c:v>2.250863813380334</c:v>
                </c:pt>
                <c:pt idx="224">
                  <c:v>2.2584817956192991</c:v>
                </c:pt>
                <c:pt idx="225">
                  <c:v>2.2659841516860721</c:v>
                </c:pt>
                <c:pt idx="226">
                  <c:v>2.2733744035197652</c:v>
                </c:pt>
                <c:pt idx="227">
                  <c:v>2.280655913419686</c:v>
                </c:pt>
                <c:pt idx="228">
                  <c:v>2.2878318935851079</c:v>
                </c:pt>
                <c:pt idx="229">
                  <c:v>2.294905414951363</c:v>
                </c:pt>
                <c:pt idx="230">
                  <c:v>2.3018794153837221</c:v>
                </c:pt>
                <c:pt idx="231">
                  <c:v>2.308756707284354</c:v>
                </c:pt>
                <c:pt idx="232">
                  <c:v>2.3155399846621765</c:v>
                </c:pt>
                <c:pt idx="233">
                  <c:v>2.3222318297105424</c:v>
                </c:pt>
                <c:pt idx="234">
                  <c:v>2.3288347189333631</c:v>
                </c:pt>
                <c:pt idx="235">
                  <c:v>2.3353510288564294</c:v>
                </c:pt>
                <c:pt idx="236">
                  <c:v>2.3417830413572269</c:v>
                </c:pt>
                <c:pt idx="237">
                  <c:v>2.3481329486434714</c:v>
                </c:pt>
                <c:pt idx="238">
                  <c:v>2.3544028579078269</c:v>
                </c:pt>
                <c:pt idx="239">
                  <c:v>2.3605947956837872</c:v>
                </c:pt>
                <c:pt idx="240">
                  <c:v>2.3667107119254958</c:v>
                </c:pt>
                <c:pt idx="241">
                  <c:v>2.3727524838322607</c:v>
                </c:pt>
                <c:pt idx="242">
                  <c:v>2.3787219194367273</c:v>
                </c:pt>
                <c:pt idx="243">
                  <c:v>2.3846207609740522</c:v>
                </c:pt>
                <c:pt idx="244">
                  <c:v>2.3904506880479381</c:v>
                </c:pt>
                <c:pt idx="245">
                  <c:v>2.3962133206080907</c:v>
                </c:pt>
                <c:pt idx="246">
                  <c:v>2.4019102217524151</c:v>
                </c:pt>
                <c:pt idx="247">
                  <c:v>2.4075429003662294</c:v>
                </c:pt>
                <c:pt idx="248">
                  <c:v>2.4131128136097373</c:v>
                </c:pt>
                <c:pt idx="249">
                  <c:v>2.4186213692641361</c:v>
                </c:pt>
                <c:pt idx="250">
                  <c:v>2.4240699279459061</c:v>
                </c:pt>
                <c:pt idx="251">
                  <c:v>2.4294598051980767</c:v>
                </c:pt>
                <c:pt idx="252">
                  <c:v>2.4347922734666034</c:v>
                </c:pt>
                <c:pt idx="253">
                  <c:v>2.4400685639693505</c:v>
                </c:pt>
                <c:pt idx="254">
                  <c:v>2.44528986846462</c:v>
                </c:pt>
                <c:pt idx="255">
                  <c:v>2.4504573409256478</c:v>
                </c:pt>
                <c:pt idx="256">
                  <c:v>2.4555720991270125</c:v>
                </c:pt>
                <c:pt idx="257">
                  <c:v>2.4606352261484634</c:v>
                </c:pt>
                <c:pt idx="258">
                  <c:v>2.4656477718012919</c:v>
                </c:pt>
                <c:pt idx="259">
                  <c:v>2.4706107539819739</c:v>
                </c:pt>
                <c:pt idx="260">
                  <c:v>2.4755251599575159</c:v>
                </c:pt>
                <c:pt idx="261">
                  <c:v>2.4803919475865861</c:v>
                </c:pt>
                <c:pt idx="262">
                  <c:v>2.4852120464802638</c:v>
                </c:pt>
                <c:pt idx="263">
                  <c:v>2.4899863591059437</c:v>
                </c:pt>
                <c:pt idx="264">
                  <c:v>2.4947157618377251</c:v>
                </c:pt>
                <c:pt idx="265">
                  <c:v>2.4994011059563612</c:v>
                </c:pt>
                <c:pt idx="266">
                  <c:v>2.5040432186016592</c:v>
                </c:pt>
                <c:pt idx="267">
                  <c:v>2.5086429036800175</c:v>
                </c:pt>
                <c:pt idx="268">
                  <c:v>2.5132009427296209</c:v>
                </c:pt>
                <c:pt idx="269">
                  <c:v>2.5177180957456442</c:v>
                </c:pt>
                <c:pt idx="270">
                  <c:v>2.5221951019676627</c:v>
                </c:pt>
                <c:pt idx="271">
                  <c:v>2.5266326806313359</c:v>
                </c:pt>
                <c:pt idx="272">
                  <c:v>2.531031531686291</c:v>
                </c:pt>
                <c:pt idx="273">
                  <c:v>2.5353923364820194</c:v>
                </c:pt>
                <c:pt idx="274">
                  <c:v>2.5397157584234793</c:v>
                </c:pt>
                <c:pt idx="275">
                  <c:v>2.5440024435980058</c:v>
                </c:pt>
                <c:pt idx="276">
                  <c:v>2.5482530213750163</c:v>
                </c:pt>
                <c:pt idx="277">
                  <c:v>2.5524681049799258</c:v>
                </c:pt>
                <c:pt idx="278">
                  <c:v>2.5566482920435858</c:v>
                </c:pt>
                <c:pt idx="279">
                  <c:v>2.5607941651284958</c:v>
                </c:pt>
                <c:pt idx="280">
                  <c:v>2.564906292232958</c:v>
                </c:pt>
                <c:pt idx="281">
                  <c:v>2.5689852272742737</c:v>
                </c:pt>
                <c:pt idx="282">
                  <c:v>2.5730315105520218</c:v>
                </c:pt>
                <c:pt idx="283">
                  <c:v>2.5770456691923971</c:v>
                </c:pt>
                <c:pt idx="284">
                  <c:v>2.5810282175745338</c:v>
                </c:pt>
                <c:pt idx="285">
                  <c:v>2.5849796577396833</c:v>
                </c:pt>
                <c:pt idx="286">
                  <c:v>2.5889004797840656</c:v>
                </c:pt>
                <c:pt idx="287">
                  <c:v>2.5927911622361774</c:v>
                </c:pt>
                <c:pt idx="288">
                  <c:v>2.5966521724192835</c:v>
                </c:pt>
                <c:pt idx="289">
                  <c:v>2.600483966799791</c:v>
                </c:pt>
                <c:pt idx="290">
                  <c:v>2.6042869913221565</c:v>
                </c:pt>
                <c:pt idx="291">
                  <c:v>2.6080616817309528</c:v>
                </c:pt>
                <c:pt idx="292">
                  <c:v>2.6118084638806773</c:v>
                </c:pt>
                <c:pt idx="293">
                  <c:v>2.6155277540338626</c:v>
                </c:pt>
                <c:pt idx="294">
                  <c:v>2.6192199591480096</c:v>
                </c:pt>
                <c:pt idx="295">
                  <c:v>2.6228854771518559</c:v>
                </c:pt>
                <c:pt idx="296">
                  <c:v>2.6265246972114351</c:v>
                </c:pt>
                <c:pt idx="297">
                  <c:v>2.6301379999863927</c:v>
                </c:pt>
                <c:pt idx="298">
                  <c:v>2.6337257578769746</c:v>
                </c:pt>
                <c:pt idx="299">
                  <c:v>2.6372883352620957</c:v>
                </c:pt>
                <c:pt idx="300">
                  <c:v>2.6408260887288768</c:v>
                </c:pt>
                <c:pt idx="301">
                  <c:v>2.6443393672940068</c:v>
                </c:pt>
                <c:pt idx="302">
                  <c:v>2.647828512617286</c:v>
                </c:pt>
                <c:pt idx="303">
                  <c:v>2.651293859207676</c:v>
                </c:pt>
                <c:pt idx="304">
                  <c:v>2.6547357346221649</c:v>
                </c:pt>
                <c:pt idx="305">
                  <c:v>2.6581544596577618</c:v>
                </c:pt>
                <c:pt idx="306">
                  <c:v>2.661550348536883</c:v>
                </c:pt>
                <c:pt idx="307">
                  <c:v>2.6649237090864233</c:v>
                </c:pt>
                <c:pt idx="308">
                  <c:v>2.6682748429107503</c:v>
                </c:pt>
                <c:pt idx="309">
                  <c:v>2.671604045558881</c:v>
                </c:pt>
                <c:pt idx="310">
                  <c:v>2.6749116066860674</c:v>
                </c:pt>
                <c:pt idx="311">
                  <c:v>2.6781978102100155</c:v>
                </c:pt>
                <c:pt idx="312">
                  <c:v>2.6814629344619534</c:v>
                </c:pt>
                <c:pt idx="313">
                  <c:v>2.6847072523327475</c:v>
                </c:pt>
                <c:pt idx="314">
                  <c:v>2.6879310314142639</c:v>
                </c:pt>
                <c:pt idx="315">
                  <c:v>2.6911345341361539</c:v>
                </c:pt>
                <c:pt idx="316">
                  <c:v>2.6943180178982504</c:v>
                </c:pt>
                <c:pt idx="317">
                  <c:v>2.6974817351987341</c:v>
                </c:pt>
                <c:pt idx="318">
                  <c:v>2.7006259337582352</c:v>
                </c:pt>
                <c:pt idx="319">
                  <c:v>2.7037508566400219</c:v>
                </c:pt>
                <c:pt idx="320">
                  <c:v>2.7068567423664289</c:v>
                </c:pt>
                <c:pt idx="321">
                  <c:v>2.709943825031659</c:v>
                </c:pt>
                <c:pt idx="322">
                  <c:v>2.7130123344110983</c:v>
                </c:pt>
                <c:pt idx="323">
                  <c:v>2.7160624960672681</c:v>
                </c:pt>
                <c:pt idx="324">
                  <c:v>2.7190945314525452</c:v>
                </c:pt>
                <c:pt idx="325">
                  <c:v>2.7221086580087608</c:v>
                </c:pt>
                <c:pt idx="326">
                  <c:v>2.7251050892637938</c:v>
                </c:pt>
                <c:pt idx="327">
                  <c:v>2.7280840349252693</c:v>
                </c:pt>
                <c:pt idx="328">
                  <c:v>2.7310457009714608</c:v>
                </c:pt>
                <c:pt idx="329">
                  <c:v>2.733990289739503</c:v>
                </c:pt>
                <c:pt idx="330">
                  <c:v>2.7369180000110029</c:v>
                </c:pt>
                <c:pt idx="331">
                  <c:v>2.7398290270951429</c:v>
                </c:pt>
                <c:pt idx="332">
                  <c:v>2.7427235629093714</c:v>
                </c:pt>
                <c:pt idx="333">
                  <c:v>2.7456017960577479</c:v>
                </c:pt>
                <c:pt idx="334">
                  <c:v>2.7484639119070455</c:v>
                </c:pt>
                <c:pt idx="335">
                  <c:v>2.7513100926606664</c:v>
                </c:pt>
                <c:pt idx="336">
                  <c:v>2.7541405174304603</c:v>
                </c:pt>
                <c:pt idx="337">
                  <c:v>2.7569553623065128</c:v>
                </c:pt>
                <c:pt idx="338">
                  <c:v>2.7597548004249672</c:v>
                </c:pt>
                <c:pt idx="339">
                  <c:v>2.7625390020339546</c:v>
                </c:pt>
                <c:pt idx="340">
                  <c:v>2.765308134557686</c:v>
                </c:pt>
                <c:pt idx="341">
                  <c:v>2.7680623626587777</c:v>
                </c:pt>
                <c:pt idx="342">
                  <c:v>2.7708018482988588</c:v>
                </c:pt>
                <c:pt idx="343">
                  <c:v>2.7735267507975232</c:v>
                </c:pt>
                <c:pt idx="344">
                  <c:v>2.77623722688968</c:v>
                </c:pt>
                <c:pt idx="345">
                  <c:v>2.7789334307813505</c:v>
                </c:pt>
                <c:pt idx="346">
                  <c:v>2.7816155142039638</c:v>
                </c:pt>
                <c:pt idx="347">
                  <c:v>2.7842836264672046</c:v>
                </c:pt>
                <c:pt idx="348">
                  <c:v>2.7869379145104487</c:v>
                </c:pt>
                <c:pt idx="349">
                  <c:v>2.7895785229528416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8-4762-82B1-1CF7EE7E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2495"/>
        <c:axId val="362756815"/>
      </c:scatterChart>
      <c:valAx>
        <c:axId val="362752495"/>
        <c:scaling>
          <c:orientation val="minMax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6815"/>
        <c:crosses val="autoZero"/>
        <c:crossBetween val="midCat"/>
      </c:valAx>
      <c:valAx>
        <c:axId val="362756815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108857</xdr:colOff>
      <xdr:row>16</xdr:row>
      <xdr:rowOff>68036</xdr:rowOff>
    </xdr:from>
    <xdr:to>
      <xdr:col>31</xdr:col>
      <xdr:colOff>40822</xdr:colOff>
      <xdr:row>48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20410</xdr:colOff>
      <xdr:row>49</xdr:row>
      <xdr:rowOff>2720</xdr:rowOff>
    </xdr:from>
    <xdr:to>
      <xdr:col>31</xdr:col>
      <xdr:colOff>54429</xdr:colOff>
      <xdr:row>79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39729</xdr:colOff>
      <xdr:row>81</xdr:row>
      <xdr:rowOff>47472</xdr:rowOff>
    </xdr:from>
    <xdr:to>
      <xdr:col>31</xdr:col>
      <xdr:colOff>23429</xdr:colOff>
      <xdr:row>115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</xdr:colOff>
      <xdr:row>15</xdr:row>
      <xdr:rowOff>187037</xdr:rowOff>
    </xdr:from>
    <xdr:to>
      <xdr:col>46</xdr:col>
      <xdr:colOff>0</xdr:colOff>
      <xdr:row>48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23813</xdr:colOff>
      <xdr:row>49</xdr:row>
      <xdr:rowOff>23812</xdr:rowOff>
    </xdr:from>
    <xdr:to>
      <xdr:col>46</xdr:col>
      <xdr:colOff>1</xdr:colOff>
      <xdr:row>80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476250</xdr:colOff>
      <xdr:row>82</xdr:row>
      <xdr:rowOff>71437</xdr:rowOff>
    </xdr:from>
    <xdr:to>
      <xdr:col>46</xdr:col>
      <xdr:colOff>599514</xdr:colOff>
      <xdr:row>112</xdr:row>
      <xdr:rowOff>103935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1E4572-E908-41A6-81D4-0A8A101D7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61851</xdr:colOff>
      <xdr:row>116</xdr:row>
      <xdr:rowOff>92776</xdr:rowOff>
    </xdr:from>
    <xdr:to>
      <xdr:col>39</xdr:col>
      <xdr:colOff>586345</xdr:colOff>
      <xdr:row>153</xdr:row>
      <xdr:rowOff>144483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EC1A18-897E-452B-A088-4C8A34AAB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topLeftCell="A22" zoomScale="220" zoomScaleNormal="220" workbookViewId="0">
      <selection activeCell="B32" sqref="B32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34.53</v>
      </c>
      <c r="D2" s="3">
        <v>13.38</v>
      </c>
    </row>
    <row r="3" spans="1:4" x14ac:dyDescent="0.25">
      <c r="A3" s="2" t="s">
        <v>11</v>
      </c>
      <c r="B3" s="3">
        <v>3386.08</v>
      </c>
      <c r="D3" s="3">
        <v>997.79</v>
      </c>
    </row>
    <row r="4" spans="1:4" x14ac:dyDescent="0.25">
      <c r="A4" s="2" t="s">
        <v>12</v>
      </c>
      <c r="B4" s="3">
        <v>7310.03</v>
      </c>
      <c r="D4" s="3">
        <v>469.13</v>
      </c>
    </row>
    <row r="5" spans="1:4" x14ac:dyDescent="0.25">
      <c r="A5" s="2" t="s">
        <v>13</v>
      </c>
      <c r="B5" s="3">
        <v>123.09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58.44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2.68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5.87</v>
      </c>
      <c r="D30" s="3">
        <v>0</v>
      </c>
    </row>
    <row r="31" spans="1:4" x14ac:dyDescent="0.25">
      <c r="A31" s="2" t="s">
        <v>39</v>
      </c>
      <c r="B31" s="3">
        <v>6.18</v>
      </c>
      <c r="D31" s="3">
        <v>0</v>
      </c>
    </row>
    <row r="32" spans="1:4" x14ac:dyDescent="0.25">
      <c r="A32" s="2" t="s">
        <v>40</v>
      </c>
      <c r="B32" s="3">
        <v>77.430000000000007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34.545362159556987</v>
      </c>
    </row>
    <row r="3" spans="1:2" x14ac:dyDescent="0.25">
      <c r="A3" t="s">
        <v>43</v>
      </c>
      <c r="B3">
        <f>INDEX(ComputeThermoProps(T_in,p_in,ParametersRange),1,2)</f>
        <v>2.9691780281249493E-4</v>
      </c>
    </row>
    <row r="4" spans="1:2" x14ac:dyDescent="0.25">
      <c r="A4" t="s">
        <v>44</v>
      </c>
      <c r="B4">
        <f>INDEX(ComputeThermoProps(T_in,p_in,ParametersRange),1,3)</f>
        <v>2.9564168205549826E-4</v>
      </c>
    </row>
    <row r="5" spans="1:2" x14ac:dyDescent="0.25">
      <c r="A5" t="s">
        <v>45</v>
      </c>
      <c r="B5">
        <f>INDEX(ComputeThermoProps(T_in,p_in,ParametersRange),1,4)</f>
        <v>1.6106134231658835E-4</v>
      </c>
    </row>
    <row r="6" spans="1:2" x14ac:dyDescent="0.25">
      <c r="A6" t="s">
        <v>46</v>
      </c>
      <c r="B6">
        <f>INDEX(ComputeThermoProps(T_in,p_in,ParametersRange),1,5)</f>
        <v>7.0223198346491404</v>
      </c>
    </row>
    <row r="7" spans="1:2" x14ac:dyDescent="0.25">
      <c r="A7" t="s">
        <v>47</v>
      </c>
      <c r="B7">
        <f>INDEX(ComputeThermoProps(T_in,p_in,ParametersRange),1,6)</f>
        <v>6.9921386598648034</v>
      </c>
    </row>
    <row r="8" spans="1:2" x14ac:dyDescent="0.25">
      <c r="A8" t="s">
        <v>48</v>
      </c>
      <c r="B8">
        <f>INDEX(ComputeThermoProps(T_in,p_in,ParametersRange),1,7)</f>
        <v>2.68</v>
      </c>
    </row>
    <row r="9" spans="1:2" x14ac:dyDescent="0.25">
      <c r="A9" t="s">
        <v>49</v>
      </c>
      <c r="B9">
        <f>INDEX(ComputeThermoProps(T_in,p_in,ParametersRange),1,8)</f>
        <v>20.687130138028557</v>
      </c>
    </row>
    <row r="10" spans="1:2" x14ac:dyDescent="0.25">
      <c r="A10" t="s">
        <v>50</v>
      </c>
      <c r="B10">
        <f>INDEX(ComputeThermoProps(T_in,p_in,ParametersRange),1,9)</f>
        <v>2.8296212868972668</v>
      </c>
    </row>
    <row r="11" spans="1:2" x14ac:dyDescent="0.25">
      <c r="A11" t="s">
        <v>51</v>
      </c>
      <c r="B11">
        <f>INDEX(ComputeThermoProps(T_in,p_in,ParametersRange),1,10)</f>
        <v>-7.6090827309441105</v>
      </c>
    </row>
    <row r="12" spans="1:2" x14ac:dyDescent="0.25">
      <c r="A12" t="s">
        <v>52</v>
      </c>
      <c r="B12">
        <f>INDEX(ComputeThermoProps(T_in,p_in,ParametersRange),1,11)</f>
        <v>24.141666353984256</v>
      </c>
    </row>
    <row r="13" spans="1:2" x14ac:dyDescent="0.25">
      <c r="A13" t="s">
        <v>53</v>
      </c>
      <c r="B13">
        <f>INDEX(ComputeThermoProps(T_in,p_in,ParametersRange),1,12)</f>
        <v>-4.1545465149884118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34.545362159556987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O367"/>
  <sheetViews>
    <sheetView tabSelected="1" topLeftCell="J76" zoomScale="55" zoomScaleNormal="55" workbookViewId="0">
      <selection activeCell="AS121" sqref="AS121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2" x14ac:dyDescent="0.25">
      <c r="A2" s="2" t="s">
        <v>55</v>
      </c>
      <c r="B2" s="3">
        <v>0.1</v>
      </c>
    </row>
    <row r="3" spans="1:2" x14ac:dyDescent="0.25">
      <c r="A3" s="2" t="s">
        <v>56</v>
      </c>
      <c r="B3" s="3">
        <v>350</v>
      </c>
    </row>
    <row r="4" spans="1:2" x14ac:dyDescent="0.25">
      <c r="A4" s="2" t="s">
        <v>57</v>
      </c>
      <c r="B4" s="3">
        <v>1</v>
      </c>
    </row>
    <row r="5" spans="1:2" x14ac:dyDescent="0.25">
      <c r="A5" s="2" t="s">
        <v>70</v>
      </c>
      <c r="B5" s="3">
        <v>161.405</v>
      </c>
    </row>
    <row r="6" spans="1:2" x14ac:dyDescent="0.25">
      <c r="A6" s="2" t="s">
        <v>71</v>
      </c>
      <c r="B6" s="3">
        <v>8.1769999999999995E-2</v>
      </c>
    </row>
    <row r="8" spans="1:2" x14ac:dyDescent="0.25">
      <c r="A8" s="2" t="s">
        <v>72</v>
      </c>
      <c r="B8" s="3">
        <v>-18.910506919795399</v>
      </c>
    </row>
    <row r="9" spans="1:2" x14ac:dyDescent="0.25">
      <c r="A9" s="2" t="s">
        <v>73</v>
      </c>
      <c r="B9" s="3">
        <v>11.2851603778194</v>
      </c>
    </row>
    <row r="10" spans="1:2" x14ac:dyDescent="0.25">
      <c r="A10" s="2" t="s">
        <v>74</v>
      </c>
      <c r="B10" s="3">
        <v>-12.280765945817</v>
      </c>
    </row>
    <row r="12" spans="1:2" x14ac:dyDescent="0.25">
      <c r="A12" s="2" t="s">
        <v>75</v>
      </c>
      <c r="B12" s="3">
        <v>4136.6818290188803</v>
      </c>
    </row>
    <row r="13" spans="1:2" x14ac:dyDescent="0.25">
      <c r="A13" s="2" t="s">
        <v>76</v>
      </c>
      <c r="B13" s="3">
        <v>1.28003774712241</v>
      </c>
    </row>
    <row r="14" spans="1:2" x14ac:dyDescent="0.25">
      <c r="A14" s="2" t="s">
        <v>77</v>
      </c>
      <c r="B14" s="3">
        <v>2209.5714300629002</v>
      </c>
    </row>
    <row r="15" spans="1:2" x14ac:dyDescent="0.25">
      <c r="A15" s="2" t="s">
        <v>78</v>
      </c>
      <c r="B15" s="3">
        <v>0.85583201701076905</v>
      </c>
    </row>
    <row r="17" spans="1:15" x14ac:dyDescent="0.25">
      <c r="A17" s="2" t="s">
        <v>80</v>
      </c>
      <c r="B17" s="2" t="s">
        <v>79</v>
      </c>
      <c r="C17" s="2" t="s">
        <v>58</v>
      </c>
      <c r="D17" s="2" t="s">
        <v>59</v>
      </c>
      <c r="E17" s="2" t="s">
        <v>60</v>
      </c>
      <c r="F17" s="2" t="s">
        <v>61</v>
      </c>
      <c r="G17" s="2" t="s">
        <v>62</v>
      </c>
      <c r="H17" s="2" t="s">
        <v>63</v>
      </c>
      <c r="I17" s="2" t="s">
        <v>64</v>
      </c>
      <c r="J17" s="2" t="s">
        <v>65</v>
      </c>
      <c r="K17" s="2" t="s">
        <v>66</v>
      </c>
      <c r="L17" s="2" t="s">
        <v>67</v>
      </c>
      <c r="M17" s="2" t="s">
        <v>68</v>
      </c>
      <c r="N17" s="2" t="s">
        <v>69</v>
      </c>
      <c r="O17" s="4" t="s">
        <v>81</v>
      </c>
    </row>
    <row r="18" spans="1:15" x14ac:dyDescent="0.25">
      <c r="A18" s="2" cm="1">
        <f t="array" ref="A18:A367">_xlfn.SEQUENCE( 1+INT( (B3-B2)/B4 ), 1, B2, B4 )</f>
        <v>0.1</v>
      </c>
      <c r="B18" s="2">
        <f>IF(
  A18 &lt;= $B$5,
  $B$6 * EXP( ($B$5/A18) * ( $B$8*(1 - A18/$B$5) + $B$9*(1 - A18/$B$5)^1.5 + $B$10*(1 - A18/$B$5)^5 ) ),
  $B$6 * ( 1 + $B$12 * MAX(A18/$B$5 - 1, 0)^$B$13 + $B$14 * MAX(A18/$B$5 - 1, 0)^$B$15 )
)</f>
        <v>0</v>
      </c>
      <c r="C18" s="2" t="e" cm="1">
        <f t="array" ref="C18">INDEX( ComputeThermoProps($A18, $B18, ParametersRange), 1, COLUMN()-2 )</f>
        <v>#VALUE!</v>
      </c>
      <c r="D18" s="2" t="e" cm="1">
        <f t="array" ref="D18">INDEX( ComputeThermoProps($A18, $B18, ParametersRange), 1, COLUMN()-2 )</f>
        <v>#VALUE!</v>
      </c>
      <c r="E18" s="2" t="e" cm="1">
        <f t="array" ref="E18">INDEX( ComputeThermoProps($A18, $B18, ParametersRange), 1, COLUMN()-2 )</f>
        <v>#VALUE!</v>
      </c>
      <c r="F18" s="2" t="e" cm="1">
        <f t="array" ref="F18">INDEX( ComputeThermoProps($A18, $B18, ParametersRange), 1, COLUMN()-2 )</f>
        <v>#VALUE!</v>
      </c>
      <c r="G18" s="2" t="e" cm="1">
        <f t="array" ref="G18">INDEX( ComputeThermoProps($A18, $B18, ParametersRange), 1, COLUMN()-2 )</f>
        <v>#VALUE!</v>
      </c>
      <c r="H18" s="2" t="e" cm="1">
        <f t="array" ref="H18">INDEX( ComputeThermoProps($A18, $B18, ParametersRange), 1, COLUMN()-2 )</f>
        <v>#VALUE!</v>
      </c>
      <c r="I18" s="2" t="e" cm="1">
        <f t="array" ref="I18">INDEX( ComputeThermoProps($A18, $B18, ParametersRange), 1, COLUMN()-2 )</f>
        <v>#VALUE!</v>
      </c>
      <c r="J18" s="2" t="e" cm="1">
        <f t="array" ref="J18">INDEX( ComputeThermoProps($A18, $B18, ParametersRange), 1, COLUMN()-2 )</f>
        <v>#VALUE!</v>
      </c>
      <c r="K18" s="2" t="e" cm="1">
        <f t="array" ref="K18">INDEX( ComputeThermoProps($A18, $B18, ParametersRange), 1, COLUMN()-2 )</f>
        <v>#VALUE!</v>
      </c>
      <c r="L18" s="2" t="e" cm="1">
        <f t="array" ref="L18">INDEX( ComputeThermoProps($A18, $B18, ParametersRange), 1, COLUMN()-2 )</f>
        <v>#VALUE!</v>
      </c>
      <c r="M18" s="2" t="e" cm="1">
        <f t="array" ref="M18">INDEX( ComputeThermoProps($A18, $B18, ParametersRange), 1, COLUMN()-2 )</f>
        <v>#VALUE!</v>
      </c>
      <c r="N18" s="2" t="e" cm="1">
        <f t="array" ref="N18">INDEX( ComputeThermoProps($A18, $B18, ParametersRange), 1, COLUMN()-2 )</f>
        <v>#VALUE!</v>
      </c>
      <c r="O18" s="4" t="e">
        <f>LOG10(B18)</f>
        <v>#NUM!</v>
      </c>
    </row>
    <row r="19" spans="1:15" x14ac:dyDescent="0.25">
      <c r="A19" s="2">
        <v>1.1000000000000001</v>
      </c>
      <c r="B19" s="2">
        <f t="shared" ref="B19:B82" si="0">IF(
  A19 &lt;= $B$5,
  $B$6 * EXP( ($B$5/A19) * ( $B$8*(1 - A19/$B$5) + $B$9*(1 - A19/$B$5)^1.5 + $B$10*(1 - A19/$B$5)^5 ) ),
  $B$6 * ( 1 + $B$12 * MAX(A19/$B$5 - 1, 0)^$B$13 + $B$14 * MAX(A19/$B$5 - 1, 0)^$B$15 )
)</f>
        <v>0</v>
      </c>
      <c r="C19" s="2" cm="1">
        <f t="array" ref="C19">INDEX( ComputeThermoProps($A19, $B19, ParametersRange), 1, COLUMN()-2 )</f>
        <v>34.53000282184361</v>
      </c>
      <c r="D19" s="2" cm="1">
        <f t="array" ref="D19">INDEX( ComputeThermoProps($A19, $B19, ParametersRange), 1, COLUMN()-2 )</f>
        <v>2.953270718878054E-4</v>
      </c>
      <c r="E19" s="2" cm="1">
        <f t="array" ref="E19">INDEX( ComputeThermoProps($A19, $B19, ParametersRange), 1, COLUMN()-2 )</f>
        <v>2.9532681317524947E-4</v>
      </c>
      <c r="F19" s="2" cm="1">
        <f t="array" ref="F19">INDEX( ComputeThermoProps($A19, $B19, ParametersRange), 1, COLUMN()-2 )</f>
        <v>2.9715780958048278E-7</v>
      </c>
      <c r="G19" s="2" cm="1">
        <f t="array" ref="G19">INDEX( ComputeThermoProps($A19, $B19, ParametersRange), 1, COLUMN()-2 )</f>
        <v>1.2964210951799008E-2</v>
      </c>
      <c r="H19" s="2" cm="1">
        <f t="array" ref="H19">INDEX( ComputeThermoProps($A19, $B19, ParametersRange), 1, COLUMN()-2 )</f>
        <v>1.2964199594885028E-2</v>
      </c>
      <c r="I19" s="2" cm="1">
        <f t="array" ref="I19">INDEX( ComputeThermoProps($A19, $B19, ParametersRange), 1, COLUMN()-2 )</f>
        <v>2.6800000000000006</v>
      </c>
      <c r="J19" s="2" cm="1">
        <f t="array" ref="J19">INDEX( ComputeThermoProps($A19, $B19, ParametersRange), 1, COLUMN()-2 )</f>
        <v>3.5652937211563696E-3</v>
      </c>
      <c r="K19" s="2" cm="1">
        <f t="array" ref="K19">INDEX( ComputeThermoProps($A19, $B19, ParametersRange), 1, COLUMN()-2 )</f>
        <v>4.3215676736150779E-3</v>
      </c>
      <c r="L19" s="2" cm="1">
        <f t="array" ref="L19">INDEX( ComputeThermoProps($A19, $B19, ParametersRange), 1, COLUMN()-2 )</f>
        <v>-1.1884307198202165E-3</v>
      </c>
      <c r="M19" s="2" cm="1">
        <f t="array" ref="M19">INDEX( ComputeThermoProps($A19, $B19, ParametersRange), 1, COLUMN()-2 )</f>
        <v>3.5652937211563696E-3</v>
      </c>
      <c r="N19" s="2" cm="1">
        <f t="array" ref="N19">INDEX( ComputeThermoProps($A19, $B19, ParametersRange), 1, COLUMN()-2 )</f>
        <v>-1.1884307198202165E-3</v>
      </c>
      <c r="O19" s="4" t="e">
        <f t="shared" ref="O19:O82" si="1">LOG10(B19)</f>
        <v>#NUM!</v>
      </c>
    </row>
    <row r="20" spans="1:15" x14ac:dyDescent="0.25">
      <c r="A20" s="2">
        <v>2.1</v>
      </c>
      <c r="B20" s="2">
        <f t="shared" si="0"/>
        <v>0</v>
      </c>
      <c r="C20" s="2" cm="1">
        <f t="array" ref="C20">INDEX( ComputeThermoProps($A20, $B20, ParametersRange), 1, COLUMN()-2 )</f>
        <v>34.53003748106461</v>
      </c>
      <c r="D20" s="2" cm="1">
        <f t="array" ref="D20">INDEX( ComputeThermoProps($A20, $B20, ParametersRange), 1, COLUMN()-2 )</f>
        <v>2.9533103152427161E-4</v>
      </c>
      <c r="E20" s="2" cm="1">
        <f t="array" ref="E20">INDEX( ComputeThermoProps($A20, $B20, ParametersRange), 1, COLUMN()-2 )</f>
        <v>2.953275950754252E-4</v>
      </c>
      <c r="F20" s="2" cm="1">
        <f t="array" ref="F20">INDEX( ComputeThermoProps($A20, $B20, ParametersRange), 1, COLUMN()-2 )</f>
        <v>2.0675297431022891E-6</v>
      </c>
      <c r="G20" s="2" cm="1">
        <f t="array" ref="G20">INDEX( ComputeThermoProps($A20, $B20, ParametersRange), 1, COLUMN()-2 )</f>
        <v>9.0200717643974151E-2</v>
      </c>
      <c r="H20" s="2" cm="1">
        <f t="array" ref="H20">INDEX( ComputeThermoProps($A20, $B20, ParametersRange), 1, COLUMN()-2 )</f>
        <v>9.0199668075459483E-2</v>
      </c>
      <c r="I20" s="2" cm="1">
        <f t="array" ref="I20">INDEX( ComputeThermoProps($A20, $B20, ParametersRange), 1, COLUMN()-2 )</f>
        <v>2.68</v>
      </c>
      <c r="J20" s="2" cm="1">
        <f t="array" ref="J20">INDEX( ComputeThermoProps($A20, $B20, ParametersRange), 1, COLUMN()-2 )</f>
        <v>4.7355858798371349E-2</v>
      </c>
      <c r="K20" s="2" cm="1">
        <f t="array" ref="K20">INDEX( ComputeThermoProps($A20, $B20, ParametersRange), 1, COLUMN()-2 )</f>
        <v>3.0067168222594965E-2</v>
      </c>
      <c r="L20" s="2" cm="1">
        <f t="array" ref="L20">INDEX( ComputeThermoProps($A20, $B20, ParametersRange), 1, COLUMN()-2 )</f>
        <v>-1.5785194469078081E-2</v>
      </c>
      <c r="M20" s="2" cm="1">
        <f t="array" ref="M20">INDEX( ComputeThermoProps($A20, $B20, ParametersRange), 1, COLUMN()-2 )</f>
        <v>4.7355858798371349E-2</v>
      </c>
      <c r="N20" s="2" cm="1">
        <f t="array" ref="N20">INDEX( ComputeThermoProps($A20, $B20, ParametersRange), 1, COLUMN()-2 )</f>
        <v>-1.5785194469078081E-2</v>
      </c>
      <c r="O20" s="4" t="e">
        <f t="shared" si="1"/>
        <v>#NUM!</v>
      </c>
    </row>
    <row r="21" spans="1:15" x14ac:dyDescent="0.25">
      <c r="A21" s="2">
        <v>3.1</v>
      </c>
      <c r="B21" s="2">
        <f t="shared" si="0"/>
        <v>0</v>
      </c>
      <c r="C21" s="2" cm="1">
        <f t="array" ref="C21">INDEX( ComputeThermoProps($A21, $B21, ParametersRange), 1, COLUMN()-2 )</f>
        <v>34.530177985898604</v>
      </c>
      <c r="D21" s="2" cm="1">
        <f t="array" ref="D21">INDEX( ComputeThermoProps($A21, $B21, ParametersRange), 1, COLUMN()-2 )</f>
        <v>2.9534708390812291E-4</v>
      </c>
      <c r="E21" s="2" cm="1">
        <f t="array" ref="E21">INDEX( ComputeThermoProps($A21, $B21, ParametersRange), 1, COLUMN()-2 )</f>
        <v>2.953307648723889E-4</v>
      </c>
      <c r="F21" s="2" cm="1">
        <f t="array" ref="F21">INDEX( ComputeThermoProps($A21, $B21, ParametersRange), 1, COLUMN()-2 )</f>
        <v>6.65103625772427E-6</v>
      </c>
      <c r="G21" s="2" cm="1">
        <f t="array" ref="G21">INDEX( ComputeThermoProps($A21, $B21, ParametersRange), 1, COLUMN()-2 )</f>
        <v>0.29016474737007403</v>
      </c>
      <c r="H21" s="2" cm="1">
        <f t="array" ref="H21">INDEX( ComputeThermoProps($A21, $B21, ParametersRange), 1, COLUMN()-2 )</f>
        <v>0.29014871467789899</v>
      </c>
      <c r="I21" s="2" cm="1">
        <f t="array" ref="I21">INDEX( ComputeThermoProps($A21, $B21, ParametersRange), 1, COLUMN()-2 )</f>
        <v>2.6800000000000006</v>
      </c>
      <c r="J21" s="2" cm="1">
        <f t="array" ref="J21">INDEX( ComputeThermoProps($A21, $B21, ParametersRange), 1, COLUMN()-2 )</f>
        <v>0.2248770128779127</v>
      </c>
      <c r="K21" s="2" cm="1">
        <f t="array" ref="K21">INDEX( ComputeThermoProps($A21, $B21, ParametersRange), 1, COLUMN()-2 )</f>
        <v>9.6720789955599809E-2</v>
      </c>
      <c r="L21" s="2" cm="1">
        <f t="array" ref="L21">INDEX( ComputeThermoProps($A21, $B21, ParametersRange), 1, COLUMN()-2 )</f>
        <v>-7.4957435984446721E-2</v>
      </c>
      <c r="M21" s="2" cm="1">
        <f t="array" ref="M21">INDEX( ComputeThermoProps($A21, $B21, ParametersRange), 1, COLUMN()-2 )</f>
        <v>0.2248770128779127</v>
      </c>
      <c r="N21" s="2" cm="1">
        <f t="array" ref="N21">INDEX( ComputeThermoProps($A21, $B21, ParametersRange), 1, COLUMN()-2 )</f>
        <v>-7.4957435984446721E-2</v>
      </c>
      <c r="O21" s="4" t="e">
        <f t="shared" si="1"/>
        <v>#NUM!</v>
      </c>
    </row>
    <row r="22" spans="1:15" x14ac:dyDescent="0.25">
      <c r="A22" s="2">
        <v>4.0999999999999996</v>
      </c>
      <c r="B22" s="2">
        <f t="shared" si="0"/>
        <v>0</v>
      </c>
      <c r="C22" s="2" cm="1">
        <f t="array" ref="C22">INDEX( ComputeThermoProps($A22, $B22, ParametersRange), 1, COLUMN()-2 )</f>
        <v>34.530544459829585</v>
      </c>
      <c r="D22" s="2" cm="1">
        <f t="array" ref="D22">INDEX( ComputeThermoProps($A22, $B22, ParametersRange), 1, COLUMN()-2 )</f>
        <v>2.9538891002967547E-4</v>
      </c>
      <c r="E22" s="2" cm="1">
        <f t="array" ref="E22">INDEX( ComputeThermoProps($A22, $B22, ParametersRange), 1, COLUMN()-2 )</f>
        <v>2.9533903296727077E-4</v>
      </c>
      <c r="F22" s="2" cm="1">
        <f t="array" ref="F22">INDEX( ComputeThermoProps($A22, $B22, ParametersRange), 1, COLUMN()-2 )</f>
        <v>1.5369557631471145E-5</v>
      </c>
      <c r="G22" s="2" cm="1">
        <f t="array" ref="G22">INDEX( ComputeThermoProps($A22, $B22, ParametersRange), 1, COLUMN()-2 )</f>
        <v>0.67051600894934826</v>
      </c>
      <c r="H22" s="2" cm="1">
        <f t="array" ref="H22">INDEX( ComputeThermoProps($A22, $B22, ParametersRange), 1, COLUMN()-2 )</f>
        <v>0.67040279085724608</v>
      </c>
      <c r="I22" s="2" cm="1">
        <f t="array" ref="I22">INDEX( ComputeThermoProps($A22, $B22, ParametersRange), 1, COLUMN()-2 )</f>
        <v>2.68</v>
      </c>
      <c r="J22" s="2" cm="1">
        <f t="array" ref="J22">INDEX( ComputeThermoProps($A22, $B22, ParametersRange), 1, COLUMN()-2 )</f>
        <v>0.68789037375337658</v>
      </c>
      <c r="K22" s="2" cm="1">
        <f t="array" ref="K22">INDEX( ComputeThermoProps($A22, $B22, ParametersRange), 1, COLUMN()-2 )</f>
        <v>0.22371556410038837</v>
      </c>
      <c r="L22" s="2" cm="1">
        <f t="array" ref="L22">INDEX( ComputeThermoProps($A22, $B22, ParametersRange), 1, COLUMN()-2 )</f>
        <v>-0.22934343905821566</v>
      </c>
      <c r="M22" s="2" cm="1">
        <f t="array" ref="M22">INDEX( ComputeThermoProps($A22, $B22, ParametersRange), 1, COLUMN()-2 )</f>
        <v>0.68789037375337658</v>
      </c>
      <c r="N22" s="2" cm="1">
        <f t="array" ref="N22">INDEX( ComputeThermoProps($A22, $B22, ParametersRange), 1, COLUMN()-2 )</f>
        <v>-0.22934343905821566</v>
      </c>
      <c r="O22" s="4" t="e">
        <f t="shared" si="1"/>
        <v>#NUM!</v>
      </c>
    </row>
    <row r="23" spans="1:15" x14ac:dyDescent="0.25">
      <c r="A23" s="2">
        <v>5.0999999999999996</v>
      </c>
      <c r="B23" s="2">
        <f t="shared" si="0"/>
        <v>1.8435807213083954E-249</v>
      </c>
      <c r="C23" s="2" cm="1">
        <f t="array" ref="C23">INDEX( ComputeThermoProps($A23, $B23, ParametersRange), 1, COLUMN()-2 )</f>
        <v>34.531300074086325</v>
      </c>
      <c r="D23" s="2" cm="1">
        <f t="array" ref="D23">INDEX( ComputeThermoProps($A23, $B23, ParametersRange), 1, COLUMN()-2 )</f>
        <v>2.9547449572242681E-4</v>
      </c>
      <c r="E23" s="2" cm="1">
        <f t="array" ref="E23">INDEX( ComputeThermoProps($A23, $B23, ParametersRange), 1, COLUMN()-2 )</f>
        <v>2.9535608246594031E-4</v>
      </c>
      <c r="F23" s="2" cm="1">
        <f t="array" ref="F23">INDEX( ComputeThermoProps($A23, $B23, ParametersRange), 1, COLUMN()-2 )</f>
        <v>2.9332524068161659E-5</v>
      </c>
      <c r="G23" s="2" cm="1">
        <f t="array" ref="G23">INDEX( ComputeThermoProps($A23, $B23, ParametersRange), 1, COLUMN()-2 )</f>
        <v>1.2796218645230901</v>
      </c>
      <c r="H23" s="2" cm="1">
        <f t="array" ref="H23">INDEX( ComputeThermoProps($A23, $B23, ParametersRange), 1, COLUMN()-2 )</f>
        <v>1.2791090480389498</v>
      </c>
      <c r="I23" s="2" cm="1">
        <f t="array" ref="I23">INDEX( ComputeThermoProps($A23, $B23, ParametersRange), 1, COLUMN()-2 )</f>
        <v>2.68</v>
      </c>
      <c r="J23" s="2" cm="1">
        <f t="array" ref="J23">INDEX( ComputeThermoProps($A23, $B23, ParametersRange), 1, COLUMN()-2 )</f>
        <v>1.6425135324820228</v>
      </c>
      <c r="K23" s="2" cm="1">
        <f t="array" ref="K23">INDEX( ComputeThermoProps($A23, $B23, ParametersRange), 1, COLUMN()-2 )</f>
        <v>0.429657246709503</v>
      </c>
      <c r="L23" s="2" cm="1">
        <f t="array" ref="L23">INDEX( ComputeThermoProps($A23, $B23, ParametersRange), 1, COLUMN()-2 )</f>
        <v>-0.54873842573644238</v>
      </c>
      <c r="M23" s="2" cm="1">
        <f t="array" ref="M23">INDEX( ComputeThermoProps($A23, $B23, ParametersRange), 1, COLUMN()-2 )</f>
        <v>1.6425135324820228</v>
      </c>
      <c r="N23" s="2" cm="1">
        <f t="array" ref="N23">INDEX( ComputeThermoProps($A23, $B23, ParametersRange), 1, COLUMN()-2 )</f>
        <v>-0.54873842573644238</v>
      </c>
      <c r="O23" s="4">
        <f t="shared" si="1"/>
        <v>-248.73433784202786</v>
      </c>
    </row>
    <row r="24" spans="1:15" x14ac:dyDescent="0.25">
      <c r="A24" s="2">
        <v>6.1</v>
      </c>
      <c r="B24" s="2">
        <f t="shared" si="0"/>
        <v>6.6327243518992226E-205</v>
      </c>
      <c r="C24" s="2" cm="1">
        <f t="array" ref="C24">INDEX( ComputeThermoProps($A24, $B24, ParametersRange), 1, COLUMN()-2 )</f>
        <v>34.532635776144254</v>
      </c>
      <c r="D24" s="2" cm="1">
        <f t="array" ref="D24">INDEX( ComputeThermoProps($A24, $B24, ParametersRange), 1, COLUMN()-2 )</f>
        <v>2.9562261521602401E-4</v>
      </c>
      <c r="E24" s="2" cm="1">
        <f t="array" ref="E24">INDEX( ComputeThermoProps($A24, $B24, ParametersRange), 1, COLUMN()-2 )</f>
        <v>2.9538622727839106E-4</v>
      </c>
      <c r="F24" s="2" cm="1">
        <f t="array" ref="F24">INDEX( ComputeThermoProps($A24, $B24, ParametersRange), 1, COLUMN()-2 )</f>
        <v>4.8952000052447008E-5</v>
      </c>
      <c r="G24" s="2" cm="1">
        <f t="array" ref="G24">INDEX( ComputeThermoProps($A24, $B24, ParametersRange), 1, COLUMN()-2 )</f>
        <v>2.135379812728853</v>
      </c>
      <c r="H24" s="2" cm="1">
        <f t="array" ref="H24">INDEX( ComputeThermoProps($A24, $B24, ParametersRange), 1, COLUMN()-2 )</f>
        <v>2.1336723045613022</v>
      </c>
      <c r="I24" s="2" cm="1">
        <f t="array" ref="I24">INDEX( ComputeThermoProps($A24, $B24, ParametersRange), 1, COLUMN()-2 )</f>
        <v>2.68</v>
      </c>
      <c r="J24" s="2" cm="1">
        <f t="array" ref="J24">INDEX( ComputeThermoProps($A24, $B24, ParametersRange), 1, COLUMN()-2 )</f>
        <v>3.3298695373755294</v>
      </c>
      <c r="K24" s="2" cm="1">
        <f t="array" ref="K24">INDEX( ComputeThermoProps($A24, $B24, ParametersRange), 1, COLUMN()-2 )</f>
        <v>0.7294922905744563</v>
      </c>
      <c r="L24" s="2" cm="1">
        <f t="array" ref="L24">INDEX( ComputeThermoProps($A24, $B24, ParametersRange), 1, COLUMN()-2 )</f>
        <v>-1.1200334351286538</v>
      </c>
      <c r="M24" s="2" cm="1">
        <f t="array" ref="M24">INDEX( ComputeThermoProps($A24, $B24, ParametersRange), 1, COLUMN()-2 )</f>
        <v>3.3298695373755294</v>
      </c>
      <c r="N24" s="2" cm="1">
        <f t="array" ref="N24">INDEX( ComputeThermoProps($A24, $B24, ParametersRange), 1, COLUMN()-2 )</f>
        <v>-1.1200334351286538</v>
      </c>
      <c r="O24" s="4">
        <f t="shared" si="1"/>
        <v>-204.17830805108647</v>
      </c>
    </row>
    <row r="25" spans="1:15" x14ac:dyDescent="0.25">
      <c r="A25" s="2">
        <v>7.1</v>
      </c>
      <c r="B25" s="2">
        <f t="shared" si="0"/>
        <v>5.5856495977750459E-173</v>
      </c>
      <c r="C25" s="2" cm="1">
        <f t="array" ref="C25">INDEX( ComputeThermoProps($A25, $B25, ParametersRange), 1, COLUMN()-2 )</f>
        <v>34.534739787284657</v>
      </c>
      <c r="D25" s="2" cm="1">
        <f t="array" ref="D25">INDEX( ComputeThermoProps($A25, $B25, ParametersRange), 1, COLUMN()-2 )</f>
        <v>2.9584777220724451E-4</v>
      </c>
      <c r="E25" s="2" cm="1">
        <f t="array" ref="E25">INDEX( ComputeThermoProps($A25, $B25, ParametersRange), 1, COLUMN()-2 )</f>
        <v>2.9543372814792412E-4</v>
      </c>
      <c r="F25" s="2" cm="1">
        <f t="array" ref="F25">INDEX( ComputeThermoProps($A25, $B25, ParametersRange), 1, COLUMN()-2 )</f>
        <v>7.3653491658286208E-5</v>
      </c>
      <c r="G25" s="2" cm="1">
        <f t="array" ref="G25">INDEX( ComputeThermoProps($A25, $B25, ParametersRange), 1, COLUMN()-2 )</f>
        <v>3.2125852356149172</v>
      </c>
      <c r="H25" s="2" cm="1">
        <f t="array" ref="H25">INDEX( ComputeThermoProps($A25, $B25, ParametersRange), 1, COLUMN()-2 )</f>
        <v>3.2080891671742364</v>
      </c>
      <c r="I25" s="2" cm="1">
        <f t="array" ref="I25">INDEX( ComputeThermoProps($A25, $B25, ParametersRange), 1, COLUMN()-2 )</f>
        <v>2.68</v>
      </c>
      <c r="J25" s="2" cm="1">
        <f t="array" ref="J25">INDEX( ComputeThermoProps($A25, $B25, ParametersRange), 1, COLUMN()-2 )</f>
        <v>5.9874601711122839</v>
      </c>
      <c r="K25" s="2" cm="1">
        <f t="array" ref="K25">INDEX( ComputeThermoProps($A25, $B25, ParametersRange), 1, COLUMN()-2 )</f>
        <v>1.1308617106037515</v>
      </c>
      <c r="L25" s="2" cm="1">
        <f t="array" ref="L25">INDEX( ComputeThermoProps($A25, $B25, ParametersRange), 1, COLUMN()-2 )</f>
        <v>-2.0416579741743512</v>
      </c>
      <c r="M25" s="2" cm="1">
        <f t="array" ref="M25">INDEX( ComputeThermoProps($A25, $B25, ParametersRange), 1, COLUMN()-2 )</f>
        <v>5.9874601711122839</v>
      </c>
      <c r="N25" s="2" cm="1">
        <f t="array" ref="N25">INDEX( ComputeThermoProps($A25, $B25, ParametersRange), 1, COLUMN()-2 )</f>
        <v>-2.0416579741743512</v>
      </c>
      <c r="O25" s="4">
        <f t="shared" si="1"/>
        <v>-172.25292631219497</v>
      </c>
    </row>
    <row r="26" spans="1:15" x14ac:dyDescent="0.25">
      <c r="A26" s="2">
        <v>8.1</v>
      </c>
      <c r="B26" s="2">
        <f t="shared" si="0"/>
        <v>5.2629527538908082E-149</v>
      </c>
      <c r="C26" s="2" cm="1">
        <f t="array" ref="C26">INDEX( ComputeThermoProps($A26, $B26, ParametersRange), 1, COLUMN()-2 )</f>
        <v>34.53776653735445</v>
      </c>
      <c r="D26" s="2" cm="1">
        <f t="array" ref="D26">INDEX( ComputeThermoProps($A26, $B26, ParametersRange), 1, COLUMN()-2 )</f>
        <v>2.9615720179783958E-4</v>
      </c>
      <c r="E26" s="2" cm="1">
        <f t="array" ref="E26">INDEX( ComputeThermoProps($A26, $B26, ParametersRange), 1, COLUMN()-2 )</f>
        <v>2.9550209642447659E-4</v>
      </c>
      <c r="F26" s="2" cm="1">
        <f t="array" ref="F26">INDEX( ComputeThermoProps($A26, $B26, ParametersRange), 1, COLUMN()-2 )</f>
        <v>1.0212469733670758E-4</v>
      </c>
      <c r="G26" s="2" cm="1">
        <f t="array" ref="G26">INDEX( ComputeThermoProps($A26, $B26, ParametersRange), 1, COLUMN()-2 )</f>
        <v>4.4537893414460434</v>
      </c>
      <c r="H26" s="2" cm="1">
        <f t="array" ref="H26">INDEX( ComputeThermoProps($A26, $B26, ParametersRange), 1, COLUMN()-2 )</f>
        <v>4.4439374745601592</v>
      </c>
      <c r="I26" s="2" cm="1">
        <f t="array" ref="I26">INDEX( ComputeThermoProps($A26, $B26, ParametersRange), 1, COLUMN()-2 )</f>
        <v>2.6800000000000006</v>
      </c>
      <c r="J26" s="2" cm="1">
        <f t="array" ref="J26">INDEX( ComputeThermoProps($A26, $B26, ParametersRange), 1, COLUMN()-2 )</f>
        <v>9.8098189646200353</v>
      </c>
      <c r="K26" s="2" cm="1">
        <f t="array" ref="K26">INDEX( ComputeThermoProps($A26, $B26, ParametersRange), 1, COLUMN()-2 )</f>
        <v>1.6327338300926415</v>
      </c>
      <c r="L26" s="2" cm="1">
        <f t="array" ref="L26">INDEX( ComputeThermoProps($A26, $B26, ParametersRange), 1, COLUMN()-2 )</f>
        <v>-3.4153250591303603</v>
      </c>
      <c r="M26" s="2" cm="1">
        <f t="array" ref="M26">INDEX( ComputeThermoProps($A26, $B26, ParametersRange), 1, COLUMN()-2 )</f>
        <v>9.8098189646200353</v>
      </c>
      <c r="N26" s="2" cm="1">
        <f t="array" ref="N26">INDEX( ComputeThermoProps($A26, $B26, ParametersRange), 1, COLUMN()-2 )</f>
        <v>-3.4153250591303603</v>
      </c>
      <c r="O26" s="4">
        <f t="shared" si="1"/>
        <v>-148.27877052867484</v>
      </c>
    </row>
    <row r="27" spans="1:15" x14ac:dyDescent="0.25">
      <c r="A27" s="2">
        <v>9.1</v>
      </c>
      <c r="B27" s="2">
        <f t="shared" si="0"/>
        <v>2.3263585575192892E-130</v>
      </c>
      <c r="C27" s="2" cm="1">
        <f t="array" ref="C27">INDEX( ComputeThermoProps($A27, $B27, ParametersRange), 1, COLUMN()-2 )</f>
        <v>34.541819559795776</v>
      </c>
      <c r="D27" s="2" cm="1">
        <f t="array" ref="D27">INDEX( ComputeThermoProps($A27, $B27, ParametersRange), 1, COLUMN()-2 )</f>
        <v>2.9655108066064227E-4</v>
      </c>
      <c r="E27" s="2" cm="1">
        <f t="array" ref="E27">INDEX( ComputeThermoProps($A27, $B27, ParametersRange), 1, COLUMN()-2 )</f>
        <v>2.9559371149843452E-4</v>
      </c>
      <c r="F27" s="2" cm="1">
        <f t="array" ref="F27">INDEX( ComputeThermoProps($A27, $B27, ParametersRange), 1, COLUMN()-2 )</f>
        <v>1.3280305247449748E-4</v>
      </c>
      <c r="G27" s="2" cm="1">
        <f t="array" ref="G27">INDEX( ComputeThermoProps($A27, $B27, ParametersRange), 1, COLUMN()-2 )</f>
        <v>5.7905962393073587</v>
      </c>
      <c r="H27" s="2" cm="1">
        <f t="array" ref="H27">INDEX( ComputeThermoProps($A27, $B27, ParametersRange), 1, COLUMN()-2 )</f>
        <v>5.7719021975997418</v>
      </c>
      <c r="I27" s="2" cm="1">
        <f t="array" ref="I27">INDEX( ComputeThermoProps($A27, $B27, ParametersRange), 1, COLUMN()-2 )</f>
        <v>2.68</v>
      </c>
      <c r="J27" s="2" cm="1">
        <f t="array" ref="J27">INDEX( ComputeThermoProps($A27, $B27, ParametersRange), 1, COLUMN()-2 )</f>
        <v>14.926829879653353</v>
      </c>
      <c r="K27" s="2" cm="1">
        <f t="array" ref="K27">INDEX( ComputeThermoProps($A27, $B27, ParametersRange), 1, COLUMN()-2 )</f>
        <v>2.2268954624077306</v>
      </c>
      <c r="L27" s="2" cm="1">
        <f t="array" ref="L27">INDEX( ComputeThermoProps($A27, $B27, ParametersRange), 1, COLUMN()-2 )</f>
        <v>-5.3379188282569956</v>
      </c>
      <c r="M27" s="2" cm="1">
        <f t="array" ref="M27">INDEX( ComputeThermoProps($A27, $B27, ParametersRange), 1, COLUMN()-2 )</f>
        <v>14.926829879653353</v>
      </c>
      <c r="N27" s="2" cm="1">
        <f t="array" ref="N27">INDEX( ComputeThermoProps($A27, $B27, ParametersRange), 1, COLUMN()-2 )</f>
        <v>-5.3379188282569956</v>
      </c>
      <c r="O27" s="4">
        <f t="shared" si="1"/>
        <v>-129.6333233474102</v>
      </c>
    </row>
    <row r="28" spans="1:15" x14ac:dyDescent="0.25">
      <c r="A28" s="2">
        <v>10.1</v>
      </c>
      <c r="B28" s="2">
        <f t="shared" si="0"/>
        <v>1.8505363091005237E-115</v>
      </c>
      <c r="C28" s="2" cm="1">
        <f t="array" ref="C28">INDEX( ComputeThermoProps($A28, $B28, ParametersRange), 1, COLUMN()-2 )</f>
        <v>34.546950006692036</v>
      </c>
      <c r="D28" s="2" cm="1">
        <f t="array" ref="D28">INDEX( ComputeThermoProps($A28, $B28, ParametersRange), 1, COLUMN()-2 )</f>
        <v>2.9702454918296403E-4</v>
      </c>
      <c r="E28" s="2" cm="1">
        <f t="array" ref="E28">INDEX( ComputeThermoProps($A28, $B28, ParametersRange), 1, COLUMN()-2 )</f>
        <v>2.9570978820429422E-4</v>
      </c>
      <c r="F28" s="2" cm="1">
        <f t="array" ref="F28">INDEX( ComputeThermoProps($A28, $B28, ParametersRange), 1, COLUMN()-2 )</f>
        <v>1.642573976499396E-4</v>
      </c>
      <c r="G28" s="2" cm="1">
        <f t="array" ref="G28">INDEX( ComputeThermoProps($A28, $B28, ParametersRange), 1, COLUMN()-2 )</f>
        <v>7.1603484166175821</v>
      </c>
      <c r="H28" s="2" cm="1">
        <f t="array" ref="H28">INDEX( ComputeThermoProps($A28, $B28, ParametersRange), 1, COLUMN()-2 )</f>
        <v>7.1286535728151268</v>
      </c>
      <c r="I28" s="2" cm="1">
        <f t="array" ref="I28">INDEX( ComputeThermoProps($A28, $B28, ParametersRange), 1, COLUMN()-2 )</f>
        <v>2.6800000000000006</v>
      </c>
      <c r="J28" s="2" cm="1">
        <f t="array" ref="J28">INDEX( ComputeThermoProps($A28, $B28, ParametersRange), 1, COLUMN()-2 )</f>
        <v>21.401832808397565</v>
      </c>
      <c r="K28" s="2" cm="1">
        <f t="array" ref="K28">INDEX( ComputeThermoProps($A28, $B28, ParametersRange), 1, COLUMN()-2 )</f>
        <v>2.9007431633789045</v>
      </c>
      <c r="L28" s="2" cm="1">
        <f t="array" ref="L28">INDEX( ComputeThermoProps($A28, $B28, ParametersRange), 1, COLUMN()-2 )</f>
        <v>-7.89567314172937</v>
      </c>
      <c r="M28" s="2" cm="1">
        <f t="array" ref="M28">INDEX( ComputeThermoProps($A28, $B28, ParametersRange), 1, COLUMN()-2 )</f>
        <v>21.401832808397565</v>
      </c>
      <c r="N28" s="2" cm="1">
        <f t="array" ref="N28">INDEX( ComputeThermoProps($A28, $B28, ParametersRange), 1, COLUMN()-2 )</f>
        <v>-7.89567314172937</v>
      </c>
      <c r="O28" s="4">
        <f t="shared" si="1"/>
        <v>-114.73270238925717</v>
      </c>
    </row>
    <row r="29" spans="1:15" x14ac:dyDescent="0.25">
      <c r="A29" s="2">
        <v>11.1</v>
      </c>
      <c r="B29" s="2">
        <f t="shared" si="0"/>
        <v>2.7301935033913423E-103</v>
      </c>
      <c r="C29" s="2" cm="1">
        <f t="array" ref="C29">INDEX( ComputeThermoProps($A29, $B29, ParametersRange), 1, COLUMN()-2 )</f>
        <v>34.553164836163276</v>
      </c>
      <c r="D29" s="2" cm="1">
        <f t="array" ref="D29">INDEX( ComputeThermoProps($A29, $B29, ParametersRange), 1, COLUMN()-2 )</f>
        <v>2.9756999209379424E-4</v>
      </c>
      <c r="E29" s="2" cm="1">
        <f t="array" ref="E29">INDEX( ComputeThermoProps($A29, $B29, ParametersRange), 1, COLUMN()-2 )</f>
        <v>2.958505600152422E-4</v>
      </c>
      <c r="F29" s="2" cm="1">
        <f t="array" ref="F29">INDEX( ComputeThermoProps($A29, $B29, ParametersRange), 1, COLUMN()-2 )</f>
        <v>1.9536864138405022E-4</v>
      </c>
      <c r="G29" s="2" cm="1">
        <f t="array" ref="G29">INDEX( ComputeThermoProps($A29, $B29, ParametersRange), 1, COLUMN()-2 )</f>
        <v>8.5140363225450226</v>
      </c>
      <c r="H29" s="2" cm="1">
        <f t="array" ref="H29">INDEX( ComputeThermoProps($A29, $B29, ParametersRange), 1, COLUMN()-2 )</f>
        <v>8.4648401416131538</v>
      </c>
      <c r="I29" s="2" cm="1">
        <f t="array" ref="I29">INDEX( ComputeThermoProps($A29, $B29, ParametersRange), 1, COLUMN()-2 )</f>
        <v>2.6800000000000006</v>
      </c>
      <c r="J29" s="2" cm="1">
        <f t="array" ref="J29">INDEX( ComputeThermoProps($A29, $B29, ParametersRange), 1, COLUMN()-2 )</f>
        <v>29.242001225992301</v>
      </c>
      <c r="K29" s="2" cm="1">
        <f t="array" ref="K29">INDEX( ComputeThermoProps($A29, $B29, ParametersRange), 1, COLUMN()-2 )</f>
        <v>3.6399236825362244</v>
      </c>
      <c r="L29" s="2" cm="1">
        <f t="array" ref="L29">INDEX( ComputeThermoProps($A29, $B29, ParametersRange), 1, COLUMN()-2 )</f>
        <v>-11.161151650159789</v>
      </c>
      <c r="M29" s="2" cm="1">
        <f t="array" ref="M29">INDEX( ComputeThermoProps($A29, $B29, ParametersRange), 1, COLUMN()-2 )</f>
        <v>29.242001225992301</v>
      </c>
      <c r="N29" s="2" cm="1">
        <f t="array" ref="N29">INDEX( ComputeThermoProps($A29, $B29, ParametersRange), 1, COLUMN()-2 )</f>
        <v>-11.161151650159789</v>
      </c>
      <c r="O29" s="4">
        <f t="shared" si="1"/>
        <v>-102.56380657109956</v>
      </c>
    </row>
    <row r="30" spans="1:15" x14ac:dyDescent="0.25">
      <c r="A30" s="2">
        <v>12.1</v>
      </c>
      <c r="B30" s="2">
        <f t="shared" si="0"/>
        <v>3.5607707421086625E-93</v>
      </c>
      <c r="C30" s="2" cm="1">
        <f t="array" ref="C30">INDEX( ComputeThermoProps($A30, $B30, ParametersRange), 1, COLUMN()-2 )</f>
        <v>34.560438412355168</v>
      </c>
      <c r="D30" s="2" cm="1">
        <f t="array" ref="D30">INDEX( ComputeThermoProps($A30, $B30, ParametersRange), 1, COLUMN()-2 )</f>
        <v>2.9817881396735306E-4</v>
      </c>
      <c r="E30" s="2" cm="1">
        <f t="array" ref="E30">INDEX( ComputeThermoProps($A30, $B30, ParametersRange), 1, COLUMN()-2 )</f>
        <v>2.9601553759696467E-4</v>
      </c>
      <c r="F30" s="2" cm="1">
        <f t="array" ref="F30">INDEX( ComputeThermoProps($A30, $B30, ParametersRange), 1, COLUMN()-2 )</f>
        <v>2.253602598502634E-4</v>
      </c>
      <c r="G30" s="2" cm="1">
        <f t="array" ref="G30">INDEX( ComputeThermoProps($A30, $B30, ParametersRange), 1, COLUMN()-2 )</f>
        <v>9.8176439176514805</v>
      </c>
      <c r="H30" s="2" cm="1">
        <f t="array" ref="H30">INDEX( ComputeThermoProps($A30, $B30, ParametersRange), 1, COLUMN()-2 )</f>
        <v>9.7464172707366252</v>
      </c>
      <c r="I30" s="2" cm="1">
        <f t="array" ref="I30">INDEX( ComputeThermoProps($A30, $B30, ParametersRange), 1, COLUMN()-2 )</f>
        <v>2.6800000000000006</v>
      </c>
      <c r="J30" s="2" cm="1">
        <f t="array" ref="J30">INDEX( ComputeThermoProps($A30, $B30, ParametersRange), 1, COLUMN()-2 )</f>
        <v>38.413066212637474</v>
      </c>
      <c r="K30" s="2" cm="1">
        <f t="array" ref="K30">INDEX( ComputeThermoProps($A30, $B30, ParametersRange), 1, COLUMN()-2 )</f>
        <v>4.4302127259160784</v>
      </c>
      <c r="L30" s="2" cm="1">
        <f t="array" ref="L30">INDEX( ComputeThermoProps($A30, $B30, ParametersRange), 1, COLUMN()-2 )</f>
        <v>-15.192507770947072</v>
      </c>
      <c r="M30" s="2" cm="1">
        <f t="array" ref="M30">INDEX( ComputeThermoProps($A30, $B30, ParametersRange), 1, COLUMN()-2 )</f>
        <v>38.413066212637474</v>
      </c>
      <c r="N30" s="2" cm="1">
        <f t="array" ref="N30">INDEX( ComputeThermoProps($A30, $B30, ParametersRange), 1, COLUMN()-2 )</f>
        <v>-15.192507770947072</v>
      </c>
      <c r="O30" s="4">
        <f t="shared" si="1"/>
        <v>-92.448455987191323</v>
      </c>
    </row>
    <row r="31" spans="1:15" x14ac:dyDescent="0.25">
      <c r="A31" s="2">
        <v>13.1</v>
      </c>
      <c r="B31" s="2">
        <f t="shared" si="0"/>
        <v>1.2146206888366937E-84</v>
      </c>
      <c r="C31" s="2" cm="1">
        <f t="array" ref="C31">INDEX( ComputeThermoProps($A31, $B31, ParametersRange), 1, COLUMN()-2 )</f>
        <v>34.56872365509772</v>
      </c>
      <c r="D31" s="2" cm="1">
        <f t="array" ref="D31">INDEX( ComputeThermoProps($A31, $B31, ParametersRange), 1, COLUMN()-2 )</f>
        <v>2.988425641551163E-4</v>
      </c>
      <c r="E31" s="2" cm="1">
        <f t="array" ref="E31">INDEX( ComputeThermoProps($A31, $B31, ParametersRange), 1, COLUMN()-2 )</f>
        <v>2.9620375654268953E-4</v>
      </c>
      <c r="F31" s="2" cm="1">
        <f t="array" ref="F31">INDEX( ComputeThermoProps($A31, $B31, ParametersRange), 1, COLUMN()-2 )</f>
        <v>2.5375293637149845E-4</v>
      </c>
      <c r="G31" s="2" cm="1">
        <f t="array" ref="G31">INDEX( ComputeThermoProps($A31, $B31, ParametersRange), 1, COLUMN()-2 )</f>
        <v>11.050172692541004</v>
      </c>
      <c r="H31" s="2" cm="1">
        <f t="array" ref="H31">INDEX( ComputeThermoProps($A31, $B31, ParametersRange), 1, COLUMN()-2 )</f>
        <v>10.952598640791896</v>
      </c>
      <c r="I31" s="2" cm="1">
        <f t="array" ref="I31">INDEX( ComputeThermoProps($A31, $B31, ParametersRange), 1, COLUMN()-2 )</f>
        <v>2.6799999999999997</v>
      </c>
      <c r="J31" s="2" cm="1">
        <f t="array" ref="J31">INDEX( ComputeThermoProps($A31, $B31, ParametersRange), 1, COLUMN()-2 )</f>
        <v>48.853485477128537</v>
      </c>
      <c r="K31" s="2" cm="1">
        <f t="array" ref="K31">INDEX( ComputeThermoProps($A31, $B31, ParametersRange), 1, COLUMN()-2 )</f>
        <v>5.2586032351710399</v>
      </c>
      <c r="L31" s="2" cm="1">
        <f t="array" ref="L31">INDEX( ComputeThermoProps($A31, $B31, ParametersRange), 1, COLUMN()-2 )</f>
        <v>-20.034216903612084</v>
      </c>
      <c r="M31" s="2" cm="1">
        <f t="array" ref="M31">INDEX( ComputeThermoProps($A31, $B31, ParametersRange), 1, COLUMN()-2 )</f>
        <v>48.853485477128537</v>
      </c>
      <c r="N31" s="2" cm="1">
        <f t="array" ref="N31">INDEX( ComputeThermoProps($A31, $B31, ParametersRange), 1, COLUMN()-2 )</f>
        <v>-20.034216903612084</v>
      </c>
      <c r="O31" s="4">
        <f t="shared" si="1"/>
        <v>-83.915559325740134</v>
      </c>
    </row>
    <row r="32" spans="1:15" x14ac:dyDescent="0.25">
      <c r="A32" s="2">
        <v>14.1</v>
      </c>
      <c r="B32" s="2">
        <f t="shared" si="0"/>
        <v>2.3567953385782372E-77</v>
      </c>
      <c r="C32" s="2" cm="1">
        <f t="array" ref="C32">INDEX( ComputeThermoProps($A32, $B32, ParametersRange), 1, COLUMN()-2 )</f>
        <v>34.577961099316759</v>
      </c>
      <c r="D32" s="2" cm="1">
        <f t="array" ref="D32">INDEX( ComputeThermoProps($A32, $B32, ParametersRange), 1, COLUMN()-2 )</f>
        <v>2.9955353314894701E-4</v>
      </c>
      <c r="E32" s="2" cm="1">
        <f t="array" ref="E32">INDEX( ComputeThermoProps($A32, $B32, ParametersRange), 1, COLUMN()-2 )</f>
        <v>2.9641397805218702E-4</v>
      </c>
      <c r="F32" s="2" cm="1">
        <f t="array" ref="F32">INDEX( ComputeThermoProps($A32, $B32, ParametersRange), 1, COLUMN()-2 )</f>
        <v>2.8029511079994074E-4</v>
      </c>
      <c r="G32" s="2" cm="1">
        <f t="array" ref="G32">INDEX( ComputeThermoProps($A32, $B32, ParametersRange), 1, COLUMN()-2 )</f>
        <v>12.200606769347123</v>
      </c>
      <c r="H32" s="2" cm="1">
        <f t="array" ref="H32">INDEX( ComputeThermoProps($A32, $B32, ParametersRange), 1, COLUMN()-2 )</f>
        <v>12.0727348769224</v>
      </c>
      <c r="I32" s="2" cm="1">
        <f t="array" ref="I32">INDEX( ComputeThermoProps($A32, $B32, ParametersRange), 1, COLUMN()-2 )</f>
        <v>2.6800000000000006</v>
      </c>
      <c r="J32" s="2" cm="1">
        <f t="array" ref="J32">INDEX( ComputeThermoProps($A32, $B32, ParametersRange), 1, COLUMN()-2 )</f>
        <v>60.485969175688147</v>
      </c>
      <c r="K32" s="2" cm="1">
        <f t="array" ref="K32">INDEX( ComputeThermoProps($A32, $B32, ParametersRange), 1, COLUMN()-2 )</f>
        <v>6.11379781288238</v>
      </c>
      <c r="L32" s="2" cm="1">
        <f t="array" ref="L32">INDEX( ComputeThermoProps($A32, $B32, ParametersRange), 1, COLUMN()-2 )</f>
        <v>-25.718579985953408</v>
      </c>
      <c r="M32" s="2" cm="1">
        <f t="array" ref="M32">INDEX( ComputeThermoProps($A32, $B32, ParametersRange), 1, COLUMN()-2 )</f>
        <v>60.485969175688147</v>
      </c>
      <c r="N32" s="2" cm="1">
        <f t="array" ref="N32">INDEX( ComputeThermoProps($A32, $B32, ParametersRange), 1, COLUMN()-2 )</f>
        <v>-25.718579985953408</v>
      </c>
      <c r="O32" s="4">
        <f t="shared" si="1"/>
        <v>-76.627678129476223</v>
      </c>
    </row>
    <row r="33" spans="1:15" x14ac:dyDescent="0.25">
      <c r="A33" s="2">
        <v>15.1</v>
      </c>
      <c r="B33" s="2">
        <f t="shared" si="0"/>
        <v>4.6049951781501448E-71</v>
      </c>
      <c r="C33" s="2" cm="1">
        <f t="array" ref="C33">INDEX( ComputeThermoProps($A33, $B33, ParametersRange), 1, COLUMN()-2 )</f>
        <v>34.588085553359932</v>
      </c>
      <c r="D33" s="2" cm="1">
        <f t="array" ref="D33">INDEX( ComputeThermoProps($A33, $B33, ParametersRange), 1, COLUMN()-2 )</f>
        <v>3.0030499636379799E-4</v>
      </c>
      <c r="E33" s="2" cm="1">
        <f t="array" ref="E33">INDEX( ComputeThermoProps($A33, $B33, ParametersRange), 1, COLUMN()-2 )</f>
        <v>2.9664483598015998E-4</v>
      </c>
      <c r="F33" s="2" cm="1">
        <f t="array" ref="F33">INDEX( ComputeThermoProps($A33, $B33, ParametersRange), 1, COLUMN()-2 )</f>
        <v>3.0489589850638346E-4</v>
      </c>
      <c r="G33" s="2" cm="1">
        <f t="array" ref="G33">INDEX( ComputeThermoProps($A33, $B33, ParametersRange), 1, COLUMN()-2 )</f>
        <v>13.26497757802318</v>
      </c>
      <c r="H33" s="2" cm="1">
        <f t="array" ref="H33">INDEX( ComputeThermoProps($A33, $B33, ParametersRange), 1, COLUMN()-2 )</f>
        <v>13.103302128034629</v>
      </c>
      <c r="I33" s="2" cm="1">
        <f t="array" ref="I33">INDEX( ComputeThermoProps($A33, $B33, ParametersRange), 1, COLUMN()-2 )</f>
        <v>2.6799999999999997</v>
      </c>
      <c r="J33" s="2" cm="1">
        <f t="array" ref="J33">INDEX( ComputeThermoProps($A33, $B33, ParametersRange), 1, COLUMN()-2 )</f>
        <v>73.225960425309864</v>
      </c>
      <c r="K33" s="2" cm="1">
        <f t="array" ref="K33">INDEX( ComputeThermoProps($A33, $B33, ParametersRange), 1, COLUMN()-2 )</f>
        <v>6.9863227934353738</v>
      </c>
      <c r="L33" s="2" cm="1">
        <f t="array" ref="L33">INDEX( ComputeThermoProps($A33, $B33, ParametersRange), 1, COLUMN()-2 )</f>
        <v>-32.267513755564281</v>
      </c>
      <c r="M33" s="2" cm="1">
        <f t="array" ref="M33">INDEX( ComputeThermoProps($A33, $B33, ParametersRange), 1, COLUMN()-2 )</f>
        <v>73.225960425309864</v>
      </c>
      <c r="N33" s="2" cm="1">
        <f t="array" ref="N33">INDEX( ComputeThermoProps($A33, $B33, ParametersRange), 1, COLUMN()-2 )</f>
        <v>-32.267513755564281</v>
      </c>
      <c r="O33" s="4">
        <f t="shared" si="1"/>
        <v>-70.33677082021282</v>
      </c>
    </row>
    <row r="34" spans="1:15" x14ac:dyDescent="0.25">
      <c r="A34" s="2">
        <v>16.100000000000001</v>
      </c>
      <c r="B34" s="2">
        <f t="shared" si="0"/>
        <v>1.3917792794489802E-65</v>
      </c>
      <c r="C34" s="2" cm="1">
        <f t="array" ref="C34">INDEX( ComputeThermoProps($A34, $B34, ParametersRange), 1, COLUMN()-2 )</f>
        <v>34.599030645700793</v>
      </c>
      <c r="D34" s="2" cm="1">
        <f t="array" ref="D34">INDEX( ComputeThermoProps($A34, $B34, ParametersRange), 1, COLUMN()-2 )</f>
        <v>3.0109125179085273E-4</v>
      </c>
      <c r="E34" s="2" cm="1">
        <f t="array" ref="E34">INDEX( ComputeThermoProps($A34, $B34, ParametersRange), 1, COLUMN()-2 )</f>
        <v>2.9689493695143801E-4</v>
      </c>
      <c r="F34" s="2" cm="1">
        <f t="array" ref="F34">INDEX( ComputeThermoProps($A34, $B34, ParametersRange), 1, COLUMN()-2 )</f>
        <v>3.2757036397005604E-4</v>
      </c>
      <c r="G34" s="2" cm="1">
        <f t="array" ref="G34">INDEX( ComputeThermoProps($A34, $B34, ParametersRange), 1, COLUMN()-2 )</f>
        <v>14.243966682563114</v>
      </c>
      <c r="H34" s="2" cm="1">
        <f t="array" ref="H34">INDEX( ComputeThermoProps($A34, $B34, ParametersRange), 1, COLUMN()-2 )</f>
        <v>14.045448232071275</v>
      </c>
      <c r="I34" s="2" cm="1">
        <f t="array" ref="I34">INDEX( ComputeThermoProps($A34, $B34, ParametersRange), 1, COLUMN()-2 )</f>
        <v>2.68</v>
      </c>
      <c r="J34" s="2" cm="1">
        <f t="array" ref="J34">INDEX( ComputeThermoProps($A34, $B34, ParametersRange), 1, COLUMN()-2 )</f>
        <v>86.98743266548243</v>
      </c>
      <c r="K34" s="2" cm="1">
        <f t="array" ref="K34">INDEX( ComputeThermoProps($A34, $B34, ParametersRange), 1, COLUMN()-2 )</f>
        <v>7.8684330130719013</v>
      </c>
      <c r="L34" s="2" cm="1">
        <f t="array" ref="L34">INDEX( ComputeThermoProps($A34, $B34, ParametersRange), 1, COLUMN()-2 )</f>
        <v>-39.694338844975192</v>
      </c>
      <c r="M34" s="2" cm="1">
        <f t="array" ref="M34">INDEX( ComputeThermoProps($A34, $B34, ParametersRange), 1, COLUMN()-2 )</f>
        <v>86.98743266548243</v>
      </c>
      <c r="N34" s="2" cm="1">
        <f t="array" ref="N34">INDEX( ComputeThermoProps($A34, $B34, ParametersRange), 1, COLUMN()-2 )</f>
        <v>-39.694338844975192</v>
      </c>
      <c r="O34" s="4">
        <f t="shared" si="1"/>
        <v>-64.856429633488332</v>
      </c>
    </row>
    <row r="35" spans="1:15" x14ac:dyDescent="0.25">
      <c r="A35" s="2">
        <v>17.100000000000001</v>
      </c>
      <c r="B35" s="2">
        <f t="shared" si="0"/>
        <v>9.0394294665303682E-61</v>
      </c>
      <c r="C35" s="2" cm="1">
        <f t="array" ref="C35">INDEX( ComputeThermoProps($A35, $B35, ParametersRange), 1, COLUMN()-2 )</f>
        <v>34.610731729628469</v>
      </c>
      <c r="D35" s="2" cm="1">
        <f t="array" ref="D35">INDEX( ComputeThermoProps($A35, $B35, ParametersRange), 1, COLUMN()-2 )</f>
        <v>3.019075515748893E-4</v>
      </c>
      <c r="E35" s="2" cm="1">
        <f t="array" ref="E35">INDEX( ComputeThermoProps($A35, $B35, ParametersRange), 1, COLUMN()-2 )</f>
        <v>2.9716292413123921E-4</v>
      </c>
      <c r="F35" s="2" cm="1">
        <f t="array" ref="F35">INDEX( ComputeThermoProps($A35, $B35, ParametersRange), 1, COLUMN()-2 )</f>
        <v>3.4839875059678772E-4</v>
      </c>
      <c r="G35" s="2" cm="1">
        <f t="array" ref="G35">INDEX( ComputeThermoProps($A35, $B35, ParametersRange), 1, COLUMN()-2 )</f>
        <v>15.141118302856</v>
      </c>
      <c r="H35" s="2" cm="1">
        <f t="array" ref="H35">INDEX( ComputeThermoProps($A35, $B35, ParametersRange), 1, COLUMN()-2 )</f>
        <v>14.903168092427219</v>
      </c>
      <c r="I35" s="2" cm="1">
        <f t="array" ref="I35">INDEX( ComputeThermoProps($A35, $B35, ParametersRange), 1, COLUMN()-2 )</f>
        <v>2.68</v>
      </c>
      <c r="J35" s="2" cm="1">
        <f t="array" ref="J35">INDEX( ComputeThermoProps($A35, $B35, ParametersRange), 1, COLUMN()-2 )</f>
        <v>101.68659734115151</v>
      </c>
      <c r="K35" s="2" cm="1">
        <f t="array" ref="K35">INDEX( ComputeThermoProps($A35, $B35, ParametersRange), 1, COLUMN()-2 )</f>
        <v>8.7539189472684686</v>
      </c>
      <c r="L35" s="2" cm="1">
        <f t="array" ref="L35">INDEX( ComputeThermoProps($A35, $B35, ParametersRange), 1, COLUMN()-2 )</f>
        <v>-48.005416657139314</v>
      </c>
      <c r="M35" s="2" cm="1">
        <f t="array" ref="M35">INDEX( ComputeThermoProps($A35, $B35, ParametersRange), 1, COLUMN()-2 )</f>
        <v>101.68659734115151</v>
      </c>
      <c r="N35" s="2" cm="1">
        <f t="array" ref="N35">INDEX( ComputeThermoProps($A35, $B35, ParametersRange), 1, COLUMN()-2 )</f>
        <v>-48.005416657139314</v>
      </c>
      <c r="O35" s="4">
        <f t="shared" si="1"/>
        <v>-60.043858979630485</v>
      </c>
    </row>
    <row r="36" spans="1:15" x14ac:dyDescent="0.25">
      <c r="A36" s="2">
        <v>18.100000000000001</v>
      </c>
      <c r="B36" s="2">
        <f t="shared" si="0"/>
        <v>1.6299420770743086E-56</v>
      </c>
      <c r="C36" s="2" cm="1">
        <f t="array" ref="C36">INDEX( ComputeThermoProps($A36, $B36, ParametersRange), 1, COLUMN()-2 )</f>
        <v>34.623127601008797</v>
      </c>
      <c r="D36" s="2" cm="1">
        <f t="array" ref="D36">INDEX( ComputeThermoProps($A36, $B36, ParametersRange), 1, COLUMN()-2 )</f>
        <v>3.0274998846916199E-4</v>
      </c>
      <c r="E36" s="2" cm="1">
        <f t="array" ref="E36">INDEX( ComputeThermoProps($A36, $B36, ParametersRange), 1, COLUMN()-2 )</f>
        <v>2.9744751482374462E-4</v>
      </c>
      <c r="F36" s="2" cm="1">
        <f t="array" ref="F36">INDEX( ComputeThermoProps($A36, $B36, ParametersRange), 1, COLUMN()-2 )</f>
        <v>3.6749785199879595E-4</v>
      </c>
      <c r="G36" s="2" cm="1">
        <f t="array" ref="G36">INDEX( ComputeThermoProps($A36, $B36, ParametersRange), 1, COLUMN()-2 )</f>
        <v>15.961583072210287</v>
      </c>
      <c r="H36" s="2" cm="1">
        <f t="array" ref="H36">INDEX( ComputeThermoProps($A36, $B36, ParametersRange), 1, COLUMN()-2 )</f>
        <v>15.682026088550298</v>
      </c>
      <c r="I36" s="2" cm="1">
        <f t="array" ref="I36">INDEX( ComputeThermoProps($A36, $B36, ParametersRange), 1, COLUMN()-2 )</f>
        <v>2.68</v>
      </c>
      <c r="J36" s="2" cm="1">
        <f t="array" ref="J36">INDEX( ComputeThermoProps($A36, $B36, ParametersRange), 1, COLUMN()-2 )</f>
        <v>117.2440989082055</v>
      </c>
      <c r="K36" s="2" cm="1">
        <f t="array" ref="K36">INDEX( ComputeThermoProps($A36, $B36, ParametersRange), 1, COLUMN()-2 )</f>
        <v>9.6378824600455779</v>
      </c>
      <c r="L36" s="2" cm="1">
        <f t="array" ref="L36">INDEX( ComputeThermoProps($A36, $B36, ParametersRange), 1, COLUMN()-2 )</f>
        <v>-57.20157361861947</v>
      </c>
      <c r="M36" s="2" cm="1">
        <f t="array" ref="M36">INDEX( ComputeThermoProps($A36, $B36, ParametersRange), 1, COLUMN()-2 )</f>
        <v>117.2440989082055</v>
      </c>
      <c r="N36" s="2" cm="1">
        <f t="array" ref="N36">INDEX( ComputeThermoProps($A36, $B36, ParametersRange), 1, COLUMN()-2 )</f>
        <v>-57.20157361861947</v>
      </c>
      <c r="O36" s="4">
        <f t="shared" si="1"/>
        <v>-55.78782782875799</v>
      </c>
    </row>
    <row r="37" spans="1:15" x14ac:dyDescent="0.25">
      <c r="A37" s="2">
        <v>19.100000000000001</v>
      </c>
      <c r="B37" s="2">
        <f t="shared" si="0"/>
        <v>9.9906400720680629E-53</v>
      </c>
      <c r="C37" s="2" cm="1">
        <f t="array" ref="C37">INDEX( ComputeThermoProps($A37, $B37, ParametersRange), 1, COLUMN()-2 )</f>
        <v>34.63616140133913</v>
      </c>
      <c r="D37" s="2" cm="1">
        <f t="array" ref="D37">INDEX( ComputeThermoProps($A37, $B37, ParametersRange), 1, COLUMN()-2 )</f>
        <v>3.0361537110728631E-4</v>
      </c>
      <c r="E37" s="2" cm="1">
        <f t="array" ref="E37">INDEX( ComputeThermoProps($A37, $B37, ParametersRange), 1, COLUMN()-2 )</f>
        <v>2.9774752017322113E-4</v>
      </c>
      <c r="F37" s="2" cm="1">
        <f t="array" ref="F37">INDEX( ComputeThermoProps($A37, $B37, ParametersRange), 1, COLUMN()-2 )</f>
        <v>3.8500179842358381E-4</v>
      </c>
      <c r="G37" s="2" cm="1">
        <f t="array" ref="G37">INDEX( ComputeThermoProps($A37, $B37, ParametersRange), 1, COLUMN()-2 )</f>
        <v>16.711274223417121</v>
      </c>
      <c r="H37" s="2" cm="1">
        <f t="array" ref="H37">INDEX( ComputeThermoProps($A37, $B37, ParametersRange), 1, COLUMN()-2 )</f>
        <v>16.388302215433221</v>
      </c>
      <c r="I37" s="2" cm="1">
        <f t="array" ref="I37">INDEX( ComputeThermoProps($A37, $B37, ParametersRange), 1, COLUMN()-2 )</f>
        <v>2.68</v>
      </c>
      <c r="J37" s="2" cm="1">
        <f t="array" ref="J37">INDEX( ComputeThermoProps($A37, $B37, ParametersRange), 1, COLUMN()-2 )</f>
        <v>133.58617010430521</v>
      </c>
      <c r="K37" s="2" cm="1">
        <f t="array" ref="K37">INDEX( ComputeThermoProps($A37, $B37, ParametersRange), 1, COLUMN()-2 )</f>
        <v>10.516516830858141</v>
      </c>
      <c r="L37" s="2" cm="1">
        <f t="array" ref="L37">INDEX( ComputeThermoProps($A37, $B37, ParametersRange), 1, COLUMN()-2 )</f>
        <v>-67.279301365085288</v>
      </c>
      <c r="M37" s="2" cm="1">
        <f t="array" ref="M37">INDEX( ComputeThermoProps($A37, $B37, ParametersRange), 1, COLUMN()-2 )</f>
        <v>133.58617010430521</v>
      </c>
      <c r="N37" s="2" cm="1">
        <f t="array" ref="N37">INDEX( ComputeThermoProps($A37, $B37, ParametersRange), 1, COLUMN()-2 )</f>
        <v>-67.279301365085288</v>
      </c>
      <c r="O37" s="4">
        <f t="shared" si="1"/>
        <v>-52.000406686862874</v>
      </c>
    </row>
    <row r="38" spans="1:15" x14ac:dyDescent="0.25">
      <c r="A38" s="2">
        <v>20.100000000000001</v>
      </c>
      <c r="B38" s="2">
        <f t="shared" si="0"/>
        <v>2.448098308478274E-49</v>
      </c>
      <c r="C38" s="2" cm="1">
        <f t="array" ref="C38">INDEX( ComputeThermoProps($A38, $B38, ParametersRange), 1, COLUMN()-2 )</f>
        <v>34.649780984323797</v>
      </c>
      <c r="D38" s="2" cm="1">
        <f t="array" ref="D38">INDEX( ComputeThermoProps($A38, $B38, ParametersRange), 1, COLUMN()-2 )</f>
        <v>3.0450110522053226E-4</v>
      </c>
      <c r="E38" s="2" cm="1">
        <f t="array" ref="E38">INDEX( ComputeThermoProps($A38, $B38, ParametersRange), 1, COLUMN()-2 )</f>
        <v>2.9806185312337199E-4</v>
      </c>
      <c r="F38" s="2" cm="1">
        <f t="array" ref="F38">INDEX( ComputeThermoProps($A38, $B38, ParametersRange), 1, COLUMN()-2 )</f>
        <v>4.0104968484303558E-4</v>
      </c>
      <c r="G38" s="2" cm="1">
        <f t="array" ref="G38">INDEX( ComputeThermoProps($A38, $B38, ParametersRange), 1, COLUMN()-2 )</f>
        <v>17.396323773150563</v>
      </c>
      <c r="H38" s="2" cm="1">
        <f t="array" ref="H38">INDEX( ComputeThermoProps($A38, $B38, ParametersRange), 1, COLUMN()-2 )</f>
        <v>17.028445586770879</v>
      </c>
      <c r="I38" s="2" cm="1">
        <f t="array" ref="I38">INDEX( ComputeThermoProps($A38, $B38, ParametersRange), 1, COLUMN()-2 )</f>
        <v>2.68</v>
      </c>
      <c r="J38" s="2" cm="1">
        <f t="array" ref="J38">INDEX( ComputeThermoProps($A38, $B38, ParametersRange), 1, COLUMN()-2 )</f>
        <v>150.64510162576383</v>
      </c>
      <c r="K38" s="2" cm="1">
        <f t="array" ref="K38">INDEX( ComputeThermoProps($A38, $B38, ParametersRange), 1, COLUMN()-2 )</f>
        <v>11.38690786810055</v>
      </c>
      <c r="L38" s="2" cm="1">
        <f t="array" ref="L38">INDEX( ComputeThermoProps($A38, $B38, ParametersRange), 1, COLUMN()-2 )</f>
        <v>-78.231746523057254</v>
      </c>
      <c r="M38" s="2" cm="1">
        <f t="array" ref="M38">INDEX( ComputeThermoProps($A38, $B38, ParametersRange), 1, COLUMN()-2 )</f>
        <v>150.64510162576383</v>
      </c>
      <c r="N38" s="2" cm="1">
        <f t="array" ref="N38">INDEX( ComputeThermoProps($A38, $B38, ParametersRange), 1, COLUMN()-2 )</f>
        <v>-78.231746523057254</v>
      </c>
      <c r="O38" s="4">
        <f t="shared" si="1"/>
        <v>-48.611171146178286</v>
      </c>
    </row>
    <row r="39" spans="1:15" x14ac:dyDescent="0.25">
      <c r="A39" s="2">
        <v>21.1</v>
      </c>
      <c r="B39" s="2">
        <f t="shared" si="0"/>
        <v>2.7349304397228741E-46</v>
      </c>
      <c r="C39" s="2" cm="1">
        <f t="array" ref="C39">INDEX( ComputeThermoProps($A39, $B39, ParametersRange), 1, COLUMN()-2 )</f>
        <v>34.663938944548995</v>
      </c>
      <c r="D39" s="2" cm="1">
        <f t="array" ref="D39">INDEX( ComputeThermoProps($A39, $B39, ParametersRange), 1, COLUMN()-2 )</f>
        <v>3.0540508822040529E-4</v>
      </c>
      <c r="E39" s="2" cm="1">
        <f t="array" ref="E39">INDEX( ComputeThermoProps($A39, $B39, ParametersRange), 1, COLUMN()-2 )</f>
        <v>2.9838952901087279E-4</v>
      </c>
      <c r="F39" s="2" cm="1">
        <f t="array" ref="F39">INDEX( ComputeThermoProps($A39, $B39, ParametersRange), 1, COLUMN()-2 )</f>
        <v>4.1577796189530406E-4</v>
      </c>
      <c r="G39" s="2" cm="1">
        <f t="array" ref="G39">INDEX( ComputeThermoProps($A39, $B39, ParametersRange), 1, COLUMN()-2 )</f>
        <v>18.022747744808452</v>
      </c>
      <c r="H39" s="2" cm="1">
        <f t="array" ref="H39">INDEX( ComputeThermoProps($A39, $B39, ParametersRange), 1, COLUMN()-2 )</f>
        <v>17.608741368362875</v>
      </c>
      <c r="I39" s="2" cm="1">
        <f t="array" ref="I39">INDEX( ComputeThermoProps($A39, $B39, ParametersRange), 1, COLUMN()-2 )</f>
        <v>2.68</v>
      </c>
      <c r="J39" s="2" cm="1">
        <f t="array" ref="J39">INDEX( ComputeThermoProps($A39, $B39, ParametersRange), 1, COLUMN()-2 )</f>
        <v>168.35927935070461</v>
      </c>
      <c r="K39" s="2" cm="1">
        <f t="array" ref="K39">INDEX( ComputeThermoProps($A39, $B39, ParametersRange), 1, COLUMN()-2 )</f>
        <v>12.246862296889578</v>
      </c>
      <c r="L39" s="2" cm="1">
        <f t="array" ref="L39">INDEX( ComputeThermoProps($A39, $B39, ParametersRange), 1, COLUMN()-2 )</f>
        <v>-90.049515113665507</v>
      </c>
      <c r="M39" s="2" cm="1">
        <f t="array" ref="M39">INDEX( ComputeThermoProps($A39, $B39, ParametersRange), 1, COLUMN()-2 )</f>
        <v>168.35927935070461</v>
      </c>
      <c r="N39" s="2" cm="1">
        <f t="array" ref="N39">INDEX( ComputeThermoProps($A39, $B39, ParametersRange), 1, COLUMN()-2 )</f>
        <v>-90.049515113665507</v>
      </c>
      <c r="O39" s="4">
        <f t="shared" si="1"/>
        <v>-45.56305371504488</v>
      </c>
    </row>
    <row r="40" spans="1:15" x14ac:dyDescent="0.25">
      <c r="A40" s="2">
        <v>22.1</v>
      </c>
      <c r="B40" s="2">
        <f t="shared" si="0"/>
        <v>1.5512369901682654E-43</v>
      </c>
      <c r="C40" s="2" cm="1">
        <f t="array" ref="C40">INDEX( ComputeThermoProps($A40, $B40, ParametersRange), 1, COLUMN()-2 )</f>
        <v>34.678592443687926</v>
      </c>
      <c r="D40" s="2" cm="1">
        <f t="array" ref="D40">INDEX( ComputeThermoProps($A40, $B40, ParametersRange), 1, COLUMN()-2 )</f>
        <v>3.0632561931150917E-4</v>
      </c>
      <c r="E40" s="2" cm="1">
        <f t="array" ref="E40">INDEX( ComputeThermoProps($A40, $B40, ParametersRange), 1, COLUMN()-2 )</f>
        <v>2.9872966176511484E-4</v>
      </c>
      <c r="F40" s="2" cm="1">
        <f t="array" ref="F40">INDEX( ComputeThermoProps($A40, $B40, ParametersRange), 1, COLUMN()-2 )</f>
        <v>4.2931603917289318E-4</v>
      </c>
      <c r="G40" s="2" cm="1">
        <f t="array" ref="G40">INDEX( ComputeThermoProps($A40, $B40, ParametersRange), 1, COLUMN()-2 )</f>
        <v>18.59625250494592</v>
      </c>
      <c r="H40" s="2" cm="1">
        <f t="array" ref="H40">INDEX( ComputeThermoProps($A40, $B40, ParametersRange), 1, COLUMN()-2 )</f>
        <v>18.135121160897445</v>
      </c>
      <c r="I40" s="2" cm="1">
        <f t="array" ref="I40">INDEX( ComputeThermoProps($A40, $B40, ParametersRange), 1, COLUMN()-2 )</f>
        <v>2.68</v>
      </c>
      <c r="J40" s="2" cm="1">
        <f t="array" ref="J40">INDEX( ComputeThermoProps($A40, $B40, ParametersRange), 1, COLUMN()-2 )</f>
        <v>186.67296201659858</v>
      </c>
      <c r="K40" s="2" cm="1">
        <f t="array" ref="K40">INDEX( ComputeThermoProps($A40, $B40, ParametersRange), 1, COLUMN()-2 )</f>
        <v>13.094763859151916</v>
      </c>
      <c r="L40" s="2" cm="1">
        <f t="array" ref="L40">INDEX( ComputeThermoProps($A40, $B40, ParametersRange), 1, COLUMN()-2 )</f>
        <v>-102.7213192706588</v>
      </c>
      <c r="M40" s="2" cm="1">
        <f t="array" ref="M40">INDEX( ComputeThermoProps($A40, $B40, ParametersRange), 1, COLUMN()-2 )</f>
        <v>186.67296201659858</v>
      </c>
      <c r="N40" s="2" cm="1">
        <f t="array" ref="N40">INDEX( ComputeThermoProps($A40, $B40, ParametersRange), 1, COLUMN()-2 )</f>
        <v>-102.7213192706588</v>
      </c>
      <c r="O40" s="4">
        <f t="shared" si="1"/>
        <v>-42.809321847795758</v>
      </c>
    </row>
    <row r="41" spans="1:15" x14ac:dyDescent="0.25">
      <c r="A41" s="2">
        <v>23.1</v>
      </c>
      <c r="B41" s="2">
        <f t="shared" si="0"/>
        <v>4.8826893939413668E-41</v>
      </c>
      <c r="C41" s="2" cm="1">
        <f t="array" ref="C41">INDEX( ComputeThermoProps($A41, $B41, ParametersRange), 1, COLUMN()-2 )</f>
        <v>34.69370292463416</v>
      </c>
      <c r="D41" s="2" cm="1">
        <f t="array" ref="D41">INDEX( ComputeThermoProps($A41, $B41, ParametersRange), 1, COLUMN()-2 )</f>
        <v>3.0726132467373286E-4</v>
      </c>
      <c r="E41" s="2" cm="1">
        <f t="array" ref="E41">INDEX( ComputeThermoProps($A41, $B41, ParametersRange), 1, COLUMN()-2 )</f>
        <v>2.9908145769053513E-4</v>
      </c>
      <c r="F41" s="2" cm="1">
        <f t="array" ref="F41">INDEX( ComputeThermoProps($A41, $B41, ParametersRange), 1, COLUMN()-2 )</f>
        <v>4.4178399571044E-4</v>
      </c>
      <c r="G41" s="2" cm="1">
        <f t="array" ref="G41">INDEX( ComputeThermoProps($A41, $B41, ParametersRange), 1, COLUMN()-2 )</f>
        <v>19.122133749100232</v>
      </c>
      <c r="H41" s="2" cm="1">
        <f t="array" ref="H41">INDEX( ComputeThermoProps($A41, $B41, ParametersRange), 1, COLUMN()-2 )</f>
        <v>18.613067042873382</v>
      </c>
      <c r="I41" s="2" cm="1">
        <f t="array" ref="I41">INDEX( ComputeThermoProps($A41, $B41, ParametersRange), 1, COLUMN()-2 )</f>
        <v>2.68</v>
      </c>
      <c r="J41" s="2" cm="1">
        <f t="array" ref="J41">INDEX( ComputeThermoProps($A41, $B41, ParametersRange), 1, COLUMN()-2 )</f>
        <v>205.53591492697535</v>
      </c>
      <c r="K41" s="2" cm="1">
        <f t="array" ref="K41">INDEX( ComputeThermoProps($A41, $B41, ParametersRange), 1, COLUMN()-2 )</f>
        <v>13.929454890902734</v>
      </c>
      <c r="L41" s="2" cm="1">
        <f t="array" ref="L41">INDEX( ComputeThermoProps($A41, $B41, ParametersRange), 1, COLUMN()-2 )</f>
        <v>-116.23449305287784</v>
      </c>
      <c r="M41" s="2" cm="1">
        <f t="array" ref="M41">INDEX( ComputeThermoProps($A41, $B41, ParametersRange), 1, COLUMN()-2 )</f>
        <v>205.53591492697535</v>
      </c>
      <c r="N41" s="2" cm="1">
        <f t="array" ref="N41">INDEX( ComputeThermoProps($A41, $B41, ParametersRange), 1, COLUMN()-2 )</f>
        <v>-116.23449305287784</v>
      </c>
      <c r="O41" s="4">
        <f t="shared" si="1"/>
        <v>-40.311340901926769</v>
      </c>
    </row>
    <row r="42" spans="1:15" x14ac:dyDescent="0.25">
      <c r="A42" s="2">
        <v>24.1</v>
      </c>
      <c r="B42" s="2">
        <f t="shared" si="0"/>
        <v>9.1855669015142465E-39</v>
      </c>
      <c r="C42" s="2" cm="1">
        <f t="array" ref="C42">INDEX( ComputeThermoProps($A42, $B42, ParametersRange), 1, COLUMN()-2 )</f>
        <v>34.709235772017834</v>
      </c>
      <c r="D42" s="2" cm="1">
        <f t="array" ref="D42">INDEX( ComputeThermoProps($A42, $B42, ParametersRange), 1, COLUMN()-2 )</f>
        <v>3.0821109613590205E-4</v>
      </c>
      <c r="E42" s="2" cm="1">
        <f t="array" ref="E42">INDEX( ComputeThermoProps($A42, $B42, ParametersRange), 1, COLUMN()-2 )</f>
        <v>2.9944420810426266E-4</v>
      </c>
      <c r="F42" s="2" cm="1">
        <f t="array" ref="F42">INDEX( ComputeThermoProps($A42, $B42, ParametersRange), 1, COLUMN()-2 )</f>
        <v>4.5329163633309319E-4</v>
      </c>
      <c r="G42" s="2" cm="1">
        <f t="array" ref="G42">INDEX( ComputeThermoProps($A42, $B42, ParametersRange), 1, COLUMN()-2 )</f>
        <v>19.605234717533314</v>
      </c>
      <c r="H42" s="2" cm="1">
        <f t="array" ref="H42">INDEX( ComputeThermoProps($A42, $B42, ParametersRange), 1, COLUMN()-2 )</f>
        <v>19.047575049346559</v>
      </c>
      <c r="I42" s="2" cm="1">
        <f t="array" ref="I42">INDEX( ComputeThermoProps($A42, $B42, ParametersRange), 1, COLUMN()-2 )</f>
        <v>2.68</v>
      </c>
      <c r="J42" s="2" cm="1">
        <f t="array" ref="J42">INDEX( ComputeThermoProps($A42, $B42, ParametersRange), 1, COLUMN()-2 )</f>
        <v>224.90297453462333</v>
      </c>
      <c r="K42" s="2" cm="1">
        <f t="array" ref="K42">INDEX( ComputeThermoProps($A42, $B42, ParametersRange), 1, COLUMN()-2 )</f>
        <v>14.750140072492909</v>
      </c>
      <c r="L42" s="2" cm="1">
        <f t="array" ref="L42">INDEX( ComputeThermoProps($A42, $B42, ParametersRange), 1, COLUMN()-2 )</f>
        <v>-130.5754012124558</v>
      </c>
      <c r="M42" s="2" cm="1">
        <f t="array" ref="M42">INDEX( ComputeThermoProps($A42, $B42, ParametersRange), 1, COLUMN()-2 )</f>
        <v>224.90297453462333</v>
      </c>
      <c r="N42" s="2" cm="1">
        <f t="array" ref="N42">INDEX( ComputeThermoProps($A42, $B42, ParametersRange), 1, COLUMN()-2 )</f>
        <v>-130.5754012124558</v>
      </c>
      <c r="O42" s="4">
        <f t="shared" si="1"/>
        <v>-38.036894035373209</v>
      </c>
    </row>
    <row r="43" spans="1:15" x14ac:dyDescent="0.25">
      <c r="A43" s="2">
        <v>25.1</v>
      </c>
      <c r="B43" s="2">
        <f t="shared" si="0"/>
        <v>1.0992495032885399E-36</v>
      </c>
      <c r="C43" s="2" cm="1">
        <f t="array" ref="C43">INDEX( ComputeThermoProps($A43, $B43, ParametersRange), 1, COLUMN()-2 )</f>
        <v>34.725159955855261</v>
      </c>
      <c r="D43" s="2" cm="1">
        <f t="array" ref="D43">INDEX( ComputeThermoProps($A43, $B43, ParametersRange), 1, COLUMN()-2 )</f>
        <v>3.0917404134294079E-4</v>
      </c>
      <c r="E43" s="2" cm="1">
        <f t="array" ref="E43">INDEX( ComputeThermoProps($A43, $B43, ParametersRange), 1, COLUMN()-2 )</f>
        <v>2.9981728162578022E-4</v>
      </c>
      <c r="F43" s="2" cm="1">
        <f t="array" ref="F43">INDEX( ComputeThermoProps($A43, $B43, ParametersRange), 1, COLUMN()-2 )</f>
        <v>4.6393837733460427E-4</v>
      </c>
      <c r="G43" s="2" cm="1">
        <f t="array" ref="G43">INDEX( ComputeThermoProps($A43, $B43, ParametersRange), 1, COLUMN()-2 )</f>
        <v>20.049940948766015</v>
      </c>
      <c r="H43" s="2" cm="1">
        <f t="array" ref="H43">INDEX( ComputeThermoProps($A43, $B43, ParametersRange), 1, COLUMN()-2 )</f>
        <v>19.443154948925976</v>
      </c>
      <c r="I43" s="2" cm="1">
        <f t="array" ref="I43">INDEX( ComputeThermoProps($A43, $B43, ParametersRange), 1, COLUMN()-2 )</f>
        <v>2.6799999999999997</v>
      </c>
      <c r="J43" s="2" cm="1">
        <f t="array" ref="J43">INDEX( ComputeThermoProps($A43, $B43, ParametersRange), 1, COLUMN()-2 )</f>
        <v>244.73359103363941</v>
      </c>
      <c r="K43" s="2" cm="1">
        <f t="array" ref="K43">INDEX( ComputeThermoProps($A43, $B43, ParametersRange), 1, COLUMN()-2 )</f>
        <v>15.556308859472816</v>
      </c>
      <c r="L43" s="2" cm="1">
        <f t="array" ref="L43">INDEX( ComputeThermoProps($A43, $B43, ParametersRange), 1, COLUMN()-2 )</f>
        <v>-145.72976133912829</v>
      </c>
      <c r="M43" s="2" cm="1">
        <f t="array" ref="M43">INDEX( ComputeThermoProps($A43, $B43, ParametersRange), 1, COLUMN()-2 )</f>
        <v>244.73359103363941</v>
      </c>
      <c r="N43" s="2" cm="1">
        <f t="array" ref="N43">INDEX( ComputeThermoProps($A43, $B43, ParametersRange), 1, COLUMN()-2 )</f>
        <v>-145.72976133912829</v>
      </c>
      <c r="O43" s="4">
        <f t="shared" si="1"/>
        <v>-35.958903721950328</v>
      </c>
    </row>
    <row r="44" spans="1:15" x14ac:dyDescent="0.25">
      <c r="A44" s="2">
        <v>26.1</v>
      </c>
      <c r="B44" s="2">
        <f t="shared" si="0"/>
        <v>8.8217110523094814E-35</v>
      </c>
      <c r="C44" s="2" cm="1">
        <f t="array" ref="C44">INDEX( ComputeThermoProps($A44, $B44, ParametersRange), 1, COLUMN()-2 )</f>
        <v>34.741447680567191</v>
      </c>
      <c r="D44" s="2" cm="1">
        <f t="array" ref="D44">INDEX( ComputeThermoProps($A44, $B44, ParametersRange), 1, COLUMN()-2 )</f>
        <v>3.1014944351376013E-4</v>
      </c>
      <c r="E44" s="2" cm="1">
        <f t="array" ref="E44">INDEX( ComputeThermoProps($A44, $B44, ParametersRange), 1, COLUMN()-2 )</f>
        <v>3.0020011659811683E-4</v>
      </c>
      <c r="F44" s="2" cm="1">
        <f t="array" ref="F44">INDEX( ComputeThermoProps($A44, $B44, ParametersRange), 1, COLUMN()-2 )</f>
        <v>4.7381362289381076E-4</v>
      </c>
      <c r="G44" s="2" cm="1">
        <f t="array" ref="G44">INDEX( ComputeThermoProps($A44, $B44, ParametersRange), 1, COLUMN()-2 )</f>
        <v>20.460196680624158</v>
      </c>
      <c r="H44" s="2" cm="1">
        <f t="array" ref="H44">INDEX( ComputeThermoProps($A44, $B44, ParametersRange), 1, COLUMN()-2 )</f>
        <v>19.803851200111122</v>
      </c>
      <c r="I44" s="2" cm="1">
        <f t="array" ref="I44">INDEX( ComputeThermoProps($A44, $B44, ParametersRange), 1, COLUMN()-2 )</f>
        <v>2.68</v>
      </c>
      <c r="J44" s="2" cm="1">
        <f t="array" ref="J44">INDEX( ComputeThermoProps($A44, $B44, ParametersRange), 1, COLUMN()-2 )</f>
        <v>264.99137753026866</v>
      </c>
      <c r="K44" s="2" cm="1">
        <f t="array" ref="K44">INDEX( ComputeThermoProps($A44, $B44, ParametersRange), 1, COLUMN()-2 )</f>
        <v>16.347673330686884</v>
      </c>
      <c r="L44" s="2" cm="1">
        <f t="array" ref="L44">INDEX( ComputeThermoProps($A44, $B44, ParametersRange), 1, COLUMN()-2 )</f>
        <v>-161.68289640065905</v>
      </c>
      <c r="M44" s="2" cm="1">
        <f t="array" ref="M44">INDEX( ComputeThermoProps($A44, $B44, ParametersRange), 1, COLUMN()-2 )</f>
        <v>264.99137753026866</v>
      </c>
      <c r="N44" s="2" cm="1">
        <f t="array" ref="N44">INDEX( ComputeThermoProps($A44, $B44, ParametersRange), 1, COLUMN()-2 )</f>
        <v>-161.68289640065905</v>
      </c>
      <c r="O44" s="4">
        <f t="shared" si="1"/>
        <v>-34.054447171273395</v>
      </c>
    </row>
    <row r="45" spans="1:15" x14ac:dyDescent="0.25">
      <c r="A45" s="2">
        <v>27.1</v>
      </c>
      <c r="B45" s="2">
        <f t="shared" si="0"/>
        <v>4.9660405692412144E-33</v>
      </c>
      <c r="C45" s="2" cm="1">
        <f t="array" ref="C45">INDEX( ComputeThermoProps($A45, $B45, ParametersRange), 1, COLUMN()-2 )</f>
        <v>34.758074052077831</v>
      </c>
      <c r="D45" s="2" cm="1">
        <f t="array" ref="D45">INDEX( ComputeThermoProps($A45, $B45, ParametersRange), 1, COLUMN()-2 )</f>
        <v>3.1113672901135351E-4</v>
      </c>
      <c r="E45" s="2" cm="1">
        <f t="array" ref="E45">INDEX( ComputeThermoProps($A45, $B45, ParametersRange), 1, COLUMN()-2 )</f>
        <v>3.0059221391283913E-4</v>
      </c>
      <c r="F45" s="2" cm="1">
        <f t="array" ref="F45">INDEX( ComputeThermoProps($A45, $B45, ParametersRange), 1, COLUMN()-2 )</f>
        <v>4.8299740899886709E-4</v>
      </c>
      <c r="G45" s="2" cm="1">
        <f t="array" ref="G45">INDEX( ComputeThermoProps($A45, $B45, ParametersRange), 1, COLUMN()-2 )</f>
        <v>20.839533075034499</v>
      </c>
      <c r="H45" s="2" cm="1">
        <f t="array" ref="H45">INDEX( ComputeThermoProps($A45, $B45, ParametersRange), 1, COLUMN()-2 )</f>
        <v>20.133275180462135</v>
      </c>
      <c r="I45" s="2" cm="1">
        <f t="array" ref="I45">INDEX( ComputeThermoProps($A45, $B45, ParametersRange), 1, COLUMN()-2 )</f>
        <v>2.68</v>
      </c>
      <c r="J45" s="2" cm="1">
        <f t="array" ref="J45">INDEX( ComputeThermoProps($A45, $B45, ParametersRange), 1, COLUMN()-2 )</f>
        <v>285.64368216671159</v>
      </c>
      <c r="K45" s="2" cm="1">
        <f t="array" ref="K45">INDEX( ComputeThermoProps($A45, $B45, ParametersRange), 1, COLUMN()-2 )</f>
        <v>17.124118590227585</v>
      </c>
      <c r="L45" s="2" cm="1">
        <f t="array" ref="L45">INDEX( ComputeThermoProps($A45, $B45, ParametersRange), 1, COLUMN()-2 )</f>
        <v>-178.419931628456</v>
      </c>
      <c r="M45" s="2" cm="1">
        <f t="array" ref="M45">INDEX( ComputeThermoProps($A45, $B45, ParametersRange), 1, COLUMN()-2 )</f>
        <v>285.64368216671159</v>
      </c>
      <c r="N45" s="2" cm="1">
        <f t="array" ref="N45">INDEX( ComputeThermoProps($A45, $B45, ParametersRange), 1, COLUMN()-2 )</f>
        <v>-178.419931628456</v>
      </c>
      <c r="O45" s="4">
        <f t="shared" si="1"/>
        <v>-32.303989736870534</v>
      </c>
    </row>
    <row r="46" spans="1:15" x14ac:dyDescent="0.25">
      <c r="A46" s="2">
        <v>28.1</v>
      </c>
      <c r="B46" s="2">
        <f t="shared" si="0"/>
        <v>2.0380648112416206E-31</v>
      </c>
      <c r="C46" s="2" cm="1">
        <f t="array" ref="C46">INDEX( ComputeThermoProps($A46, $B46, ParametersRange), 1, COLUMN()-2 )</f>
        <v>34.775016769576595</v>
      </c>
      <c r="D46" s="2" cm="1">
        <f t="array" ref="D46">INDEX( ComputeThermoProps($A46, $B46, ParametersRange), 1, COLUMN()-2 )</f>
        <v>3.1213544125393265E-4</v>
      </c>
      <c r="E46" s="2" cm="1">
        <f t="array" ref="E46">INDEX( ComputeThermoProps($A46, $B46, ParametersRange), 1, COLUMN()-2 )</f>
        <v>3.0099313037823837E-4</v>
      </c>
      <c r="F46" s="2" cm="1">
        <f t="array" ref="F46">INDEX( ComputeThermoProps($A46, $B46, ParametersRange), 1, COLUMN()-2 )</f>
        <v>4.9156117498565341E-4</v>
      </c>
      <c r="G46" s="2" cm="1">
        <f t="array" ref="G46">INDEX( ComputeThermoProps($A46, $B46, ParametersRange), 1, COLUMN()-2 )</f>
        <v>21.191102102461166</v>
      </c>
      <c r="H46" s="2" cm="1">
        <f t="array" ref="H46">INDEX( ComputeThermoProps($A46, $B46, ParametersRange), 1, COLUMN()-2 )</f>
        <v>20.434642514034898</v>
      </c>
      <c r="I46" s="2" cm="1">
        <f t="array" ref="I46">INDEX( ComputeThermoProps($A46, $B46, ParametersRange), 1, COLUMN()-2 )</f>
        <v>2.6799999999999997</v>
      </c>
      <c r="J46" s="2" cm="1">
        <f t="array" ref="J46">INDEX( ComputeThermoProps($A46, $B46, ParametersRange), 1, COLUMN()-2 )</f>
        <v>306.66119170935514</v>
      </c>
      <c r="K46" s="2" cm="1">
        <f t="array" ref="K46">INDEX( ComputeThermoProps($A46, $B46, ParametersRange), 1, COLUMN()-2 )</f>
        <v>17.885663301219633</v>
      </c>
      <c r="L46" s="2" cm="1">
        <f t="array" ref="L46">INDEX( ComputeThermoProps($A46, $B46, ParametersRange), 1, COLUMN()-2 )</f>
        <v>-195.92594705491658</v>
      </c>
      <c r="M46" s="2" cm="1">
        <f t="array" ref="M46">INDEX( ComputeThermoProps($A46, $B46, ParametersRange), 1, COLUMN()-2 )</f>
        <v>306.66119170935514</v>
      </c>
      <c r="N46" s="2" cm="1">
        <f t="array" ref="N46">INDEX( ComputeThermoProps($A46, $B46, ParametersRange), 1, COLUMN()-2 )</f>
        <v>-195.92594705491658</v>
      </c>
      <c r="O46" s="4">
        <f t="shared" si="1"/>
        <v>-30.690782009379127</v>
      </c>
    </row>
    <row r="47" spans="1:15" x14ac:dyDescent="0.25">
      <c r="A47" s="2">
        <v>29.1</v>
      </c>
      <c r="B47" s="2">
        <f t="shared" si="0"/>
        <v>6.3040373791350412E-30</v>
      </c>
      <c r="C47" s="2" cm="1">
        <f t="array" ref="C47">INDEX( ComputeThermoProps($A47, $B47, ParametersRange), 1, COLUMN()-2 )</f>
        <v>34.792255844663323</v>
      </c>
      <c r="D47" s="2" cm="1">
        <f t="array" ref="D47">INDEX( ComputeThermoProps($A47, $B47, ParametersRange), 1, COLUMN()-2 )</f>
        <v>3.1314521971455766E-4</v>
      </c>
      <c r="E47" s="2" cm="1">
        <f t="array" ref="E47">INDEX( ComputeThermoProps($A47, $B47, ParametersRange), 1, COLUMN()-2 )</f>
        <v>3.0140247268681985E-4</v>
      </c>
      <c r="F47" s="2" cm="1">
        <f t="array" ref="F47">INDEX( ComputeThermoProps($A47, $B47, ParametersRange), 1, COLUMN()-2 )</f>
        <v>4.9956857445613136E-4</v>
      </c>
      <c r="G47" s="2" cm="1">
        <f t="array" ref="G47">INDEX( ComputeThermoProps($A47, $B47, ParametersRange), 1, COLUMN()-2 )</f>
        <v>21.517712194883721</v>
      </c>
      <c r="H47" s="2" cm="1">
        <f t="array" ref="H47">INDEX( ComputeThermoProps($A47, $B47, ParametersRange), 1, COLUMN()-2 )</f>
        <v>20.710811642001222</v>
      </c>
      <c r="I47" s="2" cm="1">
        <f t="array" ref="I47">INDEX( ComputeThermoProps($A47, $B47, ParametersRange), 1, COLUMN()-2 )</f>
        <v>2.68</v>
      </c>
      <c r="J47" s="2" cm="1">
        <f t="array" ref="J47">INDEX( ComputeThermoProps($A47, $B47, ParametersRange), 1, COLUMN()-2 )</f>
        <v>328.01757015197586</v>
      </c>
      <c r="K47" s="2" cm="1">
        <f t="array" ref="K47">INDEX( ComputeThermoProps($A47, $B47, ParametersRange), 1, COLUMN()-2 )</f>
        <v>18.632428348851587</v>
      </c>
      <c r="L47" s="2" cm="1">
        <f t="array" ref="L47">INDEX( ComputeThermoProps($A47, $B47, ParametersRange), 1, COLUMN()-2 )</f>
        <v>-214.18609479960534</v>
      </c>
      <c r="M47" s="2" cm="1">
        <f t="array" ref="M47">INDEX( ComputeThermoProps($A47, $B47, ParametersRange), 1, COLUMN()-2 )</f>
        <v>328.01757015197586</v>
      </c>
      <c r="N47" s="2" cm="1">
        <f t="array" ref="N47">INDEX( ComputeThermoProps($A47, $B47, ParametersRange), 1, COLUMN()-2 )</f>
        <v>-214.18609479960534</v>
      </c>
      <c r="O47" s="4">
        <f t="shared" si="1"/>
        <v>-29.200381220406832</v>
      </c>
    </row>
    <row r="48" spans="1:15" x14ac:dyDescent="0.25">
      <c r="A48" s="2">
        <v>30.1</v>
      </c>
      <c r="B48" s="2">
        <f t="shared" si="0"/>
        <v>1.5126273630190961E-28</v>
      </c>
      <c r="C48" s="2" cm="1">
        <f t="array" ref="C48">INDEX( ComputeThermoProps($A48, $B48, ParametersRange), 1, COLUMN()-2 )</f>
        <v>34.809773348239204</v>
      </c>
      <c r="D48" s="2" cm="1">
        <f t="array" ref="D48">INDEX( ComputeThermoProps($A48, $B48, ParametersRange), 1, COLUMN()-2 )</f>
        <v>3.1416578300742386E-4</v>
      </c>
      <c r="E48" s="2" cm="1">
        <f t="array" ref="E48">INDEX( ComputeThermoProps($A48, $B48, ParametersRange), 1, COLUMN()-2 )</f>
        <v>3.0181989198759321E-4</v>
      </c>
      <c r="F48" s="2" cm="1">
        <f t="array" ref="F48">INDEX( ComputeThermoProps($A48, $B48, ParametersRange), 1, COLUMN()-2 )</f>
        <v>5.0707627351554297E-4</v>
      </c>
      <c r="G48" s="2" cm="1">
        <f t="array" ref="G48">INDEX( ComputeThermoProps($A48, $B48, ParametersRange), 1, COLUMN()-2 )</f>
        <v>21.821863367450792</v>
      </c>
      <c r="H48" s="2" cm="1">
        <f t="array" ref="H48">INDEX( ComputeThermoProps($A48, $B48, ParametersRange), 1, COLUMN()-2 )</f>
        <v>20.964321389437814</v>
      </c>
      <c r="I48" s="2" cm="1">
        <f t="array" ref="I48">INDEX( ComputeThermoProps($A48, $B48, ParametersRange), 1, COLUMN()-2 )</f>
        <v>2.68</v>
      </c>
      <c r="J48" s="2" cm="1">
        <f t="array" ref="J48">INDEX( ComputeThermoProps($A48, $B48, ParametersRange), 1, COLUMN()-2 )</f>
        <v>349.68913284837856</v>
      </c>
      <c r="K48" s="2" cm="1">
        <f t="array" ref="K48">INDEX( ComputeThermoProps($A48, $B48, ParametersRange), 1, COLUMN()-2 )</f>
        <v>19.364612001257175</v>
      </c>
      <c r="L48" s="2" cm="1">
        <f t="array" ref="L48">INDEX( ComputeThermoProps($A48, $B48, ParametersRange), 1, COLUMN()-2 )</f>
        <v>-233.18568838946243</v>
      </c>
      <c r="M48" s="2" cm="1">
        <f t="array" ref="M48">INDEX( ComputeThermoProps($A48, $B48, ParametersRange), 1, COLUMN()-2 )</f>
        <v>349.68913284837856</v>
      </c>
      <c r="N48" s="2" cm="1">
        <f t="array" ref="N48">INDEX( ComputeThermoProps($A48, $B48, ParametersRange), 1, COLUMN()-2 )</f>
        <v>-233.18568838946243</v>
      </c>
      <c r="O48" s="4">
        <f t="shared" si="1"/>
        <v>-27.82026804759936</v>
      </c>
    </row>
    <row r="49" spans="1:15" x14ac:dyDescent="0.25">
      <c r="A49" s="2">
        <v>31.1</v>
      </c>
      <c r="B49" s="2">
        <f t="shared" si="0"/>
        <v>2.8871054864220608E-27</v>
      </c>
      <c r="C49" s="2" cm="1">
        <f t="array" ref="C49">INDEX( ComputeThermoProps($A49, $B49, ParametersRange), 1, COLUMN()-2 )</f>
        <v>34.827553184124199</v>
      </c>
      <c r="D49" s="2" cm="1">
        <f t="array" ref="D49">INDEX( ComputeThermoProps($A49, $B49, ParametersRange), 1, COLUMN()-2 )</f>
        <v>3.1519691522658496E-4</v>
      </c>
      <c r="E49" s="2" cm="1">
        <f t="array" ref="E49">INDEX( ComputeThermoProps($A49, $B49, ParametersRange), 1, COLUMN()-2 )</f>
        <v>3.0224507903925282E-4</v>
      </c>
      <c r="F49" s="2" cm="1">
        <f t="array" ref="F49">INDEX( ComputeThermoProps($A49, $B49, ParametersRange), 1, COLUMN()-2 )</f>
        <v>5.1413470577392712E-4</v>
      </c>
      <c r="G49" s="2" cm="1">
        <f t="array" ref="G49">INDEX( ComputeThermoProps($A49, $B49, ParametersRange), 1, COLUMN()-2 )</f>
        <v>22.105780457566155</v>
      </c>
      <c r="H49" s="2" cm="1">
        <f t="array" ref="H49">INDEX( ComputeThermoProps($A49, $B49, ParametersRange), 1, COLUMN()-2 )</f>
        <v>21.197426240096402</v>
      </c>
      <c r="I49" s="2" cm="1">
        <f t="array" ref="I49">INDEX( ComputeThermoProps($A49, $B49, ParametersRange), 1, COLUMN()-2 )</f>
        <v>2.6799999999999997</v>
      </c>
      <c r="J49" s="2" cm="1">
        <f t="array" ref="J49">INDEX( ComputeThermoProps($A49, $B49, ParametersRange), 1, COLUMN()-2 )</f>
        <v>371.65455490565716</v>
      </c>
      <c r="K49" s="2" cm="1">
        <f t="array" ref="K49">INDEX( ComputeThermoProps($A49, $B49, ParametersRange), 1, COLUMN()-2 )</f>
        <v>20.08247025190601</v>
      </c>
      <c r="L49" s="2" cm="1">
        <f t="array" ref="L49">INDEX( ComputeThermoProps($A49, $B49, ParametersRange), 1, COLUMN()-2 )</f>
        <v>-252.91026992861975</v>
      </c>
      <c r="M49" s="2" cm="1">
        <f t="array" ref="M49">INDEX( ComputeThermoProps($A49, $B49, ParametersRange), 1, COLUMN()-2 )</f>
        <v>371.65455490565716</v>
      </c>
      <c r="N49" s="2" cm="1">
        <f t="array" ref="N49">INDEX( ComputeThermoProps($A49, $B49, ParametersRange), 1, COLUMN()-2 )</f>
        <v>-252.91026992861975</v>
      </c>
      <c r="O49" s="4">
        <f t="shared" si="1"/>
        <v>-26.539537347974463</v>
      </c>
    </row>
    <row r="50" spans="1:15" x14ac:dyDescent="0.25">
      <c r="A50" s="2">
        <v>32.1</v>
      </c>
      <c r="B50" s="2">
        <f t="shared" si="0"/>
        <v>4.4807767058663126E-26</v>
      </c>
      <c r="C50" s="2" cm="1">
        <f t="array" ref="C50">INDEX( ComputeThermoProps($A50, $B50, ParametersRange), 1, COLUMN()-2 )</f>
        <v>34.845580887631669</v>
      </c>
      <c r="D50" s="2" cm="1">
        <f t="array" ref="D50">INDEX( ComputeThermoProps($A50, $B50, ParametersRange), 1, COLUMN()-2 )</f>
        <v>3.1623845490560054E-4</v>
      </c>
      <c r="E50" s="2" cm="1">
        <f t="array" ref="E50">INDEX( ComputeThermoProps($A50, $B50, ParametersRange), 1, COLUMN()-2 )</f>
        <v>3.0267775990453611E-4</v>
      </c>
      <c r="F50" s="2" cm="1">
        <f t="array" ref="F50">INDEX( ComputeThermoProps($A50, $B50, ParametersRange), 1, COLUMN()-2 )</f>
        <v>5.2078876982284414E-4</v>
      </c>
      <c r="G50" s="2" cm="1">
        <f t="array" ref="G50">INDEX( ComputeThermoProps($A50, $B50, ParametersRange), 1, COLUMN()-2 )</f>
        <v>22.371443845684258</v>
      </c>
      <c r="H50" s="2" cm="1">
        <f t="array" ref="H50">INDEX( ComputeThermoProps($A50, $B50, ParametersRange), 1, COLUMN()-2 )</f>
        <v>21.412128740203734</v>
      </c>
      <c r="I50" s="2" cm="1">
        <f t="array" ref="I50">INDEX( ComputeThermoProps($A50, $B50, ParametersRange), 1, COLUMN()-2 )</f>
        <v>2.6799999999999997</v>
      </c>
      <c r="J50" s="2" cm="1">
        <f t="array" ref="J50">INDEX( ComputeThermoProps($A50, $B50, ParametersRange), 1, COLUMN()-2 )</f>
        <v>393.89461159731485</v>
      </c>
      <c r="K50" s="2" cm="1">
        <f t="array" ref="K50">INDEX( ComputeThermoProps($A50, $B50, ParametersRange), 1, COLUMN()-2 )</f>
        <v>20.786301288143704</v>
      </c>
      <c r="L50" s="2" cm="1">
        <f t="array" ref="L50">INDEX( ComputeThermoProps($A50, $B50, ParametersRange), 1, COLUMN()-2 )</f>
        <v>-273.34565975209807</v>
      </c>
      <c r="M50" s="2" cm="1">
        <f t="array" ref="M50">INDEX( ComputeThermoProps($A50, $B50, ParametersRange), 1, COLUMN()-2 )</f>
        <v>393.89461159731485</v>
      </c>
      <c r="N50" s="2" cm="1">
        <f t="array" ref="N50">INDEX( ComputeThermoProps($A50, $B50, ParametersRange), 1, COLUMN()-2 )</f>
        <v>-273.34565975209807</v>
      </c>
      <c r="O50" s="4">
        <f t="shared" si="1"/>
        <v>-25.348646698092399</v>
      </c>
    </row>
    <row r="51" spans="1:15" x14ac:dyDescent="0.25">
      <c r="A51" s="2">
        <v>33.1</v>
      </c>
      <c r="B51" s="2">
        <f t="shared" si="0"/>
        <v>5.7648695448559556E-25</v>
      </c>
      <c r="C51" s="2" cm="1">
        <f t="array" ref="C51">INDEX( ComputeThermoProps($A51, $B51, ParametersRange), 1, COLUMN()-2 )</f>
        <v>34.863843446978372</v>
      </c>
      <c r="D51" s="2" cm="1">
        <f t="array" ref="D51">INDEX( ComputeThermoProps($A51, $B51, ParametersRange), 1, COLUMN()-2 )</f>
        <v>3.17290286066721E-4</v>
      </c>
      <c r="E51" s="2" cm="1">
        <f t="array" ref="E51">INDEX( ComputeThermoProps($A51, $B51, ParametersRange), 1, COLUMN()-2 )</f>
        <v>3.0311769213879706E-4</v>
      </c>
      <c r="F51" s="2" cm="1">
        <f t="array" ref="F51">INDEX( ComputeThermoProps($A51, $B51, ParametersRange), 1, COLUMN()-2 )</f>
        <v>5.270784625416088E-4</v>
      </c>
      <c r="G51" s="2" cm="1">
        <f t="array" ref="G51">INDEX( ComputeThermoProps($A51, $B51, ParametersRange), 1, COLUMN()-2 )</f>
        <v>22.62061736101488</v>
      </c>
      <c r="H51" s="2" cm="1">
        <f t="array" ref="H51">INDEX( ComputeThermoProps($A51, $B51, ParametersRange), 1, COLUMN()-2 )</f>
        <v>21.610208790898128</v>
      </c>
      <c r="I51" s="2" cm="1">
        <f t="array" ref="I51">INDEX( ComputeThermoProps($A51, $B51, ParametersRange), 1, COLUMN()-2 )</f>
        <v>2.6799999999999997</v>
      </c>
      <c r="J51" s="2" cm="1">
        <f t="array" ref="J51">INDEX( ComputeThermoProps($A51, $B51, ParametersRange), 1, COLUMN()-2 )</f>
        <v>416.39194809501726</v>
      </c>
      <c r="K51" s="2" cm="1">
        <f t="array" ref="K51">INDEX( ComputeThermoProps($A51, $B51, ParametersRange), 1, COLUMN()-2 )</f>
        <v>21.476433243119395</v>
      </c>
      <c r="L51" s="2" cm="1">
        <f t="array" ref="L51">INDEX( ComputeThermoProps($A51, $B51, ParametersRange), 1, COLUMN()-2 )</f>
        <v>-294.47799225223474</v>
      </c>
      <c r="M51" s="2" cm="1">
        <f t="array" ref="M51">INDEX( ComputeThermoProps($A51, $B51, ParametersRange), 1, COLUMN()-2 )</f>
        <v>416.39194809501726</v>
      </c>
      <c r="N51" s="2" cm="1">
        <f t="array" ref="N51">INDEX( ComputeThermoProps($A51, $B51, ParametersRange), 1, COLUMN()-2 )</f>
        <v>-294.47799225223474</v>
      </c>
      <c r="O51" s="4">
        <f t="shared" si="1"/>
        <v>-24.239210516051891</v>
      </c>
    </row>
    <row r="52" spans="1:15" x14ac:dyDescent="0.25">
      <c r="A52" s="2">
        <v>34.1</v>
      </c>
      <c r="B52" s="2">
        <f t="shared" si="0"/>
        <v>6.2541686990519955E-24</v>
      </c>
      <c r="C52" s="2" cm="1">
        <f t="array" ref="C52">INDEX( ComputeThermoProps($A52, $B52, ParametersRange), 1, COLUMN()-2 )</f>
        <v>34.882329145302414</v>
      </c>
      <c r="D52" s="2" cm="1">
        <f t="array" ref="D52">INDEX( ComputeThermoProps($A52, $B52, ParametersRange), 1, COLUMN()-2 )</f>
        <v>3.1835233093397119E-4</v>
      </c>
      <c r="E52" s="2" cm="1">
        <f t="array" ref="E52">INDEX( ComputeThermoProps($A52, $B52, ParametersRange), 1, COLUMN()-2 )</f>
        <v>3.0356466142386011E-4</v>
      </c>
      <c r="F52" s="2" cm="1">
        <f t="array" ref="F52">INDEX( ComputeThermoProps($A52, $B52, ParametersRange), 1, COLUMN()-2 )</f>
        <v>5.330394472002688E-4</v>
      </c>
      <c r="G52" s="2" cm="1">
        <f t="array" ref="G52">INDEX( ComputeThermoProps($A52, $B52, ParametersRange), 1, COLUMN()-2 )</f>
        <v>22.854873323519755</v>
      </c>
      <c r="H52" s="2" cm="1">
        <f t="array" ref="H52">INDEX( ComputeThermoProps($A52, $B52, ParametersRange), 1, COLUMN()-2 )</f>
        <v>21.7932498310448</v>
      </c>
      <c r="I52" s="2" cm="1">
        <f t="array" ref="I52">INDEX( ComputeThermoProps($A52, $B52, ParametersRange), 1, COLUMN()-2 )</f>
        <v>2.68</v>
      </c>
      <c r="J52" s="2" cm="1">
        <f t="array" ref="J52">INDEX( ComputeThermoProps($A52, $B52, ParametersRange), 1, COLUMN()-2 )</f>
        <v>439.13087567540617</v>
      </c>
      <c r="K52" s="2" cm="1">
        <f t="array" ref="K52">INDEX( ComputeThermoProps($A52, $B52, ParametersRange), 1, COLUMN()-2 )</f>
        <v>22.153214559777627</v>
      </c>
      <c r="L52" s="2" cm="1">
        <f t="array" ref="L52">INDEX( ComputeThermoProps($A52, $B52, ParametersRange), 1, COLUMN()-2 )</f>
        <v>-316.29374081301097</v>
      </c>
      <c r="M52" s="2" cm="1">
        <f t="array" ref="M52">INDEX( ComputeThermoProps($A52, $B52, ParametersRange), 1, COLUMN()-2 )</f>
        <v>439.13087567540617</v>
      </c>
      <c r="N52" s="2" cm="1">
        <f t="array" ref="N52">INDEX( ComputeThermoProps($A52, $B52, ParametersRange), 1, COLUMN()-2 )</f>
        <v>-316.29374081301097</v>
      </c>
      <c r="O52" s="4">
        <f t="shared" si="1"/>
        <v>-23.203830408337847</v>
      </c>
    </row>
    <row r="53" spans="1:15" x14ac:dyDescent="0.25">
      <c r="A53" s="2">
        <v>35.1</v>
      </c>
      <c r="B53" s="2">
        <f t="shared" si="0"/>
        <v>5.8082524302438808E-23</v>
      </c>
      <c r="C53" s="2" cm="1">
        <f t="array" ref="C53">INDEX( ComputeThermoProps($A53, $B53, ParametersRange), 1, COLUMN()-2 )</f>
        <v>34.901027421099045</v>
      </c>
      <c r="D53" s="2" cm="1">
        <f t="array" ref="D53">INDEX( ComputeThermoProps($A53, $B53, ParametersRange), 1, COLUMN()-2 )</f>
        <v>3.1942454401792035E-4</v>
      </c>
      <c r="E53" s="2" cm="1">
        <f t="array" ref="E53">INDEX( ComputeThermoProps($A53, $B53, ParametersRange), 1, COLUMN()-2 )</f>
        <v>3.0401847859926138E-4</v>
      </c>
      <c r="F53" s="2" cm="1">
        <f t="array" ref="F53">INDEX( ComputeThermoProps($A53, $B53, ParametersRange), 1, COLUMN()-2 )</f>
        <v>5.3870356032883517E-4</v>
      </c>
      <c r="G53" s="2" cm="1">
        <f t="array" ref="G53">INDEX( ComputeThermoProps($A53, $B53, ParametersRange), 1, COLUMN()-2 )</f>
        <v>23.075614892689909</v>
      </c>
      <c r="H53" s="2" cm="1">
        <f t="array" ref="H53">INDEX( ComputeThermoProps($A53, $B53, ParametersRange), 1, COLUMN()-2 )</f>
        <v>21.962662117863008</v>
      </c>
      <c r="I53" s="2" cm="1">
        <f t="array" ref="I53">INDEX( ComputeThermoProps($A53, $B53, ParametersRange), 1, COLUMN()-2 )</f>
        <v>2.68</v>
      </c>
      <c r="J53" s="2" cm="1">
        <f t="array" ref="J53">INDEX( ComputeThermoProps($A53, $B53, ParametersRange), 1, COLUMN()-2 )</f>
        <v>462.09719160172813</v>
      </c>
      <c r="K53" s="2" cm="1">
        <f t="array" ref="K53">INDEX( ComputeThermoProps($A53, $B53, ParametersRange), 1, COLUMN()-2 )</f>
        <v>22.817006432708634</v>
      </c>
      <c r="L53" s="2" cm="1">
        <f t="array" ref="L53">INDEX( ComputeThermoProps($A53, $B53, ParametersRange), 1, COLUMN()-2 )</f>
        <v>-338.77973418634497</v>
      </c>
      <c r="M53" s="2" cm="1">
        <f t="array" ref="M53">INDEX( ComputeThermoProps($A53, $B53, ParametersRange), 1, COLUMN()-2 )</f>
        <v>462.09719160172813</v>
      </c>
      <c r="N53" s="2" cm="1">
        <f t="array" ref="N53">INDEX( ComputeThermoProps($A53, $B53, ParametersRange), 1, COLUMN()-2 )</f>
        <v>-338.77973418634497</v>
      </c>
      <c r="O53" s="4">
        <f t="shared" si="1"/>
        <v>-22.23595451719094</v>
      </c>
    </row>
    <row r="54" spans="1:15" x14ac:dyDescent="0.25">
      <c r="A54" s="2">
        <v>36.1</v>
      </c>
      <c r="B54" s="2">
        <f t="shared" si="0"/>
        <v>4.6799342856308233E-22</v>
      </c>
      <c r="C54" s="2" cm="1">
        <f t="array" ref="C54">INDEX( ComputeThermoProps($A54, $B54, ParametersRange), 1, COLUMN()-2 )</f>
        <v>34.919928745012122</v>
      </c>
      <c r="D54" s="2" cm="1">
        <f t="array" ref="D54">INDEX( ComputeThermoProps($A54, $B54, ParametersRange), 1, COLUMN()-2 )</f>
        <v>3.205069072464999E-4</v>
      </c>
      <c r="E54" s="2" cm="1">
        <f t="array" ref="E54">INDEX( ComputeThermoProps($A54, $B54, ParametersRange), 1, COLUMN()-2 )</f>
        <v>3.0447897704594812E-4</v>
      </c>
      <c r="F54" s="2" cm="1">
        <f t="array" ref="F54">INDEX( ComputeThermoProps($A54, $B54, ParametersRange), 1, COLUMN()-2 )</f>
        <v>5.4409925929767592E-4</v>
      </c>
      <c r="G54" s="2" cm="1">
        <f t="array" ref="G54">INDEX( ComputeThermoProps($A54, $B54, ParametersRange), 1, COLUMN()-2 )</f>
        <v>23.284095809334246</v>
      </c>
      <c r="H54" s="2" cm="1">
        <f t="array" ref="H54">INDEX( ComputeThermoProps($A54, $B54, ParametersRange), 1, COLUMN()-2 )</f>
        <v>22.119703236265774</v>
      </c>
      <c r="I54" s="2" cm="1">
        <f t="array" ref="I54">INDEX( ComputeThermoProps($A54, $B54, ParametersRange), 1, COLUMN()-2 )</f>
        <v>2.6800000000000006</v>
      </c>
      <c r="J54" s="2" cm="1">
        <f t="array" ref="J54">INDEX( ComputeThermoProps($A54, $B54, ParametersRange), 1, COLUMN()-2 )</f>
        <v>485.27802003933664</v>
      </c>
      <c r="K54" s="2" cm="1">
        <f t="array" ref="K54">INDEX( ComputeThermoProps($A54, $B54, ParametersRange), 1, COLUMN()-2 )</f>
        <v>23.468176903277431</v>
      </c>
      <c r="L54" s="2" cm="1">
        <f t="array" ref="L54">INDEX( ComputeThermoProps($A54, $B54, ParametersRange), 1, COLUMN()-2 )</f>
        <v>-361.92316616897864</v>
      </c>
      <c r="M54" s="2" cm="1">
        <f t="array" ref="M54">INDEX( ComputeThermoProps($A54, $B54, ParametersRange), 1, COLUMN()-2 )</f>
        <v>485.27802003933664</v>
      </c>
      <c r="N54" s="2" cm="1">
        <f t="array" ref="N54">INDEX( ComputeThermoProps($A54, $B54, ParametersRange), 1, COLUMN()-2 )</f>
        <v>-361.92316616897864</v>
      </c>
      <c r="O54" s="4">
        <f t="shared" si="1"/>
        <v>-21.329760245128501</v>
      </c>
    </row>
    <row r="55" spans="1:15" x14ac:dyDescent="0.25">
      <c r="A55" s="2">
        <v>37.1</v>
      </c>
      <c r="B55" s="2">
        <f t="shared" si="0"/>
        <v>3.3108846790533031E-21</v>
      </c>
      <c r="C55" s="2" cm="1">
        <f t="array" ref="C55">INDEX( ComputeThermoProps($A55, $B55, ParametersRange), 1, COLUMN()-2 )</f>
        <v>34.939024511077328</v>
      </c>
      <c r="D55" s="2" cm="1">
        <f t="array" ref="D55">INDEX( ComputeThermoProps($A55, $B55, ParametersRange), 1, COLUMN()-2 )</f>
        <v>3.2159942601336005E-4</v>
      </c>
      <c r="E55" s="2" cm="1">
        <f t="array" ref="E55">INDEX( ComputeThermoProps($A55, $B55, ParametersRange), 1, COLUMN()-2 )</f>
        <v>3.0494601038106461E-4</v>
      </c>
      <c r="F55" s="2" cm="1">
        <f t="array" ref="F55">INDEX( ComputeThermoProps($A55, $B55, ParametersRange), 1, COLUMN()-2 )</f>
        <v>5.4925201862783286E-4</v>
      </c>
      <c r="G55" s="2" cm="1">
        <f t="array" ref="G55">INDEX( ComputeThermoProps($A55, $B55, ParametersRange), 1, COLUMN()-2 )</f>
        <v>23.481437878643654</v>
      </c>
      <c r="H55" s="2" cm="1">
        <f t="array" ref="H55">INDEX( ComputeThermoProps($A55, $B55, ParametersRange), 1, COLUMN()-2 )</f>
        <v>22.26549620398179</v>
      </c>
      <c r="I55" s="2" cm="1">
        <f t="array" ref="I55">INDEX( ComputeThermoProps($A55, $B55, ParametersRange), 1, COLUMN()-2 )</f>
        <v>2.68</v>
      </c>
      <c r="J55" s="2" cm="1">
        <f t="array" ref="J55">INDEX( ComputeThermoProps($A55, $B55, ParametersRange), 1, COLUMN()-2 )</f>
        <v>508.66167156517974</v>
      </c>
      <c r="K55" s="2" cm="1">
        <f t="array" ref="K55">INDEX( ComputeThermoProps($A55, $B55, ParametersRange), 1, COLUMN()-2 )</f>
        <v>24.107096270135326</v>
      </c>
      <c r="L55" s="2" cm="1">
        <f t="array" ref="L55">INDEX( ComputeThermoProps($A55, $B55, ParametersRange), 1, COLUMN()-2 )</f>
        <v>-385.71160005684089</v>
      </c>
      <c r="M55" s="2" cm="1">
        <f t="array" ref="M55">INDEX( ComputeThermoProps($A55, $B55, ParametersRange), 1, COLUMN()-2 )</f>
        <v>508.66167156517974</v>
      </c>
      <c r="N55" s="2" cm="1">
        <f t="array" ref="N55">INDEX( ComputeThermoProps($A55, $B55, ParametersRange), 1, COLUMN()-2 )</f>
        <v>-385.71160005684089</v>
      </c>
      <c r="O55" s="4">
        <f t="shared" si="1"/>
        <v>-20.480055945832955</v>
      </c>
    </row>
    <row r="56" spans="1:15" x14ac:dyDescent="0.25">
      <c r="A56" s="2">
        <v>38.1</v>
      </c>
      <c r="B56" s="2">
        <f t="shared" si="0"/>
        <v>2.0787482816467839E-20</v>
      </c>
      <c r="C56" s="2" cm="1">
        <f t="array" ref="C56">INDEX( ComputeThermoProps($A56, $B56, ParametersRange), 1, COLUMN()-2 )</f>
        <v>34.958306940697732</v>
      </c>
      <c r="D56" s="2" cm="1">
        <f t="array" ref="D56">INDEX( ComputeThermoProps($A56, $B56, ParametersRange), 1, COLUMN()-2 )</f>
        <v>3.2270212590720796E-4</v>
      </c>
      <c r="E56" s="2" cm="1">
        <f t="array" ref="E56">INDEX( ComputeThermoProps($A56, $B56, ParametersRange), 1, COLUMN()-2 )</f>
        <v>3.0541945042655469E-4</v>
      </c>
      <c r="F56" s="2" cm="1">
        <f t="array" ref="F56">INDEX( ComputeThermoProps($A56, $B56, ParametersRange), 1, COLUMN()-2 )</f>
        <v>5.5418467780437024E-4</v>
      </c>
      <c r="G56" s="2" cm="1">
        <f t="array" ref="G56">INDEX( ComputeThermoProps($A56, $B56, ParametersRange), 1, COLUMN()-2 )</f>
        <v>23.668646318507719</v>
      </c>
      <c r="H56" s="2" cm="1">
        <f t="array" ref="H56">INDEX( ComputeThermoProps($A56, $B56, ParametersRange), 1, COLUMN()-2 )</f>
        <v>22.40104533125314</v>
      </c>
      <c r="I56" s="2" cm="1">
        <f t="array" ref="I56">INDEX( ComputeThermoProps($A56, $B56, ParametersRange), 1, COLUMN()-2 )</f>
        <v>2.68</v>
      </c>
      <c r="J56" s="2" cm="1">
        <f t="array" ref="J56">INDEX( ComputeThermoProps($A56, $B56, ParametersRange), 1, COLUMN()-2 )</f>
        <v>532.2375190655298</v>
      </c>
      <c r="K56" s="2" cm="1">
        <f t="array" ref="K56">INDEX( ComputeThermoProps($A56, $B56, ParametersRange), 1, COLUMN()-2 )</f>
        <v>24.734133546425166</v>
      </c>
      <c r="L56" s="2" cm="1">
        <f t="array" ref="L56">INDEX( ComputeThermoProps($A56, $B56, ParametersRange), 1, COLUMN()-2 )</f>
        <v>-410.13296905326905</v>
      </c>
      <c r="M56" s="2" cm="1">
        <f t="array" ref="M56">INDEX( ComputeThermoProps($A56, $B56, ParametersRange), 1, COLUMN()-2 )</f>
        <v>532.2375190655298</v>
      </c>
      <c r="N56" s="2" cm="1">
        <f t="array" ref="N56">INDEX( ComputeThermoProps($A56, $B56, ParametersRange), 1, COLUMN()-2 )</f>
        <v>-410.13296905326905</v>
      </c>
      <c r="O56" s="4">
        <f t="shared" si="1"/>
        <v>-19.682198096772606</v>
      </c>
    </row>
    <row r="57" spans="1:15" x14ac:dyDescent="0.25">
      <c r="A57" s="2">
        <v>39.1</v>
      </c>
      <c r="B57" s="2">
        <f t="shared" si="0"/>
        <v>1.1694423522989679E-19</v>
      </c>
      <c r="C57" s="2" cm="1">
        <f t="array" ref="C57">INDEX( ComputeThermoProps($A57, $B57, ParametersRange), 1, COLUMN()-2 )</f>
        <v>34.97776899781271</v>
      </c>
      <c r="D57" s="2" cm="1">
        <f t="array" ref="D57">INDEX( ComputeThermoProps($A57, $B57, ParametersRange), 1, COLUMN()-2 )</f>
        <v>3.2381505002390329E-4</v>
      </c>
      <c r="E57" s="2" cm="1">
        <f t="array" ref="E57">INDEX( ComputeThermoProps($A57, $B57, ParametersRange), 1, COLUMN()-2 )</f>
        <v>3.0589918541828505E-4</v>
      </c>
      <c r="F57" s="2" cm="1">
        <f t="array" ref="F57">INDEX( ComputeThermoProps($A57, $B57, ParametersRange), 1, COLUMN()-2 )</f>
        <v>5.5891774706854649E-4</v>
      </c>
      <c r="G57" s="2" cm="1">
        <f t="array" ref="G57">INDEX( ComputeThermoProps($A57, $B57, ParametersRange), 1, COLUMN()-2 )</f>
        <v>23.846623256068327</v>
      </c>
      <c r="H57" s="2" cm="1">
        <f t="array" ref="H57">INDEX( ComputeThermoProps($A57, $B57, ParametersRange), 1, COLUMN()-2 )</f>
        <v>22.527250133894512</v>
      </c>
      <c r="I57" s="2" cm="1">
        <f t="array" ref="I57">INDEX( ComputeThermoProps($A57, $B57, ParametersRange), 1, COLUMN()-2 )</f>
        <v>2.68</v>
      </c>
      <c r="J57" s="2" cm="1">
        <f t="array" ref="J57">INDEX( ComputeThermoProps($A57, $B57, ParametersRange), 1, COLUMN()-2 )</f>
        <v>555.99588804619009</v>
      </c>
      <c r="K57" s="2" cm="1">
        <f t="array" ref="K57">INDEX( ComputeThermoProps($A57, $B57, ParametersRange), 1, COLUMN()-2 )</f>
        <v>25.349653749689132</v>
      </c>
      <c r="L57" s="2" cm="1">
        <f t="array" ref="L57">INDEX( ComputeThermoProps($A57, $B57, ParametersRange), 1, COLUMN()-2 )</f>
        <v>-435.17557356665503</v>
      </c>
      <c r="M57" s="2" cm="1">
        <f t="array" ref="M57">INDEX( ComputeThermoProps($A57, $B57, ParametersRange), 1, COLUMN()-2 )</f>
        <v>555.99588804619009</v>
      </c>
      <c r="N57" s="2" cm="1">
        <f t="array" ref="N57">INDEX( ComputeThermoProps($A57, $B57, ParametersRange), 1, COLUMN()-2 )</f>
        <v>-435.17557356665503</v>
      </c>
      <c r="O57" s="4">
        <f t="shared" si="1"/>
        <v>-18.932021181888619</v>
      </c>
    </row>
    <row r="58" spans="1:15" x14ac:dyDescent="0.25">
      <c r="A58" s="2">
        <v>40.1</v>
      </c>
      <c r="B58" s="2">
        <f t="shared" si="0"/>
        <v>5.9459593304923537E-19</v>
      </c>
      <c r="C58" s="2" cm="1">
        <f t="array" ref="C58">INDEX( ComputeThermoProps($A58, $B58, ParametersRange), 1, COLUMN()-2 )</f>
        <v>34.997404313895025</v>
      </c>
      <c r="D58" s="2" cm="1">
        <f t="array" ref="D58">INDEX( ComputeThermoProps($A58, $B58, ParametersRange), 1, COLUMN()-2 )</f>
        <v>3.2493825675404081E-4</v>
      </c>
      <c r="E58" s="2" cm="1">
        <f t="array" ref="E58">INDEX( ComputeThermoProps($A58, $B58, ParametersRange), 1, COLUMN()-2 )</f>
        <v>3.0638511842620992E-4</v>
      </c>
      <c r="F58" s="2" cm="1">
        <f t="array" ref="F58">INDEX( ComputeThermoProps($A58, $B58, ParametersRange), 1, COLUMN()-2 )</f>
        <v>5.6346967600956455E-4</v>
      </c>
      <c r="G58" s="2" cm="1">
        <f t="array" ref="G58">INDEX( ComputeThermoProps($A58, $B58, ParametersRange), 1, COLUMN()-2 )</f>
        <v>24.016179584335813</v>
      </c>
      <c r="H58" s="2" cm="1">
        <f t="array" ref="H58">INDEX( ComputeThermoProps($A58, $B58, ParametersRange), 1, COLUMN()-2 )</f>
        <v>22.644917528629382</v>
      </c>
      <c r="I58" s="2" cm="1">
        <f t="array" ref="I58">INDEX( ComputeThermoProps($A58, $B58, ParametersRange), 1, COLUMN()-2 )</f>
        <v>2.68</v>
      </c>
      <c r="J58" s="2" cm="1">
        <f t="array" ref="J58">INDEX( ComputeThermoProps($A58, $B58, ParametersRange), 1, COLUMN()-2 )</f>
        <v>579.92795960164722</v>
      </c>
      <c r="K58" s="2" cm="1">
        <f t="array" ref="K58">INDEX( ComputeThermoProps($A58, $B58, ParametersRange), 1, COLUMN()-2 )</f>
        <v>25.954015853949599</v>
      </c>
      <c r="L58" s="2" cm="1">
        <f t="array" ref="L58">INDEX( ComputeThermoProps($A58, $B58, ParametersRange), 1, COLUMN()-2 )</f>
        <v>-460.82807614173174</v>
      </c>
      <c r="M58" s="2" cm="1">
        <f t="array" ref="M58">INDEX( ComputeThermoProps($A58, $B58, ParametersRange), 1, COLUMN()-2 )</f>
        <v>579.92795960164722</v>
      </c>
      <c r="N58" s="2" cm="1">
        <f t="array" ref="N58">INDEX( ComputeThermoProps($A58, $B58, ParametersRange), 1, COLUMN()-2 )</f>
        <v>-460.82807614173174</v>
      </c>
      <c r="O58" s="4">
        <f t="shared" si="1"/>
        <v>-18.225778065632788</v>
      </c>
    </row>
    <row r="59" spans="1:15" x14ac:dyDescent="0.25">
      <c r="A59" s="2">
        <v>41.1</v>
      </c>
      <c r="B59" s="2">
        <f t="shared" si="0"/>
        <v>2.7536638834830766E-18</v>
      </c>
      <c r="C59" s="2" cm="1">
        <f t="array" ref="C59">INDEX( ComputeThermoProps($A59, $B59, ParametersRange), 1, COLUMN()-2 )</f>
        <v>35.017207121572177</v>
      </c>
      <c r="D59" s="2" cm="1">
        <f t="array" ref="D59">INDEX( ComputeThermoProps($A59, $B59, ParametersRange), 1, COLUMN()-2 )</f>
        <v>3.2607181795926612E-4</v>
      </c>
      <c r="E59" s="2" cm="1">
        <f t="array" ref="E59">INDEX( ComputeThermoProps($A59, $B59, ParametersRange), 1, COLUMN()-2 )</f>
        <v>3.0687716595962429E-4</v>
      </c>
      <c r="F59" s="2" cm="1">
        <f t="array" ref="F59">INDEX( ComputeThermoProps($A59, $B59, ParametersRange), 1, COLUMN()-2 )</f>
        <v>5.6785708937289391E-4</v>
      </c>
      <c r="G59" s="2" cm="1">
        <f t="array" ref="G59">INDEX( ComputeThermoProps($A59, $B59, ParametersRange), 1, COLUMN()-2 )</f>
        <v>24.17804537311968</v>
      </c>
      <c r="H59" s="2" cm="1">
        <f t="array" ref="H59">INDEX( ComputeThermoProps($A59, $B59, ParametersRange), 1, COLUMN()-2 )</f>
        <v>22.754772519080642</v>
      </c>
      <c r="I59" s="2" cm="1">
        <f t="array" ref="I59">INDEX( ComputeThermoProps($A59, $B59, ParametersRange), 1, COLUMN()-2 )</f>
        <v>2.68</v>
      </c>
      <c r="J59" s="2" cm="1">
        <f t="array" ref="J59">INDEX( ComputeThermoProps($A59, $B59, ParametersRange), 1, COLUMN()-2 )</f>
        <v>604.02568449586624</v>
      </c>
      <c r="K59" s="2" cm="1">
        <f t="array" ref="K59">INDEX( ComputeThermoProps($A59, $B59, ParametersRange), 1, COLUMN()-2 )</f>
        <v>26.547571267931332</v>
      </c>
      <c r="L59" s="2" cm="1">
        <f t="array" ref="L59">INDEX( ComputeThermoProps($A59, $B59, ParametersRange), 1, COLUMN()-2 )</f>
        <v>-487.0794946161115</v>
      </c>
      <c r="M59" s="2" cm="1">
        <f t="array" ref="M59">INDEX( ComputeThermoProps($A59, $B59, ParametersRange), 1, COLUMN()-2 )</f>
        <v>604.02568449586624</v>
      </c>
      <c r="N59" s="2" cm="1">
        <f t="array" ref="N59">INDEX( ComputeThermoProps($A59, $B59, ParametersRange), 1, COLUMN()-2 )</f>
        <v>-487.0794946161115</v>
      </c>
      <c r="O59" s="4">
        <f t="shared" si="1"/>
        <v>-17.560089071507235</v>
      </c>
    </row>
    <row r="60" spans="1:15" x14ac:dyDescent="0.25">
      <c r="A60" s="2">
        <v>42.1</v>
      </c>
      <c r="B60" s="2">
        <f t="shared" si="0"/>
        <v>1.1697732402092181E-17</v>
      </c>
      <c r="C60" s="2" cm="1">
        <f t="array" ref="C60">INDEX( ComputeThermoProps($A60, $B60, ParametersRange), 1, COLUMN()-2 )</f>
        <v>35.037172195814861</v>
      </c>
      <c r="D60" s="2" cm="1">
        <f t="array" ref="D60">INDEX( ComputeThermoProps($A60, $B60, ParametersRange), 1, COLUMN()-2 )</f>
        <v>3.2721581744598536E-4</v>
      </c>
      <c r="E60" s="2" cm="1">
        <f t="array" ref="E60">INDEX( ComputeThermoProps($A60, $B60, ParametersRange), 1, COLUMN()-2 )</f>
        <v>3.0737525673474255E-4</v>
      </c>
      <c r="F60" s="2" cm="1">
        <f t="array" ref="F60">INDEX( ComputeThermoProps($A60, $B60, ParametersRange), 1, COLUMN()-2 )</f>
        <v>5.7209499346391952E-4</v>
      </c>
      <c r="G60" s="2" cm="1">
        <f t="array" ref="G60">INDEX( ComputeThermoProps($A60, $B60, ParametersRange), 1, COLUMN()-2 )</f>
        <v>24.332878983864568</v>
      </c>
      <c r="H60" s="2" cm="1">
        <f t="array" ref="H60">INDEX( ComputeThermoProps($A60, $B60, ParametersRange), 1, COLUMN()-2 )</f>
        <v>22.857467536682975</v>
      </c>
      <c r="I60" s="2" cm="1">
        <f t="array" ref="I60">INDEX( ComputeThermoProps($A60, $B60, ParametersRange), 1, COLUMN()-2 )</f>
        <v>2.68</v>
      </c>
      <c r="J60" s="2" cm="1">
        <f t="array" ref="J60">INDEX( ComputeThermoProps($A60, $B60, ParametersRange), 1, COLUMN()-2 )</f>
        <v>628.28170699505756</v>
      </c>
      <c r="K60" s="2" cm="1">
        <f t="array" ref="K60">INDEX( ComputeThermoProps($A60, $B60, ParametersRange), 1, COLUMN()-2 )</f>
        <v>27.130662730805795</v>
      </c>
      <c r="L60" s="2" cm="1">
        <f t="array" ref="L60">INDEX( ComputeThermoProps($A60, $B60, ParametersRange), 1, COLUMN()-2 )</f>
        <v>-513.91919397186643</v>
      </c>
      <c r="M60" s="2" cm="1">
        <f t="array" ref="M60">INDEX( ComputeThermoProps($A60, $B60, ParametersRange), 1, COLUMN()-2 )</f>
        <v>628.28170699505756</v>
      </c>
      <c r="N60" s="2" cm="1">
        <f t="array" ref="N60">INDEX( ComputeThermoProps($A60, $B60, ParametersRange), 1, COLUMN()-2 )</f>
        <v>-513.91919397186643</v>
      </c>
      <c r="O60" s="4">
        <f t="shared" si="1"/>
        <v>-16.931898317801217</v>
      </c>
    </row>
    <row r="61" spans="1:15" x14ac:dyDescent="0.25">
      <c r="A61" s="2">
        <v>43.1</v>
      </c>
      <c r="B61" s="2">
        <f t="shared" si="0"/>
        <v>4.5873710355331305E-17</v>
      </c>
      <c r="C61" s="2" cm="1">
        <f t="array" ref="C61">INDEX( ComputeThermoProps($A61, $B61, ParametersRange), 1, COLUMN()-2 )</f>
        <v>35.057294801766375</v>
      </c>
      <c r="D61" s="2" cm="1">
        <f t="array" ref="D61">INDEX( ComputeThermoProps($A61, $B61, ParametersRange), 1, COLUMN()-2 )</f>
        <v>3.283703497200727E-4</v>
      </c>
      <c r="E61" s="2" cm="1">
        <f t="array" ref="E61">INDEX( ComputeThermoProps($A61, $B61, ParametersRange), 1, COLUMN()-2 )</f>
        <v>3.0787933058470029E-4</v>
      </c>
      <c r="F61" s="2" cm="1">
        <f t="array" ref="F61">INDEX( ComputeThermoProps($A61, $B61, ParametersRange), 1, COLUMN()-2 )</f>
        <v>5.7619695795326387E-4</v>
      </c>
      <c r="G61" s="2" cm="1">
        <f t="array" ref="G61">INDEX( ComputeThermoProps($A61, $B61, ParametersRange), 1, COLUMN()-2 )</f>
        <v>24.481275098293821</v>
      </c>
      <c r="H61" s="2" cm="1">
        <f t="array" ref="H61">INDEX( ComputeThermoProps($A61, $B61, ParametersRange), 1, COLUMN()-2 )</f>
        <v>22.95359065015441</v>
      </c>
      <c r="I61" s="2" cm="1">
        <f t="array" ref="I61">INDEX( ComputeThermoProps($A61, $B61, ParametersRange), 1, COLUMN()-2 )</f>
        <v>2.68</v>
      </c>
      <c r="J61" s="2" cm="1">
        <f t="array" ref="J61">INDEX( ComputeThermoProps($A61, $B61, ParametersRange), 1, COLUMN()-2 )</f>
        <v>652.68929726106569</v>
      </c>
      <c r="K61" s="2" cm="1">
        <f t="array" ref="K61">INDEX( ComputeThermoProps($A61, $B61, ParametersRange), 1, COLUMN()-2 )</f>
        <v>27.703623538648014</v>
      </c>
      <c r="L61" s="2" cm="1">
        <f t="array" ref="L61">INDEX( ComputeThermoProps($A61, $B61, ParametersRange), 1, COLUMN()-2 )</f>
        <v>-541.3368772546637</v>
      </c>
      <c r="M61" s="2" cm="1">
        <f t="array" ref="M61">INDEX( ComputeThermoProps($A61, $B61, ParametersRange), 1, COLUMN()-2 )</f>
        <v>652.68929726106569</v>
      </c>
      <c r="N61" s="2" cm="1">
        <f t="array" ref="N61">INDEX( ComputeThermoProps($A61, $B61, ParametersRange), 1, COLUMN()-2 )</f>
        <v>-541.3368772546637</v>
      </c>
      <c r="O61" s="4">
        <f t="shared" si="1"/>
        <v>-16.338436131861073</v>
      </c>
    </row>
    <row r="62" spans="1:15" x14ac:dyDescent="0.25">
      <c r="A62" s="2">
        <v>44.1</v>
      </c>
      <c r="B62" s="2">
        <f t="shared" si="0"/>
        <v>1.670372848208396E-16</v>
      </c>
      <c r="C62" s="2" cm="1">
        <f t="array" ref="C62">INDEX( ComputeThermoProps($A62, $B62, ParametersRange), 1, COLUMN()-2 )</f>
        <v>35.077570648403636</v>
      </c>
      <c r="D62" s="2" cm="1">
        <f t="array" ref="D62">INDEX( ComputeThermoProps($A62, $B62, ParametersRange), 1, COLUMN()-2 )</f>
        <v>3.2953551893789487E-4</v>
      </c>
      <c r="E62" s="2" cm="1">
        <f t="array" ref="E62">INDEX( ComputeThermoProps($A62, $B62, ParametersRange), 1, COLUMN()-2 )</f>
        <v>3.083893374946015E-4</v>
      </c>
      <c r="F62" s="2" cm="1">
        <f t="array" ref="F62">INDEX( ComputeThermoProps($A62, $B62, ParametersRange), 1, COLUMN()-2 )</f>
        <v>5.8017527507671861E-4</v>
      </c>
      <c r="G62" s="2" cm="1">
        <f t="array" ref="G62">INDEX( ComputeThermoProps($A62, $B62, ParametersRange), 1, COLUMN()-2 )</f>
        <v>24.6237717503273</v>
      </c>
      <c r="H62" s="2" cm="1">
        <f t="array" ref="H62">INDEX( ComputeThermoProps($A62, $B62, ParametersRange), 1, COLUMN()-2 )</f>
        <v>23.043672746344683</v>
      </c>
      <c r="I62" s="2" cm="1">
        <f t="array" ref="I62">INDEX( ComputeThermoProps($A62, $B62, ParametersRange), 1, COLUMN()-2 )</f>
        <v>2.68</v>
      </c>
      <c r="J62" s="2" cm="1">
        <f t="array" ref="J62">INDEX( ComputeThermoProps($A62, $B62, ParametersRange), 1, COLUMN()-2 )</f>
        <v>677.24229126348962</v>
      </c>
      <c r="K62" s="2" cm="1">
        <f t="array" ref="K62">INDEX( ComputeThermoProps($A62, $B62, ParametersRange), 1, COLUMN()-2 )</f>
        <v>28.266777032168651</v>
      </c>
      <c r="L62" s="2" cm="1">
        <f t="array" ref="L62">INDEX( ComputeThermoProps($A62, $B62, ParametersRange), 1, COLUMN()-2 )</f>
        <v>-569.32257585514799</v>
      </c>
      <c r="M62" s="2" cm="1">
        <f t="array" ref="M62">INDEX( ComputeThermoProps($A62, $B62, ParametersRange), 1, COLUMN()-2 )</f>
        <v>677.24229126348962</v>
      </c>
      <c r="N62" s="2" cm="1">
        <f t="array" ref="N62">INDEX( ComputeThermoProps($A62, $B62, ParametersRange), 1, COLUMN()-2 )</f>
        <v>-569.32257585514799</v>
      </c>
      <c r="O62" s="4">
        <f t="shared" si="1"/>
        <v>-15.77718657804631</v>
      </c>
    </row>
    <row r="63" spans="1:15" x14ac:dyDescent="0.25">
      <c r="A63" s="2">
        <v>45.1</v>
      </c>
      <c r="B63" s="2">
        <f t="shared" si="0"/>
        <v>5.6772849731957492E-16</v>
      </c>
      <c r="C63" s="2" cm="1">
        <f t="array" ref="C63">INDEX( ComputeThermoProps($A63, $B63, ParametersRange), 1, COLUMN()-2 )</f>
        <v>35.097995847322984</v>
      </c>
      <c r="D63" s="2" cm="1">
        <f t="array" ref="D63">INDEX( ComputeThermoProps($A63, $B63, ParametersRange), 1, COLUMN()-2 )</f>
        <v>3.307114380513237E-4</v>
      </c>
      <c r="E63" s="2" cm="1">
        <f t="array" ref="E63">INDEX( ComputeThermoProps($A63, $B63, ParametersRange), 1, COLUMN()-2 )</f>
        <v>3.0890523674645729E-4</v>
      </c>
      <c r="F63" s="2" cm="1">
        <f t="array" ref="F63">INDEX( ComputeThermoProps($A63, $B63, ParametersRange), 1, COLUMN()-2 )</f>
        <v>5.8404110004137719E-4</v>
      </c>
      <c r="G63" s="2" cm="1">
        <f t="array" ref="G63">INDEX( ComputeThermoProps($A63, $B63, ParametersRange), 1, COLUMN()-2 )</f>
        <v>24.760856527688482</v>
      </c>
      <c r="H63" s="2" cm="1">
        <f t="array" ref="H63">INDEX( ComputeThermoProps($A63, $B63, ParametersRange), 1, COLUMN()-2 )</f>
        <v>23.128193850203779</v>
      </c>
      <c r="I63" s="2" cm="1">
        <f t="array" ref="I63">INDEX( ComputeThermoProps($A63, $B63, ParametersRange), 1, COLUMN()-2 )</f>
        <v>2.68</v>
      </c>
      <c r="J63" s="2" cm="1">
        <f t="array" ref="J63">INDEX( ComputeThermoProps($A63, $B63, ParametersRange), 1, COLUMN()-2 )</f>
        <v>701.93503730042403</v>
      </c>
      <c r="K63" s="2" cm="1">
        <f t="array" ref="K63">INDEX( ComputeThermoProps($A63, $B63, ParametersRange), 1, COLUMN()-2 )</f>
        <v>28.820436290143295</v>
      </c>
      <c r="L63" s="2" cm="1">
        <f t="array" ref="L63">INDEX( ComputeThermoProps($A63, $B63, ParametersRange), 1, COLUMN()-2 )</f>
        <v>-597.86663938503864</v>
      </c>
      <c r="M63" s="2" cm="1">
        <f t="array" ref="M63">INDEX( ComputeThermoProps($A63, $B63, ParametersRange), 1, COLUMN()-2 )</f>
        <v>701.93503730042403</v>
      </c>
      <c r="N63" s="2" cm="1">
        <f t="array" ref="N63">INDEX( ComputeThermoProps($A63, $B63, ParametersRange), 1, COLUMN()-2 )</f>
        <v>-597.86663938503864</v>
      </c>
      <c r="O63" s="4">
        <f t="shared" si="1"/>
        <v>-15.245859305672385</v>
      </c>
    </row>
    <row r="64" spans="1:15" x14ac:dyDescent="0.25">
      <c r="A64" s="2">
        <v>46.1</v>
      </c>
      <c r="B64" s="2">
        <f t="shared" si="0"/>
        <v>1.8098181489378448E-15</v>
      </c>
      <c r="C64" s="2" cm="1">
        <f t="array" ref="C64">INDEX( ComputeThermoProps($A64, $B64, ParametersRange), 1, COLUMN()-2 )</f>
        <v>35.11856687603408</v>
      </c>
      <c r="D64" s="2" cm="1">
        <f t="array" ref="D64">INDEX( ComputeThermoProps($A64, $B64, ParametersRange), 1, COLUMN()-2 )</f>
        <v>3.318982280911695E-4</v>
      </c>
      <c r="E64" s="2" cm="1">
        <f t="array" ref="E64">INDEX( ComputeThermoProps($A64, $B64, ParametersRange), 1, COLUMN()-2 )</f>
        <v>3.0942699616081298E-4</v>
      </c>
      <c r="F64" s="2" cm="1">
        <f t="array" ref="F64">INDEX( ComputeThermoProps($A64, $B64, ParametersRange), 1, COLUMN()-2 )</f>
        <v>5.8780457434197929E-4</v>
      </c>
      <c r="G64" s="2" cm="1">
        <f t="array" ref="G64">INDEX( ComputeThermoProps($A64, $B64, ParametersRange), 1, COLUMN()-2 )</f>
        <v>24.892972019431607</v>
      </c>
      <c r="H64" s="2" cm="1">
        <f t="array" ref="H64">INDEX( ComputeThermoProps($A64, $B64, ParametersRange), 1, COLUMN()-2 )</f>
        <v>23.207588668933973</v>
      </c>
      <c r="I64" s="2" cm="1">
        <f t="array" ref="I64">INDEX( ComputeThermoProps($A64, $B64, ParametersRange), 1, COLUMN()-2 )</f>
        <v>2.6800000000000006</v>
      </c>
      <c r="J64" s="2" cm="1">
        <f t="array" ref="J64">INDEX( ComputeThermoProps($A64, $B64, ParametersRange), 1, COLUMN()-2 )</f>
        <v>726.76234833329806</v>
      </c>
      <c r="K64" s="2" cm="1">
        <f t="array" ref="K64">INDEX( ComputeThermoProps($A64, $B64, ParametersRange), 1, COLUMN()-2 )</f>
        <v>29.364903984031525</v>
      </c>
      <c r="L64" s="2" cm="1">
        <f t="array" ref="L64">INDEX( ComputeThermoProps($A64, $B64, ParametersRange), 1, COLUMN()-2 )</f>
        <v>-626.95972533055522</v>
      </c>
      <c r="M64" s="2" cm="1">
        <f t="array" ref="M64">INDEX( ComputeThermoProps($A64, $B64, ParametersRange), 1, COLUMN()-2 )</f>
        <v>726.76234833329818</v>
      </c>
      <c r="N64" s="2" cm="1">
        <f t="array" ref="N64">INDEX( ComputeThermoProps($A64, $B64, ParametersRange), 1, COLUMN()-2 )</f>
        <v>-626.9597253305551</v>
      </c>
      <c r="O64" s="4">
        <f t="shared" si="1"/>
        <v>-14.742365060976397</v>
      </c>
    </row>
    <row r="65" spans="1:15" x14ac:dyDescent="0.25">
      <c r="A65" s="2">
        <v>47.1</v>
      </c>
      <c r="B65" s="2">
        <f t="shared" si="0"/>
        <v>5.4350767525250891E-15</v>
      </c>
      <c r="C65" s="2" cm="1">
        <f t="array" ref="C65">INDEX( ComputeThermoProps($A65, $B65, ParametersRange), 1, COLUMN()-2 )</f>
        <v>35.139280545223635</v>
      </c>
      <c r="D65" s="2" cm="1">
        <f t="array" ref="D65">INDEX( ComputeThermoProps($A65, $B65, ParametersRange), 1, COLUMN()-2 )</f>
        <v>3.3309601758667399E-4</v>
      </c>
      <c r="E65" s="2" cm="1">
        <f t="array" ref="E65">INDEX( ComputeThermoProps($A65, $B65, ParametersRange), 1, COLUMN()-2 )</f>
        <v>3.0995459142355302E-4</v>
      </c>
      <c r="F65" s="2" cm="1">
        <f t="array" ref="F65">INDEX( ComputeThermoProps($A65, $B65, ParametersRange), 1, COLUMN()-2 )</f>
        <v>5.914749347350084E-4</v>
      </c>
      <c r="G65" s="2" cm="1">
        <f t="array" ref="G65">INDEX( ComputeThermoProps($A65, $B65, ParametersRange), 1, COLUMN()-2 )</f>
        <v>25.020520629514863</v>
      </c>
      <c r="H65" s="2" cm="1">
        <f t="array" ref="H65">INDEX( ComputeThermoProps($A65, $B65, ParametersRange), 1, COLUMN()-2 )</f>
        <v>23.282251481460275</v>
      </c>
      <c r="I65" s="2" cm="1">
        <f t="array" ref="I65">INDEX( ComputeThermoProps($A65, $B65, ParametersRange), 1, COLUMN()-2 )</f>
        <v>2.6799999999999997</v>
      </c>
      <c r="J65" s="2" cm="1">
        <f t="array" ref="J65">INDEX( ComputeThermoProps($A65, $B65, ParametersRange), 1, COLUMN()-2 )</f>
        <v>751.71945944230572</v>
      </c>
      <c r="K65" s="2" cm="1">
        <f t="array" ref="K65">INDEX( ComputeThermoProps($A65, $B65, ParametersRange), 1, COLUMN()-2 )</f>
        <v>29.900472358135641</v>
      </c>
      <c r="L65" s="2" cm="1">
        <f t="array" ref="L65">INDEX( ComputeThermoProps($A65, $B65, ParametersRange), 1, COLUMN()-2 )</f>
        <v>-656.59278862588303</v>
      </c>
      <c r="M65" s="2" cm="1">
        <f t="array" ref="M65">INDEX( ComputeThermoProps($A65, $B65, ParametersRange), 1, COLUMN()-2 )</f>
        <v>751.71945944230595</v>
      </c>
      <c r="N65" s="2" cm="1">
        <f t="array" ref="N65">INDEX( ComputeThermoProps($A65, $B65, ParametersRange), 1, COLUMN()-2 )</f>
        <v>-656.5927886258828</v>
      </c>
      <c r="O65" s="4">
        <f t="shared" si="1"/>
        <v>-14.264794318557859</v>
      </c>
    </row>
    <row r="66" spans="1:15" x14ac:dyDescent="0.25">
      <c r="A66" s="2">
        <v>48.1</v>
      </c>
      <c r="B66" s="2">
        <f t="shared" si="0"/>
        <v>1.543836916640625E-14</v>
      </c>
      <c r="C66" s="2" cm="1">
        <f t="array" ref="C66">INDEX( ComputeThermoProps($A66, $B66, ParametersRange), 1, COLUMN()-2 )</f>
        <v>35.160133969519535</v>
      </c>
      <c r="D66" s="2" cm="1">
        <f t="array" ref="D66">INDEX( ComputeThermoProps($A66, $B66, ParametersRange), 1, COLUMN()-2 )</f>
        <v>3.34304942062189E-4</v>
      </c>
      <c r="E66" s="2" cm="1">
        <f t="array" ref="E66">INDEX( ComputeThermoProps($A66, $B66, ParametersRange), 1, COLUMN()-2 )</f>
        <v>3.1048800548785137E-4</v>
      </c>
      <c r="F66" s="2" cm="1">
        <f t="array" ref="F66">INDEX( ComputeThermoProps($A66, $B66, ParametersRange), 1, COLUMN()-2 )</f>
        <v>5.9506060871060439E-4</v>
      </c>
      <c r="G66" s="2" cm="1">
        <f t="array" ref="G66">INDEX( ComputeThermoProps($A66, $B66, ParametersRange), 1, COLUMN()-2 )</f>
        <v>25.143868795235374</v>
      </c>
      <c r="H66" s="2" cm="1">
        <f t="array" ref="H66">INDEX( ComputeThermoProps($A66, $B66, ParametersRange), 1, COLUMN()-2 )</f>
        <v>23.352540421100279</v>
      </c>
      <c r="I66" s="2" cm="1">
        <f t="array" ref="I66">INDEX( ComputeThermoProps($A66, $B66, ParametersRange), 1, COLUMN()-2 )</f>
        <v>2.68</v>
      </c>
      <c r="J66" s="2" cm="1">
        <f t="array" ref="J66">INDEX( ComputeThermoProps($A66, $B66, ParametersRange), 1, COLUMN()-2 )</f>
        <v>776.8019897969798</v>
      </c>
      <c r="K66" s="2" cm="1">
        <f t="array" ref="K66">INDEX( ComputeThermoProps($A66, $B66, ParametersRange), 1, COLUMN()-2 )</f>
        <v>30.427423306744018</v>
      </c>
      <c r="L66" s="2" cm="1">
        <f t="array" ref="L66">INDEX( ComputeThermoProps($A66, $B66, ParametersRange), 1, COLUMN()-2 )</f>
        <v>-686.75707125740746</v>
      </c>
      <c r="M66" s="2" cm="1">
        <f t="array" ref="M66">INDEX( ComputeThermoProps($A66, $B66, ParametersRange), 1, COLUMN()-2 )</f>
        <v>776.80198979698037</v>
      </c>
      <c r="N66" s="2" cm="1">
        <f t="array" ref="N66">INDEX( ComputeThermoProps($A66, $B66, ParametersRange), 1, COLUMN()-2 )</f>
        <v>-686.75707125740689</v>
      </c>
      <c r="O66" s="4">
        <f t="shared" si="1"/>
        <v>-13.811398578316217</v>
      </c>
    </row>
    <row r="67" spans="1:15" x14ac:dyDescent="0.25">
      <c r="A67" s="2">
        <v>49.1</v>
      </c>
      <c r="B67" s="2">
        <f t="shared" si="0"/>
        <v>4.1631882785267622E-14</v>
      </c>
      <c r="C67" s="2" cm="1">
        <f t="array" ref="C67">INDEX( ComputeThermoProps($A67, $B67, ParametersRange), 1, COLUMN()-2 )</f>
        <v>35.181124541345099</v>
      </c>
      <c r="D67" s="2" cm="1">
        <f t="array" ref="D67">INDEX( ComputeThermoProps($A67, $B67, ParametersRange), 1, COLUMN()-2 )</f>
        <v>3.3552514365850229E-4</v>
      </c>
      <c r="E67" s="2" cm="1">
        <f t="array" ref="E67">INDEX( ComputeThermoProps($A67, $B67, ParametersRange), 1, COLUMN()-2 )</f>
        <v>3.1102722804252899E-4</v>
      </c>
      <c r="F67" s="2" cm="1">
        <f t="array" ref="F67">INDEX( ComputeThermoProps($A67, $B67, ParametersRange), 1, COLUMN()-2 )</f>
        <v>5.9856929974971156E-4</v>
      </c>
      <c r="G67" s="2" cm="1">
        <f t="array" ref="G67">INDEX( ComputeThermoProps($A67, $B67, ParametersRange), 1, COLUMN()-2 )</f>
        <v>25.263350752582628</v>
      </c>
      <c r="H67" s="2" cm="1">
        <f t="array" ref="H67">INDEX( ComputeThermoProps($A67, $B67, ParametersRange), 1, COLUMN()-2 )</f>
        <v>23.418781287042304</v>
      </c>
      <c r="I67" s="2" cm="1">
        <f t="array" ref="I67">INDEX( ComputeThermoProps($A67, $B67, ParametersRange), 1, COLUMN()-2 )</f>
        <v>2.6799999999999997</v>
      </c>
      <c r="J67" s="2" cm="1">
        <f t="array" ref="J67">INDEX( ComputeThermoProps($A67, $B67, ParametersRange), 1, COLUMN()-2 )</f>
        <v>802.00590861310332</v>
      </c>
      <c r="K67" s="2" cm="1">
        <f t="array" ref="K67">INDEX( ComputeThermoProps($A67, $B67, ParametersRange), 1, COLUMN()-2 )</f>
        <v>30.946028525396223</v>
      </c>
      <c r="L67" s="2" cm="1">
        <f t="array" ref="L67">INDEX( ComputeThermoProps($A67, $B67, ParametersRange), 1, COLUMN()-2 )</f>
        <v>-717.44409198385131</v>
      </c>
      <c r="M67" s="2" cm="1">
        <f t="array" ref="M67">INDEX( ComputeThermoProps($A67, $B67, ParametersRange), 1, COLUMN()-2 )</f>
        <v>802.00590861310479</v>
      </c>
      <c r="N67" s="2" cm="1">
        <f t="array" ref="N67">INDEX( ComputeThermoProps($A67, $B67, ParametersRange), 1, COLUMN()-2 )</f>
        <v>-717.44409198384983</v>
      </c>
      <c r="O67" s="4">
        <f t="shared" si="1"/>
        <v>-13.380573947874636</v>
      </c>
    </row>
    <row r="68" spans="1:15" x14ac:dyDescent="0.25">
      <c r="A68" s="2">
        <v>50.1</v>
      </c>
      <c r="B68" s="2">
        <f t="shared" si="0"/>
        <v>1.0694323293216522E-13</v>
      </c>
      <c r="C68" s="2" cm="1">
        <f t="array" ref="C68">INDEX( ComputeThermoProps($A68, $B68, ParametersRange), 1, COLUMN()-2 )</f>
        <v>35.202249907505426</v>
      </c>
      <c r="D68" s="2" cm="1">
        <f t="array" ref="D68">INDEX( ComputeThermoProps($A68, $B68, ParametersRange), 1, COLUMN()-2 )</f>
        <v>3.3675677080577203E-4</v>
      </c>
      <c r="E68" s="2" cm="1">
        <f t="array" ref="E68">INDEX( ComputeThermoProps($A68, $B68, ParametersRange), 1, COLUMN()-2 )</f>
        <v>3.1157225503917411E-4</v>
      </c>
      <c r="F68" s="2" cm="1">
        <f t="array" ref="F68">INDEX( ComputeThermoProps($A68, $B68, ParametersRange), 1, COLUMN()-2 )</f>
        <v>6.0200806220488264E-4</v>
      </c>
      <c r="G68" s="2" cm="1">
        <f t="array" ref="G68">INDEX( ComputeThermoProps($A68, $B68, ParametersRange), 1, COLUMN()-2 )</f>
        <v>25.379271844128606</v>
      </c>
      <c r="H68" s="2" cm="1">
        <f t="array" ref="H68">INDEX( ComputeThermoProps($A68, $B68, ParametersRange), 1, COLUMN()-2 )</f>
        <v>23.48127089117412</v>
      </c>
      <c r="I68" s="2" cm="1">
        <f t="array" ref="I68">INDEX( ComputeThermoProps($A68, $B68, ParametersRange), 1, COLUMN()-2 )</f>
        <v>2.68</v>
      </c>
      <c r="J68" s="2" cm="1">
        <f t="array" ref="J68">INDEX( ComputeThermoProps($A68, $B68, ParametersRange), 1, COLUMN()-2 )</f>
        <v>827.32750463375396</v>
      </c>
      <c r="K68" s="2" cm="1">
        <f t="array" ref="K68">INDEX( ComputeThermoProps($A68, $B68, ParametersRange), 1, COLUMN()-2 )</f>
        <v>31.456549717978049</v>
      </c>
      <c r="L68" s="2" cm="1">
        <f t="array" ref="L68">INDEX( ComputeThermoProps($A68, $B68, ParametersRange), 1, COLUMN()-2 )</f>
        <v>-748.6456362369463</v>
      </c>
      <c r="M68" s="2" cm="1">
        <f t="array" ref="M68">INDEX( ComputeThermoProps($A68, $B68, ParametersRange), 1, COLUMN()-2 )</f>
        <v>827.32750463375771</v>
      </c>
      <c r="N68" s="2" cm="1">
        <f t="array" ref="N68">INDEX( ComputeThermoProps($A68, $B68, ParametersRange), 1, COLUMN()-2 )</f>
        <v>-748.64563623694255</v>
      </c>
      <c r="O68" s="4">
        <f t="shared" si="1"/>
        <v>-12.970846691159775</v>
      </c>
    </row>
    <row r="69" spans="1:15" x14ac:dyDescent="0.25">
      <c r="A69" s="2">
        <v>51.1</v>
      </c>
      <c r="B69" s="2">
        <f t="shared" si="0"/>
        <v>2.6250617640061087E-13</v>
      </c>
      <c r="C69" s="2" cm="1">
        <f t="array" ref="C69">INDEX( ComputeThermoProps($A69, $B69, ParametersRange), 1, COLUMN()-2 )</f>
        <v>35.223507948192378</v>
      </c>
      <c r="D69" s="2" cm="1">
        <f t="array" ref="D69">INDEX( ComputeThermoProps($A69, $B69, ParametersRange), 1, COLUMN()-2 )</f>
        <v>3.3799997795831753E-4</v>
      </c>
      <c r="E69" s="2" cm="1">
        <f t="array" ref="E69">INDEX( ComputeThermoProps($A69, $B69, ParametersRange), 1, COLUMN()-2 )</f>
        <v>3.121230882714516E-4</v>
      </c>
      <c r="F69" s="2" cm="1">
        <f t="array" ref="F69">INDEX( ComputeThermoProps($A69, $B69, ParametersRange), 1, COLUMN()-2 )</f>
        <v>6.0538336761392956E-4</v>
      </c>
      <c r="G69" s="2" cm="1">
        <f t="array" ref="G69">INDEX( ComputeThermoProps($A69, $B69, ParametersRange), 1, COLUMN()-2 )</f>
        <v>25.491911448293852</v>
      </c>
      <c r="H69" s="2" cm="1">
        <f t="array" ref="H69">INDEX( ComputeThermoProps($A69, $B69, ParametersRange), 1, COLUMN()-2 )</f>
        <v>23.54028001790304</v>
      </c>
      <c r="I69" s="2" cm="1">
        <f t="array" ref="I69">INDEX( ComputeThermoProps($A69, $B69, ParametersRange), 1, COLUMN()-2 )</f>
        <v>2.6799999999999997</v>
      </c>
      <c r="J69" s="2" cm="1">
        <f t="array" ref="J69">INDEX( ComputeThermoProps($A69, $B69, ParametersRange), 1, COLUMN()-2 )</f>
        <v>852.76335873030371</v>
      </c>
      <c r="K69" s="2" cm="1">
        <f t="array" ref="K69">INDEX( ComputeThermoProps($A69, $B69, ParametersRange), 1, COLUMN()-2 )</f>
        <v>31.959238845033155</v>
      </c>
      <c r="L69" s="2" cm="1">
        <f t="array" ref="L69">INDEX( ComputeThermoProps($A69, $B69, ParametersRange), 1, COLUMN()-2 )</f>
        <v>-780.35374625089059</v>
      </c>
      <c r="M69" s="2" cm="1">
        <f t="array" ref="M69">INDEX( ComputeThermoProps($A69, $B69, ParametersRange), 1, COLUMN()-2 )</f>
        <v>852.76335873031292</v>
      </c>
      <c r="N69" s="2" cm="1">
        <f t="array" ref="N69">INDEX( ComputeThermoProps($A69, $B69, ParametersRange), 1, COLUMN()-2 )</f>
        <v>-780.35374625088139</v>
      </c>
      <c r="O69" s="4">
        <f t="shared" si="1"/>
        <v>-12.580860473800323</v>
      </c>
    </row>
    <row r="70" spans="1:15" x14ac:dyDescent="0.25">
      <c r="A70" s="2">
        <v>52.1</v>
      </c>
      <c r="B70" s="2">
        <f t="shared" si="0"/>
        <v>6.1749710044184206E-13</v>
      </c>
      <c r="C70" s="2" cm="1">
        <f t="array" ref="C70">INDEX( ComputeThermoProps($A70, $B70, ParametersRange), 1, COLUMN()-2 )</f>
        <v>35.244896758134146</v>
      </c>
      <c r="D70" s="2" cm="1">
        <f t="array" ref="D70">INDEX( ComputeThermoProps($A70, $B70, ParametersRange), 1, COLUMN()-2 )</f>
        <v>3.3925492538327726E-4</v>
      </c>
      <c r="E70" s="2" cm="1">
        <f t="array" ref="E70">INDEX( ComputeThermoProps($A70, $B70, ParametersRange), 1, COLUMN()-2 )</f>
        <v>3.1267973500031105E-4</v>
      </c>
      <c r="F70" s="2" cm="1">
        <f t="array" ref="F70">INDEX( ComputeThermoProps($A70, $B70, ParametersRange), 1, COLUMN()-2 )</f>
        <v>6.0870116355013276E-4</v>
      </c>
      <c r="G70" s="2" cm="1">
        <f t="array" ref="G70">INDEX( ComputeThermoProps($A70, $B70, ParametersRange), 1, COLUMN()-2 )</f>
        <v>25.601525578654968</v>
      </c>
      <c r="H70" s="2" cm="1">
        <f t="array" ref="H70">INDEX( ComputeThermoProps($A70, $B70, ParametersRange), 1, COLUMN()-2 )</f>
        <v>23.596056046920143</v>
      </c>
      <c r="I70" s="2" cm="1">
        <f t="array" ref="I70">INDEX( ComputeThermoProps($A70, $B70, ParametersRange), 1, COLUMN()-2 )</f>
        <v>2.6799999999999997</v>
      </c>
      <c r="J70" s="2" cm="1">
        <f t="array" ref="J70">INDEX( ComputeThermoProps($A70, $B70, ParametersRange), 1, COLUMN()-2 )</f>
        <v>878.31031926869093</v>
      </c>
      <c r="K70" s="2" cm="1">
        <f t="array" ref="K70">INDEX( ComputeThermoProps($A70, $B70, ParametersRange), 1, COLUMN()-2 )</f>
        <v>32.454338401620795</v>
      </c>
      <c r="L70" s="2" cm="1">
        <f t="array" ref="L70">INDEX( ComputeThermoProps($A70, $B70, ParametersRange), 1, COLUMN()-2 )</f>
        <v>-812.56071145575254</v>
      </c>
      <c r="M70" s="2" cm="1">
        <f t="array" ref="M70">INDEX( ComputeThermoProps($A70, $B70, ParametersRange), 1, COLUMN()-2 )</f>
        <v>878.31031926871265</v>
      </c>
      <c r="N70" s="2" cm="1">
        <f t="array" ref="N70">INDEX( ComputeThermoProps($A70, $B70, ParametersRange), 1, COLUMN()-2 )</f>
        <v>-812.56071145573083</v>
      </c>
      <c r="O70" s="4">
        <f t="shared" si="1"/>
        <v>-12.209365077363948</v>
      </c>
    </row>
    <row r="71" spans="1:15" x14ac:dyDescent="0.25">
      <c r="A71" s="2">
        <v>53.1</v>
      </c>
      <c r="B71" s="2">
        <f t="shared" si="0"/>
        <v>1.3957049256827776E-12</v>
      </c>
      <c r="C71" s="2" cm="1">
        <f t="array" ref="C71">INDEX( ComputeThermoProps($A71, $B71, ParametersRange), 1, COLUMN()-2 )</f>
        <v>35.266414629648985</v>
      </c>
      <c r="D71" s="2" cm="1">
        <f t="array" ref="D71">INDEX( ComputeThermoProps($A71, $B71, ParametersRange), 1, COLUMN()-2 )</f>
        <v>3.4052177902221353E-4</v>
      </c>
      <c r="E71" s="2" cm="1">
        <f t="array" ref="E71">INDEX( ComputeThermoProps($A71, $B71, ParametersRange), 1, COLUMN()-2 )</f>
        <v>3.1324220762111792E-4</v>
      </c>
      <c r="F71" s="2" cm="1">
        <f t="array" ref="F71">INDEX( ComputeThermoProps($A71, $B71, ParametersRange), 1, COLUMN()-2 )</f>
        <v>6.1196692650002235E-4</v>
      </c>
      <c r="G71" s="2" cm="1">
        <f t="array" ref="G71">INDEX( ComputeThermoProps($A71, $B71, ParametersRange), 1, COLUMN()-2 )</f>
        <v>25.708349217795039</v>
      </c>
      <c r="H71" s="2" cm="1">
        <f t="array" ref="H71">INDEX( ComputeThermoProps($A71, $B71, ParametersRange), 1, COLUMN()-2 )</f>
        <v>23.648825300984448</v>
      </c>
      <c r="I71" s="2" cm="1">
        <f t="array" ref="I71">INDEX( ComputeThermoProps($A71, $B71, ParametersRange), 1, COLUMN()-2 )</f>
        <v>2.6799999999999997</v>
      </c>
      <c r="J71" s="2" cm="1">
        <f t="array" ref="J71">INDEX( ComputeThermoProps($A71, $B71, ParametersRange), 1, COLUMN()-2 )</f>
        <v>903.96547993224272</v>
      </c>
      <c r="K71" s="2" cm="1">
        <f t="array" ref="K71">INDEX( ComputeThermoProps($A71, $B71, ParametersRange), 1, COLUMN()-2 )</f>
        <v>32.94208171547664</v>
      </c>
      <c r="L71" s="2" cm="1">
        <f t="array" ref="L71">INDEX( ComputeThermoProps($A71, $B71, ParametersRange), 1, COLUMN()-2 )</f>
        <v>-845.25905915956685</v>
      </c>
      <c r="M71" s="2" cm="1">
        <f t="array" ref="M71">INDEX( ComputeThermoProps($A71, $B71, ParametersRange), 1, COLUMN()-2 )</f>
        <v>903.96547993229194</v>
      </c>
      <c r="N71" s="2" cm="1">
        <f t="array" ref="N71">INDEX( ComputeThermoProps($A71, $B71, ParametersRange), 1, COLUMN()-2 )</f>
        <v>-845.25905915951762</v>
      </c>
      <c r="O71" s="4">
        <f t="shared" si="1"/>
        <v>-11.855206388799646</v>
      </c>
    </row>
    <row r="72" spans="1:15" x14ac:dyDescent="0.25">
      <c r="A72" s="2">
        <v>54.1</v>
      </c>
      <c r="B72" s="2">
        <f t="shared" si="0"/>
        <v>3.0386627353531568E-12</v>
      </c>
      <c r="C72" s="2" cm="1">
        <f t="array" ref="C72">INDEX( ComputeThermoProps($A72, $B72, ParametersRange), 1, COLUMN()-2 )</f>
        <v>35.288060037391347</v>
      </c>
      <c r="D72" s="2" cm="1">
        <f t="array" ref="D72">INDEX( ComputeThermoProps($A72, $B72, ParametersRange), 1, COLUMN()-2 )</f>
        <v>3.4180071034759163E-4</v>
      </c>
      <c r="E72" s="2" cm="1">
        <f t="array" ref="E72">INDEX( ComputeThermoProps($A72, $B72, ParametersRange), 1, COLUMN()-2 )</f>
        <v>3.1381052336675611E-4</v>
      </c>
      <c r="F72" s="2" cm="1">
        <f t="array" ref="F72">INDEX( ComputeThermoProps($A72, $B72, ParametersRange), 1, COLUMN()-2 )</f>
        <v>6.151857079453913E-4</v>
      </c>
      <c r="G72" s="2" cm="1">
        <f t="array" ref="G72">INDEX( ComputeThermoProps($A72, $B72, ParametersRange), 1, COLUMN()-2 )</f>
        <v>25.812598352815854</v>
      </c>
      <c r="H72" s="2" cm="1">
        <f t="array" ref="H72">INDEX( ComputeThermoProps($A72, $B72, ParametersRange), 1, COLUMN()-2 )</f>
        <v>23.698795097047945</v>
      </c>
      <c r="I72" s="2" cm="1">
        <f t="array" ref="I72">INDEX( ComputeThermoProps($A72, $B72, ParametersRange), 1, COLUMN()-2 )</f>
        <v>2.68</v>
      </c>
      <c r="J72" s="2" cm="1">
        <f t="array" ref="J72">INDEX( ComputeThermoProps($A72, $B72, ParametersRange), 1, COLUMN()-2 )</f>
        <v>929.72615972538631</v>
      </c>
      <c r="K72" s="2" cm="1">
        <f t="array" ref="K72">INDEX( ComputeThermoProps($A72, $B72, ParametersRange), 1, COLUMN()-2 )</f>
        <v>33.422693258051538</v>
      </c>
      <c r="L72" s="2" cm="1">
        <f t="array" ref="L72">INDEX( ComputeThermoProps($A72, $B72, ParametersRange), 1, COLUMN()-2 )</f>
        <v>-878.44154553520195</v>
      </c>
      <c r="M72" s="2" cm="1">
        <f t="array" ref="M72">INDEX( ComputeThermoProps($A72, $B72, ParametersRange), 1, COLUMN()-2 )</f>
        <v>929.72615972549352</v>
      </c>
      <c r="N72" s="2" cm="1">
        <f t="array" ref="N72">INDEX( ComputeThermoProps($A72, $B72, ParametersRange), 1, COLUMN()-2 )</f>
        <v>-878.44154553509475</v>
      </c>
      <c r="O72" s="4">
        <f t="shared" si="1"/>
        <v>-11.517317500085678</v>
      </c>
    </row>
    <row r="73" spans="1:15" x14ac:dyDescent="0.25">
      <c r="A73" s="2">
        <v>55.1</v>
      </c>
      <c r="B73" s="2">
        <f t="shared" si="0"/>
        <v>6.3868868601352157E-12</v>
      </c>
      <c r="C73" s="2" cm="1">
        <f t="array" ref="C73">INDEX( ComputeThermoProps($A73, $B73, ParametersRange), 1, COLUMN()-2 )</f>
        <v>35.309831624610226</v>
      </c>
      <c r="D73" s="2" cm="1">
        <f t="array" ref="D73">INDEX( ComputeThermoProps($A73, $B73, ParametersRange), 1, COLUMN()-2 )</f>
        <v>3.4309189630741952E-4</v>
      </c>
      <c r="E73" s="2" cm="1">
        <f t="array" ref="E73">INDEX( ComputeThermoProps($A73, $B73, ParametersRange), 1, COLUMN()-2 )</f>
        <v>3.1438470404399554E-4</v>
      </c>
      <c r="F73" s="2" cm="1">
        <f t="array" ref="F73">INDEX( ComputeThermoProps($A73, $B73, ParametersRange), 1, COLUMN()-2 )</f>
        <v>6.1836217658515688E-4</v>
      </c>
      <c r="G73" s="2" cm="1">
        <f t="array" ref="G73">INDEX( ComputeThermoProps($A73, $B73, ParametersRange), 1, COLUMN()-2 )</f>
        <v>25.914471837370805</v>
      </c>
      <c r="H73" s="2" cm="1">
        <f t="array" ref="H73">INDEX( ComputeThermoProps($A73, $B73, ParametersRange), 1, COLUMN()-2 )</f>
        <v>23.74615561233847</v>
      </c>
      <c r="I73" s="2" cm="1">
        <f t="array" ref="I73">INDEX( ComputeThermoProps($A73, $B73, ParametersRange), 1, COLUMN()-2 )</f>
        <v>2.68</v>
      </c>
      <c r="J73" s="2" cm="1">
        <f t="array" ref="J73">INDEX( ComputeThermoProps($A73, $B73, ParametersRange), 1, COLUMN()-2 )</f>
        <v>955.58988492637673</v>
      </c>
      <c r="K73" s="2" cm="1">
        <f t="array" ref="K73">INDEX( ComputeThermoProps($A73, $B73, ParametersRange), 1, COLUMN()-2 )</f>
        <v>33.896388962796458</v>
      </c>
      <c r="L73" s="2" cm="1">
        <f t="array" ref="L73">INDEX( ComputeThermoProps($A73, $B73, ParametersRange), 1, COLUMN()-2 )</f>
        <v>-912.10114692370814</v>
      </c>
      <c r="M73" s="2" cm="1">
        <f t="array" ref="M73">INDEX( ComputeThermoProps($A73, $B73, ParametersRange), 1, COLUMN()-2 )</f>
        <v>955.58988492660228</v>
      </c>
      <c r="N73" s="2" cm="1">
        <f t="array" ref="N73">INDEX( ComputeThermoProps($A73, $B73, ParametersRange), 1, COLUMN()-2 )</f>
        <v>-912.10114692348259</v>
      </c>
      <c r="O73" s="4">
        <f t="shared" si="1"/>
        <v>-11.194710777039786</v>
      </c>
    </row>
    <row r="74" spans="1:15" x14ac:dyDescent="0.25">
      <c r="A74" s="2">
        <v>56.1</v>
      </c>
      <c r="B74" s="2">
        <f t="shared" si="0"/>
        <v>1.2987609544028913E-11</v>
      </c>
      <c r="C74" s="2" cm="1">
        <f t="array" ref="C74">INDEX( ComputeThermoProps($A74, $B74, ParametersRange), 1, COLUMN()-2 )</f>
        <v>35.331728190746887</v>
      </c>
      <c r="D74" s="2" cm="1">
        <f t="array" ref="D74">INDEX( ComputeThermoProps($A74, $B74, ParametersRange), 1, COLUMN()-2 )</f>
        <v>3.44395519216253E-4</v>
      </c>
      <c r="E74" s="2" cm="1">
        <f t="array" ref="E74">INDEX( ComputeThermoProps($A74, $B74, ParametersRange), 1, COLUMN()-2 )</f>
        <v>3.1496477579900472E-4</v>
      </c>
      <c r="F74" s="2" cm="1">
        <f t="array" ref="F74">INDEX( ComputeThermoProps($A74, $B74, ParametersRange), 1, COLUMN()-2 )</f>
        <v>6.21500654253804E-4</v>
      </c>
      <c r="G74" s="2" cm="1">
        <f t="array" ref="G74">INDEX( ComputeThermoProps($A74, $B74, ParametersRange), 1, COLUMN()-2 )</f>
        <v>26.01415297896882</v>
      </c>
      <c r="H74" s="2" cm="1">
        <f t="array" ref="H74">INDEX( ComputeThermoProps($A74, $B74, ParametersRange), 1, COLUMN()-2 )</f>
        <v>23.791081484649144</v>
      </c>
      <c r="I74" s="2" cm="1">
        <f t="array" ref="I74">INDEX( ComputeThermoProps($A74, $B74, ParametersRange), 1, COLUMN()-2 )</f>
        <v>2.68</v>
      </c>
      <c r="J74" s="2" cm="1">
        <f t="array" ref="J74">INDEX( ComputeThermoProps($A74, $B74, ParametersRange), 1, COLUMN()-2 )</f>
        <v>981.5543727660463</v>
      </c>
      <c r="K74" s="2" cm="1">
        <f t="array" ref="K74">INDEX( ComputeThermoProps($A74, $B74, ParametersRange), 1, COLUMN()-2 )</f>
        <v>34.363376545834505</v>
      </c>
      <c r="L74" s="2" cm="1">
        <f t="array" ref="L74">INDEX( ComputeThermoProps($A74, $B74, ParametersRange), 1, COLUMN()-2 )</f>
        <v>-946.23105145526949</v>
      </c>
      <c r="M74" s="2" cm="1">
        <f t="array" ref="M74">INDEX( ComputeThermoProps($A74, $B74, ParametersRange), 1, COLUMN()-2 )</f>
        <v>981.55437276650514</v>
      </c>
      <c r="N74" s="2" cm="1">
        <f t="array" ref="N74">INDEX( ComputeThermoProps($A74, $B74, ParametersRange), 1, COLUMN()-2 )</f>
        <v>-946.23105145481065</v>
      </c>
      <c r="O74" s="4">
        <f t="shared" si="1"/>
        <v>-10.8864707763613</v>
      </c>
    </row>
    <row r="75" spans="1:15" x14ac:dyDescent="0.25">
      <c r="A75" s="2">
        <v>57.1</v>
      </c>
      <c r="B75" s="2">
        <f t="shared" si="0"/>
        <v>2.5600714895693397E-11</v>
      </c>
      <c r="C75" s="2" cm="1">
        <f t="array" ref="C75">INDEX( ComputeThermoProps($A75, $B75, ParametersRange), 1, COLUMN()-2 )</f>
        <v>35.353748680243456</v>
      </c>
      <c r="D75" s="2" cm="1">
        <f t="array" ref="D75">INDEX( ComputeThermoProps($A75, $B75, ParametersRange), 1, COLUMN()-2 )</f>
        <v>3.4571176679000661E-4</v>
      </c>
      <c r="E75" s="2" cm="1">
        <f t="array" ref="E75">INDEX( ComputeThermoProps($A75, $B75, ParametersRange), 1, COLUMN()-2 )</f>
        <v>3.1555076890945266E-4</v>
      </c>
      <c r="F75" s="2" cm="1">
        <f t="array" ref="F75">INDEX( ComputeThermoProps($A75, $B75, ParametersRange), 1, COLUMN()-2 )</f>
        <v>6.2460515046857713E-4</v>
      </c>
      <c r="G75" s="2" cm="1">
        <f t="array" ref="G75">INDEX( ComputeThermoProps($A75, $B75, ParametersRange), 1, COLUMN()-2 )</f>
        <v>26.111811059621726</v>
      </c>
      <c r="H75" s="2" cm="1">
        <f t="array" ref="H75">INDEX( ComputeThermoProps($A75, $B75, ParametersRange), 1, COLUMN()-2 )</f>
        <v>23.833733326430025</v>
      </c>
      <c r="I75" s="2" cm="1">
        <f t="array" ref="I75">INDEX( ComputeThermoProps($A75, $B75, ParametersRange), 1, COLUMN()-2 )</f>
        <v>2.6800000000000006</v>
      </c>
      <c r="J75" s="2" cm="1">
        <f t="array" ref="J75">INDEX( ComputeThermoProps($A75, $B75, ParametersRange), 1, COLUMN()-2 )</f>
        <v>1007.6175166648979</v>
      </c>
      <c r="K75" s="2" cm="1">
        <f t="array" ref="K75">INDEX( ComputeThermoProps($A75, $B75, ParametersRange), 1, COLUMN()-2 )</f>
        <v>34.823855825898086</v>
      </c>
      <c r="L75" s="2" cm="1">
        <f t="array" ref="L75">INDEX( ComputeThermoProps($A75, $B75, ParametersRange), 1, COLUMN()-2 )</f>
        <v>-980.82465099388276</v>
      </c>
      <c r="M75" s="2" cm="1">
        <f t="array" ref="M75">INDEX( ComputeThermoProps($A75, $B75, ParametersRange), 1, COLUMN()-2 )</f>
        <v>1007.617516665803</v>
      </c>
      <c r="N75" s="2" cm="1">
        <f t="array" ref="N75">INDEX( ComputeThermoProps($A75, $B75, ParametersRange), 1, COLUMN()-2 )</f>
        <v>-980.82465099297769</v>
      </c>
      <c r="O75" s="4">
        <f t="shared" si="1"/>
        <v>-10.591747906917847</v>
      </c>
    </row>
    <row r="76" spans="1:15" x14ac:dyDescent="0.25">
      <c r="A76" s="2">
        <v>58.1</v>
      </c>
      <c r="B76" s="2">
        <f t="shared" si="0"/>
        <v>4.9005774173239167E-11</v>
      </c>
      <c r="C76" s="2" cm="1">
        <f t="array" ref="C76">INDEX( ComputeThermoProps($A76, $B76, ParametersRange), 1, COLUMN()-2 )</f>
        <v>35.375892172411383</v>
      </c>
      <c r="D76" s="2" cm="1">
        <f t="array" ref="D76">INDEX( ComputeThermoProps($A76, $B76, ParametersRange), 1, COLUMN()-2 )</f>
        <v>3.4704083210651505E-4</v>
      </c>
      <c r="E76" s="2" cm="1">
        <f t="array" ref="E76">INDEX( ComputeThermoProps($A76, $B76, ParametersRange), 1, COLUMN()-2 )</f>
        <v>3.1614271759989573E-4</v>
      </c>
      <c r="F76" s="2" cm="1">
        <f t="array" ref="F76">INDEX( ComputeThermoProps($A76, $B76, ParametersRange), 1, COLUMN()-2 )</f>
        <v>6.2767939137513002E-4</v>
      </c>
      <c r="G76" s="2" cm="1">
        <f t="array" ref="G76">INDEX( ComputeThermoProps($A76, $B76, ParametersRange), 1, COLUMN()-2 )</f>
        <v>26.207602613434553</v>
      </c>
      <c r="H76" s="2" cm="1">
        <f t="array" ref="H76">INDEX( ComputeThermoProps($A76, $B76, ParametersRange), 1, COLUMN()-2 )</f>
        <v>23.874259007788343</v>
      </c>
      <c r="I76" s="2" cm="1">
        <f t="array" ref="I76">INDEX( ComputeThermoProps($A76, $B76, ParametersRange), 1, COLUMN()-2 )</f>
        <v>2.68</v>
      </c>
      <c r="J76" s="2" cm="1">
        <f t="array" ref="J76">INDEX( ComputeThermoProps($A76, $B76, ParametersRange), 1, COLUMN()-2 )</f>
        <v>1033.777372835689</v>
      </c>
      <c r="K76" s="2" cm="1">
        <f t="array" ref="K76">INDEX( ComputeThermoProps($A76, $B76, ParametersRange), 1, COLUMN()-2 )</f>
        <v>35.278019040105185</v>
      </c>
      <c r="L76" s="2" cm="1">
        <f t="array" ref="L76">INDEX( ComputeThermoProps($A76, $B76, ParametersRange), 1, COLUMN()-2 )</f>
        <v>-1015.8755333944223</v>
      </c>
      <c r="M76" s="2" cm="1">
        <f t="array" ref="M76">INDEX( ComputeThermoProps($A76, $B76, ParametersRange), 1, COLUMN()-2 )</f>
        <v>1033.7773728374227</v>
      </c>
      <c r="N76" s="2" cm="1">
        <f t="array" ref="N76">INDEX( ComputeThermoProps($A76, $B76, ParametersRange), 1, COLUMN()-2 )</f>
        <v>-1015.8755333926886</v>
      </c>
      <c r="O76" s="4">
        <f t="shared" si="1"/>
        <v>-10.30975274560754</v>
      </c>
    </row>
    <row r="77" spans="1:15" x14ac:dyDescent="0.25">
      <c r="A77" s="2">
        <v>59.1</v>
      </c>
      <c r="B77" s="2">
        <f t="shared" si="0"/>
        <v>9.1253403146746043E-11</v>
      </c>
      <c r="C77" s="2" cm="1">
        <f t="array" ref="C77">INDEX( ComputeThermoProps($A77, $B77, ParametersRange), 1, COLUMN()-2 )</f>
        <v>35.398157872282738</v>
      </c>
      <c r="D77" s="2" cm="1">
        <f t="array" ref="D77">INDEX( ComputeThermoProps($A77, $B77, ParametersRange), 1, COLUMN()-2 )</f>
        <v>3.4838291361722576E-4</v>
      </c>
      <c r="E77" s="2" cm="1">
        <f t="array" ref="E77">INDEX( ComputeThermoProps($A77, $B77, ParametersRange), 1, COLUMN()-2 )</f>
        <v>3.1674065987903166E-4</v>
      </c>
      <c r="F77" s="2" cm="1">
        <f t="array" ref="F77">INDEX( ComputeThermoProps($A77, $B77, ParametersRange), 1, COLUMN()-2 )</f>
        <v>6.3072684630334226E-4</v>
      </c>
      <c r="G77" s="2" cm="1">
        <f t="array" ref="G77">INDEX( ComputeThermoProps($A77, $B77, ParametersRange), 1, COLUMN()-2 )</f>
        <v>26.301672596787213</v>
      </c>
      <c r="H77" s="2" cm="1">
        <f t="array" ref="H77">INDEX( ComputeThermoProps($A77, $B77, ParametersRange), 1, COLUMN()-2 )</f>
        <v>23.912794826045424</v>
      </c>
      <c r="I77" s="2" cm="1">
        <f t="array" ref="I77">INDEX( ComputeThermoProps($A77, $B77, ParametersRange), 1, COLUMN()-2 )</f>
        <v>2.68</v>
      </c>
      <c r="J77" s="2" cm="1">
        <f t="array" ref="J77">INDEX( ComputeThermoProps($A77, $B77, ParametersRange), 1, COLUMN()-2 )</f>
        <v>1060.032148148151</v>
      </c>
      <c r="K77" s="2" cm="1">
        <f t="array" ref="K77">INDEX( ComputeThermoProps($A77, $B77, ParametersRange), 1, COLUMN()-2 )</f>
        <v>35.726051154449756</v>
      </c>
      <c r="L77" s="2" cm="1">
        <f t="array" ref="L77">INDEX( ComputeThermoProps($A77, $B77, ParametersRange), 1, COLUMN()-2 )</f>
        <v>-1051.3774750798295</v>
      </c>
      <c r="M77" s="2" cm="1">
        <f t="array" ref="M77">INDEX( ComputeThermoProps($A77, $B77, ParametersRange), 1, COLUMN()-2 )</f>
        <v>1060.0321481513813</v>
      </c>
      <c r="N77" s="2" cm="1">
        <f t="array" ref="N77">INDEX( ComputeThermoProps($A77, $B77, ParametersRange), 1, COLUMN()-2 )</f>
        <v>-1051.3774750765992</v>
      </c>
      <c r="O77" s="4">
        <f t="shared" si="1"/>
        <v>-10.039750930265534</v>
      </c>
    </row>
    <row r="78" spans="1:15" x14ac:dyDescent="0.25">
      <c r="A78" s="2">
        <v>60.1</v>
      </c>
      <c r="B78" s="2">
        <f t="shared" si="0"/>
        <v>1.6555467063566959E-10</v>
      </c>
      <c r="C78" s="2" cm="1">
        <f t="array" ref="C78">INDEX( ComputeThermoProps($A78, $B78, ParametersRange), 1, COLUMN()-2 )</f>
        <v>35.420545102315707</v>
      </c>
      <c r="D78" s="2" cm="1">
        <f t="array" ref="D78">INDEX( ComputeThermoProps($A78, $B78, ParametersRange), 1, COLUMN()-2 )</f>
        <v>3.497382152002812E-4</v>
      </c>
      <c r="E78" s="2" cm="1">
        <f t="array" ref="E78">INDEX( ComputeThermoProps($A78, $B78, ParametersRange), 1, COLUMN()-2 )</f>
        <v>3.173446373959662E-4</v>
      </c>
      <c r="F78" s="2" cm="1">
        <f t="array" ref="F78">INDEX( ComputeThermoProps($A78, $B78, ParametersRange), 1, COLUMN()-2 )</f>
        <v>6.3375075206824067E-4</v>
      </c>
      <c r="G78" s="2" cm="1">
        <f t="array" ref="G78">INDEX( ComputeThermoProps($A78, $B78, ParametersRange), 1, COLUMN()-2 )</f>
        <v>26.394155457418755</v>
      </c>
      <c r="H78" s="2" cm="1">
        <f t="array" ref="H78">INDEX( ComputeThermoProps($A78, $B78, ParametersRange), 1, COLUMN()-2 )</f>
        <v>23.949466569475941</v>
      </c>
      <c r="I78" s="2" cm="1">
        <f t="array" ref="I78">INDEX( ComputeThermoProps($A78, $B78, ParametersRange), 1, COLUMN()-2 )</f>
        <v>2.680000000000001</v>
      </c>
      <c r="J78" s="2" cm="1">
        <f t="array" ref="J78">INDEX( ComputeThermoProps($A78, $B78, ParametersRange), 1, COLUMN()-2 )</f>
        <v>1086.3801890923871</v>
      </c>
      <c r="K78" s="2" cm="1">
        <f t="array" ref="K78">INDEX( ComputeThermoProps($A78, $B78, ParametersRange), 1, COLUMN()-2 )</f>
        <v>36.168130166610965</v>
      </c>
      <c r="L78" s="2" cm="1">
        <f t="array" ref="L78">INDEX( ComputeThermoProps($A78, $B78, ParametersRange), 1, COLUMN()-2 )</f>
        <v>-1087.3244339209318</v>
      </c>
      <c r="M78" s="2" cm="1">
        <f t="array" ref="M78">INDEX( ComputeThermoProps($A78, $B78, ParametersRange), 1, COLUMN()-2 )</f>
        <v>1086.3801890982511</v>
      </c>
      <c r="N78" s="2" cm="1">
        <f t="array" ref="N78">INDEX( ComputeThermoProps($A78, $B78, ParametersRange), 1, COLUMN()-2 )</f>
        <v>-1087.3244339150679</v>
      </c>
      <c r="O78" s="4">
        <f t="shared" si="1"/>
        <v>-9.7810585624040005</v>
      </c>
    </row>
    <row r="79" spans="1:15" x14ac:dyDescent="0.25">
      <c r="A79" s="2">
        <v>61.1</v>
      </c>
      <c r="B79" s="2">
        <f t="shared" si="0"/>
        <v>2.9306363943289423E-10</v>
      </c>
      <c r="C79" s="2" cm="1">
        <f t="array" ref="C79">INDEX( ComputeThermoProps($A79, $B79, ParametersRange), 1, COLUMN()-2 )</f>
        <v>35.443053294880642</v>
      </c>
      <c r="D79" s="2" cm="1">
        <f t="array" ref="D79">INDEX( ComputeThermoProps($A79, $B79, ParametersRange), 1, COLUMN()-2 )</f>
        <v>3.5110694620576392E-4</v>
      </c>
      <c r="E79" s="2" cm="1">
        <f t="array" ref="E79">INDEX( ComputeThermoProps($A79, $B79, ParametersRange), 1, COLUMN()-2 )</f>
        <v>3.1795469531404528E-4</v>
      </c>
      <c r="F79" s="2" cm="1">
        <f t="array" ref="F79">INDEX( ComputeThermoProps($A79, $B79, ParametersRange), 1, COLUMN()-2 )</f>
        <v>6.3675413434776383E-4</v>
      </c>
      <c r="G79" s="2" cm="1">
        <f t="array" ref="G79">INDEX( ComputeThermoProps($A79, $B79, ParametersRange), 1, COLUMN()-2 )</f>
        <v>26.485176075225237</v>
      </c>
      <c r="H79" s="2" cm="1">
        <f t="array" ref="H79">INDEX( ComputeThermoProps($A79, $B79, ParametersRange), 1, COLUMN()-2 )</f>
        <v>23.984390455214633</v>
      </c>
      <c r="I79" s="2" cm="1">
        <f t="array" ref="I79">INDEX( ComputeThermoProps($A79, $B79, ParametersRange), 1, COLUMN()-2 )</f>
        <v>2.68</v>
      </c>
      <c r="J79" s="2" cm="1">
        <f t="array" ref="J79">INDEX( ComputeThermoProps($A79, $B79, ParametersRange), 1, COLUMN()-2 )</f>
        <v>1112.8199717440291</v>
      </c>
      <c r="K79" s="2" cm="1">
        <f t="array" ref="K79">INDEX( ComputeThermoProps($A79, $B79, ParametersRange), 1, COLUMN()-2 )</f>
        <v>36.604427400325889</v>
      </c>
      <c r="L79" s="2" cm="1">
        <f t="array" ref="L79">INDEX( ComputeThermoProps($A79, $B79, ParametersRange), 1, COLUMN()-2 )</f>
        <v>-1123.7105424158829</v>
      </c>
      <c r="M79" s="2" cm="1">
        <f t="array" ref="M79">INDEX( ComputeThermoProps($A79, $B79, ParametersRange), 1, COLUMN()-2 )</f>
        <v>1112.8199717544162</v>
      </c>
      <c r="N79" s="2" cm="1">
        <f t="array" ref="N79">INDEX( ComputeThermoProps($A79, $B79, ParametersRange), 1, COLUMN()-2 )</f>
        <v>-1123.7105424054957</v>
      </c>
      <c r="O79" s="4">
        <f t="shared" si="1"/>
        <v>-9.5330380613746772</v>
      </c>
    </row>
    <row r="80" spans="1:15" x14ac:dyDescent="0.25">
      <c r="A80" s="2">
        <v>62.1</v>
      </c>
      <c r="B80" s="2">
        <f t="shared" si="0"/>
        <v>5.0688049645109539E-10</v>
      </c>
      <c r="C80" s="2" cm="1">
        <f t="array" ref="C80">INDEX( ComputeThermoProps($A80, $B80, ParametersRange), 1, COLUMN()-2 )</f>
        <v>35.465681985446658</v>
      </c>
      <c r="D80" s="2" cm="1">
        <f t="array" ref="D80">INDEX( ComputeThermoProps($A80, $B80, ParametersRange), 1, COLUMN()-2 )</f>
        <v>3.52489321501386E-4</v>
      </c>
      <c r="E80" s="2" cm="1">
        <f t="array" ref="E80">INDEX( ComputeThermoProps($A80, $B80, ParametersRange), 1, COLUMN()-2 )</f>
        <v>3.1857088220057969E-4</v>
      </c>
      <c r="F80" s="2" cm="1">
        <f t="array" ref="F80">INDEX( ComputeThermoProps($A80, $B80, ParametersRange), 1, COLUMN()-2 )</f>
        <v>6.3973982665889179E-4</v>
      </c>
      <c r="G80" s="2" cm="1">
        <f t="array" ref="G80">INDEX( ComputeThermoProps($A80, $B80, ParametersRange), 1, COLUMN()-2 )</f>
        <v>26.574850597346131</v>
      </c>
      <c r="H80" s="2" cm="1">
        <f t="array" ref="H80">INDEX( ComputeThermoProps($A80, $B80, ParametersRange), 1, COLUMN()-2 )</f>
        <v>24.017673962675975</v>
      </c>
      <c r="I80" s="2" cm="1">
        <f t="array" ref="I80">INDEX( ComputeThermoProps($A80, $B80, ParametersRange), 1, COLUMN()-2 )</f>
        <v>2.68</v>
      </c>
      <c r="J80" s="2" cm="1">
        <f t="array" ref="J80">INDEX( ComputeThermoProps($A80, $B80, ParametersRange), 1, COLUMN()-2 )</f>
        <v>1139.3500926277059</v>
      </c>
      <c r="K80" s="2" cm="1">
        <f t="array" ref="K80">INDEX( ComputeThermoProps($A80, $B80, ParametersRange), 1, COLUMN()-2 )</f>
        <v>37.035107790452251</v>
      </c>
      <c r="L80" s="2" cm="1">
        <f t="array" ref="L80">INDEX( ComputeThermoProps($A80, $B80, ParametersRange), 1, COLUMN()-2 )</f>
        <v>-1160.530101159379</v>
      </c>
      <c r="M80" s="2" cm="1">
        <f t="array" ref="M80">INDEX( ComputeThermoProps($A80, $B80, ParametersRange), 1, COLUMN()-2 )</f>
        <v>1139.3500926456827</v>
      </c>
      <c r="N80" s="2" cm="1">
        <f t="array" ref="N80">INDEX( ComputeThermoProps($A80, $B80, ParametersRange), 1, COLUMN()-2 )</f>
        <v>-1160.5301011414022</v>
      </c>
      <c r="O80" s="4">
        <f t="shared" si="1"/>
        <v>-9.2950944190678246</v>
      </c>
    </row>
    <row r="81" spans="1:15" x14ac:dyDescent="0.25">
      <c r="A81" s="2">
        <v>63.1</v>
      </c>
      <c r="B81" s="2">
        <f t="shared" si="0"/>
        <v>8.5768573958285365E-10</v>
      </c>
      <c r="C81" s="2" cm="1">
        <f t="array" ref="C81">INDEX( ComputeThermoProps($A81, $B81, ParametersRange), 1, COLUMN()-2 )</f>
        <v>35.488430806400125</v>
      </c>
      <c r="D81" s="2" cm="1">
        <f t="array" ref="D81">INDEX( ComputeThermoProps($A81, $B81, ParametersRange), 1, COLUMN()-2 )</f>
        <v>3.5388556159464071E-4</v>
      </c>
      <c r="E81" s="2" cm="1">
        <f t="array" ref="E81">INDEX( ComputeThermoProps($A81, $B81, ParametersRange), 1, COLUMN()-2 )</f>
        <v>3.1919324993104527E-4</v>
      </c>
      <c r="F81" s="2" cm="1">
        <f t="array" ref="F81">INDEX( ComputeThermoProps($A81, $B81, ParametersRange), 1, COLUMN()-2 )</f>
        <v>6.4271048863495303E-4</v>
      </c>
      <c r="G81" s="2" cm="1">
        <f t="array" ref="G81">INDEX( ComputeThermoProps($A81, $B81, ParametersRange), 1, COLUMN()-2 )</f>
        <v>26.663287238925946</v>
      </c>
      <c r="H81" s="2" cm="1">
        <f t="array" ref="H81">INDEX( ComputeThermoProps($A81, $B81, ParametersRange), 1, COLUMN()-2 )</f>
        <v>24.049416622954496</v>
      </c>
      <c r="I81" s="2" cm="1">
        <f t="array" ref="I81">INDEX( ComputeThermoProps($A81, $B81, ParametersRange), 1, COLUMN()-2 )</f>
        <v>2.68</v>
      </c>
      <c r="J81" s="2" cm="1">
        <f t="array" ref="J81">INDEX( ComputeThermoProps($A81, $B81, ParametersRange), 1, COLUMN()-2 )</f>
        <v>1165.9692603896381</v>
      </c>
      <c r="K81" s="2" cm="1">
        <f t="array" ref="K81">INDEX( ComputeThermoProps($A81, $B81, ParametersRange), 1, COLUMN()-2 )</f>
        <v>37.460330158188277</v>
      </c>
      <c r="L81" s="2" cm="1">
        <f t="array" ref="L81">INDEX( ComputeThermoProps($A81, $B81, ParametersRange), 1, COLUMN()-2 )</f>
        <v>-1197.7775725920424</v>
      </c>
      <c r="M81" s="2" cm="1">
        <f t="array" ref="M81">INDEX( ComputeThermoProps($A81, $B81, ParametersRange), 1, COLUMN()-2 )</f>
        <v>1165.9692604200759</v>
      </c>
      <c r="N81" s="2" cm="1">
        <f t="array" ref="N81">INDEX( ComputeThermoProps($A81, $B81, ParametersRange), 1, COLUMN()-2 )</f>
        <v>-1197.7775725616045</v>
      </c>
      <c r="O81" s="4">
        <f t="shared" si="1"/>
        <v>-9.0666718107127906</v>
      </c>
    </row>
    <row r="82" spans="1:15" x14ac:dyDescent="0.25">
      <c r="A82" s="2">
        <v>64.099999999999994</v>
      </c>
      <c r="B82" s="2">
        <f t="shared" si="0"/>
        <v>1.4215085529703069E-9</v>
      </c>
      <c r="C82" s="2" cm="1">
        <f t="array" ref="C82">INDEX( ComputeThermoProps($A82, $B82, ParametersRange), 1, COLUMN()-2 )</f>
        <v>35.511299481433845</v>
      </c>
      <c r="D82" s="2" cm="1">
        <f t="array" ref="D82">INDEX( ComputeThermoProps($A82, $B82, ParametersRange), 1, COLUMN()-2 )</f>
        <v>3.5529589269474169E-4</v>
      </c>
      <c r="E82" s="2" cm="1">
        <f t="array" ref="E82">INDEX( ComputeThermoProps($A82, $B82, ParametersRange), 1, COLUMN()-2 )</f>
        <v>3.1982185360651991E-4</v>
      </c>
      <c r="F82" s="2" cm="1">
        <f t="array" ref="F82">INDEX( ComputeThermoProps($A82, $B82, ParametersRange), 1, COLUMN()-2 )</f>
        <v>6.456686211978402E-4</v>
      </c>
      <c r="G82" s="2" cm="1">
        <f t="array" ref="G82">INDEX( ComputeThermoProps($A82, $B82, ParametersRange), 1, COLUMN()-2 )</f>
        <v>26.750586949974874</v>
      </c>
      <c r="H82" s="2" cm="1">
        <f t="array" ref="H82">INDEX( ComputeThermoProps($A82, $B82, ParametersRange), 1, COLUMN()-2 )</f>
        <v>24.079710684282741</v>
      </c>
      <c r="I82" s="2" cm="1">
        <f t="array" ref="I82">INDEX( ComputeThermoProps($A82, $B82, ParametersRange), 1, COLUMN()-2 )</f>
        <v>2.68</v>
      </c>
      <c r="J82" s="2" cm="1">
        <f t="array" ref="J82">INDEX( ComputeThermoProps($A82, $B82, ParametersRange), 1, COLUMN()-2 )</f>
        <v>1192.6762882000714</v>
      </c>
      <c r="K82" s="2" cm="1">
        <f t="array" ref="K82">INDEX( ComputeThermoProps($A82, $B82, ParametersRange), 1, COLUMN()-2 )</f>
        <v>37.880247476131494</v>
      </c>
      <c r="L82" s="2" cm="1">
        <f t="array" ref="L82">INDEX( ComputeThermoProps($A82, $B82, ParametersRange), 1, COLUMN()-2 )</f>
        <v>-1235.4475750199572</v>
      </c>
      <c r="M82" s="2" cm="1">
        <f t="array" ref="M82">INDEX( ComputeThermoProps($A82, $B82, ParametersRange), 1, COLUMN()-2 )</f>
        <v>1192.6762882505511</v>
      </c>
      <c r="N82" s="2" cm="1">
        <f t="array" ref="N82">INDEX( ComputeThermoProps($A82, $B82, ParametersRange), 1, COLUMN()-2 )</f>
        <v>-1235.4475749694775</v>
      </c>
      <c r="O82" s="4">
        <f t="shared" si="1"/>
        <v>-8.8472505228911373</v>
      </c>
    </row>
    <row r="83" spans="1:15" x14ac:dyDescent="0.25">
      <c r="A83" s="2">
        <v>65.099999999999994</v>
      </c>
      <c r="B83" s="2">
        <f t="shared" ref="B83:B146" si="2">IF(
  A83 &lt;= $B$5,
  $B$6 * EXP( ($B$5/A83) * ( $B$8*(1 - A83/$B$5) + $B$9*(1 - A83/$B$5)^1.5 + $B$10*(1 - A83/$B$5)^5 ) ),
  $B$6 * ( 1 + $B$12 * MAX(A83/$B$5 - 1, 0)^$B$13 + $B$14 * MAX(A83/$B$5 - 1, 0)^$B$15 )
)</f>
        <v>2.3102332777003973E-9</v>
      </c>
      <c r="C83" s="2" cm="1">
        <f t="array" ref="C83">INDEX( ComputeThermoProps($A83, $B83, ParametersRange), 1, COLUMN()-2 )</f>
        <v>35.534287820452775</v>
      </c>
      <c r="D83" s="2" cm="1">
        <f t="array" ref="D83">INDEX( ComputeThermoProps($A83, $B83, ParametersRange), 1, COLUMN()-2 )</f>
        <v>3.5672054682436995E-4</v>
      </c>
      <c r="E83" s="2" cm="1">
        <f t="array" ref="E83">INDEX( ComputeThermoProps($A83, $B83, ParametersRange), 1, COLUMN()-2 )</f>
        <v>3.204567514832368E-4</v>
      </c>
      <c r="F83" s="2" cm="1">
        <f t="array" ref="F83">INDEX( ComputeThermoProps($A83, $B83, ParametersRange), 1, COLUMN()-2 )</f>
        <v>6.4861658096309932E-4</v>
      </c>
      <c r="G83" s="2" cm="1">
        <f t="array" ref="G83">INDEX( ComputeThermoProps($A83, $B83, ParametersRange), 1, COLUMN()-2 )</f>
        <v>26.836844046121623</v>
      </c>
      <c r="H83" s="2" cm="1">
        <f t="array" ref="H83">INDEX( ComputeThermoProps($A83, $B83, ParametersRange), 1, COLUMN()-2 )</f>
        <v>24.108641735505586</v>
      </c>
      <c r="I83" s="2" cm="1">
        <f t="array" ref="I83">INDEX( ComputeThermoProps($A83, $B83, ParametersRange), 1, COLUMN()-2 )</f>
        <v>2.68</v>
      </c>
      <c r="J83" s="2" cm="1">
        <f t="array" ref="J83">INDEX( ComputeThermoProps($A83, $B83, ParametersRange), 1, COLUMN()-2 )</f>
        <v>1219.4700868149118</v>
      </c>
      <c r="K83" s="2" cm="1">
        <f t="array" ref="K83">INDEX( ComputeThermoProps($A83, $B83, ParametersRange), 1, COLUMN()-2 )</f>
        <v>38.295007123026522</v>
      </c>
      <c r="L83" s="2" cm="1">
        <f t="array" ref="L83">INDEX( ComputeThermoProps($A83, $B83, ParametersRange), 1, COLUMN()-2 )</f>
        <v>-1273.5348768941146</v>
      </c>
      <c r="M83" s="2" cm="1">
        <f t="array" ref="M83">INDEX( ComputeThermoProps($A83, $B83, ParametersRange), 1, COLUMN()-2 )</f>
        <v>1219.4700868970044</v>
      </c>
      <c r="N83" s="2" cm="1">
        <f t="array" ref="N83">INDEX( ComputeThermoProps($A83, $B83, ParametersRange), 1, COLUMN()-2 )</f>
        <v>-1273.534876812022</v>
      </c>
      <c r="O83" s="4">
        <f t="shared" ref="O83:O146" si="3">LOG10(B83)</f>
        <v>-8.6363441646520673</v>
      </c>
    </row>
    <row r="84" spans="1:15" x14ac:dyDescent="0.25">
      <c r="A84" s="2">
        <v>66.099999999999994</v>
      </c>
      <c r="B84" s="2">
        <f t="shared" si="2"/>
        <v>3.6855547592994827E-9</v>
      </c>
      <c r="C84" s="2" cm="1">
        <f t="array" ref="C84">INDEX( ComputeThermoProps($A84, $B84, ParametersRange), 1, COLUMN()-2 )</f>
        <v>35.557395714947766</v>
      </c>
      <c r="D84" s="2" cm="1">
        <f t="array" ref="D84">INDEX( ComputeThermoProps($A84, $B84, ParametersRange), 1, COLUMN()-2 )</f>
        <v>3.581597619590173E-4</v>
      </c>
      <c r="E84" s="2" cm="1">
        <f t="array" ref="E84">INDEX( ComputeThermoProps($A84, $B84, ParametersRange), 1, COLUMN()-2 )</f>
        <v>3.2109800491329934E-4</v>
      </c>
      <c r="F84" s="2" cm="1">
        <f t="array" ref="F84">INDEX( ComputeThermoProps($A84, $B84, ParametersRange), 1, COLUMN()-2 )</f>
        <v>6.515565935744387E-4</v>
      </c>
      <c r="G84" s="2" cm="1">
        <f t="array" ref="G84">INDEX( ComputeThermoProps($A84, $B84, ParametersRange), 1, COLUMN()-2 )</f>
        <v>26.922146790899884</v>
      </c>
      <c r="H84" s="2" cm="1">
        <f t="array" ref="H84">INDEX( ComputeThermoProps($A84, $B84, ParametersRange), 1, COLUMN()-2 )</f>
        <v>24.136289278442472</v>
      </c>
      <c r="I84" s="2" cm="1">
        <f t="array" ref="I84">INDEX( ComputeThermoProps($A84, $B84, ParametersRange), 1, COLUMN()-2 )</f>
        <v>2.6799999999999997</v>
      </c>
      <c r="J84" s="2" cm="1">
        <f t="array" ref="J84">INDEX( ComputeThermoProps($A84, $B84, ParametersRange), 1, COLUMN()-2 )</f>
        <v>1246.3496582336184</v>
      </c>
      <c r="K84" s="2" cm="1">
        <f t="array" ref="K84">INDEX( ComputeThermoProps($A84, $B84, ParametersRange), 1, COLUMN()-2 )</f>
        <v>38.704751128185308</v>
      </c>
      <c r="L84" s="2" cm="1">
        <f t="array" ref="L84">INDEX( ComputeThermoProps($A84, $B84, ParametersRange), 1, COLUMN()-2 )</f>
        <v>-1312.0343913394302</v>
      </c>
      <c r="M84" s="2" cm="1">
        <f t="array" ref="M84">INDEX( ComputeThermoProps($A84, $B84, ParametersRange), 1, COLUMN()-2 )</f>
        <v>1246.349658364667</v>
      </c>
      <c r="N84" s="2" cm="1">
        <f t="array" ref="N84">INDEX( ComputeThermoProps($A84, $B84, ParametersRange), 1, COLUMN()-2 )</f>
        <v>-1312.0343912083815</v>
      </c>
      <c r="O84" s="4">
        <f t="shared" si="3"/>
        <v>-8.4334971317482079</v>
      </c>
    </row>
    <row r="85" spans="1:15" x14ac:dyDescent="0.25">
      <c r="A85" s="2">
        <v>67.099999999999994</v>
      </c>
      <c r="B85" s="2">
        <f t="shared" si="2"/>
        <v>5.7772039886216731E-9</v>
      </c>
      <c r="C85" s="2" cm="1">
        <f t="array" ref="C85">INDEX( ComputeThermoProps($A85, $B85, ParametersRange), 1, COLUMN()-2 )</f>
        <v>35.580623133794155</v>
      </c>
      <c r="D85" s="2" cm="1">
        <f t="array" ref="D85">INDEX( ComputeThermoProps($A85, $B85, ParametersRange), 1, COLUMN()-2 )</f>
        <v>3.5961378212418383E-4</v>
      </c>
      <c r="E85" s="2" cm="1">
        <f t="array" ref="E85">INDEX( ComputeThermoProps($A85, $B85, ParametersRange), 1, COLUMN()-2 )</f>
        <v>3.2174567829567296E-4</v>
      </c>
      <c r="F85" s="2" cm="1">
        <f t="array" ref="F85">INDEX( ComputeThermoProps($A85, $B85, ParametersRange), 1, COLUMN()-2 )</f>
        <v>6.5449076488350774E-4</v>
      </c>
      <c r="G85" s="2" cm="1">
        <f t="array" ref="G85">INDEX( ComputeThermoProps($A85, $B85, ParametersRange), 1, COLUMN()-2 )</f>
        <v>27.006577885143095</v>
      </c>
      <c r="H85" s="2" cm="1">
        <f t="array" ref="H85">INDEX( ComputeThermoProps($A85, $B85, ParametersRange), 1, COLUMN()-2 )</f>
        <v>24.162727214664052</v>
      </c>
      <c r="I85" s="2" cm="1">
        <f t="array" ref="I85">INDEX( ComputeThermoProps($A85, $B85, ParametersRange), 1, COLUMN()-2 )</f>
        <v>2.68</v>
      </c>
      <c r="J85" s="2" cm="1">
        <f t="array" ref="J85">INDEX( ComputeThermoProps($A85, $B85, ParametersRange), 1, COLUMN()-2 )</f>
        <v>1273.3140898971146</v>
      </c>
      <c r="K85" s="2" cm="1">
        <f t="array" ref="K85">INDEX( ComputeThermoProps($A85, $B85, ParametersRange), 1, COLUMN()-2 )</f>
        <v>39.109616405665562</v>
      </c>
      <c r="L85" s="2" cm="1">
        <f t="array" ref="L85">INDEX( ComputeThermoProps($A85, $B85, ParametersRange), 1, COLUMN()-2 )</f>
        <v>-1350.9411709230444</v>
      </c>
      <c r="M85" s="2" cm="1">
        <f t="array" ref="M85">INDEX( ComputeThermoProps($A85, $B85, ParametersRange), 1, COLUMN()-2 )</f>
        <v>1273.3140901026711</v>
      </c>
      <c r="N85" s="2" cm="1">
        <f t="array" ref="N85">INDEX( ComputeThermoProps($A85, $B85, ParametersRange), 1, COLUMN()-2 )</f>
        <v>-1350.9411707174879</v>
      </c>
      <c r="O85" s="4">
        <f t="shared" si="3"/>
        <v>-8.2382822975843091</v>
      </c>
    </row>
    <row r="86" spans="1:15" x14ac:dyDescent="0.25">
      <c r="A86" s="2">
        <v>68.099999999999994</v>
      </c>
      <c r="B86" s="2">
        <f t="shared" si="2"/>
        <v>8.9063773669870646E-9</v>
      </c>
      <c r="C86" s="2" cm="1">
        <f t="array" ref="C86">INDEX( ComputeThermoProps($A86, $B86, ParametersRange), 1, COLUMN()-2 )</f>
        <v>35.603970119436781</v>
      </c>
      <c r="D86" s="2" cm="1">
        <f t="array" ref="D86">INDEX( ComputeThermoProps($A86, $B86, ParametersRange), 1, COLUMN()-2 )</f>
        <v>3.6108285757190724E-4</v>
      </c>
      <c r="E86" s="2" cm="1">
        <f t="array" ref="E86">INDEX( ComputeThermoProps($A86, $B86, ParametersRange), 1, COLUMN()-2 )</f>
        <v>3.2239983903671095E-4</v>
      </c>
      <c r="F86" s="2" cm="1">
        <f t="array" ref="F86">INDEX( ComputeThermoProps($A86, $B86, ParametersRange), 1, COLUMN()-2 )</f>
        <v>6.5742109228444793E-4</v>
      </c>
      <c r="G86" s="2" cm="1">
        <f t="array" ref="G86">INDEX( ComputeThermoProps($A86, $B86, ParametersRange), 1, COLUMN()-2 )</f>
        <v>27.09021495940387</v>
      </c>
      <c r="H86" s="2" cm="1">
        <f t="array" ref="H86">INDEX( ComputeThermoProps($A86, $B86, ParametersRange), 1, COLUMN()-2 )</f>
        <v>24.188024325254521</v>
      </c>
      <c r="I86" s="2" cm="1">
        <f t="array" ref="I86">INDEX( ComputeThermoProps($A86, $B86, ParametersRange), 1, COLUMN()-2 )</f>
        <v>2.68</v>
      </c>
      <c r="J86" s="2" cm="1">
        <f t="array" ref="J86">INDEX( ComputeThermoProps($A86, $B86, ParametersRange), 1, COLUMN()-2 )</f>
        <v>1300.3625493754989</v>
      </c>
      <c r="K86" s="2" cm="1">
        <f t="array" ref="K86">INDEX( ComputeThermoProps($A86, $B86, ParametersRange), 1, COLUMN()-2 )</f>
        <v>39.509734978373693</v>
      </c>
      <c r="L86" s="2" cm="1">
        <f t="array" ref="L86">INDEX( ComputeThermoProps($A86, $B86, ParametersRange), 1, COLUMN()-2 )</f>
        <v>-1390.2504026517493</v>
      </c>
      <c r="M86" s="2" cm="1">
        <f t="array" ref="M86">INDEX( ComputeThermoProps($A86, $B86, ParametersRange), 1, COLUMN()-2 )</f>
        <v>1300.3625496926013</v>
      </c>
      <c r="N86" s="2" cm="1">
        <f t="array" ref="N86">INDEX( ComputeThermoProps($A86, $B86, ParametersRange), 1, COLUMN()-2 )</f>
        <v>-1390.2504023346469</v>
      </c>
      <c r="O86" s="4">
        <f t="shared" si="3"/>
        <v>-8.0502989075735272</v>
      </c>
    </row>
    <row r="87" spans="1:15" x14ac:dyDescent="0.25">
      <c r="A87" s="2">
        <v>69.099999999999994</v>
      </c>
      <c r="B87" s="2">
        <f t="shared" si="2"/>
        <v>1.3515413697901337E-8</v>
      </c>
      <c r="C87" s="2" cm="1">
        <f t="array" ref="C87">INDEX( ComputeThermoProps($A87, $B87, ParametersRange), 1, COLUMN()-2 )</f>
        <v>35.627436784426855</v>
      </c>
      <c r="D87" s="2" cm="1">
        <f t="array" ref="D87">INDEX( ComputeThermoProps($A87, $B87, ParametersRange), 1, COLUMN()-2 )</f>
        <v>3.6256724490561423E-4</v>
      </c>
      <c r="E87" s="2" cm="1">
        <f t="array" ref="E87">INDEX( ComputeThermoProps($A87, $B87, ParametersRange), 1, COLUMN()-2 )</f>
        <v>3.2306055751953234E-4</v>
      </c>
      <c r="F87" s="2" cm="1">
        <f t="array" ref="F87">INDEX( ComputeThermoProps($A87, $B87, ParametersRange), 1, COLUMN()-2 )</f>
        <v>6.6034947399089879E-4</v>
      </c>
      <c r="G87" s="2" cm="1">
        <f t="array" ref="G87">INDEX( ComputeThermoProps($A87, $B87, ParametersRange), 1, COLUMN()-2 )</f>
        <v>27.173130978214449</v>
      </c>
      <c r="H87" s="2" cm="1">
        <f t="array" ref="H87">INDEX( ComputeThermoProps($A87, $B87, ParametersRange), 1, COLUMN()-2 )</f>
        <v>24.212244671077574</v>
      </c>
      <c r="I87" s="2" cm="1">
        <f t="array" ref="I87">INDEX( ComputeThermoProps($A87, $B87, ParametersRange), 1, COLUMN()-2 )</f>
        <v>2.68</v>
      </c>
      <c r="J87" s="2" cm="1">
        <f t="array" ref="J87">INDEX( ComputeThermoProps($A87, $B87, ParametersRange), 1, COLUMN()-2 )</f>
        <v>1327.494279500562</v>
      </c>
      <c r="K87" s="2" cm="1">
        <f t="array" ref="K87">INDEX( ComputeThermoProps($A87, $B87, ParametersRange), 1, COLUMN()-2 )</f>
        <v>39.905234192317167</v>
      </c>
      <c r="L87" s="2" cm="1">
        <f t="array" ref="L87">INDEX( ComputeThermoProps($A87, $B87, ParametersRange), 1, COLUMN()-2 )</f>
        <v>-1429.9574031885541</v>
      </c>
      <c r="M87" s="2" cm="1">
        <f t="array" ref="M87">INDEX( ComputeThermoProps($A87, $B87, ParametersRange), 1, COLUMN()-2 )</f>
        <v>1327.4942799820815</v>
      </c>
      <c r="N87" s="2" cm="1">
        <f t="array" ref="N87">INDEX( ComputeThermoProps($A87, $B87, ParametersRange), 1, COLUMN()-2 )</f>
        <v>-1429.9574027070346</v>
      </c>
      <c r="O87" s="4">
        <f t="shared" si="3"/>
        <v>-7.8691706562940791</v>
      </c>
    </row>
    <row r="88" spans="1:15" x14ac:dyDescent="0.25">
      <c r="A88" s="2">
        <v>70.099999999999994</v>
      </c>
      <c r="B88" s="2">
        <f t="shared" si="2"/>
        <v>2.0204870479776375E-8</v>
      </c>
      <c r="C88" s="2" cm="1">
        <f t="array" ref="C88">INDEX( ComputeThermoProps($A88, $B88, ParametersRange), 1, COLUMN()-2 )</f>
        <v>35.651023308279989</v>
      </c>
      <c r="D88" s="2" cm="1">
        <f t="array" ref="D88">INDEX( ComputeThermoProps($A88, $B88, ParametersRange), 1, COLUMN()-2 )</f>
        <v>3.6406720725641622E-4</v>
      </c>
      <c r="E88" s="2" cm="1">
        <f t="array" ref="E88">INDEX( ComputeThermoProps($A88, $B88, ParametersRange), 1, COLUMN()-2 )</f>
        <v>3.2372790708166233E-4</v>
      </c>
      <c r="F88" s="2" cm="1">
        <f t="array" ref="F88">INDEX( ComputeThermoProps($A88, $B88, ParametersRange), 1, COLUMN()-2 )</f>
        <v>6.6327771817881469E-4</v>
      </c>
      <c r="G88" s="2" cm="1">
        <f t="array" ref="G88">INDEX( ComputeThermoProps($A88, $B88, ParametersRange), 1, COLUMN()-2 )</f>
        <v>27.255394635962659</v>
      </c>
      <c r="H88" s="2" cm="1">
        <f t="array" ref="H88">INDEX( ComputeThermoProps($A88, $B88, ParametersRange), 1, COLUMN()-2 )</f>
        <v>24.235447978621693</v>
      </c>
      <c r="I88" s="2" cm="1">
        <f t="array" ref="I88">INDEX( ComputeThermoProps($A88, $B88, ParametersRange), 1, COLUMN()-2 )</f>
        <v>2.68</v>
      </c>
      <c r="J88" s="2" cm="1">
        <f t="array" ref="J88">INDEX( ComputeThermoProps($A88, $B88, ParametersRange), 1, COLUMN()-2 )</f>
        <v>1354.7085939028241</v>
      </c>
      <c r="K88" s="2" cm="1">
        <f t="array" ref="K88">INDEX( ComputeThermoProps($A88, $B88, ParametersRange), 1, COLUMN()-2 )</f>
        <v>40.296236921277078</v>
      </c>
      <c r="L88" s="2" cm="1">
        <f t="array" ref="L88">INDEX( ComputeThermoProps($A88, $B88, ParametersRange), 1, COLUMN()-2 )</f>
        <v>-1470.0576142786988</v>
      </c>
      <c r="M88" s="2" cm="1">
        <f t="array" ref="M88">INDEX( ComputeThermoProps($A88, $B88, ParametersRange), 1, COLUMN()-2 )</f>
        <v>1354.7085946231484</v>
      </c>
      <c r="N88" s="2" cm="1">
        <f t="array" ref="N88">INDEX( ComputeThermoProps($A88, $B88, ParametersRange), 1, COLUMN()-2 )</f>
        <v>-1470.0576135583744</v>
      </c>
      <c r="O88" s="4">
        <f t="shared" si="3"/>
        <v>-7.6945439291905835</v>
      </c>
    </row>
    <row r="89" spans="1:15" x14ac:dyDescent="0.25">
      <c r="A89" s="2">
        <v>71.099999999999994</v>
      </c>
      <c r="B89" s="2">
        <f t="shared" si="2"/>
        <v>2.9779253543240484E-8</v>
      </c>
      <c r="C89" s="2" cm="1">
        <f t="array" ref="C89">INDEX( ComputeThermoProps($A89, $B89, ParametersRange), 1, COLUMN()-2 )</f>
        <v>35.674729934627671</v>
      </c>
      <c r="D89" s="2" cm="1">
        <f t="array" ref="D89">INDEX( ComputeThermoProps($A89, $B89, ParametersRange), 1, COLUMN()-2 )</f>
        <v>3.6558301443944844E-4</v>
      </c>
      <c r="E89" s="2" cm="1">
        <f t="array" ref="E89">INDEX( ComputeThermoProps($A89, $B89, ParametersRange), 1, COLUMN()-2 )</f>
        <v>3.2440196400041659E-4</v>
      </c>
      <c r="F89" s="2" cm="1">
        <f t="array" ref="F89">INDEX( ComputeThermoProps($A89, $B89, ParametersRange), 1, COLUMN()-2 )</f>
        <v>6.6620755084991076E-4</v>
      </c>
      <c r="G89" s="2" cm="1">
        <f t="array" ref="G89">INDEX( ComputeThermoProps($A89, $B89, ParametersRange), 1, COLUMN()-2 )</f>
        <v>27.337070697374045</v>
      </c>
      <c r="H89" s="2" cm="1">
        <f t="array" ref="H89">INDEX( ComputeThermoProps($A89, $B89, ParametersRange), 1, COLUMN()-2 )</f>
        <v>24.25768997458502</v>
      </c>
      <c r="I89" s="2" cm="1">
        <f t="array" ref="I89">INDEX( ComputeThermoProps($A89, $B89, ParametersRange), 1, COLUMN()-2 )</f>
        <v>2.68</v>
      </c>
      <c r="J89" s="2" cm="1">
        <f t="array" ref="J89">INDEX( ComputeThermoProps($A89, $B89, ParametersRange), 1, COLUMN()-2 )</f>
        <v>1382.0048729169403</v>
      </c>
      <c r="K89" s="2" cm="1">
        <f t="array" ref="K89">INDEX( ComputeThermoProps($A89, $B89, ParametersRange), 1, COLUMN()-2 )</f>
        <v>40.682861762202535</v>
      </c>
      <c r="L89" s="2" cm="1">
        <f t="array" ref="L89">INDEX( ComputeThermoProps($A89, $B89, ParametersRange), 1, COLUMN()-2 )</f>
        <v>-1510.5465983756596</v>
      </c>
      <c r="M89" s="2" cm="1">
        <f t="array" ref="M89">INDEX( ComputeThermoProps($A89, $B89, ParametersRange), 1, COLUMN()-2 )</f>
        <v>1382.0048739793071</v>
      </c>
      <c r="N89" s="2" cm="1">
        <f t="array" ref="N89">INDEX( ComputeThermoProps($A89, $B89, ParametersRange), 1, COLUMN()-2 )</f>
        <v>-1510.5465973132928</v>
      </c>
      <c r="O89" s="4">
        <f t="shared" si="3"/>
        <v>-7.5260861926185854</v>
      </c>
    </row>
    <row r="90" spans="1:15" x14ac:dyDescent="0.25">
      <c r="A90" s="2">
        <v>72.099999999999994</v>
      </c>
      <c r="B90" s="2">
        <f t="shared" si="2"/>
        <v>4.3302750446821911E-8</v>
      </c>
      <c r="C90" s="2" cm="1">
        <f t="array" ref="C90">INDEX( ComputeThermoProps($A90, $B90, ParametersRange), 1, COLUMN()-2 )</f>
        <v>35.698556968637597</v>
      </c>
      <c r="D90" s="2" cm="1">
        <f t="array" ref="D90">INDEX( ComputeThermoProps($A90, $B90, ParametersRange), 1, COLUMN()-2 )</f>
        <v>3.6711494317218145E-4</v>
      </c>
      <c r="E90" s="2" cm="1">
        <f t="array" ref="E90">INDEX( ComputeThermoProps($A90, $B90, ParametersRange), 1, COLUMN()-2 )</f>
        <v>3.2508280748556623E-4</v>
      </c>
      <c r="F90" s="2" cm="1">
        <f t="array" ref="F90">INDEX( ComputeThermoProps($A90, $B90, ParametersRange), 1, COLUMN()-2 )</f>
        <v>6.6914062385649428E-4</v>
      </c>
      <c r="G90" s="2" cm="1">
        <f t="array" ref="G90">INDEX( ComputeThermoProps($A90, $B90, ParametersRange), 1, COLUMN()-2 )</f>
        <v>27.418220342087658</v>
      </c>
      <c r="H90" s="2" cm="1">
        <f t="array" ref="H90">INDEX( ComputeThermoProps($A90, $B90, ParametersRange), 1, COLUMN()-2 )</f>
        <v>24.279022717098499</v>
      </c>
      <c r="I90" s="2" cm="1">
        <f t="array" ref="I90">INDEX( ComputeThermoProps($A90, $B90, ParametersRange), 1, COLUMN()-2 )</f>
        <v>2.6799999999999997</v>
      </c>
      <c r="J90" s="2" cm="1">
        <f t="array" ref="J90">INDEX( ComputeThermoProps($A90, $B90, ParametersRange), 1, COLUMN()-2 )</f>
        <v>1409.3825598229994</v>
      </c>
      <c r="K90" s="2" cm="1">
        <f t="array" ref="K90">INDEX( ComputeThermoProps($A90, $B90, ParametersRange), 1, COLUMN()-2 )</f>
        <v>41.065223221651067</v>
      </c>
      <c r="L90" s="2" cm="1">
        <f t="array" ref="L90">INDEX( ComputeThermoProps($A90, $B90, ParametersRange), 1, COLUMN()-2 )</f>
        <v>-1551.4200344580422</v>
      </c>
      <c r="M90" s="2" cm="1">
        <f t="array" ref="M90">INDEX( ComputeThermoProps($A90, $B90, ParametersRange), 1, COLUMN()-2 )</f>
        <v>1409.382561368845</v>
      </c>
      <c r="N90" s="2" cm="1">
        <f t="array" ref="N90">INDEX( ComputeThermoProps($A90, $B90, ParametersRange), 1, COLUMN()-2 )</f>
        <v>-1551.4200329121966</v>
      </c>
      <c r="O90" s="4">
        <f t="shared" si="3"/>
        <v>-7.3634845178281294</v>
      </c>
    </row>
    <row r="91" spans="1:15" x14ac:dyDescent="0.25">
      <c r="A91" s="2">
        <v>73.099999999999994</v>
      </c>
      <c r="B91" s="2">
        <f t="shared" si="2"/>
        <v>6.2166407936683745E-8</v>
      </c>
      <c r="C91" s="2" cm="1">
        <f t="array" ref="C91">INDEX( ComputeThermoProps($A91, $B91, ParametersRange), 1, COLUMN()-2 )</f>
        <v>35.722504774680495</v>
      </c>
      <c r="D91" s="2" cm="1">
        <f t="array" ref="D91">INDEX( ComputeThermoProps($A91, $B91, ParametersRange), 1, COLUMN()-2 )</f>
        <v>3.6866327723075211E-4</v>
      </c>
      <c r="E91" s="2" cm="1">
        <f t="array" ref="E91">INDEX( ComputeThermoProps($A91, $B91, ParametersRange), 1, COLUMN()-2 )</f>
        <v>3.2577051967889E-4</v>
      </c>
      <c r="F91" s="2" cm="1">
        <f t="array" ref="F91">INDEX( ComputeThermoProps($A91, $B91, ParametersRange), 1, COLUMN()-2 )</f>
        <v>6.7207852112192903E-4</v>
      </c>
      <c r="G91" s="2" cm="1">
        <f t="array" ref="G91">INDEX( ComputeThermoProps($A91, $B91, ParametersRange), 1, COLUMN()-2 )</f>
        <v>27.498901432764047</v>
      </c>
      <c r="H91" s="2" cm="1">
        <f t="array" ref="H91">INDEX( ComputeThermoProps($A91, $B91, ParametersRange), 1, COLUMN()-2 )</f>
        <v>24.299494860571524</v>
      </c>
      <c r="I91" s="2" cm="1">
        <f t="array" ref="I91">INDEX( ComputeThermoProps($A91, $B91, ParametersRange), 1, COLUMN()-2 )</f>
        <v>2.6800000000000006</v>
      </c>
      <c r="J91" s="2" cm="1">
        <f t="array" ref="J91">INDEX( ComputeThermoProps($A91, $B91, ParametersRange), 1, COLUMN()-2 )</f>
        <v>1436.8411573945341</v>
      </c>
      <c r="K91" s="2" cm="1">
        <f t="array" ref="K91">INDEX( ComputeThermoProps($A91, $B91, ParametersRange), 1, COLUMN()-2 )</f>
        <v>41.443431893613017</v>
      </c>
      <c r="L91" s="2" cm="1">
        <f t="array" ref="L91">INDEX( ComputeThermoProps($A91, $B91, ParametersRange), 1, COLUMN()-2 )</f>
        <v>-1592.6737140285773</v>
      </c>
      <c r="M91" s="2" cm="1">
        <f t="array" ref="M91">INDEX( ComputeThermoProps($A91, $B91, ParametersRange), 1, COLUMN()-2 )</f>
        <v>1436.8411596152739</v>
      </c>
      <c r="N91" s="2" cm="1">
        <f t="array" ref="N91">INDEX( ComputeThermoProps($A91, $B91, ParametersRange), 1, COLUMN()-2 )</f>
        <v>-1592.6737118078374</v>
      </c>
      <c r="O91" s="4">
        <f t="shared" si="3"/>
        <v>-7.2064442260586725</v>
      </c>
    </row>
    <row r="92" spans="1:15" x14ac:dyDescent="0.25">
      <c r="A92" s="2">
        <v>74.099999999999994</v>
      </c>
      <c r="B92" s="2">
        <f t="shared" si="2"/>
        <v>8.8168277585033267E-8</v>
      </c>
      <c r="C92" s="2" cm="1">
        <f t="array" ref="C92">INDEX( ComputeThermoProps($A92, $B92, ParametersRange), 1, COLUMN()-2 )</f>
        <v>35.746573774223769</v>
      </c>
      <c r="D92" s="2" cm="1">
        <f t="array" ref="D92">INDEX( ComputeThermoProps($A92, $B92, ParametersRange), 1, COLUMN()-2 )</f>
        <v>3.7022830766435629E-4</v>
      </c>
      <c r="E92" s="2" cm="1">
        <f t="array" ref="E92">INDEX( ComputeThermoProps($A92, $B92, ParametersRange), 1, COLUMN()-2 )</f>
        <v>3.2646518566026289E-4</v>
      </c>
      <c r="F92" s="2" cm="1">
        <f t="array" ref="F92">INDEX( ComputeThermoProps($A92, $B92, ParametersRange), 1, COLUMN()-2 )</f>
        <v>6.7502276509834801E-4</v>
      </c>
      <c r="G92" s="2" cm="1">
        <f t="array" ref="G92">INDEX( ComputeThermoProps($A92, $B92, ParametersRange), 1, COLUMN()-2 )</f>
        <v>27.579168790825179</v>
      </c>
      <c r="H92" s="2" cm="1">
        <f t="array" ref="H92">INDEX( ComputeThermoProps($A92, $B92, ParametersRange), 1, COLUMN()-2 )</f>
        <v>24.319151921292416</v>
      </c>
      <c r="I92" s="2" cm="1">
        <f t="array" ref="I92">INDEX( ComputeThermoProps($A92, $B92, ParametersRange), 1, COLUMN()-2 )</f>
        <v>2.6799999999999997</v>
      </c>
      <c r="J92" s="2" cm="1">
        <f t="array" ref="J92">INDEX( ComputeThermoProps($A92, $B92, ParametersRange), 1, COLUMN()-2 )</f>
        <v>1464.3802247269541</v>
      </c>
      <c r="K92" s="2" cm="1">
        <f t="array" ref="K92">INDEX( ComputeThermoProps($A92, $B92, ParametersRange), 1, COLUMN()-2 )</f>
        <v>41.81759462906502</v>
      </c>
      <c r="L92" s="2" cm="1">
        <f t="array" ref="L92">INDEX( ComputeThermoProps($A92, $B92, ParametersRange), 1, COLUMN()-2 )</f>
        <v>-1634.3035372867637</v>
      </c>
      <c r="M92" s="2" cm="1">
        <f t="array" ref="M92">INDEX( ComputeThermoProps($A92, $B92, ParametersRange), 1, COLUMN()-2 )</f>
        <v>1464.3802278786679</v>
      </c>
      <c r="N92" s="2" cm="1">
        <f t="array" ref="N92">INDEX( ComputeThermoProps($A92, $B92, ParametersRange), 1, COLUMN()-2 )</f>
        <v>-1634.3035341350499</v>
      </c>
      <c r="O92" s="4">
        <f t="shared" si="3"/>
        <v>-7.0546876433023398</v>
      </c>
    </row>
    <row r="93" spans="1:15" x14ac:dyDescent="0.25">
      <c r="A93" s="2">
        <v>75.099999999999994</v>
      </c>
      <c r="B93" s="2">
        <f t="shared" si="2"/>
        <v>1.2360813262357693E-7</v>
      </c>
      <c r="C93" s="2" cm="1">
        <f t="array" ref="C93">INDEX( ComputeThermoProps($A93, $B93, ParametersRange), 1, COLUMN()-2 )</f>
        <v>35.770764443933778</v>
      </c>
      <c r="D93" s="2" cm="1">
        <f t="array" ref="D93">INDEX( ComputeThermoProps($A93, $B93, ParametersRange), 1, COLUMN()-2 )</f>
        <v>3.7181033301795043E-4</v>
      </c>
      <c r="E93" s="2" cm="1">
        <f t="array" ref="E93">INDEX( ComputeThermoProps($A93, $B93, ParametersRange), 1, COLUMN()-2 )</f>
        <v>3.27166893459977E-4</v>
      </c>
      <c r="F93" s="2" cm="1">
        <f t="array" ref="F93">INDEX( ComputeThermoProps($A93, $B93, ParametersRange), 1, COLUMN()-2 )</f>
        <v>6.779748226753028E-4</v>
      </c>
      <c r="G93" s="2" cm="1">
        <f t="array" ref="G93">INDEX( ComputeThermoProps($A93, $B93, ParametersRange), 1, COLUMN()-2 )</f>
        <v>27.659074447596929</v>
      </c>
      <c r="H93" s="2" cm="1">
        <f t="array" ref="H93">INDEX( ComputeThermoProps($A93, $B93, ParametersRange), 1, COLUMN()-2 )</f>
        <v>24.338036518639839</v>
      </c>
      <c r="I93" s="2" cm="1">
        <f t="array" ref="I93">INDEX( ComputeThermoProps($A93, $B93, ParametersRange), 1, COLUMN()-2 )</f>
        <v>2.68</v>
      </c>
      <c r="J93" s="2" cm="1">
        <f t="array" ref="J93">INDEX( ComputeThermoProps($A93, $B93, ParametersRange), 1, COLUMN()-2 )</f>
        <v>1491.9993743227367</v>
      </c>
      <c r="K93" s="2" cm="1">
        <f t="array" ref="K93">INDEX( ComputeThermoProps($A93, $B93, ParametersRange), 1, COLUMN()-2 )</f>
        <v>42.187814697600764</v>
      </c>
      <c r="L93" s="2" cm="1">
        <f t="array" ref="L93">INDEX( ComputeThermoProps($A93, $B93, ParametersRange), 1, COLUMN()-2 )</f>
        <v>-1676.3055094670804</v>
      </c>
      <c r="M93" s="2" cm="1">
        <f t="array" ref="M93">INDEX( ComputeThermoProps($A93, $B93, ParametersRange), 1, COLUMN()-2 )</f>
        <v>1491.9993787442941</v>
      </c>
      <c r="N93" s="2" cm="1">
        <f t="array" ref="N93">INDEX( ComputeThermoProps($A93, $B93, ParametersRange), 1, COLUMN()-2 )</f>
        <v>-1676.305505045523</v>
      </c>
      <c r="O93" s="4">
        <f t="shared" si="3"/>
        <v>-6.9079529545113587</v>
      </c>
    </row>
    <row r="94" spans="1:15" x14ac:dyDescent="0.25">
      <c r="A94" s="2">
        <v>76.099999999999994</v>
      </c>
      <c r="B94" s="2">
        <f t="shared" si="2"/>
        <v>1.7139843489671264E-7</v>
      </c>
      <c r="C94" s="2" cm="1">
        <f t="array" ref="C94">INDEX( ComputeThermoProps($A94, $B94, ParametersRange), 1, COLUMN()-2 )</f>
        <v>35.795077313970985</v>
      </c>
      <c r="D94" s="2" cm="1">
        <f t="array" ref="D94">INDEX( ComputeThermoProps($A94, $B94, ParametersRange), 1, COLUMN()-2 )</f>
        <v>3.7340965955848932E-4</v>
      </c>
      <c r="E94" s="2" cm="1">
        <f t="array" ref="E94">INDEX( ComputeThermoProps($A94, $B94, ParametersRange), 1, COLUMN()-2 )</f>
        <v>3.2787573407703558E-4</v>
      </c>
      <c r="F94" s="2" cm="1">
        <f t="array" ref="F94">INDEX( ComputeThermoProps($A94, $B94, ParametersRange), 1, COLUMN()-2 )</f>
        <v>6.8093611052024252E-4</v>
      </c>
      <c r="G94" s="2" cm="1">
        <f t="array" ref="G94">INDEX( ComputeThermoProps($A94, $B94, ParametersRange), 1, COLUMN()-2 )</f>
        <v>27.738667870254105</v>
      </c>
      <c r="H94" s="2" cm="1">
        <f t="array" ref="H94">INDEX( ComputeThermoProps($A94, $B94, ParametersRange), 1, COLUMN()-2 )</f>
        <v>24.35618859199348</v>
      </c>
      <c r="I94" s="2" cm="1">
        <f t="array" ref="I94">INDEX( ComputeThermoProps($A94, $B94, ParametersRange), 1, COLUMN()-2 )</f>
        <v>2.68</v>
      </c>
      <c r="J94" s="2" cm="1">
        <f t="array" ref="J94">INDEX( ComputeThermoProps($A94, $B94, ParametersRange), 1, COLUMN()-2 )</f>
        <v>1519.6982694120081</v>
      </c>
      <c r="K94" s="2" cm="1">
        <f t="array" ref="K94">INDEX( ComputeThermoProps($A94, $B94, ParametersRange), 1, COLUMN()-2 )</f>
        <v>42.55419194148498</v>
      </c>
      <c r="L94" s="2" cm="1">
        <f t="array" ref="L94">INDEX( ComputeThermoProps($A94, $B94, ParametersRange), 1, COLUMN()-2 )</f>
        <v>-1718.6757373349985</v>
      </c>
      <c r="M94" s="2" cm="1">
        <f t="array" ref="M94">INDEX( ComputeThermoProps($A94, $B94, ParametersRange), 1, COLUMN()-2 )</f>
        <v>1519.6982755472284</v>
      </c>
      <c r="N94" s="2" cm="1">
        <f t="array" ref="N94">INDEX( ComputeThermoProps($A94, $B94, ParametersRange), 1, COLUMN()-2 )</f>
        <v>-1718.6757311997783</v>
      </c>
      <c r="O94" s="4">
        <f t="shared" si="3"/>
        <v>-6.7659931481002458</v>
      </c>
    </row>
    <row r="95" spans="1:15" x14ac:dyDescent="0.25">
      <c r="A95" s="2">
        <v>77.099999999999994</v>
      </c>
      <c r="B95" s="2">
        <f t="shared" si="2"/>
        <v>2.3519330634352406E-7</v>
      </c>
      <c r="C95" s="2" cm="1">
        <f t="array" ref="C95">INDEX( ComputeThermoProps($A95, $B95, ParametersRange), 1, COLUMN()-2 )</f>
        <v>35.819512966463307</v>
      </c>
      <c r="D95" s="2" cm="1">
        <f t="array" ref="D95">INDEX( ComputeThermoProps($A95, $B95, ParametersRange), 1, COLUMN()-2 )</f>
        <v>3.7502660148325701E-4</v>
      </c>
      <c r="E95" s="2" cm="1">
        <f t="array" ref="E95">INDEX( ComputeThermoProps($A95, $B95, ParametersRange), 1, COLUMN()-2 )</f>
        <v>3.2859180150320212E-4</v>
      </c>
      <c r="F95" s="2" cm="1">
        <f t="array" ref="F95">INDEX( ComputeThermoProps($A95, $B95, ParametersRange), 1, COLUMN()-2 )</f>
        <v>6.8390799958864307E-4</v>
      </c>
      <c r="G95" s="2" cm="1">
        <f t="array" ref="G95">INDEX( ComputeThermoProps($A95, $B95, ParametersRange), 1, COLUMN()-2 )</f>
        <v>27.817996152094533</v>
      </c>
      <c r="H95" s="2" cm="1">
        <f t="array" ref="H95">INDEX( ComputeThermoProps($A95, $B95, ParametersRange), 1, COLUMN()-2 )</f>
        <v>24.373645585869127</v>
      </c>
      <c r="I95" s="2" cm="1">
        <f t="array" ref="I95">INDEX( ComputeThermoProps($A95, $B95, ParametersRange), 1, COLUMN()-2 )</f>
        <v>2.6800000000000006</v>
      </c>
      <c r="J95" s="2" cm="1">
        <f t="array" ref="J95">INDEX( ComputeThermoProps($A95, $B95, ParametersRange), 1, COLUMN()-2 )</f>
        <v>1547.4766214892547</v>
      </c>
      <c r="K95" s="2" cm="1">
        <f t="array" ref="K95">INDEX( ComputeThermoProps($A95, $B95, ParametersRange), 1, COLUMN()-2 )</f>
        <v>42.916822922472825</v>
      </c>
      <c r="L95" s="2" cm="1">
        <f t="array" ref="L95">INDEX( ComputeThermoProps($A95, $B95, ParametersRange), 1, COLUMN()-2 )</f>
        <v>-1761.4104258333998</v>
      </c>
      <c r="M95" s="2" cm="1">
        <f t="array" ref="M95">INDEX( ComputeThermoProps($A95, $B95, ParametersRange), 1, COLUMN()-2 )</f>
        <v>1547.4766299137643</v>
      </c>
      <c r="N95" s="2" cm="1">
        <f t="array" ref="N95">INDEX( ComputeThermoProps($A95, $B95, ParametersRange), 1, COLUMN()-2 )</f>
        <v>-1761.4104174088902</v>
      </c>
      <c r="O95" s="4">
        <f t="shared" si="3"/>
        <v>-6.6285750425424892</v>
      </c>
    </row>
    <row r="96" spans="1:15" x14ac:dyDescent="0.25">
      <c r="A96" s="2">
        <v>78.099999999999994</v>
      </c>
      <c r="B96" s="2">
        <f t="shared" si="2"/>
        <v>3.1953733759130972E-7</v>
      </c>
      <c r="C96" s="2" cm="1">
        <f t="array" ref="C96">INDEX( ComputeThermoProps($A96, $B96, ParametersRange), 1, COLUMN()-2 )</f>
        <v>35.844072034144702</v>
      </c>
      <c r="D96" s="2" cm="1">
        <f t="array" ref="D96">INDEX( ComputeThermoProps($A96, $B96, ParametersRange), 1, COLUMN()-2 )</f>
        <v>3.766614812231415E-4</v>
      </c>
      <c r="E96" s="2" cm="1">
        <f t="array" ref="E96">INDEX( ComputeThermoProps($A96, $B96, ParametersRange), 1, COLUMN()-2 )</f>
        <v>3.2931519275261113E-4</v>
      </c>
      <c r="F96" s="2" cm="1">
        <f t="array" ref="F96">INDEX( ComputeThermoProps($A96, $B96, ParametersRange), 1, COLUMN()-2 )</f>
        <v>6.8689182052188516E-4</v>
      </c>
      <c r="G96" s="2" cm="1">
        <f t="array" ref="G96">INDEX( ComputeThermoProps($A96, $B96, ParametersRange), 1, COLUMN()-2 )</f>
        <v>27.897104237231567</v>
      </c>
      <c r="H96" s="2" cm="1">
        <f t="array" ref="H96">INDEX( ComputeThermoProps($A96, $B96, ParametersRange), 1, COLUMN()-2 )</f>
        <v>24.390442657663417</v>
      </c>
      <c r="I96" s="2" cm="1">
        <f t="array" ref="I96">INDEX( ComputeThermoProps($A96, $B96, ParametersRange), 1, COLUMN()-2 )</f>
        <v>2.68</v>
      </c>
      <c r="J96" s="2" cm="1">
        <f t="array" ref="J96">INDEX( ComputeThermoProps($A96, $B96, ParametersRange), 1, COLUMN()-2 )</f>
        <v>1575.3341880487262</v>
      </c>
      <c r="K96" s="2" cm="1">
        <f t="array" ref="K96">INDEX( ComputeThermoProps($A96, $B96, ParametersRange), 1, COLUMN()-2 )</f>
        <v>43.275801061729403</v>
      </c>
      <c r="L96" s="2" cm="1">
        <f t="array" ref="L96">INDEX( ComputeThermoProps($A96, $B96, ParametersRange), 1, COLUMN()-2 )</f>
        <v>-1804.50587487234</v>
      </c>
      <c r="M96" s="2" cm="1">
        <f t="array" ref="M96">INDEX( ComputeThermoProps($A96, $B96, ParametersRange), 1, COLUMN()-2 )</f>
        <v>1575.3341995022456</v>
      </c>
      <c r="N96" s="2" cm="1">
        <f t="array" ref="N96">INDEX( ComputeThermoProps($A96, $B96, ParametersRange), 1, COLUMN()-2 )</f>
        <v>-1804.5058634188206</v>
      </c>
      <c r="O96" s="4">
        <f t="shared" si="3"/>
        <v>-6.4954783877013424</v>
      </c>
    </row>
    <row r="97" spans="1:15" x14ac:dyDescent="0.25">
      <c r="A97" s="2">
        <v>79.099999999999994</v>
      </c>
      <c r="B97" s="2">
        <f t="shared" si="2"/>
        <v>4.3003615063413345E-7</v>
      </c>
      <c r="C97" s="2" cm="1">
        <f t="array" ref="C97">INDEX( ComputeThermoProps($A97, $B97, ParametersRange), 1, COLUMN()-2 )</f>
        <v>35.868755199147472</v>
      </c>
      <c r="D97" s="2" cm="1">
        <f t="array" ref="D97">INDEX( ComputeThermoProps($A97, $B97, ParametersRange), 1, COLUMN()-2 )</f>
        <v>3.7831462962854834E-4</v>
      </c>
      <c r="E97" s="2" cm="1">
        <f t="array" ref="E97">INDEX( ComputeThermoProps($A97, $B97, ParametersRange), 1, COLUMN()-2 )</f>
        <v>3.3004600789679608E-4</v>
      </c>
      <c r="F97" s="2" cm="1">
        <f t="array" ref="F97">INDEX( ComputeThermoProps($A97, $B97, ParametersRange), 1, COLUMN()-2 )</f>
        <v>6.8988886680049287E-4</v>
      </c>
      <c r="G97" s="2" cm="1">
        <f t="array" ref="G97">INDEX( ComputeThermoProps($A97, $B97, ParametersRange), 1, COLUMN()-2 )</f>
        <v>27.976035052255195</v>
      </c>
      <c r="H97" s="2" cm="1">
        <f t="array" ref="H97">INDEX( ComputeThermoProps($A97, $B97, ParametersRange), 1, COLUMN()-2 )</f>
        <v>24.406612810198588</v>
      </c>
      <c r="I97" s="2" cm="1">
        <f t="array" ref="I97">INDEX( ComputeThermoProps($A97, $B97, ParametersRange), 1, COLUMN()-2 )</f>
        <v>2.68</v>
      </c>
      <c r="J97" s="2" cm="1">
        <f t="array" ref="J97">INDEX( ComputeThermoProps($A97, $B97, ParametersRange), 1, COLUMN()-2 )</f>
        <v>1603.270770502802</v>
      </c>
      <c r="K97" s="2" cm="1">
        <f t="array" ref="K97">INDEX( ComputeThermoProps($A97, $B97, ParametersRange), 1, COLUMN()-2 )</f>
        <v>43.63121677317578</v>
      </c>
      <c r="L97" s="2" cm="1">
        <f t="array" ref="L97">INDEX( ComputeThermoProps($A97, $B97, ParametersRange), 1, COLUMN()-2 )</f>
        <v>-1847.958476255402</v>
      </c>
      <c r="M97" s="2" cm="1">
        <f t="array" ref="M97">INDEX( ComputeThermoProps($A97, $B97, ParametersRange), 1, COLUMN()-2 )</f>
        <v>1603.2707859276634</v>
      </c>
      <c r="N97" s="2" cm="1">
        <f t="array" ref="N97">INDEX( ComputeThermoProps($A97, $B97, ParametersRange), 1, COLUMN()-2 )</f>
        <v>-1847.9584608305406</v>
      </c>
      <c r="O97" s="4">
        <f t="shared" si="3"/>
        <v>-6.3664950342785573</v>
      </c>
    </row>
    <row r="98" spans="1:15" x14ac:dyDescent="0.25">
      <c r="A98" s="2">
        <v>80.099999999999994</v>
      </c>
      <c r="B98" s="2">
        <f t="shared" si="2"/>
        <v>5.7355072698490321E-7</v>
      </c>
      <c r="C98" s="2" cm="1">
        <f t="array" ref="C98">INDEX( ComputeThermoProps($A98, $B98, ParametersRange), 1, COLUMN()-2 )</f>
        <v>35.893563191937538</v>
      </c>
      <c r="D98" s="2" cm="1">
        <f t="array" ref="D98">INDEX( ComputeThermoProps($A98, $B98, ParametersRange), 1, COLUMN()-2 )</f>
        <v>3.7998638631028299E-4</v>
      </c>
      <c r="E98" s="2" cm="1">
        <f t="array" ref="E98">INDEX( ComputeThermoProps($A98, $B98, ParametersRange), 1, COLUMN()-2 )</f>
        <v>3.3078435010499912E-4</v>
      </c>
      <c r="F98" s="2" cm="1">
        <f t="array" ref="F98">INDEX( ComputeThermoProps($A98, $B98, ParametersRange), 1, COLUMN()-2 )</f>
        <v>6.9290039971109472E-4</v>
      </c>
      <c r="G98" s="2" cm="1">
        <f t="array" ref="G98">INDEX( ComputeThermoProps($A98, $B98, ParametersRange), 1, COLUMN()-2 )</f>
        <v>28.054829710112628</v>
      </c>
      <c r="H98" s="2" cm="1">
        <f t="array" ref="H98">INDEX( ComputeThermoProps($A98, $B98, ParametersRange), 1, COLUMN()-2 )</f>
        <v>24.4221870764292</v>
      </c>
      <c r="I98" s="2" cm="1">
        <f t="array" ref="I98">INDEX( ComputeThermoProps($A98, $B98, ParametersRange), 1, COLUMN()-2 )</f>
        <v>2.6800000000000006</v>
      </c>
      <c r="J98" s="2" cm="1">
        <f t="array" ref="J98">INDEX( ComputeThermoProps($A98, $B98, ParametersRange), 1, COLUMN()-2 )</f>
        <v>1631.2862122690422</v>
      </c>
      <c r="K98" s="2" cm="1">
        <f t="array" ref="K98">INDEX( ComputeThermoProps($A98, $B98, ParametersRange), 1, COLUMN()-2 )</f>
        <v>43.983157590577953</v>
      </c>
      <c r="L98" s="2" cm="1">
        <f t="array" ref="L98">INDEX( ComputeThermoProps($A98, $B98, ParametersRange), 1, COLUMN()-2 )</f>
        <v>-1891.7647107362516</v>
      </c>
      <c r="M98" s="2" cm="1">
        <f t="array" ref="M98">INDEX( ComputeThermoProps($A98, $B98, ParametersRange), 1, COLUMN()-2 )</f>
        <v>1631.2862328558215</v>
      </c>
      <c r="N98" s="2" cm="1">
        <f t="array" ref="N98">INDEX( ComputeThermoProps($A98, $B98, ParametersRange), 1, COLUMN()-2 )</f>
        <v>-1891.7646901494722</v>
      </c>
      <c r="O98" s="4">
        <f t="shared" si="3"/>
        <v>-6.2414281654255372</v>
      </c>
    </row>
    <row r="99" spans="1:15" x14ac:dyDescent="0.25">
      <c r="A99" s="2">
        <v>81.099999999999994</v>
      </c>
      <c r="B99" s="2">
        <f t="shared" si="2"/>
        <v>7.5841762108561162E-7</v>
      </c>
      <c r="C99" s="2" cm="1">
        <f t="array" ref="C99">INDEX( ComputeThermoProps($A99, $B99, ParametersRange), 1, COLUMN()-2 )</f>
        <v>35.918496790383429</v>
      </c>
      <c r="D99" s="2" cm="1">
        <f t="array" ref="D99">INDEX( ComputeThermoProps($A99, $B99, ParametersRange), 1, COLUMN()-2 )</f>
        <v>3.8167709987655784E-4</v>
      </c>
      <c r="E99" s="2" cm="1">
        <f t="array" ref="E99">INDEX( ComputeThermoProps($A99, $B99, ParametersRange), 1, COLUMN()-2 )</f>
        <v>3.3153032568967398E-4</v>
      </c>
      <c r="F99" s="2" cm="1">
        <f t="array" ref="F99">INDEX( ComputeThermoProps($A99, $B99, ParametersRange), 1, COLUMN()-2 )</f>
        <v>6.9592765134528028E-4</v>
      </c>
      <c r="G99" s="2" cm="1">
        <f t="array" ref="G99">INDEX( ComputeThermoProps($A99, $B99, ParametersRange), 1, COLUMN()-2 )</f>
        <v>28.133527632494058</v>
      </c>
      <c r="H99" s="2" cm="1">
        <f t="array" ref="H99">INDEX( ComputeThermoProps($A99, $B99, ParametersRange), 1, COLUMN()-2 )</f>
        <v>24.437194638653398</v>
      </c>
      <c r="I99" s="2" cm="1">
        <f t="array" ref="I99">INDEX( ComputeThermoProps($A99, $B99, ParametersRange), 1, COLUMN()-2 )</f>
        <v>2.68</v>
      </c>
      <c r="J99" s="2" cm="1">
        <f t="array" ref="J99">INDEX( ComputeThermoProps($A99, $B99, ParametersRange), 1, COLUMN()-2 )</f>
        <v>1659.3803970130234</v>
      </c>
      <c r="K99" s="2" cm="1">
        <f t="array" ref="K99">INDEX( ComputeThermoProps($A99, $B99, ParametersRange), 1, COLUMN()-2 )</f>
        <v>44.331708288684204</v>
      </c>
      <c r="L99" s="2" cm="1">
        <f t="array" ref="L99">INDEX( ComputeThermoProps($A99, $B99, ParametersRange), 1, COLUMN()-2 )</f>
        <v>-1935.9211451992653</v>
      </c>
      <c r="M99" s="2" cm="1">
        <f t="array" ref="M99">INDEX( ComputeThermoProps($A99, $B99, ParametersRange), 1, COLUMN()-2 )</f>
        <v>1659.3804242542442</v>
      </c>
      <c r="N99" s="2" cm="1">
        <f t="array" ref="N99">INDEX( ComputeThermoProps($A99, $B99, ParametersRange), 1, COLUMN()-2 )</f>
        <v>-1935.9211179580445</v>
      </c>
      <c r="O99" s="4">
        <f t="shared" si="3"/>
        <v>-6.1200915851487041</v>
      </c>
    </row>
    <row r="100" spans="1:15" x14ac:dyDescent="0.25">
      <c r="A100" s="2">
        <v>82.1</v>
      </c>
      <c r="B100" s="2">
        <f t="shared" si="2"/>
        <v>9.94697305128431E-7</v>
      </c>
      <c r="C100" s="2" cm="1">
        <f t="array" ref="C100">INDEX( ComputeThermoProps($A100, $B100, ParametersRange), 1, COLUMN()-2 )</f>
        <v>35.94355681895037</v>
      </c>
      <c r="D100" s="2" cm="1">
        <f t="array" ref="D100">INDEX( ComputeThermoProps($A100, $B100, ParametersRange), 1, COLUMN()-2 )</f>
        <v>3.8338712823807647E-4</v>
      </c>
      <c r="E100" s="2" cm="1">
        <f t="array" ref="E100">INDEX( ComputeThermoProps($A100, $B100, ParametersRange), 1, COLUMN()-2 )</f>
        <v>3.3228404415710291E-4</v>
      </c>
      <c r="F100" s="2" cm="1">
        <f t="array" ref="F100">INDEX( ComputeThermoProps($A100, $B100, ParametersRange), 1, COLUMN()-2 )</f>
        <v>6.9897182817279298E-4</v>
      </c>
      <c r="G100" s="2" cm="1">
        <f t="array" ref="G100">INDEX( ComputeThermoProps($A100, $B100, ParametersRange), 1, COLUMN()-2 )</f>
        <v>28.212166694168207</v>
      </c>
      <c r="H100" s="2" cm="1">
        <f t="array" ref="H100">INDEX( ComputeThermoProps($A100, $B100, ParametersRange), 1, COLUMN()-2 )</f>
        <v>24.451662961807031</v>
      </c>
      <c r="I100" s="2" cm="1">
        <f t="array" ref="I100">INDEX( ComputeThermoProps($A100, $B100, ParametersRange), 1, COLUMN()-2 )</f>
        <v>2.68</v>
      </c>
      <c r="J100" s="2" cm="1">
        <f t="array" ref="J100">INDEX( ComputeThermoProps($A100, $B100, ParametersRange), 1, COLUMN()-2 )</f>
        <v>1687.5532470352539</v>
      </c>
      <c r="K100" s="2" cm="1">
        <f t="array" ref="K100">INDEX( ComputeThermoProps($A100, $B100, ParametersRange), 1, COLUMN()-2 )</f>
        <v>44.676950998705294</v>
      </c>
      <c r="L100" s="2" cm="1">
        <f t="array" ref="L100">INDEX( ComputeThermoProps($A100, $B100, ParametersRange), 1, COLUMN()-2 )</f>
        <v>-1980.4244299584504</v>
      </c>
      <c r="M100" s="2" cm="1">
        <f t="array" ref="M100">INDEX( ComputeThermoProps($A100, $B100, ParametersRange), 1, COLUMN()-2 )</f>
        <v>1687.553282788213</v>
      </c>
      <c r="N100" s="2" cm="1">
        <f t="array" ref="N100">INDEX( ComputeThermoProps($A100, $B100, ParametersRange), 1, COLUMN()-2 )</f>
        <v>-1980.4243942054914</v>
      </c>
      <c r="O100" s="4">
        <f t="shared" si="3"/>
        <v>-6.0023090586637196</v>
      </c>
    </row>
    <row r="101" spans="1:15" x14ac:dyDescent="0.25">
      <c r="A101" s="2">
        <v>83.1</v>
      </c>
      <c r="B101" s="2">
        <f t="shared" si="2"/>
        <v>1.2944530397103907E-6</v>
      </c>
      <c r="C101" s="2" cm="1">
        <f t="array" ref="C101">INDEX( ComputeThermoProps($A101, $B101, ParametersRange), 1, COLUMN()-2 )</f>
        <v>35.968744148011915</v>
      </c>
      <c r="D101" s="2" cm="1">
        <f t="array" ref="D101">INDEX( ComputeThermoProps($A101, $B101, ParametersRange), 1, COLUMN()-2 )</f>
        <v>3.8511683893220541E-4</v>
      </c>
      <c r="E101" s="2" cm="1">
        <f t="array" ref="E101">INDEX( ComputeThermoProps($A101, $B101, ParametersRange), 1, COLUMN()-2 )</f>
        <v>3.3304561826308837E-4</v>
      </c>
      <c r="F101" s="2" cm="1">
        <f t="array" ref="F101">INDEX( ComputeThermoProps($A101, $B101, ParametersRange), 1, COLUMN()-2 )</f>
        <v>7.0203411446537298E-4</v>
      </c>
      <c r="G101" s="2" cm="1">
        <f t="array" ref="G101">INDEX( ComputeThermoProps($A101, $B101, ParametersRange), 1, COLUMN()-2 )</f>
        <v>28.29078335981546</v>
      </c>
      <c r="H101" s="2" cm="1">
        <f t="array" ref="H101">INDEX( ComputeThermoProps($A101, $B101, ParametersRange), 1, COLUMN()-2 )</f>
        <v>24.465617918294839</v>
      </c>
      <c r="I101" s="2" cm="1">
        <f t="array" ref="I101">INDEX( ComputeThermoProps($A101, $B101, ParametersRange), 1, COLUMN()-2 )</f>
        <v>2.68</v>
      </c>
      <c r="J101" s="2" cm="1">
        <f t="array" ref="J101">INDEX( ComputeThermoProps($A101, $B101, ParametersRange), 1, COLUMN()-2 )</f>
        <v>1715.8047217915584</v>
      </c>
      <c r="K101" s="2" cm="1">
        <f t="array" ref="K101">INDEX( ComputeThermoProps($A101, $B101, ParametersRange), 1, COLUMN()-2 )</f>
        <v>45.018965318419831</v>
      </c>
      <c r="L101" s="2" cm="1">
        <f t="array" ref="L101">INDEX( ComputeThermoProps($A101, $B101, ParametersRange), 1, COLUMN()-2 )</f>
        <v>-2025.2712961691293</v>
      </c>
      <c r="M101" s="2" cm="1">
        <f t="array" ref="M101">INDEX( ComputeThermoProps($A101, $B101, ParametersRange), 1, COLUMN()-2 )</f>
        <v>1715.8047683514087</v>
      </c>
      <c r="N101" s="2" cm="1">
        <f t="array" ref="N101">INDEX( ComputeThermoProps($A101, $B101, ParametersRange), 1, COLUMN()-2 )</f>
        <v>-2025.271249609279</v>
      </c>
      <c r="O101" s="4">
        <f t="shared" si="3"/>
        <v>-5.8879137003195536</v>
      </c>
    </row>
    <row r="102" spans="1:15" x14ac:dyDescent="0.25">
      <c r="A102" s="2">
        <v>84.1</v>
      </c>
      <c r="B102" s="2">
        <f t="shared" si="2"/>
        <v>1.672062838716687E-6</v>
      </c>
      <c r="C102" s="2" cm="1">
        <f t="array" ref="C102">INDEX( ComputeThermoProps($A102, $B102, ParametersRange), 1, COLUMN()-2 )</f>
        <v>35.994059693272355</v>
      </c>
      <c r="D102" s="2" cm="1">
        <f t="array" ref="D102">INDEX( ComputeThermoProps($A102, $B102, ParametersRange), 1, COLUMN()-2 )</f>
        <v>3.8686660944069261E-4</v>
      </c>
      <c r="E102" s="2" cm="1">
        <f t="array" ref="E102">INDEX( ComputeThermoProps($A102, $B102, ParametersRange), 1, COLUMN()-2 )</f>
        <v>3.3381516407368536E-4</v>
      </c>
      <c r="F102" s="2" cm="1">
        <f t="array" ref="F102">INDEX( ComputeThermoProps($A102, $B102, ParametersRange), 1, COLUMN()-2 )</f>
        <v>7.0511567523965247E-4</v>
      </c>
      <c r="G102" s="2" cm="1">
        <f t="array" ref="G102">INDEX( ComputeThermoProps($A102, $B102, ParametersRange), 1, COLUMN()-2 )</f>
        <v>28.369412800046636</v>
      </c>
      <c r="H102" s="2" cm="1">
        <f t="array" ref="H102">INDEX( ComputeThermoProps($A102, $B102, ParametersRange), 1, COLUMN()-2 )</f>
        <v>24.479083894609072</v>
      </c>
      <c r="I102" s="2" cm="1">
        <f t="array" ref="I102">INDEX( ComputeThermoProps($A102, $B102, ParametersRange), 1, COLUMN()-2 )</f>
        <v>2.68</v>
      </c>
      <c r="J102" s="2" cm="1">
        <f t="array" ref="J102">INDEX( ComputeThermoProps($A102, $B102, ParametersRange), 1, COLUMN()-2 )</f>
        <v>1744.1348165373001</v>
      </c>
      <c r="K102" s="2" cm="1">
        <f t="array" ref="K102">INDEX( ComputeThermoProps($A102, $B102, ParametersRange), 1, COLUMN()-2 )</f>
        <v>45.357828417175448</v>
      </c>
      <c r="L102" s="2" cm="1">
        <f t="array" ref="L102">INDEX( ComputeThermoProps($A102, $B102, ParametersRange), 1, COLUMN()-2 )</f>
        <v>-2070.4585533471545</v>
      </c>
      <c r="M102" s="2" cm="1">
        <f t="array" ref="M102">INDEX( ComputeThermoProps($A102, $B102, ParametersRange), 1, COLUMN()-2 )</f>
        <v>1744.1348767216298</v>
      </c>
      <c r="N102" s="2" cm="1">
        <f t="array" ref="N102">INDEX( ComputeThermoProps($A102, $B102, ParametersRange), 1, COLUMN()-2 )</f>
        <v>-2070.4584931628251</v>
      </c>
      <c r="O102" s="4">
        <f t="shared" si="3"/>
        <v>-5.7767474051296039</v>
      </c>
    </row>
    <row r="103" spans="1:15" x14ac:dyDescent="0.25">
      <c r="A103" s="2">
        <v>85.1</v>
      </c>
      <c r="B103" s="2">
        <f t="shared" si="2"/>
        <v>2.1445673001302014E-6</v>
      </c>
      <c r="C103" s="2" cm="1">
        <f t="array" ref="C103">INDEX( ComputeThermoProps($A103, $B103, ParametersRange), 1, COLUMN()-2 )</f>
        <v>36.019504415293575</v>
      </c>
      <c r="D103" s="2" cm="1">
        <f t="array" ref="D103">INDEX( ComputeThermoProps($A103, $B103, ParametersRange), 1, COLUMN()-2 )</f>
        <v>3.8863682751329127E-4</v>
      </c>
      <c r="E103" s="2" cm="1">
        <f t="array" ref="E103">INDEX( ComputeThermoProps($A103, $B103, ParametersRange), 1, COLUMN()-2 )</f>
        <v>3.3459280103097781E-4</v>
      </c>
      <c r="F103" s="2" cm="1">
        <f t="array" ref="F103">INDEX( ComputeThermoProps($A103, $B103, ParametersRange), 1, COLUMN()-2 )</f>
        <v>7.0821765892097499E-4</v>
      </c>
      <c r="G103" s="2" cm="1">
        <f t="array" ref="G103">INDEX( ComputeThermoProps($A103, $B103, ParametersRange), 1, COLUMN()-2 )</f>
        <v>28.44808899489648</v>
      </c>
      <c r="H103" s="2" cm="1">
        <f t="array" ref="H103">INDEX( ComputeThermoProps($A103, $B103, ParametersRange), 1, COLUMN()-2 )</f>
        <v>24.492083886351239</v>
      </c>
      <c r="I103" s="2" cm="1">
        <f t="array" ref="I103">INDEX( ComputeThermoProps($A103, $B103, ParametersRange), 1, COLUMN()-2 )</f>
        <v>2.68</v>
      </c>
      <c r="J103" s="2" cm="1">
        <f t="array" ref="J103">INDEX( ComputeThermoProps($A103, $B103, ParametersRange), 1, COLUMN()-2 )</f>
        <v>1772.5435610867096</v>
      </c>
      <c r="K103" s="2" cm="1">
        <f t="array" ref="K103">INDEX( ComputeThermoProps($A103, $B103, ParametersRange), 1, COLUMN()-2 )</f>
        <v>45.693615136044535</v>
      </c>
      <c r="L103" s="2" cm="1">
        <f t="array" ref="L103">INDEX( ComputeThermoProps($A103, $B103, ParametersRange), 1, COLUMN()-2 )</f>
        <v>-2115.98308699068</v>
      </c>
      <c r="M103" s="2" cm="1">
        <f t="array" ref="M103">INDEX( ComputeThermoProps($A103, $B103, ParametersRange), 1, COLUMN()-2 )</f>
        <v>1772.5436383329609</v>
      </c>
      <c r="N103" s="2" cm="1">
        <f t="array" ref="N103">INDEX( ComputeThermoProps($A103, $B103, ParametersRange), 1, COLUMN()-2 )</f>
        <v>-2115.9830097444287</v>
      </c>
      <c r="O103" s="4">
        <f t="shared" si="3"/>
        <v>-5.6686603203194945</v>
      </c>
    </row>
    <row r="104" spans="1:15" x14ac:dyDescent="0.25">
      <c r="A104" s="2">
        <v>86.1</v>
      </c>
      <c r="B104" s="2">
        <f t="shared" si="2"/>
        <v>2.7320563105399358E-6</v>
      </c>
      <c r="C104" s="2" cm="1">
        <f t="array" ref="C104">INDEX( ComputeThermoProps($A104, $B104, ParametersRange), 1, COLUMN()-2 )</f>
        <v>36.045079319121129</v>
      </c>
      <c r="D104" s="2" cm="1">
        <f t="array" ref="D104">INDEX( ComputeThermoProps($A104, $B104, ParametersRange), 1, COLUMN()-2 )</f>
        <v>3.9042789154756802E-4</v>
      </c>
      <c r="E104" s="2" cm="1">
        <f t="array" ref="E104">INDEX( ComputeThermoProps($A104, $B104, ParametersRange), 1, COLUMN()-2 )</f>
        <v>3.3537865202390915E-4</v>
      </c>
      <c r="F104" s="2" cm="1">
        <f t="array" ref="F104">INDEX( ComputeThermoProps($A104, $B104, ParametersRange), 1, COLUMN()-2 )</f>
        <v>7.1134120039811834E-4</v>
      </c>
      <c r="G104" s="2" cm="1">
        <f t="array" ref="G104">INDEX( ComputeThermoProps($A104, $B104, ParametersRange), 1, COLUMN()-2 )</f>
        <v>28.526844851754142</v>
      </c>
      <c r="H104" s="2" cm="1">
        <f t="array" ref="H104">INDEX( ComputeThermoProps($A104, $B104, ParametersRange), 1, COLUMN()-2 )</f>
        <v>24.504639601832491</v>
      </c>
      <c r="I104" s="2" cm="1">
        <f t="array" ref="I104">INDEX( ComputeThermoProps($A104, $B104, ParametersRange), 1, COLUMN()-2 )</f>
        <v>2.6800000000000006</v>
      </c>
      <c r="J104" s="2" cm="1">
        <f t="array" ref="J104">INDEX( ComputeThermoProps($A104, $B104, ParametersRange), 1, COLUMN()-2 )</f>
        <v>1801.031018679372</v>
      </c>
      <c r="K104" s="2" cm="1">
        <f t="array" ref="K104">INDEX( ComputeThermoProps($A104, $B104, ParametersRange), 1, COLUMN()-2 )</f>
        <v>46.026398083381451</v>
      </c>
      <c r="L104" s="2" cm="1">
        <f t="array" ref="L104">INDEX( ComputeThermoProps($A104, $B104, ParametersRange), 1, COLUMN()-2 )</f>
        <v>-2161.8418562997708</v>
      </c>
      <c r="M104" s="2" cm="1">
        <f t="array" ref="M104">INDEX( ComputeThermoProps($A104, $B104, ParametersRange), 1, COLUMN()-2 )</f>
        <v>1801.0311171565584</v>
      </c>
      <c r="N104" s="2" cm="1">
        <f t="array" ref="N104">INDEX( ComputeThermoProps($A104, $B104, ParametersRange), 1, COLUMN()-2 )</f>
        <v>-2161.8417578225844</v>
      </c>
      <c r="O104" s="4">
        <f t="shared" si="3"/>
        <v>-5.5635103536344506</v>
      </c>
    </row>
    <row r="105" spans="1:15" x14ac:dyDescent="0.25">
      <c r="A105" s="2">
        <v>87.1</v>
      </c>
      <c r="B105" s="2">
        <f t="shared" si="2"/>
        <v>3.458097903235903E-6</v>
      </c>
      <c r="C105" s="2" cm="1">
        <f t="array" ref="C105">INDEX( ComputeThermoProps($A105, $B105, ParametersRange), 1, COLUMN()-2 )</f>
        <v>36.070785454004472</v>
      </c>
      <c r="D105" s="2" cm="1">
        <f t="array" ref="D105">INDEX( ComputeThermoProps($A105, $B105, ParametersRange), 1, COLUMN()-2 )</f>
        <v>3.9224021091912936E-4</v>
      </c>
      <c r="E105" s="2" cm="1">
        <f t="array" ref="E105">INDEX( ComputeThermoProps($A105, $B105, ParametersRange), 1, COLUMN()-2 )</f>
        <v>3.3617284346421132E-4</v>
      </c>
      <c r="F105" s="2" cm="1">
        <f t="array" ref="F105">INDEX( ComputeThermoProps($A105, $B105, ParametersRange), 1, COLUMN()-2 )</f>
        <v>7.144874230762074E-4</v>
      </c>
      <c r="G105" s="2" cm="1">
        <f t="array" ref="G105">INDEX( ComputeThermoProps($A105, $B105, ParametersRange), 1, COLUMN()-2 )</f>
        <v>28.605712281755967</v>
      </c>
      <c r="H105" s="2" cm="1">
        <f t="array" ref="H105">INDEX( ComputeThermoProps($A105, $B105, ParametersRange), 1, COLUMN()-2 )</f>
        <v>24.516771532788365</v>
      </c>
      <c r="I105" s="2" cm="1">
        <f t="array" ref="I105">INDEX( ComputeThermoProps($A105, $B105, ParametersRange), 1, COLUMN()-2 )</f>
        <v>2.68</v>
      </c>
      <c r="J105" s="2" cm="1">
        <f t="array" ref="J105">INDEX( ComputeThermoProps($A105, $B105, ParametersRange), 1, COLUMN()-2 )</f>
        <v>1829.5972849466887</v>
      </c>
      <c r="K105" s="2" cm="1">
        <f t="array" ref="K105">INDEX( ComputeThermoProps($A105, $B105, ParametersRange), 1, COLUMN()-2 )</f>
        <v>46.356247726016754</v>
      </c>
      <c r="L105" s="2" cm="1">
        <f t="array" ref="L105">INDEX( ComputeThermoProps($A105, $B105, ParametersRange), 1, COLUMN()-2 )</f>
        <v>-2208.0318919893703</v>
      </c>
      <c r="M105" s="2" cm="1">
        <f t="array" ref="M105">INDEX( ComputeThermoProps($A105, $B105, ParametersRange), 1, COLUMN()-2 )</f>
        <v>1829.5974096829962</v>
      </c>
      <c r="N105" s="2" cm="1">
        <f t="array" ref="N105">INDEX( ComputeThermoProps($A105, $B105, ParametersRange), 1, COLUMN()-2 )</f>
        <v>-2208.0317672530628</v>
      </c>
      <c r="O105" s="4">
        <f t="shared" si="3"/>
        <v>-5.4611627154480926</v>
      </c>
    </row>
    <row r="106" spans="1:15" x14ac:dyDescent="0.25">
      <c r="A106" s="2">
        <v>88.1</v>
      </c>
      <c r="B106" s="2">
        <f t="shared" si="2"/>
        <v>4.350212861060431E-6</v>
      </c>
      <c r="C106" s="2" cm="1">
        <f t="array" ref="C106">INDEX( ComputeThermoProps($A106, $B106, ParametersRange), 1, COLUMN()-2 )</f>
        <v>36.096623913207182</v>
      </c>
      <c r="D106" s="2" cm="1">
        <f t="array" ref="D106">INDEX( ComputeThermoProps($A106, $B106, ParametersRange), 1, COLUMN()-2 )</f>
        <v>3.940742064150321E-4</v>
      </c>
      <c r="E106" s="2" cm="1">
        <f t="array" ref="E106">INDEX( ComputeThermoProps($A106, $B106, ParametersRange), 1, COLUMN()-2 )</f>
        <v>3.369755053674773E-4</v>
      </c>
      <c r="F106" s="2" cm="1">
        <f t="array" ref="F106">INDEX( ComputeThermoProps($A106, $B106, ParametersRange), 1, COLUMN()-2 )</f>
        <v>7.1765744193605851E-4</v>
      </c>
      <c r="G106" s="2" cm="1">
        <f t="array" ref="G106">INDEX( ComputeThermoProps($A106, $B106, ParametersRange), 1, COLUMN()-2 )</f>
        <v>28.68472231533984</v>
      </c>
      <c r="H106" s="2" cm="1">
        <f t="array" ref="H106">INDEX( ComputeThermoProps($A106, $B106, ParametersRange), 1, COLUMN()-2 )</f>
        <v>24.528499052174151</v>
      </c>
      <c r="I106" s="2" cm="1">
        <f t="array" ref="I106">INDEX( ComputeThermoProps($A106, $B106, ParametersRange), 1, COLUMN()-2 )</f>
        <v>2.6800000000000006</v>
      </c>
      <c r="J106" s="2" cm="1">
        <f t="array" ref="J106">INDEX( ComputeThermoProps($A106, $B106, ParametersRange), 1, COLUMN()-2 )</f>
        <v>1858.2424869717513</v>
      </c>
      <c r="K106" s="2" cm="1">
        <f t="array" ref="K106">INDEX( ComputeThermoProps($A106, $B106, ParametersRange), 1, COLUMN()-2 )</f>
        <v>46.683232476312504</v>
      </c>
      <c r="L106" s="2" cm="1">
        <f t="array" ref="L106">INDEX( ComputeThermoProps($A106, $B106, ParametersRange), 1, COLUMN()-2 )</f>
        <v>-2254.5502941913801</v>
      </c>
      <c r="M106" s="2" cm="1">
        <f t="array" ref="M106">INDEX( ComputeThermoProps($A106, $B106, ParametersRange), 1, COLUMN()-2 )</f>
        <v>1858.2426439997489</v>
      </c>
      <c r="N106" s="2" cm="1">
        <f t="array" ref="N106">INDEX( ComputeThermoProps($A106, $B106, ParametersRange), 1, COLUMN()-2 )</f>
        <v>-2254.5501371633823</v>
      </c>
      <c r="O106" s="4">
        <f t="shared" si="3"/>
        <v>-5.3614894919827849</v>
      </c>
    </row>
    <row r="107" spans="1:15" x14ac:dyDescent="0.25">
      <c r="A107" s="2">
        <v>89.1</v>
      </c>
      <c r="B107" s="2">
        <f t="shared" si="2"/>
        <v>5.4403990086783627E-6</v>
      </c>
      <c r="C107" s="2" cm="1">
        <f t="array" ref="C107">INDEX( ComputeThermoProps($A107, $B107, ParametersRange), 1, COLUMN()-2 )</f>
        <v>36.122595833903155</v>
      </c>
      <c r="D107" s="2" cm="1">
        <f t="array" ref="D107">INDEX( ComputeThermoProps($A107, $B107, ParametersRange), 1, COLUMN()-2 )</f>
        <v>3.9593031059618897E-4</v>
      </c>
      <c r="E107" s="2" cm="1">
        <f t="array" ref="E107">INDEX( ComputeThermoProps($A107, $B107, ParametersRange), 1, COLUMN()-2 )</f>
        <v>3.3778677143945504E-4</v>
      </c>
      <c r="F107" s="2" cm="1">
        <f t="array" ref="F107">INDEX( ComputeThermoProps($A107, $B107, ParametersRange), 1, COLUMN()-2 )</f>
        <v>7.2085236533767983E-4</v>
      </c>
      <c r="G107" s="2" cm="1">
        <f t="array" ref="G107">INDEX( ComputeThermoProps($A107, $B107, ParametersRange), 1, COLUMN()-2 )</f>
        <v>28.763905166186813</v>
      </c>
      <c r="H107" s="2" cm="1">
        <f t="array" ref="H107">INDEX( ComputeThermoProps($A107, $B107, ParametersRange), 1, COLUMN()-2 )</f>
        <v>24.539840472042979</v>
      </c>
      <c r="I107" s="2" cm="1">
        <f t="array" ref="I107">INDEX( ComputeThermoProps($A107, $B107, ParametersRange), 1, COLUMN()-2 )</f>
        <v>2.68</v>
      </c>
      <c r="J107" s="2" cm="1">
        <f t="array" ref="J107">INDEX( ComputeThermoProps($A107, $B107, ParametersRange), 1, COLUMN()-2 )</f>
        <v>1886.9667824366845</v>
      </c>
      <c r="K107" s="2" cm="1">
        <f t="array" ref="K107">INDEX( ComputeThermoProps($A107, $B107, ParametersRange), 1, COLUMN()-2 )</f>
        <v>47.007418775291768</v>
      </c>
      <c r="L107" s="2" cm="1">
        <f t="array" ref="L107">INDEX( ComputeThermoProps($A107, $B107, ParametersRange), 1, COLUMN()-2 )</f>
        <v>-2301.3942304418119</v>
      </c>
      <c r="M107" s="2" cm="1">
        <f t="array" ref="M107">INDEX( ComputeThermoProps($A107, $B107, ParametersRange), 1, COLUMN()-2 )</f>
        <v>1886.9669789580191</v>
      </c>
      <c r="N107" s="2" cm="1">
        <f t="array" ref="N107">INDEX( ComputeThermoProps($A107, $B107, ParametersRange), 1, COLUMN()-2 )</f>
        <v>-2301.3940339204773</v>
      </c>
      <c r="O107" s="4">
        <f t="shared" si="3"/>
        <v>-5.2643692471929064</v>
      </c>
    </row>
    <row r="108" spans="1:15" x14ac:dyDescent="0.25">
      <c r="A108" s="2">
        <v>90.1</v>
      </c>
      <c r="B108" s="2">
        <f t="shared" si="2"/>
        <v>6.7657095376585508E-6</v>
      </c>
      <c r="C108" s="2" cm="1">
        <f t="array" ref="C108">INDEX( ComputeThermoProps($A108, $B108, ParametersRange), 1, COLUMN()-2 )</f>
        <v>36.148702397135246</v>
      </c>
      <c r="D108" s="2" cm="1">
        <f t="array" ref="D108">INDEX( ComputeThermoProps($A108, $B108, ParametersRange), 1, COLUMN()-2 )</f>
        <v>3.9780896824123977E-4</v>
      </c>
      <c r="E108" s="2" cm="1">
        <f t="array" ref="E108">INDEX( ComputeThermoProps($A108, $B108, ParametersRange), 1, COLUMN()-2 )</f>
        <v>3.3860677916702189E-4</v>
      </c>
      <c r="F108" s="2" cm="1">
        <f t="array" ref="F108">INDEX( ComputeThermoProps($A108, $B108, ParametersRange), 1, COLUMN()-2 )</f>
        <v>7.2407329755147575E-4</v>
      </c>
      <c r="G108" s="2" cm="1">
        <f t="array" ref="G108">INDEX( ComputeThermoProps($A108, $B108, ParametersRange), 1, COLUMN()-2 )</f>
        <v>28.843290323156133</v>
      </c>
      <c r="H108" s="2" cm="1">
        <f t="array" ref="H108">INDEX( ComputeThermoProps($A108, $B108, ParametersRange), 1, COLUMN()-2 )</f>
        <v>24.550813120383442</v>
      </c>
      <c r="I108" s="2" cm="1">
        <f t="array" ref="I108">INDEX( ComputeThermoProps($A108, $B108, ParametersRange), 1, COLUMN()-2 )</f>
        <v>2.6799999999999997</v>
      </c>
      <c r="J108" s="2" cm="1">
        <f t="array" ref="J108">INDEX( ComputeThermoProps($A108, $B108, ParametersRange), 1, COLUMN()-2 )</f>
        <v>1915.7703588297356</v>
      </c>
      <c r="K108" s="2" cm="1">
        <f t="array" ref="K108">INDEX( ComputeThermoProps($A108, $B108, ParametersRange), 1, COLUMN()-2 )</f>
        <v>47.328871171726902</v>
      </c>
      <c r="L108" s="2" cm="1">
        <f t="array" ref="L108">INDEX( ComputeThermoProps($A108, $B108, ParametersRange), 1, COLUMN()-2 )</f>
        <v>-2348.5609337428582</v>
      </c>
      <c r="M108" s="2" cm="1">
        <f t="array" ref="M108">INDEX( ComputeThermoProps($A108, $B108, ParametersRange), 1, COLUMN()-2 )</f>
        <v>1915.7706034013563</v>
      </c>
      <c r="N108" s="2" cm="1">
        <f t="array" ref="N108">INDEX( ComputeThermoProps($A108, $B108, ParametersRange), 1, COLUMN()-2 )</f>
        <v>-2348.5606891712373</v>
      </c>
      <c r="O108" s="4">
        <f t="shared" si="3"/>
        <v>-5.169686651079501</v>
      </c>
    </row>
    <row r="109" spans="1:15" x14ac:dyDescent="0.25">
      <c r="A109" s="2">
        <v>91.1</v>
      </c>
      <c r="B109" s="2">
        <f t="shared" si="2"/>
        <v>8.3688901548242851E-6</v>
      </c>
      <c r="C109" s="2" cm="1">
        <f t="array" ref="C109">INDEX( ComputeThermoProps($A109, $B109, ParametersRange), 1, COLUMN()-2 )</f>
        <v>36.174944827911709</v>
      </c>
      <c r="D109" s="2" cm="1">
        <f t="array" ref="D109">INDEX( ComputeThermoProps($A109, $B109, ParametersRange), 1, COLUMN()-2 )</f>
        <v>3.9971063677241079E-4</v>
      </c>
      <c r="E109" s="2" cm="1">
        <f t="array" ref="E109">INDEX( ComputeThermoProps($A109, $B109, ParametersRange), 1, COLUMN()-2 )</f>
        <v>3.3943566991638925E-4</v>
      </c>
      <c r="F109" s="2" cm="1">
        <f t="array" ref="F109">INDEX( ComputeThermoProps($A109, $B109, ParametersRange), 1, COLUMN()-2 )</f>
        <v>7.2732134070673438E-4</v>
      </c>
      <c r="G109" s="2" cm="1">
        <f t="array" ref="G109">INDEX( ComputeThermoProps($A109, $B109, ParametersRange), 1, COLUMN()-2 )</f>
        <v>28.922906617580175</v>
      </c>
      <c r="H109" s="2" cm="1">
        <f t="array" ref="H109">INDEX( ComputeThermoProps($A109, $B109, ParametersRange), 1, COLUMN()-2 )</f>
        <v>24.561433398274591</v>
      </c>
      <c r="I109" s="2" cm="1">
        <f t="array" ref="I109">INDEX( ComputeThermoProps($A109, $B109, ParametersRange), 1, COLUMN()-2 )</f>
        <v>2.6800000000000006</v>
      </c>
      <c r="J109" s="2" cm="1">
        <f t="array" ref="J109">INDEX( ComputeThermoProps($A109, $B109, ParametersRange), 1, COLUMN()-2 )</f>
        <v>1944.653432793684</v>
      </c>
      <c r="K109" s="2" cm="1">
        <f t="array" ref="K109">INDEX( ComputeThermoProps($A109, $B109, ParametersRange), 1, COLUMN()-2 )</f>
        <v>47.647652398622704</v>
      </c>
      <c r="L109" s="2" cm="1">
        <f t="array" ref="L109">INDEX( ComputeThermoProps($A109, $B109, ParametersRange), 1, COLUMN()-2 )</f>
        <v>-2396.0477007208442</v>
      </c>
      <c r="M109" s="2" cm="1">
        <f t="array" ref="M109">INDEX( ComputeThermoProps($A109, $B109, ParametersRange), 1, COLUMN()-2 )</f>
        <v>1944.6537355378236</v>
      </c>
      <c r="N109" s="2" cm="1">
        <f t="array" ref="N109">INDEX( ComputeThermoProps($A109, $B109, ParametersRange), 1, COLUMN()-2 )</f>
        <v>-2396.0473979767044</v>
      </c>
      <c r="O109" s="4">
        <f t="shared" si="3"/>
        <v>-5.0773321324003478</v>
      </c>
    </row>
    <row r="110" spans="1:15" x14ac:dyDescent="0.25">
      <c r="A110" s="2">
        <v>92.1</v>
      </c>
      <c r="B110" s="2">
        <f t="shared" si="2"/>
        <v>1.029908034298704E-5</v>
      </c>
      <c r="C110" s="2" cm="1">
        <f t="array" ref="C110">INDEX( ComputeThermoProps($A110, $B110, ParametersRange), 1, COLUMN()-2 )</f>
        <v>36.201324395395908</v>
      </c>
      <c r="D110" s="2" cm="1">
        <f t="array" ref="D110">INDEX( ComputeThermoProps($A110, $B110, ParametersRange), 1, COLUMN()-2 )</f>
        <v>4.016357867323311E-4</v>
      </c>
      <c r="E110" s="2" cm="1">
        <f t="array" ref="E110">INDEX( ComputeThermoProps($A110, $B110, ParametersRange), 1, COLUMN()-2 )</f>
        <v>3.4027358903741703E-4</v>
      </c>
      <c r="F110" s="2" cm="1">
        <f t="array" ref="F110">INDEX( ComputeThermoProps($A110, $B110, ParametersRange), 1, COLUMN()-2 )</f>
        <v>7.3059759704097865E-4</v>
      </c>
      <c r="G110" s="2" cm="1">
        <f t="array" ref="G110">INDEX( ComputeThermoProps($A110, $B110, ParametersRange), 1, COLUMN()-2 )</f>
        <v>29.002782301310386</v>
      </c>
      <c r="H110" s="2" cm="1">
        <f t="array" ref="H110">INDEX( ComputeThermoProps($A110, $B110, ParametersRange), 1, COLUMN()-2 )</f>
        <v>24.571716843337089</v>
      </c>
      <c r="I110" s="2" cm="1">
        <f t="array" ref="I110">INDEX( ComputeThermoProps($A110, $B110, ParametersRange), 1, COLUMN()-2 )</f>
        <v>2.6800000000000006</v>
      </c>
      <c r="J110" s="2" cm="1">
        <f t="array" ref="J110">INDEX( ComputeThermoProps($A110, $B110, ParametersRange), 1, COLUMN()-2 )</f>
        <v>1973.6162495640851</v>
      </c>
      <c r="K110" s="2" cm="1">
        <f t="array" ref="K110">INDEX( ComputeThermoProps($A110, $B110, ParametersRange), 1, COLUMN()-2 )</f>
        <v>47.963823446548467</v>
      </c>
      <c r="L110" s="2" cm="1">
        <f t="array" ref="L110">INDEX( ComputeThermoProps($A110, $B110, ParametersRange), 1, COLUMN()-2 )</f>
        <v>-2443.8518898630282</v>
      </c>
      <c r="M110" s="2" cm="1">
        <f t="array" ref="M110">INDEX( ComputeThermoProps($A110, $B110, ParametersRange), 1, COLUMN()-2 )</f>
        <v>1973.6166224044337</v>
      </c>
      <c r="N110" s="2" cm="1">
        <f t="array" ref="N110">INDEX( ComputeThermoProps($A110, $B110, ParametersRange), 1, COLUMN()-2 )</f>
        <v>-2443.8515170226797</v>
      </c>
      <c r="O110" s="4">
        <f t="shared" si="3"/>
        <v>-4.9872015539159689</v>
      </c>
    </row>
    <row r="111" spans="1:15" x14ac:dyDescent="0.25">
      <c r="A111" s="2">
        <v>93.1</v>
      </c>
      <c r="B111" s="2">
        <f t="shared" si="2"/>
        <v>1.261258457694267E-5</v>
      </c>
      <c r="C111" s="2" cm="1">
        <f t="array" ref="C111">INDEX( ComputeThermoProps($A111, $B111, ParametersRange), 1, COLUMN()-2 )</f>
        <v>36.227842412931558</v>
      </c>
      <c r="D111" s="2" cm="1">
        <f t="array" ref="D111">INDEX( ComputeThermoProps($A111, $B111, ParametersRange), 1, COLUMN()-2 )</f>
        <v>4.0358490225190005E-4</v>
      </c>
      <c r="E111" s="2" cm="1">
        <f t="array" ref="E111">INDEX( ComputeThermoProps($A111, $B111, ParametersRange), 1, COLUMN()-2 )</f>
        <v>3.4112068596600485E-4</v>
      </c>
      <c r="F111" s="2" cm="1">
        <f t="array" ref="F111">INDEX( ComputeThermoProps($A111, $B111, ParametersRange), 1, COLUMN()-2 )</f>
        <v>7.3390317082371211E-4</v>
      </c>
      <c r="G111" s="2" cm="1">
        <f t="array" ref="G111">INDEX( ComputeThermoProps($A111, $B111, ParametersRange), 1, COLUMN()-2 )</f>
        <v>29.08294511100064</v>
      </c>
      <c r="H111" s="2" cm="1">
        <f t="array" ref="H111">INDEX( ComputeThermoProps($A111, $B111, ParametersRange), 1, COLUMN()-2 )</f>
        <v>24.581678181767266</v>
      </c>
      <c r="I111" s="2" cm="1">
        <f t="array" ref="I111">INDEX( ComputeThermoProps($A111, $B111, ParametersRange), 1, COLUMN()-2 )</f>
        <v>2.6799999999999997</v>
      </c>
      <c r="J111" s="2" cm="1">
        <f t="array" ref="J111">INDEX( ComputeThermoProps($A111, $B111, ParametersRange), 1, COLUMN()-2 )</f>
        <v>2002.659082213466</v>
      </c>
      <c r="K111" s="2" cm="1">
        <f t="array" ref="K111">INDEX( ComputeThermoProps($A111, $B111, ParametersRange), 1, COLUMN()-2 )</f>
        <v>48.277443630124004</v>
      </c>
      <c r="L111" s="2" cm="1">
        <f t="array" ref="L111">INDEX( ComputeThermoProps($A111, $B111, ParametersRange), 1, COLUMN()-2 )</f>
        <v>-2491.9709197510783</v>
      </c>
      <c r="M111" s="2" cm="1">
        <f t="array" ref="M111">INDEX( ComputeThermoProps($A111, $B111, ParametersRange), 1, COLUMN()-2 )</f>
        <v>2002.6595391401925</v>
      </c>
      <c r="N111" s="2" cm="1">
        <f t="array" ref="N111">INDEX( ComputeThermoProps($A111, $B111, ParametersRange), 1, COLUMN()-2 )</f>
        <v>-2491.9704628243521</v>
      </c>
      <c r="O111" s="4">
        <f t="shared" si="3"/>
        <v>-4.8991959084714773</v>
      </c>
    </row>
    <row r="112" spans="1:15" x14ac:dyDescent="0.25">
      <c r="A112" s="2">
        <v>94.1</v>
      </c>
      <c r="B112" s="2">
        <f t="shared" si="2"/>
        <v>1.5373719950363008E-5</v>
      </c>
      <c r="C112" s="2" cm="1">
        <f t="array" ref="C112">INDEX( ComputeThermoProps($A112, $B112, ParametersRange), 1, COLUMN()-2 )</f>
        <v>36.254500238486315</v>
      </c>
      <c r="D112" s="2" cm="1">
        <f t="array" ref="D112">INDEX( ComputeThermoProps($A112, $B112, ParametersRange), 1, COLUMN()-2 )</f>
        <v>4.0555848155137244E-4</v>
      </c>
      <c r="E112" s="2" cm="1">
        <f t="array" ref="E112">INDEX( ComputeThermoProps($A112, $B112, ParametersRange), 1, COLUMN()-2 )</f>
        <v>3.4197711434326281E-4</v>
      </c>
      <c r="F112" s="2" cm="1">
        <f t="array" ref="F112">INDEX( ComputeThermoProps($A112, $B112, ParametersRange), 1, COLUMN()-2 )</f>
        <v>7.3723917021078903E-4</v>
      </c>
      <c r="G112" s="2" cm="1">
        <f t="array" ref="G112">INDEX( ComputeThermoProps($A112, $B112, ParametersRange), 1, COLUMN()-2 )</f>
        <v>29.163422327772615</v>
      </c>
      <c r="H112" s="2" cm="1">
        <f t="array" ref="H112">INDEX( ComputeThermoProps($A112, $B112, ParametersRange), 1, COLUMN()-2 )</f>
        <v>24.59133137562614</v>
      </c>
      <c r="I112" s="2" cm="1">
        <f t="array" ref="I112">INDEX( ComputeThermoProps($A112, $B112, ParametersRange), 1, COLUMN()-2 )</f>
        <v>2.68</v>
      </c>
      <c r="J112" s="2" cm="1">
        <f t="array" ref="J112">INDEX( ComputeThermoProps($A112, $B112, ParametersRange), 1, COLUMN()-2 )</f>
        <v>2031.7822313403155</v>
      </c>
      <c r="K112" s="2" cm="1">
        <f t="array" ref="K112">INDEX( ComputeThermoProps($A112, $B112, ParametersRange), 1, COLUMN()-2 )</f>
        <v>48.588570656857058</v>
      </c>
      <c r="L112" s="2" cm="1">
        <f t="array" ref="L112">INDEX( ComputeThermoProps($A112, $B112, ParametersRange), 1, COLUMN()-2 )</f>
        <v>-2540.4022674699336</v>
      </c>
      <c r="M112" s="2" cm="1">
        <f t="array" ref="M112">INDEX( ComputeThermoProps($A112, $B112, ParametersRange), 1, COLUMN()-2 )</f>
        <v>2031.7827887068493</v>
      </c>
      <c r="N112" s="2" cm="1">
        <f t="array" ref="N112">INDEX( ComputeThermoProps($A112, $B112, ParametersRange), 1, COLUMN()-2 )</f>
        <v>-2540.4017101033996</v>
      </c>
      <c r="O112" s="4">
        <f t="shared" si="3"/>
        <v>-4.8132210343581887</v>
      </c>
    </row>
    <row r="113" spans="1:15" x14ac:dyDescent="0.25">
      <c r="A113" s="2">
        <v>95.1</v>
      </c>
      <c r="B113" s="2">
        <f t="shared" si="2"/>
        <v>1.8655747345298927E-5</v>
      </c>
      <c r="C113" s="2" cm="1">
        <f t="array" ref="C113">INDEX( ComputeThermoProps($A113, $B113, ParametersRange), 1, COLUMN()-2 )</f>
        <v>36.281299274961619</v>
      </c>
      <c r="D113" s="2" cm="1">
        <f t="array" ref="D113">INDEX( ComputeThermoProps($A113, $B113, ParametersRange), 1, COLUMN()-2 )</f>
        <v>4.0755703747761196E-4</v>
      </c>
      <c r="E113" s="2" cm="1">
        <f t="array" ref="E113">INDEX( ComputeThermoProps($A113, $B113, ParametersRange), 1, COLUMN()-2 )</f>
        <v>3.4284303213423533E-4</v>
      </c>
      <c r="F113" s="2" cm="1">
        <f t="array" ref="F113">INDEX( ComputeThermoProps($A113, $B113, ParametersRange), 1, COLUMN()-2 )</f>
        <v>7.4060670929468439E-4</v>
      </c>
      <c r="G113" s="2" cm="1">
        <f t="array" ref="G113">INDEX( ComputeThermoProps($A113, $B113, ParametersRange), 1, COLUMN()-2 )</f>
        <v>29.244240843779256</v>
      </c>
      <c r="H113" s="2" cm="1">
        <f t="array" ref="H113">INDEX( ComputeThermoProps($A113, $B113, ParametersRange), 1, COLUMN()-2 )</f>
        <v>24.60068967376349</v>
      </c>
      <c r="I113" s="2" cm="1">
        <f t="array" ref="I113">INDEX( ComputeThermoProps($A113, $B113, ParametersRange), 1, COLUMN()-2 )</f>
        <v>2.6799999999999997</v>
      </c>
      <c r="J113" s="2" cm="1">
        <f t="array" ref="J113">INDEX( ComputeThermoProps($A113, $B113, ParametersRange), 1, COLUMN()-2 )</f>
        <v>2060.9860245938471</v>
      </c>
      <c r="K113" s="2" cm="1">
        <f t="array" ref="K113">INDEX( ComputeThermoProps($A113, $B113, ParametersRange), 1, COLUMN()-2 )</f>
        <v>48.897260689919527</v>
      </c>
      <c r="L113" s="2" cm="1">
        <f t="array" ref="L113">INDEX( ComputeThermoProps($A113, $B113, ParametersRange), 1, COLUMN()-2 )</f>
        <v>-2589.1434670174995</v>
      </c>
      <c r="M113" s="2" cm="1">
        <f t="array" ref="M113">INDEX( ComputeThermoProps($A113, $B113, ParametersRange), 1, COLUMN()-2 )</f>
        <v>2060.9867014485999</v>
      </c>
      <c r="N113" s="2" cm="1">
        <f t="array" ref="N113">INDEX( ComputeThermoProps($A113, $B113, ParametersRange), 1, COLUMN()-2 )</f>
        <v>-2589.1427901627467</v>
      </c>
      <c r="O113" s="4">
        <f t="shared" si="3"/>
        <v>-4.7291873485294369</v>
      </c>
    </row>
    <row r="114" spans="1:15" x14ac:dyDescent="0.25">
      <c r="A114" s="2">
        <v>96.1</v>
      </c>
      <c r="B114" s="2">
        <f t="shared" si="2"/>
        <v>2.2541894020356098E-5</v>
      </c>
      <c r="C114" s="2" cm="1">
        <f t="array" ref="C114">INDEX( ComputeThermoProps($A114, $B114, ParametersRange), 1, COLUMN()-2 )</f>
        <v>36.308240970618328</v>
      </c>
      <c r="D114" s="2" cm="1">
        <f t="array" ref="D114">INDEX( ComputeThermoProps($A114, $B114, ParametersRange), 1, COLUMN()-2 )</f>
        <v>4.0958109806262541E-4</v>
      </c>
      <c r="E114" s="2" cm="1">
        <f t="array" ref="E114">INDEX( ComputeThermoProps($A114, $B114, ParametersRange), 1, COLUMN()-2 )</f>
        <v>3.437186017542961E-4</v>
      </c>
      <c r="F114" s="2" cm="1">
        <f t="array" ref="F114">INDEX( ComputeThermoProps($A114, $B114, ParametersRange), 1, COLUMN()-2 )</f>
        <v>7.4400691005004017E-4</v>
      </c>
      <c r="G114" s="2" cm="1">
        <f t="array" ref="G114">INDEX( ComputeThermoProps($A114, $B114, ParametersRange), 1, COLUMN()-2 )</f>
        <v>29.325427223207388</v>
      </c>
      <c r="H114" s="2" cm="1">
        <f t="array" ref="H114">INDEX( ComputeThermoProps($A114, $B114, ParametersRange), 1, COLUMN()-2 )</f>
        <v>24.609765657366875</v>
      </c>
      <c r="I114" s="2" cm="1">
        <f t="array" ref="I114">INDEX( ComputeThermoProps($A114, $B114, ParametersRange), 1, COLUMN()-2 )</f>
        <v>2.68</v>
      </c>
      <c r="J114" s="2" cm="1">
        <f t="array" ref="J114">INDEX( ComputeThermoProps($A114, $B114, ParametersRange), 1, COLUMN()-2 )</f>
        <v>2090.2708163078141</v>
      </c>
      <c r="K114" s="2" cm="1">
        <f t="array" ref="K114">INDEX( ComputeThermoProps($A114, $B114, ParametersRange), 1, COLUMN()-2 )</f>
        <v>49.20356840893411</v>
      </c>
      <c r="L114" s="2" cm="1">
        <f t="array" ref="L114">INDEX( ComputeThermoProps($A114, $B114, ParametersRange), 1, COLUMN()-2 )</f>
        <v>-2638.1921077907537</v>
      </c>
      <c r="M114" s="2" cm="1">
        <f t="array" ref="M114">INDEX( ComputeThermoProps($A114, $B114, ParametersRange), 1, COLUMN()-2 )</f>
        <v>2090.2716347643341</v>
      </c>
      <c r="N114" s="2" cm="1">
        <f t="array" ref="N114">INDEX( ComputeThermoProps($A114, $B114, ParametersRange), 1, COLUMN()-2 )</f>
        <v>-2638.1912893342337</v>
      </c>
      <c r="O114" s="4">
        <f t="shared" si="3"/>
        <v>-4.6470095963630476</v>
      </c>
    </row>
    <row r="115" spans="1:15" x14ac:dyDescent="0.25">
      <c r="A115" s="2">
        <v>97.1</v>
      </c>
      <c r="B115" s="2">
        <f t="shared" si="2"/>
        <v>2.7126476311805692E-5</v>
      </c>
      <c r="C115" s="2" cm="1">
        <f t="array" ref="C115">INDEX( ComputeThermoProps($A115, $B115, ParametersRange), 1, COLUMN()-2 )</f>
        <v>36.335326819571762</v>
      </c>
      <c r="D115" s="2" cm="1">
        <f t="array" ref="D115">INDEX( ComputeThermoProps($A115, $B115, ParametersRange), 1, COLUMN()-2 )</f>
        <v>4.1163120708441161E-4</v>
      </c>
      <c r="E115" s="2" cm="1">
        <f t="array" ref="E115">INDEX( ComputeThermoProps($A115, $B115, ParametersRange), 1, COLUMN()-2 )</f>
        <v>3.4460399020198895E-4</v>
      </c>
      <c r="F115" s="2" cm="1">
        <f t="array" ref="F115">INDEX( ComputeThermoProps($A115, $B115, ParametersRange), 1, COLUMN()-2 )</f>
        <v>7.4744090398100793E-4</v>
      </c>
      <c r="G115" s="2" cm="1">
        <f t="array" ref="G115">INDEX( ComputeThermoProps($A115, $B115, ParametersRange), 1, COLUMN()-2 )</f>
        <v>29.407007750205622</v>
      </c>
      <c r="H115" s="2" cm="1">
        <f t="array" ref="H115">INDEX( ComputeThermoProps($A115, $B115, ParametersRange), 1, COLUMN()-2 )</f>
        <v>24.61857127499951</v>
      </c>
      <c r="I115" s="2" cm="1">
        <f t="array" ref="I115">INDEX( ComputeThermoProps($A115, $B115, ParametersRange), 1, COLUMN()-2 )</f>
        <v>2.68</v>
      </c>
      <c r="J115" s="2" cm="1">
        <f t="array" ref="J115">INDEX( ComputeThermoProps($A115, $B115, ParametersRange), 1, COLUMN()-2 )</f>
        <v>2119.6369871904794</v>
      </c>
      <c r="K115" s="2" cm="1">
        <f t="array" ref="K115">INDEX( ComputeThermoProps($A115, $B115, ParametersRange), 1, COLUMN()-2 )</f>
        <v>49.50754706819594</v>
      </c>
      <c r="L115" s="2" cm="1">
        <f t="array" ref="L115">INDEX( ComputeThermoProps($A115, $B115, ParametersRange), 1, COLUMN()-2 )</f>
        <v>-2687.5458331313462</v>
      </c>
      <c r="M115" s="2" cm="1">
        <f t="array" ref="M115">INDEX( ComputeThermoProps($A115, $B115, ParametersRange), 1, COLUMN()-2 )</f>
        <v>2119.6379728398615</v>
      </c>
      <c r="N115" s="2" cm="1">
        <f t="array" ref="N115">INDEX( ComputeThermoProps($A115, $B115, ParametersRange), 1, COLUMN()-2 )</f>
        <v>-2687.5448474819641</v>
      </c>
      <c r="O115" s="4">
        <f t="shared" si="3"/>
        <v>-4.5666066167701933</v>
      </c>
    </row>
    <row r="116" spans="1:15" x14ac:dyDescent="0.25">
      <c r="A116" s="2">
        <v>98.1</v>
      </c>
      <c r="B116" s="2">
        <f t="shared" si="2"/>
        <v>3.251613204037623E-5</v>
      </c>
      <c r="C116" s="2" cm="1">
        <f t="array" ref="C116">INDEX( ComputeThermoProps($A116, $B116, ParametersRange), 1, COLUMN()-2 )</f>
        <v>36.362558362355202</v>
      </c>
      <c r="D116" s="2" cm="1">
        <f t="array" ref="D116">INDEX( ComputeThermoProps($A116, $B116, ParametersRange), 1, COLUMN()-2 )</f>
        <v>4.1370792466590296E-4</v>
      </c>
      <c r="E116" s="2" cm="1">
        <f t="array" ref="E116">INDEX( ComputeThermoProps($A116, $B116, ParametersRange), 1, COLUMN()-2 )</f>
        <v>3.4549936919855083E-4</v>
      </c>
      <c r="F116" s="2" cm="1">
        <f t="array" ref="F116">INDEX( ComputeThermoProps($A116, $B116, ParametersRange), 1, COLUMN()-2 )</f>
        <v>7.5090983388027203E-4</v>
      </c>
      <c r="G116" s="2" cm="1">
        <f t="array" ref="G116">INDEX( ComputeThermoProps($A116, $B116, ParametersRange), 1, COLUMN()-2 )</f>
        <v>29.489008479943323</v>
      </c>
      <c r="H116" s="2" cm="1">
        <f t="array" ref="H116">INDEX( ComputeThermoProps($A116, $B116, ParametersRange), 1, COLUMN()-2 )</f>
        <v>24.627117878728047</v>
      </c>
      <c r="I116" s="2" cm="1">
        <f t="array" ref="I116">INDEX( ComputeThermoProps($A116, $B116, ParametersRange), 1, COLUMN()-2 )</f>
        <v>2.68</v>
      </c>
      <c r="J116" s="2" cm="1">
        <f t="array" ref="J116">INDEX( ComputeThermoProps($A116, $B116, ParametersRange), 1, COLUMN()-2 )</f>
        <v>2149.0849440683569</v>
      </c>
      <c r="K116" s="2" cm="1">
        <f t="array" ref="K116">INDEX( ComputeThermoProps($A116, $B116, ParametersRange), 1, COLUMN()-2 )</f>
        <v>49.809248552462691</v>
      </c>
      <c r="L116" s="2" cm="1">
        <f t="array" ref="L116">INDEX( ComputeThermoProps($A116, $B116, ParametersRange), 1, COLUMN()-2 )</f>
        <v>-2737.2023389282326</v>
      </c>
      <c r="M116" s="2" cm="1">
        <f t="array" ref="M116">INDEX( ComputeThermoProps($A116, $B116, ParametersRange), 1, COLUMN()-2 )</f>
        <v>2149.086126438106</v>
      </c>
      <c r="N116" s="2" cm="1">
        <f t="array" ref="N116">INDEX( ComputeThermoProps($A116, $B116, ParametersRange), 1, COLUMN()-2 )</f>
        <v>-2737.2011565584835</v>
      </c>
      <c r="O116" s="4">
        <f t="shared" si="3"/>
        <v>-4.4879011215475035</v>
      </c>
    </row>
    <row r="117" spans="1:15" x14ac:dyDescent="0.25">
      <c r="A117" s="2">
        <v>99.1</v>
      </c>
      <c r="B117" s="2">
        <f t="shared" si="2"/>
        <v>3.8831173202551702E-5</v>
      </c>
      <c r="C117" s="2" cm="1">
        <f t="array" ref="C117">INDEX( ComputeThermoProps($A117, $B117, ParametersRange), 1, COLUMN()-2 )</f>
        <v>36.389937186551599</v>
      </c>
      <c r="D117" s="2" cm="1">
        <f t="array" ref="D117">INDEX( ComputeThermoProps($A117, $B117, ParametersRange), 1, COLUMN()-2 )</f>
        <v>4.1581182793071485E-4</v>
      </c>
      <c r="E117" s="2" cm="1">
        <f t="array" ref="E117">INDEX( ComputeThermoProps($A117, $B117, ParametersRange), 1, COLUMN()-2 )</f>
        <v>3.4640491533437988E-4</v>
      </c>
      <c r="F117" s="2" cm="1">
        <f t="array" ref="F117">INDEX( ComputeThermoProps($A117, $B117, ParametersRange), 1, COLUMN()-2 )</f>
        <v>7.5441485588261274E-4</v>
      </c>
      <c r="G117" s="2" cm="1">
        <f t="array" ref="G117">INDEX( ComputeThermoProps($A117, $B117, ParametersRange), 1, COLUMN()-2 )</f>
        <v>29.571455299871218</v>
      </c>
      <c r="H117" s="2" cm="1">
        <f t="array" ref="H117">INDEX( ComputeThermoProps($A117, $B117, ParametersRange), 1, COLUMN()-2 )</f>
        <v>24.635416266160558</v>
      </c>
      <c r="I117" s="2" cm="1">
        <f t="array" ref="I117">INDEX( ComputeThermoProps($A117, $B117, ParametersRange), 1, COLUMN()-2 )</f>
        <v>2.68</v>
      </c>
      <c r="J117" s="2" cm="1">
        <f t="array" ref="J117">INDEX( ComputeThermoProps($A117, $B117, ParametersRange), 1, COLUMN()-2 )</f>
        <v>2178.6151196815918</v>
      </c>
      <c r="K117" s="2" cm="1">
        <f t="array" ref="K117">INDEX( ComputeThermoProps($A117, $B117, ParametersRange), 1, COLUMN()-2 )</f>
        <v>50.108723430439412</v>
      </c>
      <c r="L117" s="2" cm="1">
        <f t="array" ref="L117">INDEX( ComputeThermoProps($A117, $B117, ParametersRange), 1, COLUMN()-2 )</f>
        <v>-2787.1593722749535</v>
      </c>
      <c r="M117" s="2" cm="1">
        <f t="array" ref="M117">INDEX( ComputeThermoProps($A117, $B117, ParametersRange), 1, COLUMN()-2 )</f>
        <v>2178.6165327455456</v>
      </c>
      <c r="N117" s="2" cm="1">
        <f t="array" ref="N117">INDEX( ComputeThermoProps($A117, $B117, ParametersRange), 1, COLUMN()-2 )</f>
        <v>-2787.1579592109997</v>
      </c>
      <c r="O117" s="4">
        <f t="shared" si="3"/>
        <v>-4.410819487957756</v>
      </c>
    </row>
    <row r="118" spans="1:15" x14ac:dyDescent="0.25">
      <c r="A118" s="2">
        <v>100.1</v>
      </c>
      <c r="B118" s="2">
        <f t="shared" si="2"/>
        <v>4.6207070607271006E-5</v>
      </c>
      <c r="C118" s="2" cm="1">
        <f t="array" ref="C118">INDEX( ComputeThermoProps($A118, $B118, ParametersRange), 1, COLUMN()-2 )</f>
        <v>36.417464927493135</v>
      </c>
      <c r="D118" s="2" cm="1">
        <f t="array" ref="D118">INDEX( ComputeThermoProps($A118, $B118, ParametersRange), 1, COLUMN()-2 )</f>
        <v>4.1794351165093608E-4</v>
      </c>
      <c r="E118" s="2" cm="1">
        <f t="array" ref="E118">INDEX( ComputeThermoProps($A118, $B118, ParametersRange), 1, COLUMN()-2 )</f>
        <v>3.4732081022271068E-4</v>
      </c>
      <c r="F118" s="2" cm="1">
        <f t="array" ref="F118">INDEX( ComputeThermoProps($A118, $B118, ParametersRange), 1, COLUMN()-2 )</f>
        <v>7.579571410808141E-4</v>
      </c>
      <c r="G118" s="2" cm="1">
        <f t="array" ref="G118">INDEX( ComputeThermoProps($A118, $B118, ParametersRange), 1, COLUMN()-2 )</f>
        <v>29.654373972343077</v>
      </c>
      <c r="H118" s="2" cm="1">
        <f t="array" ref="H118">INDEX( ComputeThermoProps($A118, $B118, ParametersRange), 1, COLUMN()-2 )</f>
        <v>24.643476708219865</v>
      </c>
      <c r="I118" s="2" cm="1">
        <f t="array" ref="I118">INDEX( ComputeThermoProps($A118, $B118, ParametersRange), 1, COLUMN()-2 )</f>
        <v>2.6799999999999997</v>
      </c>
      <c r="J118" s="2" cm="1">
        <f t="array" ref="J118">INDEX( ComputeThermoProps($A118, $B118, ParametersRange), 1, COLUMN()-2 )</f>
        <v>2208.2279725290668</v>
      </c>
      <c r="K118" s="2" cm="1">
        <f t="array" ref="K118">INDEX( ComputeThermoProps($A118, $B118, ParametersRange), 1, COLUMN()-2 )</f>
        <v>50.406021006077935</v>
      </c>
      <c r="L118" s="2" cm="1">
        <f t="array" ref="L118">INDEX( ComputeThermoProps($A118, $B118, ParametersRange), 1, COLUMN()-2 )</f>
        <v>-2837.4147301793341</v>
      </c>
      <c r="M118" s="2" cm="1">
        <f t="array" ref="M118">INDEX( ComputeThermoProps($A118, $B118, ParametersRange), 1, COLUMN()-2 )</f>
        <v>2208.2296552734401</v>
      </c>
      <c r="N118" s="2" cm="1">
        <f t="array" ref="N118">INDEX( ComputeThermoProps($A118, $B118, ParametersRange), 1, COLUMN()-2 )</f>
        <v>-2837.4130474349608</v>
      </c>
      <c r="O118" s="4">
        <f t="shared" si="3"/>
        <v>-4.3352915636047351</v>
      </c>
    </row>
    <row r="119" spans="1:15" x14ac:dyDescent="0.25">
      <c r="A119" s="2">
        <v>101.1</v>
      </c>
      <c r="B119" s="2">
        <f t="shared" si="2"/>
        <v>5.4796083306529869E-5</v>
      </c>
      <c r="C119" s="2" cm="1">
        <f t="array" ref="C119">INDEX( ComputeThermoProps($A119, $B119, ParametersRange), 1, COLUMN()-2 )</f>
        <v>36.445143269028655</v>
      </c>
      <c r="D119" s="2" cm="1">
        <f t="array" ref="D119">INDEX( ComputeThermoProps($A119, $B119, ParametersRange), 1, COLUMN()-2 )</f>
        <v>4.2010358895472246E-4</v>
      </c>
      <c r="E119" s="2" cm="1">
        <f t="array" ref="E119">INDEX( ComputeThermoProps($A119, $B119, ParametersRange), 1, COLUMN()-2 )</f>
        <v>3.4824724066080345E-4</v>
      </c>
      <c r="F119" s="2" cm="1">
        <f t="array" ref="F119">INDEX( ComputeThermoProps($A119, $B119, ParametersRange), 1, COLUMN()-2 )</f>
        <v>7.6153787744805568E-4</v>
      </c>
      <c r="G119" s="2" cm="1">
        <f t="array" ref="G119">INDEX( ComputeThermoProps($A119, $B119, ParametersRange), 1, COLUMN()-2 )</f>
        <v>29.737790187835337</v>
      </c>
      <c r="H119" s="2" cm="1">
        <f t="array" ref="H119">INDEX( ComputeThermoProps($A119, $B119, ParametersRange), 1, COLUMN()-2 )</f>
        <v>24.651308983174914</v>
      </c>
      <c r="I119" s="2" cm="1">
        <f t="array" ref="I119">INDEX( ComputeThermoProps($A119, $B119, ParametersRange), 1, COLUMN()-2 )</f>
        <v>2.6800000000000006</v>
      </c>
      <c r="J119" s="2" cm="1">
        <f t="array" ref="J119">INDEX( ComputeThermoProps($A119, $B119, ParametersRange), 1, COLUMN()-2 )</f>
        <v>2237.9239867615665</v>
      </c>
      <c r="K119" s="2" cm="1">
        <f t="array" ref="K119">INDEX( ComputeThermoProps($A119, $B119, ParametersRange), 1, COLUMN()-2 )</f>
        <v>50.701189367804545</v>
      </c>
      <c r="L119" s="2" cm="1">
        <f t="array" ref="L119">INDEX( ComputeThermoProps($A119, $B119, ParametersRange), 1, COLUMN()-2 )</f>
        <v>-2887.9662583234726</v>
      </c>
      <c r="M119" s="2" cm="1">
        <f t="array" ref="M119">INDEX( ComputeThermoProps($A119, $B119, ParametersRange), 1, COLUMN()-2 )</f>
        <v>2237.9259838126732</v>
      </c>
      <c r="N119" s="2" cm="1">
        <f t="array" ref="N119">INDEX( ComputeThermoProps($A119, $B119, ParametersRange), 1, COLUMN()-2 )</f>
        <v>-2887.964261272366</v>
      </c>
      <c r="O119" s="4">
        <f t="shared" si="3"/>
        <v>-4.2612504827410245</v>
      </c>
    </row>
    <row r="120" spans="1:15" x14ac:dyDescent="0.25">
      <c r="A120" s="2">
        <v>102.1</v>
      </c>
      <c r="B120" s="2">
        <f t="shared" si="2"/>
        <v>6.4769046972442296E-5</v>
      </c>
      <c r="C120" s="2" cm="1">
        <f t="array" ref="C120">INDEX( ComputeThermoProps($A120, $B120, ParametersRange), 1, COLUMN()-2 )</f>
        <v>36.472973944359182</v>
      </c>
      <c r="D120" s="2" cm="1">
        <f t="array" ref="D120">INDEX( ComputeThermoProps($A120, $B120, ParametersRange), 1, COLUMN()-2 )</f>
        <v>4.2229269203550578E-4</v>
      </c>
      <c r="E120" s="2" cm="1">
        <f t="array" ref="E120">INDEX( ComputeThermoProps($A120, $B120, ParametersRange), 1, COLUMN()-2 )</f>
        <v>3.4918439879895712E-4</v>
      </c>
      <c r="F120" s="2" cm="1">
        <f t="array" ref="F120">INDEX( ComputeThermoProps($A120, $B120, ParametersRange), 1, COLUMN()-2 )</f>
        <v>7.6515827141908864E-4</v>
      </c>
      <c r="G120" s="2" cm="1">
        <f t="array" ref="G120">INDEX( ComputeThermoProps($A120, $B120, ParametersRange), 1, COLUMN()-2 )</f>
        <v>29.821729603315699</v>
      </c>
      <c r="H120" s="2" cm="1">
        <f t="array" ref="H120">INDEX( ComputeThermoProps($A120, $B120, ParametersRange), 1, COLUMN()-2 )</f>
        <v>24.658922399261694</v>
      </c>
      <c r="I120" s="2" cm="1">
        <f t="array" ref="I120">INDEX( ComputeThermoProps($A120, $B120, ParametersRange), 1, COLUMN()-2 )</f>
        <v>2.68</v>
      </c>
      <c r="J120" s="2" cm="1">
        <f t="array" ref="J120">INDEX( ComputeThermoProps($A120, $B120, ParametersRange), 1, COLUMN()-2 )</f>
        <v>2267.7036721215122</v>
      </c>
      <c r="K120" s="2" cm="1">
        <f t="array" ref="K120">INDEX( ComputeThermoProps($A120, $B120, ParametersRange), 1, COLUMN()-2 )</f>
        <v>50.994275435783734</v>
      </c>
      <c r="L120" s="2" cm="1">
        <f t="array" ref="L120">INDEX( ComputeThermoProps($A120, $B120, ParametersRange), 1, COLUMN()-2 )</f>
        <v>-2938.8118498720069</v>
      </c>
      <c r="M120" s="2" cm="1">
        <f t="array" ref="M120">INDEX( ComputeThermoProps($A120, $B120, ParametersRange), 1, COLUMN()-2 )</f>
        <v>2267.7060344412748</v>
      </c>
      <c r="N120" s="2" cm="1">
        <f t="array" ref="N120">INDEX( ComputeThermoProps($A120, $B120, ParametersRange), 1, COLUMN()-2 )</f>
        <v>-2938.8094875522443</v>
      </c>
      <c r="O120" s="4">
        <f t="shared" si="3"/>
        <v>-4.1886324932140466</v>
      </c>
    </row>
    <row r="121" spans="1:15" x14ac:dyDescent="0.25">
      <c r="A121" s="2">
        <v>103.1</v>
      </c>
      <c r="B121" s="2">
        <f t="shared" si="2"/>
        <v>7.6317336806217933E-5</v>
      </c>
      <c r="C121" s="2" cm="1">
        <f t="array" ref="C121">INDEX( ComputeThermoProps($A121, $B121, ParametersRange), 1, COLUMN()-2 )</f>
        <v>36.500958736942039</v>
      </c>
      <c r="D121" s="2" cm="1">
        <f t="array" ref="D121">INDEX( ComputeThermoProps($A121, $B121, ParametersRange), 1, COLUMN()-2 )</f>
        <v>4.245114729469928E-4</v>
      </c>
      <c r="E121" s="2" cm="1">
        <f t="array" ref="E121">INDEX( ComputeThermoProps($A121, $B121, ParametersRange), 1, COLUMN()-2 )</f>
        <v>3.5013248231769616E-4</v>
      </c>
      <c r="F121" s="2" cm="1">
        <f t="array" ref="F121">INDEX( ComputeThermoProps($A121, $B121, ParametersRange), 1, COLUMN()-2 )</f>
        <v>7.6881955001660736E-4</v>
      </c>
      <c r="G121" s="2" cm="1">
        <f t="array" ref="G121">INDEX( ComputeThermoProps($A121, $B121, ParametersRange), 1, COLUMN()-2 )</f>
        <v>29.906217900370084</v>
      </c>
      <c r="H121" s="2" cm="1">
        <f t="array" ref="H121">INDEX( ComputeThermoProps($A121, $B121, ParametersRange), 1, COLUMN()-2 )</f>
        <v>24.666325829780316</v>
      </c>
      <c r="I121" s="2" cm="1">
        <f t="array" ref="I121">INDEX( ComputeThermoProps($A121, $B121, ParametersRange), 1, COLUMN()-2 )</f>
        <v>2.68</v>
      </c>
      <c r="J121" s="2" cm="1">
        <f t="array" ref="J121">INDEX( ComputeThermoProps($A121, $B121, ParametersRange), 1, COLUMN()-2 )</f>
        <v>2297.567563928003</v>
      </c>
      <c r="K121" s="2" cm="1">
        <f t="array" ref="K121">INDEX( ComputeThermoProps($A121, $B121, ParametersRange), 1, COLUMN()-2 )</f>
        <v>51.285325007320658</v>
      </c>
      <c r="L121" s="2" cm="1">
        <f t="array" ref="L121">INDEX( ComputeThermoProps($A121, $B121, ParametersRange), 1, COLUMN()-2 )</f>
        <v>-2989.9494443267567</v>
      </c>
      <c r="M121" s="2" cm="1">
        <f t="array" ref="M121">INDEX( ComputeThermoProps($A121, $B121, ParametersRange), 1, COLUMN()-2 )</f>
        <v>2297.5703495839648</v>
      </c>
      <c r="N121" s="2" cm="1">
        <f t="array" ref="N121">INDEX( ComputeThermoProps($A121, $B121, ParametersRange), 1, COLUMN()-2 )</f>
        <v>-2989.9466586707949</v>
      </c>
      <c r="O121" s="4">
        <f t="shared" si="3"/>
        <v>-4.1173767933163337</v>
      </c>
    </row>
    <row r="122" spans="1:15" x14ac:dyDescent="0.25">
      <c r="A122" s="2">
        <v>104.1</v>
      </c>
      <c r="B122" s="2">
        <f t="shared" si="2"/>
        <v>8.96550221403603E-5</v>
      </c>
      <c r="C122" s="2" cm="1">
        <f t="array" ref="C122">INDEX( ComputeThermoProps($A122, $B122, ParametersRange), 1, COLUMN()-2 )</f>
        <v>36.529099481464094</v>
      </c>
      <c r="D122" s="2" cm="1">
        <f t="array" ref="D122">INDEX( ComputeThermoProps($A122, $B122, ParametersRange), 1, COLUMN()-2 )</f>
        <v>4.267606043839449E-4</v>
      </c>
      <c r="E122" s="2" cm="1">
        <f t="array" ref="E122">INDEX( ComputeThermoProps($A122, $B122, ParametersRange), 1, COLUMN()-2 )</f>
        <v>3.5109169461348478E-4</v>
      </c>
      <c r="F122" s="2" cm="1">
        <f t="array" ref="F122">INDEX( ComputeThermoProps($A122, $B122, ParametersRange), 1, COLUMN()-2 )</f>
        <v>7.7252296244177882E-4</v>
      </c>
      <c r="G122" s="2" cm="1">
        <f t="array" ref="G122">INDEX( ComputeThermoProps($A122, $B122, ParametersRange), 1, COLUMN()-2 )</f>
        <v>29.991280820780343</v>
      </c>
      <c r="H122" s="2" cm="1">
        <f t="array" ref="H122">INDEX( ComputeThermoProps($A122, $B122, ParametersRange), 1, COLUMN()-2 )</f>
        <v>24.673527731541498</v>
      </c>
      <c r="I122" s="2" cm="1">
        <f t="array" ref="I122">INDEX( ComputeThermoProps($A122, $B122, ParametersRange), 1, COLUMN()-2 )</f>
        <v>2.68</v>
      </c>
      <c r="J122" s="2" cm="1">
        <f t="array" ref="J122">INDEX( ComputeThermoProps($A122, $B122, ParametersRange), 1, COLUMN()-2 )</f>
        <v>2327.5162231060581</v>
      </c>
      <c r="K122" s="2" cm="1">
        <f t="array" ref="K122">INDEX( ComputeThermoProps($A122, $B122, ParametersRange), 1, COLUMN()-2 )</f>
        <v>51.574382800499428</v>
      </c>
      <c r="L122" s="2" cm="1">
        <f t="array" ref="L122">INDEX( ComputeThermoProps($A122, $B122, ParametersRange), 1, COLUMN()-2 )</f>
        <v>-3041.3770264259319</v>
      </c>
      <c r="M122" s="2" cm="1">
        <f t="array" ref="M122">INDEX( ComputeThermoProps($A122, $B122, ParametersRange), 1, COLUMN()-2 )</f>
        <v>2327.5194981232808</v>
      </c>
      <c r="N122" s="2" cm="1">
        <f t="array" ref="N122">INDEX( ComputeThermoProps($A122, $B122, ParametersRange), 1, COLUMN()-2 )</f>
        <v>-3041.3737514087093</v>
      </c>
      <c r="O122" s="4">
        <f t="shared" si="3"/>
        <v>-4.0474253778613472</v>
      </c>
    </row>
    <row r="123" spans="1:15" x14ac:dyDescent="0.25">
      <c r="A123" s="2">
        <v>105.1</v>
      </c>
      <c r="B123" s="2">
        <f t="shared" si="2"/>
        <v>1.0502123163019102E-4</v>
      </c>
      <c r="C123" s="2" cm="1">
        <f t="array" ref="C123">INDEX( ComputeThermoProps($A123, $B123, ParametersRange), 1, COLUMN()-2 )</f>
        <v>36.557398064884978</v>
      </c>
      <c r="D123" s="2" cm="1">
        <f t="array" ref="D123">INDEX( ComputeThermoProps($A123, $B123, ParametersRange), 1, COLUMN()-2 )</f>
        <v>4.2904078052334555E-4</v>
      </c>
      <c r="E123" s="2" cm="1">
        <f t="array" ref="E123">INDEX( ComputeThermoProps($A123, $B123, ParametersRange), 1, COLUMN()-2 )</f>
        <v>3.5206224499336657E-4</v>
      </c>
      <c r="F123" s="2" cm="1">
        <f t="array" ref="F123">INDEX( ComputeThermoProps($A123, $B123, ParametersRange), 1, COLUMN()-2 )</f>
        <v>7.7626978191243118E-4</v>
      </c>
      <c r="G123" s="2" cm="1">
        <f t="array" ref="G123">INDEX( ComputeThermoProps($A123, $B123, ParametersRange), 1, COLUMN()-2 )</f>
        <v>30.076944210139676</v>
      </c>
      <c r="H123" s="2" cm="1">
        <f t="array" ref="H123">INDEX( ComputeThermoProps($A123, $B123, ParametersRange), 1, COLUMN()-2 )</f>
        <v>24.680536167787043</v>
      </c>
      <c r="I123" s="2" cm="1">
        <f t="array" ref="I123">INDEX( ComputeThermoProps($A123, $B123, ParametersRange), 1, COLUMN()-2 )</f>
        <v>2.68</v>
      </c>
      <c r="J123" s="2" cm="1">
        <f t="array" ref="J123">INDEX( ComputeThermoProps($A123, $B123, ParametersRange), 1, COLUMN()-2 )</f>
        <v>2357.5502362591255</v>
      </c>
      <c r="K123" s="2" cm="1">
        <f t="array" ref="K123">INDEX( ComputeThermoProps($A123, $B123, ParametersRange), 1, COLUMN()-2 )</f>
        <v>51.861492496149602</v>
      </c>
      <c r="L123" s="2" cm="1">
        <f t="array" ref="L123">INDEX( ComputeThermoProps($A123, $B123, ParametersRange), 1, COLUMN()-2 )</f>
        <v>-3093.0926250861971</v>
      </c>
      <c r="M123" s="2" cm="1">
        <f t="array" ref="M123">INDEX( ComputeThermoProps($A123, $B123, ParametersRange), 1, COLUMN()-2 )</f>
        <v>2357.5540755620955</v>
      </c>
      <c r="N123" s="2" cm="1">
        <f t="array" ref="N123">INDEX( ComputeThermoProps($A123, $B123, ParametersRange), 1, COLUMN()-2 )</f>
        <v>-3093.0887857832272</v>
      </c>
      <c r="O123" s="4">
        <f t="shared" si="3"/>
        <v>-3.9787228928566245</v>
      </c>
    </row>
    <row r="124" spans="1:15" x14ac:dyDescent="0.25">
      <c r="A124" s="2">
        <v>106.1</v>
      </c>
      <c r="B124" s="2">
        <f t="shared" si="2"/>
        <v>1.2268274984276629E-4</v>
      </c>
      <c r="C124" s="2" cm="1">
        <f t="array" ref="C124">INDEX( ComputeThermoProps($A124, $B124, ParametersRange), 1, COLUMN()-2 )</f>
        <v>36.585856427551441</v>
      </c>
      <c r="D124" s="2" cm="1">
        <f t="array" ref="D124">INDEX( ComputeThermoProps($A124, $B124, ParametersRange), 1, COLUMN()-2 )</f>
        <v>4.3135271792932431E-4</v>
      </c>
      <c r="E124" s="2" cm="1">
        <f t="array" ref="E124">INDEX( ComputeThermoProps($A124, $B124, ParametersRange), 1, COLUMN()-2 )</f>
        <v>3.5304434887894185E-4</v>
      </c>
      <c r="F124" s="2" cm="1">
        <f t="array" ref="F124">INDEX( ComputeThermoProps($A124, $B124, ParametersRange), 1, COLUMN()-2 )</f>
        <v>7.8006130774696146E-4</v>
      </c>
      <c r="G124" s="2" cm="1">
        <f t="array" ref="G124">INDEX( ComputeThermoProps($A124, $B124, ParametersRange), 1, COLUMN()-2 )</f>
        <v>30.163234069243213</v>
      </c>
      <c r="H124" s="2" cm="1">
        <f t="array" ref="H124">INDEX( ComputeThermoProps($A124, $B124, ParametersRange), 1, COLUMN()-2 )</f>
        <v>24.687358835197795</v>
      </c>
      <c r="I124" s="2" cm="1">
        <f t="array" ref="I124">INDEX( ComputeThermoProps($A124, $B124, ParametersRange), 1, COLUMN()-2 )</f>
        <v>2.68</v>
      </c>
      <c r="J124" s="2" cm="1">
        <f t="array" ref="J124">INDEX( ComputeThermoProps($A124, $B124, ParametersRange), 1, COLUMN()-2 )</f>
        <v>2387.6702157841041</v>
      </c>
      <c r="K124" s="2" cm="1">
        <f t="array" ref="K124">INDEX( ComputeThermoProps($A124, $B124, ParametersRange), 1, COLUMN()-2 )</f>
        <v>52.146696778228815</v>
      </c>
      <c r="L124" s="2" cm="1">
        <f t="array" ref="L124">INDEX( ComputeThermoProps($A124, $B124, ParametersRange), 1, COLUMN()-2 )</f>
        <v>-3145.0943123859729</v>
      </c>
      <c r="M124" s="2" cm="1">
        <f t="array" ref="M124">INDEX( ComputeThermoProps($A124, $B124, ParametersRange), 1, COLUMN()-2 )</f>
        <v>2387.674704237576</v>
      </c>
      <c r="N124" s="2" cm="1">
        <f t="array" ref="N124">INDEX( ComputeThermoProps($A124, $B124, ParametersRange), 1, COLUMN()-2 )</f>
        <v>-3145.0898239325011</v>
      </c>
      <c r="O124" s="4">
        <f t="shared" si="3"/>
        <v>-3.9112164981920352</v>
      </c>
    </row>
    <row r="125" spans="1:15" x14ac:dyDescent="0.25">
      <c r="A125" s="2">
        <v>107.1</v>
      </c>
      <c r="B125" s="2">
        <f t="shared" si="2"/>
        <v>1.4293686816096979E-4</v>
      </c>
      <c r="C125" s="2" cm="1">
        <f t="array" ref="C125">INDEX( ComputeThermoProps($A125, $B125, ParametersRange), 1, COLUMN()-2 )</f>
        <v>36.614476564383949</v>
      </c>
      <c r="D125" s="2" cm="1">
        <f t="array" ref="D125">INDEX( ComputeThermoProps($A125, $B125, ParametersRange), 1, COLUMN()-2 )</f>
        <v>4.3369715646420523E-4</v>
      </c>
      <c r="E125" s="2" cm="1">
        <f t="array" ref="E125">INDEX( ComputeThermoProps($A125, $B125, ParametersRange), 1, COLUMN()-2 )</f>
        <v>3.540382280201223E-4</v>
      </c>
      <c r="F125" s="2" cm="1">
        <f t="array" ref="F125">INDEX( ComputeThermoProps($A125, $B125, ParametersRange), 1, COLUMN()-2 )</f>
        <v>7.8389886709050638E-4</v>
      </c>
      <c r="G125" s="2" cm="1">
        <f t="array" ref="G125">INDEX( ComputeThermoProps($A125, $B125, ParametersRange), 1, COLUMN()-2 )</f>
        <v>30.250176589772895</v>
      </c>
      <c r="H125" s="2" cm="1">
        <f t="array" ref="H125">INDEX( ComputeThermoProps($A125, $B125, ParametersRange), 1, COLUMN()-2 )</f>
        <v>24.694003079134546</v>
      </c>
      <c r="I125" s="2" cm="1">
        <f t="array" ref="I125">INDEX( ComputeThermoProps($A125, $B125, ParametersRange), 1, COLUMN()-2 )</f>
        <v>2.6800000000000006</v>
      </c>
      <c r="J125" s="2" cm="1">
        <f t="array" ref="J125">INDEX( ComputeThermoProps($A125, $B125, ParametersRange), 1, COLUMN()-2 )</f>
        <v>2417.8768000282507</v>
      </c>
      <c r="K125" s="2" cm="1">
        <f t="array" ref="K125">INDEX( ComputeThermoProps($A125, $B125, ParametersRange), 1, COLUMN()-2 )</f>
        <v>52.430037372704909</v>
      </c>
      <c r="L125" s="2" cm="1">
        <f t="array" ref="L125">INDEX( ComputeThermoProps($A125, $B125, ParametersRange), 1, COLUMN()-2 )</f>
        <v>-3197.3802025884447</v>
      </c>
      <c r="M125" s="2" cm="1">
        <f t="array" ref="M125">INDEX( ComputeThermoProps($A125, $B125, ParametersRange), 1, COLUMN()-2 )</f>
        <v>2417.8820335868604</v>
      </c>
      <c r="N125" s="2" cm="1">
        <f t="array" ref="N125">INDEX( ComputeThermoProps($A125, $B125, ParametersRange), 1, COLUMN()-2 )</f>
        <v>-3197.374969029835</v>
      </c>
      <c r="O125" s="4">
        <f t="shared" si="3"/>
        <v>-3.8448557378029902</v>
      </c>
    </row>
    <row r="126" spans="1:15" x14ac:dyDescent="0.25">
      <c r="A126" s="2">
        <v>108.1</v>
      </c>
      <c r="B126" s="2">
        <f t="shared" si="2"/>
        <v>1.6611451525153564E-4</v>
      </c>
      <c r="C126" s="2" cm="1">
        <f t="array" ref="C126">INDEX( ComputeThermoProps($A126, $B126, ParametersRange), 1, COLUMN()-2 )</f>
        <v>36.643260526136935</v>
      </c>
      <c r="D126" s="2" cm="1">
        <f t="array" ref="D126">INDEX( ComputeThermoProps($A126, $B126, ParametersRange), 1, COLUMN()-2 )</f>
        <v>4.3607486028583703E-4</v>
      </c>
      <c r="E126" s="2" cm="1">
        <f t="array" ref="E126">INDEX( ComputeThermoProps($A126, $B126, ParametersRange), 1, COLUMN()-2 )</f>
        <v>3.5504411071914305E-4</v>
      </c>
      <c r="F126" s="2" cm="1">
        <f t="array" ref="F126">INDEX( ComputeThermoProps($A126, $B126, ParametersRange), 1, COLUMN()-2 )</f>
        <v>7.8778381707609983E-4</v>
      </c>
      <c r="G126" s="2" cm="1">
        <f t="array" ref="G126">INDEX( ComputeThermoProps($A126, $B126, ParametersRange), 1, COLUMN()-2 )</f>
        <v>30.337798204936671</v>
      </c>
      <c r="H126" s="2" cm="1">
        <f t="array" ref="H126">INDEX( ComputeThermoProps($A126, $B126, ParametersRange), 1, COLUMN()-2 )</f>
        <v>24.700475917800546</v>
      </c>
      <c r="I126" s="2" cm="1">
        <f t="array" ref="I126">INDEX( ComputeThermoProps($A126, $B126, ParametersRange), 1, COLUMN()-2 )</f>
        <v>2.68</v>
      </c>
      <c r="J126" s="2" cm="1">
        <f t="array" ref="J126">INDEX( ComputeThermoProps($A126, $B126, ParametersRange), 1, COLUMN()-2 )</f>
        <v>2448.1706534875234</v>
      </c>
      <c r="K126" s="2" cm="1">
        <f t="array" ref="K126">INDEX( ComputeThermoProps($A126, $B126, ParametersRange), 1, COLUMN()-2 )</f>
        <v>52.711555085017153</v>
      </c>
      <c r="L126" s="2" cm="1">
        <f t="array" ref="L126">INDEX( ComputeThermoProps($A126, $B126, ParametersRange), 1, COLUMN()-2 )</f>
        <v>-3249.9484512028307</v>
      </c>
      <c r="M126" s="2" cm="1">
        <f t="array" ref="M126">INDEX( ComputeThermoProps($A126, $B126, ParametersRange), 1, COLUMN()-2 )</f>
        <v>2448.1767404649831</v>
      </c>
      <c r="N126" s="2" cm="1">
        <f t="array" ref="N126">INDEX( ComputeThermoProps($A126, $B126, ParametersRange), 1, COLUMN()-2 )</f>
        <v>-3249.942364225371</v>
      </c>
      <c r="O126" s="4">
        <f t="shared" si="3"/>
        <v>-3.7795924168067807</v>
      </c>
    </row>
    <row r="127" spans="1:15" x14ac:dyDescent="0.25">
      <c r="A127" s="2">
        <v>109.1</v>
      </c>
      <c r="B127" s="2">
        <f t="shared" si="2"/>
        <v>1.9258369492459383E-4</v>
      </c>
      <c r="C127" s="2" cm="1">
        <f t="array" ref="C127">INDEX( ComputeThermoProps($A127, $B127, ParametersRange), 1, COLUMN()-2 )</f>
        <v>36.672210420734437</v>
      </c>
      <c r="D127" s="2" cm="1">
        <f t="array" ref="D127">INDEX( ComputeThermoProps($A127, $B127, ParametersRange), 1, COLUMN()-2 )</f>
        <v>4.3848661884800998E-4</v>
      </c>
      <c r="E127" s="2" cm="1">
        <f t="array" ref="E127">INDEX( ComputeThermoProps($A127, $B127, ParametersRange), 1, COLUMN()-2 )</f>
        <v>3.5606223206532901E-4</v>
      </c>
      <c r="F127" s="2" cm="1">
        <f t="array" ref="F127">INDEX( ComputeThermoProps($A127, $B127, ParametersRange), 1, COLUMN()-2 )</f>
        <v>7.9171754656845916E-4</v>
      </c>
      <c r="G127" s="2" cm="1">
        <f t="array" ref="G127">INDEX( ComputeThermoProps($A127, $B127, ParametersRange), 1, COLUMN()-2 )</f>
        <v>30.426125622000111</v>
      </c>
      <c r="H127" s="2" cm="1">
        <f t="array" ref="H127">INDEX( ComputeThermoProps($A127, $B127, ParametersRange), 1, COLUMN()-2 )</f>
        <v>24.706784053140382</v>
      </c>
      <c r="I127" s="2" cm="1">
        <f t="array" ref="I127">INDEX( ComputeThermoProps($A127, $B127, ParametersRange), 1, COLUMN()-2 )</f>
        <v>2.68</v>
      </c>
      <c r="J127" s="2" cm="1">
        <f t="array" ref="J127">INDEX( ComputeThermoProps($A127, $B127, ParametersRange), 1, COLUMN()-2 )</f>
        <v>2478.5524670460295</v>
      </c>
      <c r="K127" s="2" cm="1">
        <f t="array" ref="K127">INDEX( ComputeThermoProps($A127, $B127, ParametersRange), 1, COLUMN()-2 )</f>
        <v>52.991289836191982</v>
      </c>
      <c r="L127" s="2" cm="1">
        <f t="array" ref="L127">INDEX( ComputeThermoProps($A127, $B127, ParametersRange), 1, COLUMN()-2 )</f>
        <v>-3302.7972540825153</v>
      </c>
      <c r="M127" s="2" cm="1">
        <f t="array" ref="M127">INDEX( ComputeThermoProps($A127, $B127, ParametersRange), 1, COLUMN()-2 )</f>
        <v>2478.5595295158132</v>
      </c>
      <c r="N127" s="2" cm="1">
        <f t="array" ref="N127">INDEX( ComputeThermoProps($A127, $B127, ParametersRange), 1, COLUMN()-2 )</f>
        <v>-3302.7901916127316</v>
      </c>
      <c r="O127" s="4">
        <f t="shared" si="3"/>
        <v>-3.7153804851451921</v>
      </c>
    </row>
    <row r="128" spans="1:15" x14ac:dyDescent="0.25">
      <c r="A128" s="2">
        <v>110.1</v>
      </c>
      <c r="B128" s="2">
        <f t="shared" si="2"/>
        <v>2.2275326206937498E-4</v>
      </c>
      <c r="C128" s="2" cm="1">
        <f t="array" ref="C128">INDEX( ComputeThermoProps($A128, $B128, ParametersRange), 1, COLUMN()-2 )</f>
        <v>36.70132841468282</v>
      </c>
      <c r="D128" s="2" cm="1">
        <f t="array" ref="D128">INDEX( ComputeThermoProps($A128, $B128, ParametersRange), 1, COLUMN()-2 )</f>
        <v>4.4093324801664624E-4</v>
      </c>
      <c r="E128" s="2" cm="1">
        <f t="array" ref="E128">INDEX( ComputeThermoProps($A128, $B128, ParametersRange), 1, COLUMN()-2 )</f>
        <v>3.5709283418115161E-4</v>
      </c>
      <c r="F128" s="2" cm="1">
        <f t="array" ref="F128">INDEX( ComputeThermoProps($A128, $B128, ParametersRange), 1, COLUMN()-2 )</f>
        <v>7.9570147857637775E-4</v>
      </c>
      <c r="G128" s="2" cm="1">
        <f t="array" ref="G128">INDEX( ComputeThermoProps($A128, $B128, ParametersRange), 1, COLUMN()-2 )</f>
        <v>30.515185878520395</v>
      </c>
      <c r="H128" s="2" cm="1">
        <f t="array" ref="H128">INDEX( ComputeThermoProps($A128, $B128, ParametersRange), 1, COLUMN()-2 )</f>
        <v>24.712933896321026</v>
      </c>
      <c r="I128" s="2" cm="1">
        <f t="array" ref="I128">INDEX( ComputeThermoProps($A128, $B128, ParametersRange), 1, COLUMN()-2 )</f>
        <v>2.6799999999999997</v>
      </c>
      <c r="J128" s="2" cm="1">
        <f t="array" ref="J128">INDEX( ComputeThermoProps($A128, $B128, ParametersRange), 1, COLUMN()-2 )</f>
        <v>2509.0229582563761</v>
      </c>
      <c r="K128" s="2" cm="1">
        <f t="array" ref="K128">INDEX( ComputeThermoProps($A128, $B128, ParametersRange), 1, COLUMN()-2 )</f>
        <v>53.269280697685517</v>
      </c>
      <c r="L128" s="2" cm="1">
        <f t="array" ref="L128">INDEX( ComputeThermoProps($A128, $B128, ParametersRange), 1, COLUMN()-2 )</f>
        <v>-3355.9248465587989</v>
      </c>
      <c r="M128" s="2" cm="1">
        <f t="array" ref="M128">INDEX( ComputeThermoProps($A128, $B128, ParametersRange), 1, COLUMN()-2 )</f>
        <v>2509.0311335970027</v>
      </c>
      <c r="N128" s="2" cm="1">
        <f t="array" ref="N128">INDEX( ComputeThermoProps($A128, $B128, ParametersRange), 1, COLUMN()-2 )</f>
        <v>-3355.9166712181723</v>
      </c>
      <c r="O128" s="4">
        <f t="shared" si="3"/>
        <v>-3.6521759272984688</v>
      </c>
    </row>
    <row r="129" spans="1:15" x14ac:dyDescent="0.25">
      <c r="A129" s="2">
        <v>111.1</v>
      </c>
      <c r="B129" s="2">
        <f t="shared" si="2"/>
        <v>2.5707707052053969E-4</v>
      </c>
      <c r="C129" s="2" cm="1">
        <f t="array" ref="C129">INDEX( ComputeThermoProps($A129, $B129, ParametersRange), 1, COLUMN()-2 )</f>
        <v>36.730616734562602</v>
      </c>
      <c r="D129" s="2" cm="1">
        <f t="array" ref="D129">INDEX( ComputeThermoProps($A129, $B129, ParametersRange), 1, COLUMN()-2 )</f>
        <v>4.4341559119785376E-4</v>
      </c>
      <c r="E129" s="2" cm="1">
        <f t="array" ref="E129">INDEX( ComputeThermoProps($A129, $B129, ParametersRange), 1, COLUMN()-2 )</f>
        <v>3.5813616648014353E-4</v>
      </c>
      <c r="F129" s="2" cm="1">
        <f t="array" ref="F129">INDEX( ComputeThermoProps($A129, $B129, ParametersRange), 1, COLUMN()-2 )</f>
        <v>7.9973707228521733E-4</v>
      </c>
      <c r="G129" s="2" cm="1">
        <f t="array" ref="G129">INDEX( ComputeThermoProps($A129, $B129, ParametersRange), 1, COLUMN()-2 )</f>
        <v>30.605006381708293</v>
      </c>
      <c r="H129" s="2" cm="1">
        <f t="array" ref="H129">INDEX( ComputeThermoProps($A129, $B129, ParametersRange), 1, COLUMN()-2 )</f>
        <v>24.718931580722437</v>
      </c>
      <c r="I129" s="2" cm="1">
        <f t="array" ref="I129">INDEX( ComputeThermoProps($A129, $B129, ParametersRange), 1, COLUMN()-2 )</f>
        <v>2.68</v>
      </c>
      <c r="J129" s="2" cm="1">
        <f t="array" ref="J129">INDEX( ComputeThermoProps($A129, $B129, ParametersRange), 1, COLUMN()-2 )</f>
        <v>2539.5828716608612</v>
      </c>
      <c r="K129" s="2" cm="1">
        <f t="array" ref="K129">INDEX( ComputeThermoProps($A129, $B129, ParametersRange), 1, COLUMN()-2 )</f>
        <v>53.545565925021116</v>
      </c>
      <c r="L129" s="2" cm="1">
        <f t="array" ref="L129">INDEX( ComputeThermoProps($A129, $B129, ParametersRange), 1, COLUMN()-2 )</f>
        <v>-3409.3295026089845</v>
      </c>
      <c r="M129" s="2" cm="1">
        <f t="array" ref="M129">INDEX( ComputeThermoProps($A129, $B129, ParametersRange), 1, COLUMN()-2 )</f>
        <v>2539.5923142602096</v>
      </c>
      <c r="N129" s="2" cm="1">
        <f t="array" ref="N129">INDEX( ComputeThermoProps($A129, $B129, ParametersRange), 1, COLUMN()-2 )</f>
        <v>-3409.3200600096361</v>
      </c>
      <c r="O129" s="4">
        <f t="shared" si="3"/>
        <v>-3.5899366576647544</v>
      </c>
    </row>
    <row r="130" spans="1:15" x14ac:dyDescent="0.25">
      <c r="A130" s="2">
        <v>112.1</v>
      </c>
      <c r="B130" s="2">
        <f t="shared" si="2"/>
        <v>2.9605853023164042E-4</v>
      </c>
      <c r="C130" s="2" cm="1">
        <f t="array" ref="C130">INDEX( ComputeThermoProps($A130, $B130, ParametersRange), 1, COLUMN()-2 )</f>
        <v>36.760077668601532</v>
      </c>
      <c r="D130" s="2" cm="1">
        <f t="array" ref="D130">INDEX( ComputeThermoProps($A130, $B130, ParametersRange), 1, COLUMN()-2 )</f>
        <v>4.4593452049194662E-4</v>
      </c>
      <c r="E130" s="2" cm="1">
        <f t="array" ref="E130">INDEX( ComputeThermoProps($A130, $B130, ParametersRange), 1, COLUMN()-2 )</f>
        <v>3.5919248593728573E-4</v>
      </c>
      <c r="F130" s="2" cm="1">
        <f t="array" ref="F130">INDEX( ComputeThermoProps($A130, $B130, ParametersRange), 1, COLUMN()-2 )</f>
        <v>8.0382582485103045E-4</v>
      </c>
      <c r="G130" s="2" cm="1">
        <f t="array" ref="G130">INDEX( ComputeThermoProps($A130, $B130, ParametersRange), 1, COLUMN()-2 )</f>
        <v>30.695614936457474</v>
      </c>
      <c r="H130" s="2" cm="1">
        <f t="array" ref="H130">INDEX( ComputeThermoProps($A130, $B130, ParametersRange), 1, COLUMN()-2 )</f>
        <v>24.724782966424232</v>
      </c>
      <c r="I130" s="2" cm="1">
        <f t="array" ref="I130">INDEX( ComputeThermoProps($A130, $B130, ParametersRange), 1, COLUMN()-2 )</f>
        <v>2.68</v>
      </c>
      <c r="J130" s="2" cm="1">
        <f t="array" ref="J130">INDEX( ComputeThermoProps($A130, $B130, ParametersRange), 1, COLUMN()-2 )</f>
        <v>2570.2329791535963</v>
      </c>
      <c r="K130" s="2" cm="1">
        <f t="array" ref="K130">INDEX( ComputeThermoProps($A130, $B130, ParametersRange), 1, COLUMN()-2 )</f>
        <v>53.820182990287961</v>
      </c>
      <c r="L130" s="2" cm="1">
        <f t="array" ref="L130">INDEX( ComputeThermoProps($A130, $B130, ParametersRange), 1, COLUMN()-2 )</f>
        <v>-3463.009534057684</v>
      </c>
      <c r="M130" s="2" cm="1">
        <f t="array" ref="M130">INDEX( ComputeThermoProps($A130, $B130, ParametersRange), 1, COLUMN()-2 )</f>
        <v>2570.2438622881618</v>
      </c>
      <c r="N130" s="2" cm="1">
        <f t="array" ref="N130">INDEX( ComputeThermoProps($A130, $B130, ParametersRange), 1, COLUMN()-2 )</f>
        <v>-3462.9986509231185</v>
      </c>
      <c r="O130" s="4">
        <f t="shared" si="3"/>
        <v>-3.5286224212255881</v>
      </c>
    </row>
    <row r="131" spans="1:15" x14ac:dyDescent="0.25">
      <c r="A131" s="2">
        <v>113.1</v>
      </c>
      <c r="B131" s="2">
        <f t="shared" si="2"/>
        <v>3.4025561505163617E-4</v>
      </c>
      <c r="C131" s="2" cm="1">
        <f t="array" ref="C131">INDEX( ComputeThermoProps($A131, $B131, ParametersRange), 1, COLUMN()-2 )</f>
        <v>36.789713568331337</v>
      </c>
      <c r="D131" s="2" cm="1">
        <f t="array" ref="D131">INDEX( ComputeThermoProps($A131, $B131, ParametersRange), 1, COLUMN()-2 )</f>
        <v>4.4849093802251156E-4</v>
      </c>
      <c r="E131" s="2" cm="1">
        <f t="array" ref="E131">INDEX( ComputeThermoProps($A131, $B131, ParametersRange), 1, COLUMN()-2 )</f>
        <v>3.6026205737249589E-4</v>
      </c>
      <c r="F131" s="2" cm="1">
        <f t="array" ref="F131">INDEX( ComputeThermoProps($A131, $B131, ParametersRange), 1, COLUMN()-2 )</f>
        <v>8.0796927432053717E-4</v>
      </c>
      <c r="G131" s="2" cm="1">
        <f t="array" ref="G131">INDEX( ComputeThermoProps($A131, $B131, ParametersRange), 1, COLUMN()-2 )</f>
        <v>30.787039814082366</v>
      </c>
      <c r="H131" s="2" cm="1">
        <f t="array" ref="H131">INDEX( ComputeThermoProps($A131, $B131, ParametersRange), 1, COLUMN()-2 )</f>
        <v>24.730493670027137</v>
      </c>
      <c r="I131" s="2" cm="1">
        <f t="array" ref="I131">INDEX( ComputeThermoProps($A131, $B131, ParametersRange), 1, COLUMN()-2 )</f>
        <v>2.6800000000000006</v>
      </c>
      <c r="J131" s="2" cm="1">
        <f t="array" ref="J131">INDEX( ComputeThermoProps($A131, $B131, ParametersRange), 1, COLUMN()-2 )</f>
        <v>2600.9740803836889</v>
      </c>
      <c r="K131" s="2" cm="1">
        <f t="array" ref="K131">INDEX( ComputeThermoProps($A131, $B131, ParametersRange), 1, COLUMN()-2 )</f>
        <v>54.093168613562604</v>
      </c>
      <c r="L131" s="2" cm="1">
        <f t="array" ref="L131">INDEX( ComputeThermoProps($A131, $B131, ParametersRange), 1, COLUMN()-2 )</f>
        <v>-3516.9632898102413</v>
      </c>
      <c r="M131" s="2" cm="1">
        <f t="array" ref="M131">INDEX( ComputeThermoProps($A131, $B131, ParametersRange), 1, COLUMN()-2 )</f>
        <v>2600.9865982903066</v>
      </c>
      <c r="N131" s="2" cm="1">
        <f t="array" ref="N131">INDEX( ComputeThermoProps($A131, $B131, ParametersRange), 1, COLUMN()-2 )</f>
        <v>-3516.9507719036237</v>
      </c>
      <c r="O131" s="4">
        <f t="shared" si="3"/>
        <v>-3.4681946991420567</v>
      </c>
    </row>
    <row r="132" spans="1:15" x14ac:dyDescent="0.25">
      <c r="A132" s="2">
        <v>114.1</v>
      </c>
      <c r="B132" s="2">
        <f t="shared" si="2"/>
        <v>3.9028636676888604E-4</v>
      </c>
      <c r="C132" s="2" cm="1">
        <f t="array" ref="C132">INDEX( ComputeThermoProps($A132, $B132, ParametersRange), 1, COLUMN()-2 )</f>
        <v>36.819526850330618</v>
      </c>
      <c r="D132" s="2" cm="1">
        <f t="array" ref="D132">INDEX( ComputeThermoProps($A132, $B132, ParametersRange), 1, COLUMN()-2 )</f>
        <v>4.5108577724562723E-4</v>
      </c>
      <c r="E132" s="2" cm="1">
        <f t="array" ref="E132">INDEX( ComputeThermoProps($A132, $B132, ParametersRange), 1, COLUMN()-2 )</f>
        <v>3.6134515374790997E-4</v>
      </c>
      <c r="F132" s="2" cm="1">
        <f t="array" ref="F132">INDEX( ComputeThermoProps($A132, $B132, ParametersRange), 1, COLUMN()-2 )</f>
        <v>8.1216900179923585E-4</v>
      </c>
      <c r="G132" s="2" cm="1">
        <f t="array" ref="G132">INDEX( ComputeThermoProps($A132, $B132, ParametersRange), 1, COLUMN()-2 )</f>
        <v>30.879309789633943</v>
      </c>
      <c r="H132" s="2" cm="1">
        <f t="array" ref="H132">INDEX( ComputeThermoProps($A132, $B132, ParametersRange), 1, COLUMN()-2 )</f>
        <v>24.736069072487663</v>
      </c>
      <c r="I132" s="2" cm="1">
        <f t="array" ref="I132">INDEX( ComputeThermoProps($A132, $B132, ParametersRange), 1, COLUMN()-2 )</f>
        <v>2.68</v>
      </c>
      <c r="J132" s="2" cm="1">
        <f t="array" ref="J132">INDEX( ComputeThermoProps($A132, $B132, ParametersRange), 1, COLUMN()-2 )</f>
        <v>2631.8070031998172</v>
      </c>
      <c r="K132" s="2" cm="1">
        <f t="array" ref="K132">INDEX( ComputeThermoProps($A132, $B132, ParametersRange), 1, COLUMN()-2 )</f>
        <v>54.3645587933134</v>
      </c>
      <c r="L132" s="2" cm="1">
        <f t="array" ref="L132">INDEX( ComputeThermoProps($A132, $B132, ParametersRange), 1, COLUMN()-2 )</f>
        <v>-3571.1891551172412</v>
      </c>
      <c r="M132" s="2" cm="1">
        <f t="array" ref="M132">INDEX( ComputeThermoProps($A132, $B132, ParametersRange), 1, COLUMN()-2 )</f>
        <v>2631.8213733591779</v>
      </c>
      <c r="N132" s="2" cm="1">
        <f t="array" ref="N132">INDEX( ComputeThermoProps($A132, $B132, ParametersRange), 1, COLUMN()-2 )</f>
        <v>-3571.1747849578805</v>
      </c>
      <c r="O132" s="4">
        <f t="shared" si="3"/>
        <v>-3.408616618947943</v>
      </c>
    </row>
    <row r="133" spans="1:15" x14ac:dyDescent="0.25">
      <c r="A133" s="2">
        <v>115.1</v>
      </c>
      <c r="B133" s="2">
        <f t="shared" si="2"/>
        <v>4.4683494596407981E-4</v>
      </c>
      <c r="C133" s="2" cm="1">
        <f t="array" ref="C133">INDEX( ComputeThermoProps($A133, $B133, ParametersRange), 1, COLUMN()-2 )</f>
        <v>36.849519998056671</v>
      </c>
      <c r="D133" s="2" cm="1">
        <f t="array" ref="D133">INDEX( ComputeThermoProps($A133, $B133, ParametersRange), 1, COLUMN()-2 )</f>
        <v>4.5372000432545141E-4</v>
      </c>
      <c r="E133" s="2" cm="1">
        <f t="array" ref="E133">INDEX( ComputeThermoProps($A133, $B133, ParametersRange), 1, COLUMN()-2 )</f>
        <v>3.6244205647968793E-4</v>
      </c>
      <c r="F133" s="2" cm="1">
        <f t="array" ref="F133">INDEX( ComputeThermoProps($A133, $B133, ParametersRange), 1, COLUMN()-2 )</f>
        <v>8.1642663367577318E-4</v>
      </c>
      <c r="G133" s="2" cm="1">
        <f t="array" ref="G133">INDEX( ComputeThermoProps($A133, $B133, ParametersRange), 1, COLUMN()-2 )</f>
        <v>30.972454178791615</v>
      </c>
      <c r="H133" s="2" cm="1">
        <f t="array" ref="H133">INDEX( ComputeThermoProps($A133, $B133, ParametersRange), 1, COLUMN()-2 )</f>
        <v>24.74151432550013</v>
      </c>
      <c r="I133" s="2" cm="1">
        <f t="array" ref="I133">INDEX( ComputeThermoProps($A133, $B133, ParametersRange), 1, COLUMN()-2 )</f>
        <v>2.68</v>
      </c>
      <c r="J133" s="2" cm="1">
        <f t="array" ref="J133">INDEX( ComputeThermoProps($A133, $B133, ParametersRange), 1, COLUMN()-2 )</f>
        <v>2662.7326041366127</v>
      </c>
      <c r="K133" s="2" cm="1">
        <f t="array" ref="K133">INDEX( ComputeThermoProps($A133, $B133, ParametersRange), 1, COLUMN()-2 )</f>
        <v>54.634388835845023</v>
      </c>
      <c r="L133" s="2" cm="1">
        <f t="array" ref="L133">INDEX( ComputeThermoProps($A133, $B133, ParametersRange), 1, COLUMN()-2 )</f>
        <v>-3625.6855508691492</v>
      </c>
      <c r="M133" s="2" cm="1">
        <f t="array" ref="M133">INDEX( ComputeThermoProps($A133, $B133, ParametersRange), 1, COLUMN()-2 )</f>
        <v>2662.7490697898897</v>
      </c>
      <c r="N133" s="2" cm="1">
        <f t="array" ref="N133">INDEX( ComputeThermoProps($A133, $B133, ParametersRange), 1, COLUMN()-2 )</f>
        <v>-3625.6690852158722</v>
      </c>
      <c r="O133" s="4">
        <f t="shared" si="3"/>
        <v>-3.34985286902582</v>
      </c>
    </row>
    <row r="134" spans="1:15" x14ac:dyDescent="0.25">
      <c r="A134" s="2">
        <v>116.1</v>
      </c>
      <c r="B134" s="2">
        <f t="shared" si="2"/>
        <v>5.1065828566759048E-4</v>
      </c>
      <c r="C134" s="2" cm="1">
        <f t="array" ref="C134">INDEX( ComputeThermoProps($A134, $B134, ParametersRange), 1, COLUMN()-2 )</f>
        <v>36.87969556376904</v>
      </c>
      <c r="D134" s="2" cm="1">
        <f t="array" ref="D134">INDEX( ComputeThermoProps($A134, $B134, ParametersRange), 1, COLUMN()-2 )</f>
        <v>4.5639461962987225E-4</v>
      </c>
      <c r="E134" s="2" cm="1">
        <f t="array" ref="E134">INDEX( ComputeThermoProps($A134, $B134, ParametersRange), 1, COLUMN()-2 )</f>
        <v>3.635530557651061E-4</v>
      </c>
      <c r="F134" s="2" cm="1">
        <f t="array" ref="F134">INDEX( ComputeThermoProps($A134, $B134, ParametersRange), 1, COLUMN()-2 )</f>
        <v>8.2074384434853388E-4</v>
      </c>
      <c r="G134" s="2" cm="1">
        <f t="array" ref="G134">INDEX( ComputeThermoProps($A134, $B134, ParametersRange), 1, COLUMN()-2 )</f>
        <v>31.066502891084625</v>
      </c>
      <c r="H134" s="2" cm="1">
        <f t="array" ref="H134">INDEX( ComputeThermoProps($A134, $B134, ParametersRange), 1, COLUMN()-2 )</f>
        <v>24.746834367041416</v>
      </c>
      <c r="I134" s="2" cm="1">
        <f t="array" ref="I134">INDEX( ComputeThermoProps($A134, $B134, ParametersRange), 1, COLUMN()-2 )</f>
        <v>2.68</v>
      </c>
      <c r="J134" s="2" cm="1">
        <f t="array" ref="J134">INDEX( ComputeThermoProps($A134, $B134, ParametersRange), 1, COLUMN()-2 )</f>
        <v>2693.7517689433466</v>
      </c>
      <c r="K134" s="2" cm="1">
        <f t="array" ref="K134">INDEX( ComputeThermoProps($A134, $B134, ParametersRange), 1, COLUMN()-2 )</f>
        <v>54.902693383837246</v>
      </c>
      <c r="L134" s="2" cm="1">
        <f t="array" ref="L134">INDEX( ComputeThermoProps($A134, $B134, ParametersRange), 1, COLUMN()-2 )</f>
        <v>-3680.4509329201574</v>
      </c>
      <c r="M134" s="2" cm="1">
        <f t="array" ref="M134">INDEX( ComputeThermoProps($A134, $B134, ParametersRange), 1, COLUMN()-2 )</f>
        <v>2693.770601865459</v>
      </c>
      <c r="N134" s="2" cm="1">
        <f t="array" ref="N134">INDEX( ComputeThermoProps($A134, $B134, ParametersRange), 1, COLUMN()-2 )</f>
        <v>-3680.432099998045</v>
      </c>
      <c r="O134" s="4">
        <f t="shared" si="3"/>
        <v>-3.2918696170696573</v>
      </c>
    </row>
    <row r="135" spans="1:15" x14ac:dyDescent="0.25">
      <c r="A135" s="2">
        <v>117.1</v>
      </c>
      <c r="B135" s="2">
        <f t="shared" si="2"/>
        <v>5.8259340992681467E-4</v>
      </c>
      <c r="C135" s="2" cm="1">
        <f t="array" ref="C135">INDEX( ComputeThermoProps($A135, $B135, ParametersRange), 1, COLUMN()-2 )</f>
        <v>36.910056170548067</v>
      </c>
      <c r="D135" s="2" cm="1">
        <f t="array" ref="D135">INDEX( ComputeThermoProps($A135, $B135, ParametersRange), 1, COLUMN()-2 )</f>
        <v>4.5911065930936409E-4</v>
      </c>
      <c r="E135" s="2" cm="1">
        <f t="array" ref="E135">INDEX( ComputeThermoProps($A135, $B135, ParametersRange), 1, COLUMN()-2 )</f>
        <v>3.6467845092575497E-4</v>
      </c>
      <c r="F135" s="2" cm="1">
        <f t="array" ref="F135">INDEX( ComputeThermoProps($A135, $B135, ParametersRange), 1, COLUMN()-2 )</f>
        <v>8.2512235906612977E-4</v>
      </c>
      <c r="G135" s="2" cm="1">
        <f t="array" ref="G135">INDEX( ComputeThermoProps($A135, $B135, ParametersRange), 1, COLUMN()-2 )</f>
        <v>31.161486484376876</v>
      </c>
      <c r="H135" s="2" cm="1">
        <f t="array" ref="H135">INDEX( ComputeThermoProps($A135, $B135, ParametersRange), 1, COLUMN()-2 )</f>
        <v>24.752033936134382</v>
      </c>
      <c r="I135" s="2" cm="1">
        <f t="array" ref="I135">INDEX( ComputeThermoProps($A135, $B135, ParametersRange), 1, COLUMN()-2 )</f>
        <v>2.68</v>
      </c>
      <c r="J135" s="2" cm="1">
        <f t="array" ref="J135">INDEX( ComputeThermoProps($A135, $B135, ParametersRange), 1, COLUMN()-2 )</f>
        <v>2724.865413155545</v>
      </c>
      <c r="K135" s="2" cm="1">
        <f t="array" ref="K135">INDEX( ComputeThermoProps($A135, $B135, ParametersRange), 1, COLUMN()-2 )</f>
        <v>55.169506444030361</v>
      </c>
      <c r="L135" s="2" cm="1">
        <f t="array" ref="L135">INDEX( ComputeThermoProps($A135, $B135, ParametersRange), 1, COLUMN()-2 )</f>
        <v>-3735.4837914404102</v>
      </c>
      <c r="M135" s="2" cm="1">
        <f t="array" ref="M135">INDEX( ComputeThermoProps($A135, $B135, ParametersRange), 1, COLUMN()-2 )</f>
        <v>2724.8869167110302</v>
      </c>
      <c r="N135" s="2" cm="1">
        <f t="array" ref="N135">INDEX( ComputeThermoProps($A135, $B135, ParametersRange), 1, COLUMN()-2 )</f>
        <v>-3735.462287884925</v>
      </c>
      <c r="O135" s="4">
        <f t="shared" si="3"/>
        <v>-3.2346344322531624</v>
      </c>
    </row>
    <row r="136" spans="1:15" x14ac:dyDescent="0.25">
      <c r="A136" s="2">
        <v>118.1</v>
      </c>
      <c r="B136" s="2">
        <f t="shared" si="2"/>
        <v>6.6356548624676157E-4</v>
      </c>
      <c r="C136" s="2" cm="1">
        <f t="array" ref="C136">INDEX( ComputeThermoProps($A136, $B136, ParametersRange), 1, COLUMN()-2 )</f>
        <v>36.940604514411532</v>
      </c>
      <c r="D136" s="2" cm="1">
        <f t="array" ref="D136">INDEX( ComputeThermoProps($A136, $B136, ParametersRange), 1, COLUMN()-2 )</f>
        <v>4.6186919691679321E-4</v>
      </c>
      <c r="E136" s="2" cm="1">
        <f t="array" ref="E136">INDEX( ComputeThermoProps($A136, $B136, ParametersRange), 1, COLUMN()-2 )</f>
        <v>3.6581855076772327E-4</v>
      </c>
      <c r="F136" s="2" cm="1">
        <f t="array" ref="F136">INDEX( ComputeThermoProps($A136, $B136, ParametersRange), 1, COLUMN()-2 )</f>
        <v>8.295639564798007E-4</v>
      </c>
      <c r="G136" s="2" cm="1">
        <f t="array" ref="G136">INDEX( ComputeThermoProps($A136, $B136, ParametersRange), 1, COLUMN()-2 )</f>
        <v>31.257436205286293</v>
      </c>
      <c r="H136" s="2" cm="1">
        <f t="array" ref="H136">INDEX( ComputeThermoProps($A136, $B136, ParametersRange), 1, COLUMN()-2 )</f>
        <v>24.757117577148914</v>
      </c>
      <c r="I136" s="2" cm="1">
        <f t="array" ref="I136">INDEX( ComputeThermoProps($A136, $B136, ParametersRange), 1, COLUMN()-2 )</f>
        <v>2.68</v>
      </c>
      <c r="J136" s="2" cm="1">
        <f t="array" ref="J136">INDEX( ComputeThermoProps($A136, $B136, ParametersRange), 1, COLUMN()-2 )</f>
        <v>2756.0744827103013</v>
      </c>
      <c r="K136" s="2" cm="1">
        <f t="array" ref="K136">INDEX( ComputeThermoProps($A136, $B136, ParametersRange), 1, COLUMN()-2 )</f>
        <v>55.434861414107402</v>
      </c>
      <c r="L136" s="2" cm="1">
        <f t="array" ref="L136">INDEX( ComputeThermoProps($A136, $B136, ParametersRange), 1, COLUMN()-2 )</f>
        <v>-3790.7826502957828</v>
      </c>
      <c r="M136" s="2" cm="1">
        <f t="array" ref="M136">INDEX( ComputeThermoProps($A136, $B136, ParametersRange), 1, COLUMN()-2 )</f>
        <v>2756.0989952204982</v>
      </c>
      <c r="N136" s="2" cm="1">
        <f t="array" ref="N136">INDEX( ComputeThermoProps($A136, $B136, ParametersRange), 1, COLUMN()-2 )</f>
        <v>-3790.7581377855859</v>
      </c>
      <c r="O136" s="4">
        <f t="shared" si="3"/>
        <v>-3.1781162108369267</v>
      </c>
    </row>
    <row r="137" spans="1:15" x14ac:dyDescent="0.25">
      <c r="A137" s="2">
        <v>119.1</v>
      </c>
      <c r="B137" s="2">
        <f t="shared" si="2"/>
        <v>7.5459668857888148E-4</v>
      </c>
      <c r="C137" s="2" cm="1">
        <f t="array" ref="C137">INDEX( ComputeThermoProps($A137, $B137, ParametersRange), 1, COLUMN()-2 )</f>
        <v>36.971343366532913</v>
      </c>
      <c r="D137" s="2" cm="1">
        <f t="array" ref="D137">INDEX( ComputeThermoProps($A137, $B137, ParametersRange), 1, COLUMN()-2 )</f>
        <v>4.64671345178271E-4</v>
      </c>
      <c r="E137" s="2" cm="1">
        <f t="array" ref="E137">INDEX( ComputeThermoProps($A137, $B137, ParametersRange), 1, COLUMN()-2 )</f>
        <v>3.6697367395967608E-4</v>
      </c>
      <c r="F137" s="2" cm="1">
        <f t="array" ref="F137">INDEX( ComputeThermoProps($A137, $B137, ParametersRange), 1, COLUMN()-2 )</f>
        <v>8.3407047184174007E-4</v>
      </c>
      <c r="G137" s="2" cm="1">
        <f t="array" ref="G137">INDEX( ComputeThermoProps($A137, $B137, ParametersRange), 1, COLUMN()-2 )</f>
        <v>31.354384050708049</v>
      </c>
      <c r="H137" s="2" cm="1">
        <f t="array" ref="H137">INDEX( ComputeThermoProps($A137, $B137, ParametersRange), 1, COLUMN()-2 )</f>
        <v>24.762089655897849</v>
      </c>
      <c r="I137" s="2" cm="1">
        <f t="array" ref="I137">INDEX( ComputeThermoProps($A137, $B137, ParametersRange), 1, COLUMN()-2 )</f>
        <v>2.6800000000000006</v>
      </c>
      <c r="J137" s="2" cm="1">
        <f t="array" ref="J137">INDEX( ComputeThermoProps($A137, $B137, ParametersRange), 1, COLUMN()-2 )</f>
        <v>2787.3799546060714</v>
      </c>
      <c r="K137" s="2" cm="1">
        <f t="array" ref="K137">INDEX( ComputeThermoProps($A137, $B137, ParametersRange), 1, COLUMN()-2 )</f>
        <v>55.698791108820927</v>
      </c>
      <c r="L137" s="2" cm="1">
        <f t="array" ref="L137">INDEX( ComputeThermoProps($A137, $B137, ParametersRange), 1, COLUMN()-2 )</f>
        <v>-3846.3460664545009</v>
      </c>
      <c r="M137" s="2" cm="1">
        <f t="array" ref="M137">INDEX( ComputeThermoProps($A137, $B137, ParametersRange), 1, COLUMN()-2 )</f>
        <v>2787.4078530593479</v>
      </c>
      <c r="N137" s="2" cm="1">
        <f t="array" ref="N137">INDEX( ComputeThermoProps($A137, $B137, ParametersRange), 1, COLUMN()-2 )</f>
        <v>-3846.3181680012244</v>
      </c>
      <c r="O137" s="4">
        <f t="shared" si="3"/>
        <v>-3.1222851049593996</v>
      </c>
    </row>
    <row r="138" spans="1:15" x14ac:dyDescent="0.25">
      <c r="A138" s="2">
        <v>120.1</v>
      </c>
      <c r="B138" s="2">
        <f t="shared" si="2"/>
        <v>8.5681595622266965E-4</v>
      </c>
      <c r="C138" s="2" cm="1">
        <f t="array" ref="C138">INDEX( ComputeThermoProps($A138, $B138, ParametersRange), 1, COLUMN()-2 )</f>
        <v>37.00227557556483</v>
      </c>
      <c r="D138" s="2" cm="1">
        <f t="array" ref="D138">INDEX( ComputeThermoProps($A138, $B138, ParametersRange), 1, COLUMN()-2 )</f>
        <v>4.6751825779365463E-4</v>
      </c>
      <c r="E138" s="2" cm="1">
        <f t="array" ref="E138">INDEX( ComputeThermoProps($A138, $B138, ParametersRange), 1, COLUMN()-2 )</f>
        <v>3.681441494298153E-4</v>
      </c>
      <c r="F138" s="2" cm="1">
        <f t="array" ref="F138">INDEX( ComputeThermoProps($A138, $B138, ParametersRange), 1, COLUMN()-2 )</f>
        <v>8.386437997427046E-4</v>
      </c>
      <c r="G138" s="2" cm="1">
        <f t="array" ref="G138">INDEX( ComputeThermoProps($A138, $B138, ParametersRange), 1, COLUMN()-2 )</f>
        <v>31.452362808419529</v>
      </c>
      <c r="H138" s="2" cm="1">
        <f t="array" ref="H138">INDEX( ComputeThermoProps($A138, $B138, ParametersRange), 1, COLUMN()-2 )</f>
        <v>24.766954360901369</v>
      </c>
      <c r="I138" s="2" cm="1">
        <f t="array" ref="I138">INDEX( ComputeThermoProps($A138, $B138, ParametersRange), 1, COLUMN()-2 )</f>
        <v>2.6800000000000006</v>
      </c>
      <c r="J138" s="2" cm="1">
        <f t="array" ref="J138">INDEX( ComputeThermoProps($A138, $B138, ParametersRange), 1, COLUMN()-2 )</f>
        <v>2818.7828376079005</v>
      </c>
      <c r="K138" s="2" cm="1">
        <f t="array" ref="K138">INDEX( ComputeThermoProps($A138, $B138, ParametersRange), 1, COLUMN()-2 )</f>
        <v>55.961327785410191</v>
      </c>
      <c r="L138" s="2" cm="1">
        <f t="array" ref="L138">INDEX( ComputeThermoProps($A138, $B138, ParametersRange), 1, COLUMN()-2 )</f>
        <v>-3902.1726294198629</v>
      </c>
      <c r="M138" s="2" cm="1">
        <f t="array" ref="M138">INDEX( ComputeThermoProps($A138, $B138, ParametersRange), 1, COLUMN()-2 )</f>
        <v>2818.81454174803</v>
      </c>
      <c r="N138" s="2" cm="1">
        <f t="array" ref="N138">INDEX( ComputeThermoProps($A138, $B138, ParametersRange), 1, COLUMN()-2 )</f>
        <v>-3902.1409252797334</v>
      </c>
      <c r="O138" s="4">
        <f t="shared" si="3"/>
        <v>-3.0671124543669896</v>
      </c>
    </row>
    <row r="139" spans="1:15" x14ac:dyDescent="0.25">
      <c r="A139" s="2">
        <v>121.1</v>
      </c>
      <c r="B139" s="2">
        <f t="shared" si="2"/>
        <v>9.7146974381707584E-4</v>
      </c>
      <c r="C139" s="2" cm="1">
        <f t="array" ref="C139">INDEX( ComputeThermoProps($A139, $B139, ParametersRange), 1, COLUMN()-2 )</f>
        <v>37.033404070071477</v>
      </c>
      <c r="D139" s="2" cm="1">
        <f t="array" ref="D139">INDEX( ComputeThermoProps($A139, $B139, ParametersRange), 1, COLUMN()-2 )</f>
        <v>4.7041113140403458E-4</v>
      </c>
      <c r="E139" s="2" cm="1">
        <f t="array" ref="E139">INDEX( ComputeThermoProps($A139, $B139, ParametersRange), 1, COLUMN()-2 )</f>
        <v>3.6933031678275868E-4</v>
      </c>
      <c r="F139" s="2" cm="1">
        <f t="array" ref="F139">INDEX( ComputeThermoProps($A139, $B139, ParametersRange), 1, COLUMN()-2 )</f>
        <v>8.4328589753866051E-4</v>
      </c>
      <c r="G139" s="2" cm="1">
        <f t="array" ref="G139">INDEX( ComputeThermoProps($A139, $B139, ParametersRange), 1, COLUMN()-2 )</f>
        <v>31.551406119935379</v>
      </c>
      <c r="H139" s="2" cm="1">
        <f t="array" ref="H139">INDEX( ComputeThermoProps($A139, $B139, ParametersRange), 1, COLUMN()-2 )</f>
        <v>24.771715716923747</v>
      </c>
      <c r="I139" s="2" cm="1">
        <f t="array" ref="I139">INDEX( ComputeThermoProps($A139, $B139, ParametersRange), 1, COLUMN()-2 )</f>
        <v>2.6799999999999997</v>
      </c>
      <c r="J139" s="2" cm="1">
        <f t="array" ref="J139">INDEX( ComputeThermoProps($A139, $B139, ParametersRange), 1, COLUMN()-2 )</f>
        <v>2850.2841729991142</v>
      </c>
      <c r="K139" s="2" cm="1">
        <f t="array" ref="K139">INDEX( ComputeThermoProps($A139, $B139, ParametersRange), 1, COLUMN()-2 )</f>
        <v>56.222503168353491</v>
      </c>
      <c r="L139" s="2" cm="1">
        <f t="array" ref="L139">INDEX( ComputeThermoProps($A139, $B139, ParametersRange), 1, COLUMN()-2 )</f>
        <v>-3958.2609606884935</v>
      </c>
      <c r="M139" s="2" cm="1">
        <f t="array" ref="M139">INDEX( ComputeThermoProps($A139, $B139, ParametersRange), 1, COLUMN()-2 )</f>
        <v>2850.3201498306789</v>
      </c>
      <c r="N139" s="2" cm="1">
        <f t="array" ref="N139">INDEX( ComputeThermoProps($A139, $B139, ParametersRange), 1, COLUMN()-2 )</f>
        <v>-3958.2249838569287</v>
      </c>
      <c r="O139" s="4">
        <f t="shared" si="3"/>
        <v>-3.0125707208469139</v>
      </c>
    </row>
    <row r="140" spans="1:15" x14ac:dyDescent="0.25">
      <c r="A140" s="2">
        <v>122.1</v>
      </c>
      <c r="B140" s="2">
        <f t="shared" si="2"/>
        <v>1.099933868703853E-3</v>
      </c>
      <c r="C140" s="2" cm="1">
        <f t="array" ref="C140">INDEX( ComputeThermoProps($A140, $B140, ParametersRange), 1, COLUMN()-2 )</f>
        <v>37.064731861073916</v>
      </c>
      <c r="D140" s="2" cm="1">
        <f t="array" ref="D140">INDEX( ComputeThermoProps($A140, $B140, ParametersRange), 1, COLUMN()-2 )</f>
        <v>4.7335120767330667E-4</v>
      </c>
      <c r="E140" s="2" cm="1">
        <f t="array" ref="E140">INDEX( ComputeThermoProps($A140, $B140, ParametersRange), 1, COLUMN()-2 )</f>
        <v>3.7053252673742789E-4</v>
      </c>
      <c r="F140" s="2" cm="1">
        <f t="array" ref="F140">INDEX( ComputeThermoProps($A140, $B140, ParametersRange), 1, COLUMN()-2 )</f>
        <v>8.4799878894163596E-4</v>
      </c>
      <c r="G140" s="2" cm="1">
        <f t="array" ref="G140">INDEX( ComputeThermoProps($A140, $B140, ParametersRange), 1, COLUMN()-2 )</f>
        <v>31.651548545456695</v>
      </c>
      <c r="H140" s="2" cm="1">
        <f t="array" ref="H140">INDEX( ComputeThermoProps($A140, $B140, ParametersRange), 1, COLUMN()-2 )</f>
        <v>24.776377597825221</v>
      </c>
      <c r="I140" s="2" cm="1">
        <f t="array" ref="I140">INDEX( ComputeThermoProps($A140, $B140, ParametersRange), 1, COLUMN()-2 )</f>
        <v>2.68</v>
      </c>
      <c r="J140" s="2" cm="1">
        <f t="array" ref="J140">INDEX( ComputeThermoProps($A140, $B140, ParametersRange), 1, COLUMN()-2 )</f>
        <v>2881.8850353805478</v>
      </c>
      <c r="K140" s="2" cm="1">
        <f t="array" ref="K140">INDEX( ComputeThermoProps($A140, $B140, ParametersRange), 1, COLUMN()-2 )</f>
        <v>56.482348473496977</v>
      </c>
      <c r="L140" s="2" cm="1">
        <f t="array" ref="L140">INDEX( ComputeThermoProps($A140, $B140, ParametersRange), 1, COLUMN()-2 )</f>
        <v>-4014.6097132334326</v>
      </c>
      <c r="M140" s="2" cm="1">
        <f t="array" ref="M140">INDEX( ComputeThermoProps($A140, $B140, ParametersRange), 1, COLUMN()-2 )</f>
        <v>2881.925804134456</v>
      </c>
      <c r="N140" s="2" cm="1">
        <f t="array" ref="N140">INDEX( ComputeThermoProps($A140, $B140, ParametersRange), 1, COLUMN()-2 )</f>
        <v>-4014.5689444795244</v>
      </c>
      <c r="O140" s="4">
        <f t="shared" si="3"/>
        <v>-2.9586334251330113</v>
      </c>
    </row>
    <row r="141" spans="1:15" x14ac:dyDescent="0.25">
      <c r="A141" s="2">
        <v>123.1</v>
      </c>
      <c r="B141" s="2">
        <f t="shared" si="2"/>
        <v>1.2437265745429268E-3</v>
      </c>
      <c r="C141" s="2" cm="1">
        <f t="array" ref="C141">INDEX( ComputeThermoProps($A141, $B141, ParametersRange), 1, COLUMN()-2 )</f>
        <v>37.096262044712248</v>
      </c>
      <c r="D141" s="2" cm="1">
        <f t="array" ref="D141">INDEX( ComputeThermoProps($A141, $B141, ParametersRange), 1, COLUMN()-2 )</f>
        <v>4.7633977539470932E-4</v>
      </c>
      <c r="E141" s="2" cm="1">
        <f t="array" ref="E141">INDEX( ComputeThermoProps($A141, $B141, ParametersRange), 1, COLUMN()-2 )</f>
        <v>3.7175114158712383E-4</v>
      </c>
      <c r="F141" s="2" cm="1">
        <f t="array" ref="F141">INDEX( ComputeThermoProps($A141, $B141, ParametersRange), 1, COLUMN()-2 )</f>
        <v>8.5278456699822863E-4</v>
      </c>
      <c r="G141" s="2" cm="1">
        <f t="array" ref="G141">INDEX( ComputeThermoProps($A141, $B141, ParametersRange), 1, COLUMN()-2 )</f>
        <v>31.752825601742057</v>
      </c>
      <c r="H141" s="2" cm="1">
        <f t="array" ref="H141">INDEX( ComputeThermoProps($A141, $B141, ParametersRange), 1, COLUMN()-2 )</f>
        <v>24.780943720862261</v>
      </c>
      <c r="I141" s="2" cm="1">
        <f t="array" ref="I141">INDEX( ComputeThermoProps($A141, $B141, ParametersRange), 1, COLUMN()-2 )</f>
        <v>2.68</v>
      </c>
      <c r="J141" s="2" cm="1">
        <f t="array" ref="J141">INDEX( ComputeThermoProps($A141, $B141, ParametersRange), 1, COLUMN()-2 )</f>
        <v>2913.5865335185449</v>
      </c>
      <c r="K141" s="2" cm="1">
        <f t="array" ref="K141">INDEX( ComputeThermoProps($A141, $B141, ParametersRange), 1, COLUMN()-2 )</f>
        <v>56.740894431601724</v>
      </c>
      <c r="L141" s="2" cm="1">
        <f t="array" ref="L141">INDEX( ComputeThermoProps($A141, $B141, ParametersRange), 1, COLUMN()-2 )</f>
        <v>-4071.2175710116271</v>
      </c>
      <c r="M141" s="2" cm="1">
        <f t="array" ref="M141">INDEX( ComputeThermoProps($A141, $B141, ParametersRange), 1, COLUMN()-2 )</f>
        <v>2913.632671125466</v>
      </c>
      <c r="N141" s="2" cm="1">
        <f t="array" ref="N141">INDEX( ComputeThermoProps($A141, $B141, ParametersRange), 1, COLUMN()-2 )</f>
        <v>-4071.171433404706</v>
      </c>
      <c r="O141" s="4">
        <f t="shared" si="3"/>
        <v>-2.9052750860593246</v>
      </c>
    </row>
    <row r="142" spans="1:15" x14ac:dyDescent="0.25">
      <c r="A142" s="2">
        <v>124.1</v>
      </c>
      <c r="B142" s="2">
        <f t="shared" si="2"/>
        <v>1.4045229443872135E-3</v>
      </c>
      <c r="C142" s="2" cm="1">
        <f t="array" ref="C142">INDEX( ComputeThermoProps($A142, $B142, ParametersRange), 1, COLUMN()-2 )</f>
        <v>37.127997805028912</v>
      </c>
      <c r="D142" s="2" cm="1">
        <f t="array" ref="D142">INDEX( ComputeThermoProps($A142, $B142, ParametersRange), 1, COLUMN()-2 )</f>
        <v>4.7937817288763035E-4</v>
      </c>
      <c r="E142" s="2" cm="1">
        <f t="array" ref="E142">INDEX( ComputeThermoProps($A142, $B142, ParametersRange), 1, COLUMN()-2 )</f>
        <v>3.7298653568300957E-4</v>
      </c>
      <c r="F142" s="2" cm="1">
        <f t="array" ref="F142">INDEX( ComputeThermoProps($A142, $B142, ParametersRange), 1, COLUMN()-2 )</f>
        <v>8.5764539860436163E-4</v>
      </c>
      <c r="G142" s="2" cm="1">
        <f t="array" ref="G142">INDEX( ComputeThermoProps($A142, $B142, ParametersRange), 1, COLUMN()-2 )</f>
        <v>31.855273852936264</v>
      </c>
      <c r="H142" s="2" cm="1">
        <f t="array" ref="H142">INDEX( ComputeThermoProps($A142, $B142, ParametersRange), 1, COLUMN()-2 )</f>
        <v>24.7854176715413</v>
      </c>
      <c r="I142" s="2" cm="1">
        <f t="array" ref="I142">INDEX( ComputeThermoProps($A142, $B142, ParametersRange), 1, COLUMN()-2 )</f>
        <v>2.6800000000000006</v>
      </c>
      <c r="J142" s="2" cm="1">
        <f t="array" ref="J142">INDEX( ComputeThermoProps($A142, $B142, ParametersRange), 1, COLUMN()-2 )</f>
        <v>2945.3898112429779</v>
      </c>
      <c r="K142" s="2" cm="1">
        <f t="array" ref="K142">INDEX( ComputeThermoProps($A142, $B142, ParametersRange), 1, COLUMN()-2 )</f>
        <v>56.998171311347271</v>
      </c>
      <c r="L142" s="2" cm="1">
        <f t="array" ref="L142">INDEX( ComputeThermoProps($A142, $B142, ParametersRange), 1, COLUMN()-2 )</f>
        <v>-4128.083248495218</v>
      </c>
      <c r="M142" s="2" cm="1">
        <f t="array" ref="M142">INDEX( ComputeThermoProps($A142, $B142, ParametersRange), 1, COLUMN()-2 )</f>
        <v>2945.4419583677741</v>
      </c>
      <c r="N142" s="2" cm="1">
        <f t="array" ref="N142">INDEX( ComputeThermoProps($A142, $B142, ParametersRange), 1, COLUMN()-2 )</f>
        <v>-4128.0311013704222</v>
      </c>
      <c r="O142" s="4">
        <f t="shared" si="3"/>
        <v>-2.8524711617387535</v>
      </c>
    </row>
    <row r="143" spans="1:15" x14ac:dyDescent="0.25">
      <c r="A143" s="2">
        <v>125.1</v>
      </c>
      <c r="B143" s="2">
        <f t="shared" si="2"/>
        <v>1.5841708127611008E-3</v>
      </c>
      <c r="C143" s="2" cm="1">
        <f t="array" ref="C143">INDEX( ComputeThermoProps($A143, $B143, ParametersRange), 1, COLUMN()-2 )</f>
        <v>37.15994241687725</v>
      </c>
      <c r="D143" s="2" cm="1">
        <f t="array" ref="D143">INDEX( ComputeThermoProps($A143, $B143, ParametersRange), 1, COLUMN()-2 )</f>
        <v>4.8246779034259219E-4</v>
      </c>
      <c r="E143" s="2" cm="1">
        <f t="array" ref="E143">INDEX( ComputeThermoProps($A143, $B143, ParametersRange), 1, COLUMN()-2 )</f>
        <v>3.742390959423095E-4</v>
      </c>
      <c r="F143" s="2" cm="1">
        <f t="array" ref="F143">INDEX( ComputeThermoProps($A143, $B143, ParametersRange), 1, COLUMN()-2 )</f>
        <v>8.6258352766860552E-4</v>
      </c>
      <c r="G143" s="2" cm="1">
        <f t="array" ref="G143">INDEX( ComputeThermoProps($A143, $B143, ParametersRange), 1, COLUMN()-2 )</f>
        <v>31.958930946214767</v>
      </c>
      <c r="H143" s="2" cm="1">
        <f t="array" ref="H143">INDEX( ComputeThermoProps($A143, $B143, ParametersRange), 1, COLUMN()-2 )</f>
        <v>24.789802892544017</v>
      </c>
      <c r="I143" s="2" cm="1">
        <f t="array" ref="I143">INDEX( ComputeThermoProps($A143, $B143, ParametersRange), 1, COLUMN()-2 )</f>
        <v>2.68</v>
      </c>
      <c r="J143" s="2" cm="1">
        <f t="array" ref="J143">INDEX( ComputeThermoProps($A143, $B143, ParametersRange), 1, COLUMN()-2 )</f>
        <v>2977.2960483966181</v>
      </c>
      <c r="K143" s="2" cm="1">
        <f t="array" ref="K143">INDEX( ComputeThermoProps($A143, $B143, ParametersRange), 1, COLUMN()-2 )</f>
        <v>57.254208941829482</v>
      </c>
      <c r="L143" s="2" cm="1">
        <f t="array" ref="L143">INDEX( ComputeThermoProps($A143, $B143, ParametersRange), 1, COLUMN()-2 )</f>
        <v>-4185.2054902262498</v>
      </c>
      <c r="M143" s="2" cm="1">
        <f t="array" ref="M143">INDEX( ComputeThermoProps($A143, $B143, ParametersRange), 1, COLUMN()-2 )</f>
        <v>2977.3549160927987</v>
      </c>
      <c r="N143" s="2" cm="1">
        <f t="array" ref="N143">INDEX( ComputeThermoProps($A143, $B143, ParametersRange), 1, COLUMN()-2 )</f>
        <v>-4185.1466225300692</v>
      </c>
      <c r="O143" s="4">
        <f t="shared" si="3"/>
        <v>-2.8001979925444682</v>
      </c>
    </row>
    <row r="144" spans="1:15" x14ac:dyDescent="0.25">
      <c r="A144" s="2">
        <v>126.1</v>
      </c>
      <c r="B144" s="2">
        <f t="shared" si="2"/>
        <v>1.7847083449680872E-3</v>
      </c>
      <c r="C144" s="2" cm="1">
        <f t="array" ref="C144">INDEX( ComputeThermoProps($A144, $B144, ParametersRange), 1, COLUMN()-2 )</f>
        <v>37.1920992489597</v>
      </c>
      <c r="D144" s="2" cm="1">
        <f t="array" ref="D144">INDEX( ComputeThermoProps($A144, $B144, ParametersRange), 1, COLUMN()-2 )</f>
        <v>4.8561007250042773E-4</v>
      </c>
      <c r="E144" s="2" cm="1">
        <f t="array" ref="E144">INDEX( ComputeThermoProps($A144, $B144, ParametersRange), 1, COLUMN()-2 )</f>
        <v>3.7550922238259655E-4</v>
      </c>
      <c r="F144" s="2" cm="1">
        <f t="array" ref="F144">INDEX( ComputeThermoProps($A144, $B144, ParametersRange), 1, COLUMN()-2 )</f>
        <v>8.6760128002801419E-4</v>
      </c>
      <c r="G144" s="2" cm="1">
        <f t="array" ref="G144">INDEX( ComputeThermoProps($A144, $B144, ParametersRange), 1, COLUMN()-2 )</f>
        <v>32.063835707646</v>
      </c>
      <c r="H144" s="2" cm="1">
        <f t="array" ref="H144">INDEX( ComputeThermoProps($A144, $B144, ParametersRange), 1, COLUMN()-2 )</f>
        <v>24.794102707107413</v>
      </c>
      <c r="I144" s="2" cm="1">
        <f t="array" ref="I144">INDEX( ComputeThermoProps($A144, $B144, ParametersRange), 1, COLUMN()-2 )</f>
        <v>2.6800000000000006</v>
      </c>
      <c r="J144" s="2" cm="1">
        <f t="array" ref="J144">INDEX( ComputeThermoProps($A144, $B144, ParametersRange), 1, COLUMN()-2 )</f>
        <v>3009.3064618372719</v>
      </c>
      <c r="K144" s="2" cm="1">
        <f t="array" ref="K144">INDEX( ComputeThermoProps($A144, $B144, ParametersRange), 1, COLUMN()-2 )</f>
        <v>57.509036734588506</v>
      </c>
      <c r="L144" s="2" cm="1">
        <f t="array" ref="L144">INDEX( ComputeThermoProps($A144, $B144, ParametersRange), 1, COLUMN()-2 )</f>
        <v>-4242.5830703943384</v>
      </c>
      <c r="M144" s="2" cm="1">
        <f t="array" ref="M144">INDEX( ComputeThermoProps($A144, $B144, ParametersRange), 1, COLUMN()-2 )</f>
        <v>3009.3728388871682</v>
      </c>
      <c r="N144" s="2" cm="1">
        <f t="array" ref="N144">INDEX( ComputeThermoProps($A144, $B144, ParametersRange), 1, COLUMN()-2 )</f>
        <v>-4242.5166933444416</v>
      </c>
      <c r="O144" s="4">
        <f t="shared" si="3"/>
        <v>-2.7484327456694762</v>
      </c>
    </row>
    <row r="145" spans="1:15" x14ac:dyDescent="0.25">
      <c r="A145" s="2">
        <v>127.1</v>
      </c>
      <c r="B145" s="2">
        <f t="shared" si="2"/>
        <v>2.0083834732780035E-3</v>
      </c>
      <c r="C145" s="2" cm="1">
        <f t="array" ref="C145">INDEX( ComputeThermoProps($A145, $B145, ParametersRange), 1, COLUMN()-2 )</f>
        <v>37.224471766999862</v>
      </c>
      <c r="D145" s="2" cm="1">
        <f t="array" ref="D145">INDEX( ComputeThermoProps($A145, $B145, ParametersRange), 1, COLUMN()-2 )</f>
        <v>4.8880652130149855E-4</v>
      </c>
      <c r="E145" s="2" cm="1">
        <f t="array" ref="E145">INDEX( ComputeThermoProps($A145, $B145, ParametersRange), 1, COLUMN()-2 )</f>
        <v>3.7679732868362394E-4</v>
      </c>
      <c r="F145" s="2" cm="1">
        <f t="array" ref="F145">INDEX( ComputeThermoProps($A145, $B145, ParametersRange), 1, COLUMN()-2 )</f>
        <v>8.7270106709707391E-4</v>
      </c>
      <c r="G145" s="2" cm="1">
        <f t="array" ref="G145">INDEX( ComputeThermoProps($A145, $B145, ParametersRange), 1, COLUMN()-2 )</f>
        <v>32.170028185635928</v>
      </c>
      <c r="H145" s="2" cm="1">
        <f t="array" ref="H145">INDEX( ComputeThermoProps($A145, $B145, ParametersRange), 1, COLUMN()-2 )</f>
        <v>24.798320308308345</v>
      </c>
      <c r="I145" s="2" cm="1">
        <f t="array" ref="I145">INDEX( ComputeThermoProps($A145, $B145, ParametersRange), 1, COLUMN()-2 )</f>
        <v>2.68</v>
      </c>
      <c r="J145" s="2" cm="1">
        <f t="array" ref="J145">INDEX( ComputeThermoProps($A145, $B145, ParametersRange), 1, COLUMN()-2 )</f>
        <v>3041.4223064941134</v>
      </c>
      <c r="K145" s="2" cm="1">
        <f t="array" ref="K145">INDEX( ComputeThermoProps($A145, $B145, ParametersRange), 1, COLUMN()-2 )</f>
        <v>57.762683705201212</v>
      </c>
      <c r="L145" s="2" cm="1">
        <f t="array" ref="L145">INDEX( ComputeThermoProps($A145, $B145, ParametersRange), 1, COLUMN()-2 )</f>
        <v>-4300.2147924369601</v>
      </c>
      <c r="M145" s="2" cm="1">
        <f t="array" ref="M145">INDEX( ComputeThermoProps($A145, $B145, ParametersRange), 1, COLUMN()-2 )</f>
        <v>3041.4970675080117</v>
      </c>
      <c r="N145" s="2" cm="1">
        <f t="array" ref="N145">INDEX( ComputeThermoProps($A145, $B145, ParametersRange), 1, COLUMN()-2 )</f>
        <v>-4300.1400314230623</v>
      </c>
      <c r="O145" s="4">
        <f t="shared" si="3"/>
        <v>-2.6971533610348439</v>
      </c>
    </row>
    <row r="146" spans="1:15" x14ac:dyDescent="0.25">
      <c r="A146" s="2">
        <v>128.1</v>
      </c>
      <c r="B146" s="2">
        <f t="shared" si="2"/>
        <v>2.257675404294696E-3</v>
      </c>
      <c r="C146" s="2" cm="1">
        <f t="array" ref="C146">INDEX( ComputeThermoProps($A146, $B146, ParametersRange), 1, COLUMN()-2 )</f>
        <v>37.257063537052794</v>
      </c>
      <c r="D146" s="2" cm="1">
        <f t="array" ref="D146">INDEX( ComputeThermoProps($A146, $B146, ParametersRange), 1, COLUMN()-2 )</f>
        <v>4.9205869890940797E-4</v>
      </c>
      <c r="E146" s="2" cm="1">
        <f t="array" ref="E146">INDEX( ComputeThermoProps($A146, $B146, ParametersRange), 1, COLUMN()-2 )</f>
        <v>3.7810384277822136E-4</v>
      </c>
      <c r="F146" s="2" cm="1">
        <f t="array" ref="F146">INDEX( ComputeThermoProps($A146, $B146, ParametersRange), 1, COLUMN()-2 )</f>
        <v>8.7788539141535977E-4</v>
      </c>
      <c r="G146" s="2" cm="1">
        <f t="array" ref="G146">INDEX( ComputeThermoProps($A146, $B146, ParametersRange), 1, COLUMN()-2 )</f>
        <v>32.277549758973223</v>
      </c>
      <c r="H146" s="2" cm="1">
        <f t="array" ref="H146">INDEX( ComputeThermoProps($A146, $B146, ParametersRange), 1, COLUMN()-2 )</f>
        <v>24.802458784657993</v>
      </c>
      <c r="I146" s="2" cm="1">
        <f t="array" ref="I146">INDEX( ComputeThermoProps($A146, $B146, ParametersRange), 1, COLUMN()-2 )</f>
        <v>2.6800000000000006</v>
      </c>
      <c r="J146" s="2" cm="1">
        <f t="array" ref="J146">INDEX( ComputeThermoProps($A146, $B146, ParametersRange), 1, COLUMN()-2 )</f>
        <v>3073.6448764796678</v>
      </c>
      <c r="K146" s="2" cm="1">
        <f t="array" ref="K146">INDEX( ComputeThermoProps($A146, $B146, ParametersRange), 1, COLUMN()-2 )</f>
        <v>58.015178494470774</v>
      </c>
      <c r="L146" s="2" cm="1">
        <f t="array" ref="L146">INDEX( ComputeThermoProps($A146, $B146, ParametersRange), 1, COLUMN()-2 )</f>
        <v>-4358.0994886620383</v>
      </c>
      <c r="M146" s="2" cm="1">
        <f t="array" ref="M146">INDEX( ComputeThermoProps($A146, $B146, ParametersRange), 1, COLUMN()-2 )</f>
        <v>3073.7289908356515</v>
      </c>
      <c r="N146" s="2" cm="1">
        <f t="array" ref="N146">INDEX( ComputeThermoProps($A146, $B146, ParametersRange), 1, COLUMN()-2 )</f>
        <v>-4358.0153743060546</v>
      </c>
      <c r="O146" s="4">
        <f t="shared" si="3"/>
        <v>-2.6463384983088001</v>
      </c>
    </row>
    <row r="147" spans="1:15" x14ac:dyDescent="0.25">
      <c r="A147" s="2">
        <v>129.1</v>
      </c>
      <c r="B147" s="2">
        <f t="shared" ref="B147:B210" si="4">IF(
  A147 &lt;= $B$5,
  $B$6 * EXP( ($B$5/A147) * ( $B$8*(1 - A147/$B$5) + $B$9*(1 - A147/$B$5)^1.5 + $B$10*(1 - A147/$B$5)^5 ) ),
  $B$6 * ( 1 + $B$12 * MAX(A147/$B$5 - 1, 0)^$B$13 + $B$14 * MAX(A147/$B$5 - 1, 0)^$B$15 )
)</f>
        <v>2.5353184402621266E-3</v>
      </c>
      <c r="C147" s="2" cm="1">
        <f t="array" ref="C147">INDEX( ComputeThermoProps($A147, $B147, ParametersRange), 1, COLUMN()-2 )</f>
        <v>37.289878228957619</v>
      </c>
      <c r="D147" s="2" cm="1">
        <f t="array" ref="D147">INDEX( ComputeThermoProps($A147, $B147, ParametersRange), 1, COLUMN()-2 )</f>
        <v>4.9536823068446734E-4</v>
      </c>
      <c r="E147" s="2" cm="1">
        <f t="array" ref="E147">INDEX( ComputeThermoProps($A147, $B147, ParametersRange), 1, COLUMN()-2 )</f>
        <v>3.7942920747387101E-4</v>
      </c>
      <c r="F147" s="2" cm="1">
        <f t="array" ref="F147">INDEX( ComputeThermoProps($A147, $B147, ParametersRange), 1, COLUMN()-2 )</f>
        <v>8.8315685065971255E-4</v>
      </c>
      <c r="G147" s="2" cm="1">
        <f t="array" ref="G147">INDEX( ComputeThermoProps($A147, $B147, ParametersRange), 1, COLUMN()-2 )</f>
        <v>32.386443182059956</v>
      </c>
      <c r="H147" s="2" cm="1">
        <f t="array" ref="H147">INDEX( ComputeThermoProps($A147, $B147, ParametersRange), 1, COLUMN()-2 )</f>
        <v>24.806521105496227</v>
      </c>
      <c r="I147" s="2" cm="1">
        <f t="array" ref="I147">INDEX( ComputeThermoProps($A147, $B147, ParametersRange), 1, COLUMN()-2 )</f>
        <v>2.68</v>
      </c>
      <c r="J147" s="2" cm="1">
        <f t="array" ref="J147">INDEX( ComputeThermoProps($A147, $B147, ParametersRange), 1, COLUMN()-2 )</f>
        <v>3105.9755062589584</v>
      </c>
      <c r="K147" s="2" cm="1">
        <f t="array" ref="K147">INDEX( ComputeThermoProps($A147, $B147, ParametersRange), 1, COLUMN()-2 )</f>
        <v>58.266549389244787</v>
      </c>
      <c r="L147" s="2" cm="1">
        <f t="array" ref="L147">INDEX( ComputeThermoProps($A147, $B147, ParametersRange), 1, COLUMN()-2 )</f>
        <v>-4416.2360198925435</v>
      </c>
      <c r="M147" s="2" cm="1">
        <f t="array" ref="M147">INDEX( ComputeThermoProps($A147, $B147, ParametersRange), 1, COLUMN()-2 )</f>
        <v>3106.0700479748675</v>
      </c>
      <c r="N147" s="2" cm="1">
        <f t="array" ref="N147">INDEX( ComputeThermoProps($A147, $B147, ParametersRange), 1, COLUMN()-2 )</f>
        <v>-4416.1414781766343</v>
      </c>
      <c r="O147" s="4">
        <f t="shared" ref="O147:O210" si="5">LOG10(B147)</f>
        <v>-2.595967484787002</v>
      </c>
    </row>
    <row r="148" spans="1:15" x14ac:dyDescent="0.25">
      <c r="A148" s="2">
        <v>130.1</v>
      </c>
      <c r="B148" s="2">
        <f t="shared" si="4"/>
        <v>2.8443283900373472E-3</v>
      </c>
      <c r="C148" s="2" cm="1">
        <f t="array" ref="C148">INDEX( ComputeThermoProps($A148, $B148, ParametersRange), 1, COLUMN()-2 )</f>
        <v>37.3229196199364</v>
      </c>
      <c r="D148" s="2" cm="1">
        <f t="array" ref="D148">INDEX( ComputeThermoProps($A148, $B148, ParametersRange), 1, COLUMN()-2 )</f>
        <v>4.9873680855898783E-4</v>
      </c>
      <c r="E148" s="2" cm="1">
        <f t="array" ref="E148">INDEX( ComputeThermoProps($A148, $B148, ParametersRange), 1, COLUMN()-2 )</f>
        <v>3.8077388110664603E-4</v>
      </c>
      <c r="F148" s="2" cm="1">
        <f t="array" ref="F148">INDEX( ComputeThermoProps($A148, $B148, ParametersRange), 1, COLUMN()-2 )</f>
        <v>8.8851814359008289E-4</v>
      </c>
      <c r="G148" s="2" cm="1">
        <f t="array" ref="G148">INDEX( ComputeThermoProps($A148, $B148, ParametersRange), 1, COLUMN()-2 )</f>
        <v>32.496752695005789</v>
      </c>
      <c r="H148" s="2" cm="1">
        <f t="array" ref="H148">INDEX( ComputeThermoProps($A148, $B148, ParametersRange), 1, COLUMN()-2 )</f>
        <v>24.810510142197966</v>
      </c>
      <c r="I148" s="2" cm="1">
        <f t="array" ref="I148">INDEX( ComputeThermoProps($A148, $B148, ParametersRange), 1, COLUMN()-2 )</f>
        <v>2.68</v>
      </c>
      <c r="J148" s="2" cm="1">
        <f t="array" ref="J148">INDEX( ComputeThermoProps($A148, $B148, ParametersRange), 1, COLUMN()-2 )</f>
        <v>3138.4155718772558</v>
      </c>
      <c r="K148" s="2" cm="1">
        <f t="array" ref="K148">INDEX( ComputeThermoProps($A148, $B148, ParametersRange), 1, COLUMN()-2 )</f>
        <v>58.516824342891113</v>
      </c>
      <c r="L148" s="2" cm="1">
        <f t="array" ref="L148">INDEX( ComputeThermoProps($A148, $B148, ParametersRange), 1, COLUMN()-2 )</f>
        <v>-4474.623275132878</v>
      </c>
      <c r="M148" s="2" cm="1">
        <f t="array" ref="M148">INDEX( ComputeThermoProps($A148, $B148, ParametersRange), 1, COLUMN()-2 )</f>
        <v>3138.52173051713</v>
      </c>
      <c r="N148" s="2" cm="1">
        <f t="array" ref="N148">INDEX( ComputeThermoProps($A148, $B148, ParametersRange), 1, COLUMN()-2 )</f>
        <v>-4474.5171164930034</v>
      </c>
      <c r="O148" s="4">
        <f t="shared" si="5"/>
        <v>-2.5460202638677694</v>
      </c>
    </row>
    <row r="149" spans="1:15" x14ac:dyDescent="0.25">
      <c r="A149" s="2">
        <v>131.1</v>
      </c>
      <c r="B149" s="2">
        <f t="shared" si="4"/>
        <v>3.1880318838063992E-3</v>
      </c>
      <c r="C149" s="2" cm="1">
        <f t="array" ref="C149">INDEX( ComputeThermoProps($A149, $B149, ParametersRange), 1, COLUMN()-2 )</f>
        <v>37.356191598343088</v>
      </c>
      <c r="D149" s="2" cm="1">
        <f t="array" ref="D149">INDEX( ComputeThermoProps($A149, $B149, ParametersRange), 1, COLUMN()-2 )</f>
        <v>5.0216619447479994E-4</v>
      </c>
      <c r="E149" s="2" cm="1">
        <f t="array" ref="E149">INDEX( ComputeThermoProps($A149, $B149, ParametersRange), 1, COLUMN()-2 )</f>
        <v>3.8213833822926536E-4</v>
      </c>
      <c r="F149" s="2" cm="1">
        <f t="array" ref="F149">INDEX( ComputeThermoProps($A149, $B149, ParametersRange), 1, COLUMN()-2 )</f>
        <v>8.939720751930222E-4</v>
      </c>
      <c r="G149" s="2" cm="1">
        <f t="array" ref="G149">INDEX( ComputeThermoProps($A149, $B149, ParametersRange), 1, COLUMN()-2 )</f>
        <v>32.608524097235318</v>
      </c>
      <c r="H149" s="2" cm="1">
        <f t="array" ref="H149">INDEX( ComputeThermoProps($A149, $B149, ParametersRange), 1, COLUMN()-2 )</f>
        <v>24.814428664715269</v>
      </c>
      <c r="I149" s="2" cm="1">
        <f t="array" ref="I149">INDEX( ComputeThermoProps($A149, $B149, ParametersRange), 1, COLUMN()-2 )</f>
        <v>2.68</v>
      </c>
      <c r="J149" s="2" cm="1">
        <f t="array" ref="J149">INDEX( ComputeThermoProps($A149, $B149, ParametersRange), 1, COLUMN()-2 )</f>
        <v>3170.9664922478373</v>
      </c>
      <c r="K149" s="2" cm="1">
        <f t="array" ref="K149">INDEX( ComputeThermoProps($A149, $B149, ParametersRange), 1, COLUMN()-2 )</f>
        <v>58.766030995459282</v>
      </c>
      <c r="L149" s="2" cm="1">
        <f t="array" ref="L149">INDEX( ComputeThermoProps($A149, $B149, ParametersRange), 1, COLUMN()-2 )</f>
        <v>-4533.2601712568739</v>
      </c>
      <c r="M149" s="2" cm="1">
        <f t="array" ref="M149">INDEX( ComputeThermoProps($A149, $B149, ParametersRange), 1, COLUMN()-2 )</f>
        <v>3171.0855849777104</v>
      </c>
      <c r="N149" s="2" cm="1">
        <f t="array" ref="N149">INDEX( ComputeThermoProps($A149, $B149, ParametersRange), 1, COLUMN()-2 )</f>
        <v>-4533.1410785270009</v>
      </c>
      <c r="O149" s="4">
        <f t="shared" si="5"/>
        <v>-2.4964773438342882</v>
      </c>
    </row>
    <row r="150" spans="1:15" x14ac:dyDescent="0.25">
      <c r="A150" s="2">
        <v>132.1</v>
      </c>
      <c r="B150" s="2">
        <f t="shared" si="4"/>
        <v>3.5700989504060311E-3</v>
      </c>
      <c r="C150" s="2" cm="1">
        <f t="array" ref="C150">INDEX( ComputeThermoProps($A150, $B150, ParametersRange), 1, COLUMN()-2 )</f>
        <v>37.389698167565541</v>
      </c>
      <c r="D150" s="2" cm="1">
        <f t="array" ref="D150">INDEX( ComputeThermoProps($A150, $B150, ParametersRange), 1, COLUMN()-2 )</f>
        <v>5.0565822408943958E-4</v>
      </c>
      <c r="E150" s="2" cm="1">
        <f t="array" ref="E150">INDEX( ComputeThermoProps($A150, $B150, ParametersRange), 1, COLUMN()-2 )</f>
        <v>3.8352307033510962E-4</v>
      </c>
      <c r="F150" s="2" cm="1">
        <f t="array" ref="F150">INDEX( ComputeThermoProps($A150, $B150, ParametersRange), 1, COLUMN()-2 )</f>
        <v>8.9952156254327392E-4</v>
      </c>
      <c r="G150" s="2" cm="1">
        <f t="array" ref="G150">INDEX( ComputeThermoProps($A150, $B150, ParametersRange), 1, COLUMN()-2 )</f>
        <v>32.721804840200967</v>
      </c>
      <c r="H150" s="2" cm="1">
        <f t="array" ref="H150">INDEX( ComputeThermoProps($A150, $B150, ParametersRange), 1, COLUMN()-2 )</f>
        <v>24.818279346328577</v>
      </c>
      <c r="I150" s="2" cm="1">
        <f t="array" ref="I150">INDEX( ComputeThermoProps($A150, $B150, ParametersRange), 1, COLUMN()-2 )</f>
        <v>2.68</v>
      </c>
      <c r="J150" s="2" cm="1">
        <f t="array" ref="J150">INDEX( ComputeThermoProps($A150, $B150, ParametersRange), 1, COLUMN()-2 )</f>
        <v>3203.6297305010871</v>
      </c>
      <c r="K150" s="2" cm="1">
        <f t="array" ref="K150">INDEX( ComputeThermoProps($A150, $B150, ParametersRange), 1, COLUMN()-2 )</f>
        <v>59.014196693552847</v>
      </c>
      <c r="L150" s="2" cm="1">
        <f t="array" ref="L150">INDEX( ComputeThermoProps($A150, $B150, ParametersRange), 1, COLUMN()-2 )</f>
        <v>-4592.145652717244</v>
      </c>
      <c r="M150" s="2" cm="1">
        <f t="array" ref="M150">INDEX( ComputeThermoProps($A150, $B150, ParametersRange), 1, COLUMN()-2 )</f>
        <v>3203.763215423271</v>
      </c>
      <c r="N150" s="2" cm="1">
        <f t="array" ref="N150">INDEX( ComputeThermoProps($A150, $B150, ParametersRange), 1, COLUMN()-2 )</f>
        <v>-4592.0121677950601</v>
      </c>
      <c r="O150" s="4">
        <f t="shared" si="5"/>
        <v>-2.4473197466273646</v>
      </c>
    </row>
    <row r="151" spans="1:15" x14ac:dyDescent="0.25">
      <c r="A151" s="2">
        <v>133.1</v>
      </c>
      <c r="B151" s="2">
        <f t="shared" si="4"/>
        <v>3.9945792686547519E-3</v>
      </c>
      <c r="C151" s="2" cm="1">
        <f t="array" ref="C151">INDEX( ComputeThermoProps($A151, $B151, ParametersRange), 1, COLUMN()-2 )</f>
        <v>37.423443450083447</v>
      </c>
      <c r="D151" s="2" cm="1">
        <f t="array" ref="D151">INDEX( ComputeThermoProps($A151, $B151, ParametersRange), 1, COLUMN()-2 )</f>
        <v>5.0921481077047497E-4</v>
      </c>
      <c r="E151" s="2" cm="1">
        <f t="array" ref="E151">INDEX( ComputeThermoProps($A151, $B151, ParametersRange), 1, COLUMN()-2 )</f>
        <v>3.8492858662010176E-4</v>
      </c>
      <c r="F151" s="2" cm="1">
        <f t="array" ref="F151">INDEX( ComputeThermoProps($A151, $B151, ParametersRange), 1, COLUMN()-2 )</f>
        <v>9.0516964140567536E-4</v>
      </c>
      <c r="G151" s="2" cm="1">
        <f t="array" ref="G151">INDEX( ComputeThermoProps($A151, $B151, ParametersRange), 1, COLUMN()-2 )</f>
        <v>32.836644139239681</v>
      </c>
      <c r="H151" s="2" cm="1">
        <f t="array" ref="H151">INDEX( ComputeThermoProps($A151, $B151, ParametersRange), 1, COLUMN()-2 )</f>
        <v>24.822064776042154</v>
      </c>
      <c r="I151" s="2" cm="1">
        <f t="array" ref="I151">INDEX( ComputeThermoProps($A151, $B151, ParametersRange), 1, COLUMN()-2 )</f>
        <v>2.68</v>
      </c>
      <c r="J151" s="2" cm="1">
        <f t="array" ref="J151">INDEX( ComputeThermoProps($A151, $B151, ParametersRange), 1, COLUMN()-2 )</f>
        <v>3236.4067953961408</v>
      </c>
      <c r="K151" s="2" cm="1">
        <f t="array" ref="K151">INDEX( ComputeThermoProps($A151, $B151, ParametersRange), 1, COLUMN()-2 )</f>
        <v>59.261348509936454</v>
      </c>
      <c r="L151" s="2" cm="1">
        <f t="array" ref="L151">INDEX( ComputeThermoProps($A151, $B151, ParametersRange), 1, COLUMN()-2 )</f>
        <v>-4651.2786912764013</v>
      </c>
      <c r="M151" s="2" cm="1">
        <f t="array" ref="M151">INDEX( ComputeThermoProps($A151, $B151, ParametersRange), 1, COLUMN()-2 )</f>
        <v>3236.5562863075083</v>
      </c>
      <c r="N151" s="2" cm="1">
        <f t="array" ref="N151">INDEX( ComputeThermoProps($A151, $B151, ParametersRange), 1, COLUMN()-2 )</f>
        <v>-4651.1292003650333</v>
      </c>
      <c r="O151" s="4">
        <f t="shared" si="5"/>
        <v>-2.3985289562558423</v>
      </c>
    </row>
    <row r="152" spans="1:15" x14ac:dyDescent="0.25">
      <c r="A152" s="2">
        <v>134.1</v>
      </c>
      <c r="B152" s="2">
        <f t="shared" si="4"/>
        <v>4.4659425660305502E-3</v>
      </c>
      <c r="C152" s="2" cm="1">
        <f t="array" ref="C152">INDEX( ComputeThermoProps($A152, $B152, ParametersRange), 1, COLUMN()-2 )</f>
        <v>37.457431691683801</v>
      </c>
      <c r="D152" s="2" cm="1">
        <f t="array" ref="D152">INDEX( ComputeThermoProps($A152, $B152, ParametersRange), 1, COLUMN()-2 )</f>
        <v>5.1283794970212058E-4</v>
      </c>
      <c r="E152" s="2" cm="1">
        <f t="array" ref="E152">INDEX( ComputeThermoProps($A152, $B152, ParametersRange), 1, COLUMN()-2 )</f>
        <v>3.8635541478440545E-4</v>
      </c>
      <c r="F152" s="2" cm="1">
        <f t="array" ref="F152">INDEX( ComputeThermoProps($A152, $B152, ParametersRange), 1, COLUMN()-2 )</f>
        <v>9.1091947218518814E-4</v>
      </c>
      <c r="G152" s="2" cm="1">
        <f t="array" ref="G152">INDEX( ComputeThermoProps($A152, $B152, ParametersRange), 1, COLUMN()-2 )</f>
        <v>32.953093053399122</v>
      </c>
      <c r="H152" s="2" cm="1">
        <f t="array" ref="H152">INDEX( ComputeThermoProps($A152, $B152, ParametersRange), 1, COLUMN()-2 )</f>
        <v>24.825787448979192</v>
      </c>
      <c r="I152" s="2" cm="1">
        <f t="array" ref="I152">INDEX( ComputeThermoProps($A152, $B152, ParametersRange), 1, COLUMN()-2 )</f>
        <v>2.6800000000000006</v>
      </c>
      <c r="J152" s="2" cm="1">
        <f t="array" ref="J152">INDEX( ComputeThermoProps($A152, $B152, ParametersRange), 1, COLUMN()-2 )</f>
        <v>3269.2992427960003</v>
      </c>
      <c r="K152" s="2" cm="1">
        <f t="array" ref="K152">INDEX( ComputeThermoProps($A152, $B152, ParametersRange), 1, COLUMN()-2 )</f>
        <v>59.507513262897923</v>
      </c>
      <c r="L152" s="2" cm="1">
        <f t="array" ref="L152">INDEX( ComputeThermoProps($A152, $B152, ParametersRange), 1, COLUMN()-2 )</f>
        <v>-4710.6582857586109</v>
      </c>
      <c r="M152" s="2" cm="1">
        <f t="array" ref="M152">INDEX( ComputeThermoProps($A152, $B152, ParametersRange), 1, COLUMN()-2 )</f>
        <v>3269.4665255346063</v>
      </c>
      <c r="N152" s="2" cm="1">
        <f t="array" ref="N152">INDEX( ComputeThermoProps($A152, $B152, ParametersRange), 1, COLUMN()-2 )</f>
        <v>-4710.4910030200053</v>
      </c>
      <c r="O152" s="4">
        <f t="shared" si="5"/>
        <v>-2.3500868664451442</v>
      </c>
    </row>
    <row r="153" spans="1:15" x14ac:dyDescent="0.25">
      <c r="A153" s="2">
        <v>135.1</v>
      </c>
      <c r="B153" s="2">
        <f t="shared" si="4"/>
        <v>4.9891237114172747E-3</v>
      </c>
      <c r="C153" s="2" cm="1">
        <f t="array" ref="C153">INDEX( ComputeThermoProps($A153, $B153, ParametersRange), 1, COLUMN()-2 )</f>
        <v>37.491667265834764</v>
      </c>
      <c r="D153" s="2" cm="1">
        <f t="array" ref="D153">INDEX( ComputeThermoProps($A153, $B153, ParametersRange), 1, COLUMN()-2 )</f>
        <v>5.1652972247656658E-4</v>
      </c>
      <c r="E153" s="2" cm="1">
        <f t="array" ref="E153">INDEX( ComputeThermoProps($A153, $B153, ParametersRange), 1, COLUMN()-2 )</f>
        <v>3.8780410187595976E-4</v>
      </c>
      <c r="F153" s="2" cm="1">
        <f t="array" ref="F153">INDEX( ComputeThermoProps($A153, $B153, ParametersRange), 1, COLUMN()-2 )</f>
        <v>9.1677434785519308E-4</v>
      </c>
      <c r="G153" s="2" cm="1">
        <f t="array" ref="G153">INDEX( ComputeThermoProps($A153, $B153, ParametersRange), 1, COLUMN()-2 )</f>
        <v>33.071204628265868</v>
      </c>
      <c r="H153" s="2" cm="1">
        <f t="array" ref="H153">INDEX( ComputeThermoProps($A153, $B153, ParametersRange), 1, COLUMN()-2 )</f>
        <v>24.829449789121416</v>
      </c>
      <c r="I153" s="2" cm="1">
        <f t="array" ref="I153">INDEX( ComputeThermoProps($A153, $B153, ParametersRange), 1, COLUMN()-2 )</f>
        <v>2.68</v>
      </c>
      <c r="J153" s="2" cm="1">
        <f t="array" ref="J153">INDEX( ComputeThermoProps($A153, $B153, ParametersRange), 1, COLUMN()-2 )</f>
        <v>3302.3086772068477</v>
      </c>
      <c r="K153" s="2" cm="1">
        <f t="array" ref="K153">INDEX( ComputeThermoProps($A153, $B153, ParametersRange), 1, COLUMN()-2 )</f>
        <v>59.752717535383468</v>
      </c>
      <c r="L153" s="2" cm="1">
        <f t="array" ref="L153">INDEX( ComputeThermoProps($A153, $B153, ParametersRange), 1, COLUMN()-2 )</f>
        <v>-4770.2834618234583</v>
      </c>
      <c r="M153" s="2" cm="1">
        <f t="array" ref="M153">INDEX( ComputeThermoProps($A153, $B153, ParametersRange), 1, COLUMN()-2 )</f>
        <v>3302.4957277729841</v>
      </c>
      <c r="N153" s="2" cm="1">
        <f t="array" ref="N153">INDEX( ComputeThermoProps($A153, $B153, ParametersRange), 1, COLUMN()-2 )</f>
        <v>-4770.096411257322</v>
      </c>
      <c r="O153" s="4">
        <f t="shared" si="5"/>
        <v>-2.3019757270650776</v>
      </c>
    </row>
    <row r="154" spans="1:15" x14ac:dyDescent="0.25">
      <c r="A154" s="2">
        <v>136.1</v>
      </c>
      <c r="B154" s="2">
        <f t="shared" si="4"/>
        <v>5.5695731360854627E-3</v>
      </c>
      <c r="C154" s="2" cm="1">
        <f t="array" ref="C154">INDEX( ComputeThermoProps($A154, $B154, ParametersRange), 1, COLUMN()-2 )</f>
        <v>37.526154678216976</v>
      </c>
      <c r="D154" s="2" cm="1">
        <f t="array" ref="D154">INDEX( ComputeThermoProps($A154, $B154, ParametersRange), 1, COLUMN()-2 )</f>
        <v>5.202923017267239E-4</v>
      </c>
      <c r="E154" s="2" cm="1">
        <f t="array" ref="E154">INDEX( ComputeThermoProps($A154, $B154, ParametersRange), 1, COLUMN()-2 )</f>
        <v>3.8927521517788822E-4</v>
      </c>
      <c r="F154" s="2" cm="1">
        <f t="array" ref="F154">INDEX( ComputeThermoProps($A154, $B154, ParametersRange), 1, COLUMN()-2 )</f>
        <v>9.2273770051383528E-4</v>
      </c>
      <c r="G154" s="2" cm="1">
        <f t="array" ref="G154">INDEX( ComputeThermoProps($A154, $B154, ParametersRange), 1, COLUMN()-2 )</f>
        <v>33.191033979553602</v>
      </c>
      <c r="H154" s="2" cm="1">
        <f t="array" ref="H154">INDEX( ComputeThermoProps($A154, $B154, ParametersRange), 1, COLUMN()-2 )</f>
        <v>24.833054134161699</v>
      </c>
      <c r="I154" s="2" cm="1">
        <f t="array" ref="I154">INDEX( ComputeThermoProps($A154, $B154, ParametersRange), 1, COLUMN()-2 )</f>
        <v>2.6799999999999997</v>
      </c>
      <c r="J154" s="2" cm="1">
        <f t="array" ref="J154">INDEX( ComputeThermoProps($A154, $B154, ParametersRange), 1, COLUMN()-2 )</f>
        <v>3335.4367533818422</v>
      </c>
      <c r="K154" s="2" cm="1">
        <f t="array" ref="K154">INDEX( ComputeThermoProps($A154, $B154, ParametersRange), 1, COLUMN()-2 )</f>
        <v>59.996987693920254</v>
      </c>
      <c r="L154" s="2" cm="1">
        <f t="array" ref="L154">INDEX( ComputeThermoProps($A154, $B154, ParametersRange), 1, COLUMN()-2 )</f>
        <v>-4830.1532717607042</v>
      </c>
      <c r="M154" s="2" cm="1">
        <f t="array" ref="M154">INDEX( ComputeThermoProps($A154, $B154, ParametersRange), 1, COLUMN()-2 )</f>
        <v>3335.6457580448387</v>
      </c>
      <c r="N154" s="2" cm="1">
        <f t="array" ref="N154">INDEX( ComputeThermoProps($A154, $B154, ParametersRange), 1, COLUMN()-2 )</f>
        <v>-4829.9442670977078</v>
      </c>
      <c r="O154" s="4">
        <f t="shared" si="5"/>
        <v>-2.2541780888023144</v>
      </c>
    </row>
    <row r="155" spans="1:15" x14ac:dyDescent="0.25">
      <c r="A155" s="2">
        <v>137.1</v>
      </c>
      <c r="B155" s="2">
        <f t="shared" si="4"/>
        <v>6.2133133219056721E-3</v>
      </c>
      <c r="C155" s="2" cm="1">
        <f t="array" ref="C155">INDEX( ComputeThermoProps($A155, $B155, ParametersRange), 1, COLUMN()-2 )</f>
        <v>37.560898571409815</v>
      </c>
      <c r="D155" s="2" cm="1">
        <f t="array" ref="D155">INDEX( ComputeThermoProps($A155, $B155, ParametersRange), 1, COLUMN()-2 )</f>
        <v>5.2412795629370589E-4</v>
      </c>
      <c r="E155" s="2" cm="1">
        <f t="array" ref="E155">INDEX( ComputeThermoProps($A155, $B155, ParametersRange), 1, COLUMN()-2 )</f>
        <v>3.9076934314181153E-4</v>
      </c>
      <c r="F155" s="2" cm="1">
        <f t="array" ref="F155">INDEX( ComputeThermoProps($A155, $B155, ParametersRange), 1, COLUMN()-2 )</f>
        <v>9.2881311002883545E-4</v>
      </c>
      <c r="G155" s="2" cm="1">
        <f t="array" ref="G155">INDEX( ComputeThermoProps($A155, $B155, ParametersRange), 1, COLUMN()-2 )</f>
        <v>33.312638442212091</v>
      </c>
      <c r="H155" s="2" cm="1">
        <f t="array" ref="H155">INDEX( ComputeThermoProps($A155, $B155, ParametersRange), 1, COLUMN()-2 )</f>
        <v>24.836602753334574</v>
      </c>
      <c r="I155" s="2" cm="1">
        <f t="array" ref="I155">INDEX( ComputeThermoProps($A155, $B155, ParametersRange), 1, COLUMN()-2 )</f>
        <v>2.6799999999999997</v>
      </c>
      <c r="J155" s="2" cm="1">
        <f t="array" ref="J155">INDEX( ComputeThermoProps($A155, $B155, ParametersRange), 1, COLUMN()-2 )</f>
        <v>3368.6851779891567</v>
      </c>
      <c r="K155" s="2" cm="1">
        <f t="array" ref="K155">INDEX( ComputeThermoProps($A155, $B155, ParametersRange), 1, COLUMN()-2 )</f>
        <v>60.240349907335982</v>
      </c>
      <c r="L155" s="2" cm="1">
        <f t="array" ref="L155">INDEX( ComputeThermoProps($A155, $B155, ParametersRange), 1, COLUMN()-2 )</f>
        <v>-4890.2667943066062</v>
      </c>
      <c r="M155" s="2" cm="1">
        <f t="array" ref="M155">INDEX( ComputeThermoProps($A155, $B155, ParametersRange), 1, COLUMN()-2 )</f>
        <v>3368.918555620633</v>
      </c>
      <c r="N155" s="2" cm="1">
        <f t="array" ref="N155">INDEX( ComputeThermoProps($A155, $B155, ParametersRange), 1, COLUMN()-2 )</f>
        <v>-4890.03341667513</v>
      </c>
      <c r="O155" s="4">
        <f t="shared" si="5"/>
        <v>-2.206676745446325</v>
      </c>
    </row>
    <row r="156" spans="1:15" x14ac:dyDescent="0.25">
      <c r="A156" s="2">
        <v>138.1</v>
      </c>
      <c r="B156" s="2">
        <f t="shared" si="4"/>
        <v>6.9270022223095404E-3</v>
      </c>
      <c r="C156" s="2" cm="1">
        <f t="array" ref="C156">INDEX( ComputeThermoProps($A156, $B156, ParametersRange), 1, COLUMN()-2 )</f>
        <v>37.595903729727482</v>
      </c>
      <c r="D156" s="2" cm="1">
        <f t="array" ref="D156">INDEX( ComputeThermoProps($A156, $B156, ParametersRange), 1, COLUMN()-2 )</f>
        <v>5.2803905658527488E-4</v>
      </c>
      <c r="E156" s="2" cm="1">
        <f t="array" ref="E156">INDEX( ComputeThermoProps($A156, $B156, ParametersRange), 1, COLUMN()-2 )</f>
        <v>3.922870963690821E-4</v>
      </c>
      <c r="F156" s="2" cm="1">
        <f t="array" ref="F156">INDEX( ComputeThermoProps($A156, $B156, ParametersRange), 1, COLUMN()-2 )</f>
        <v>9.3500431215914382E-4</v>
      </c>
      <c r="G156" s="2" cm="1">
        <f t="array" ref="G156">INDEX( ComputeThermoProps($A156, $B156, ParametersRange), 1, COLUMN()-2 )</f>
        <v>33.436077689796221</v>
      </c>
      <c r="H156" s="2" cm="1">
        <f t="array" ref="H156">INDEX( ComputeThermoProps($A156, $B156, ParametersRange), 1, COLUMN()-2 )</f>
        <v>24.840097843752911</v>
      </c>
      <c r="I156" s="2" cm="1">
        <f t="array" ref="I156">INDEX( ComputeThermoProps($A156, $B156, ParametersRange), 1, COLUMN()-2 )</f>
        <v>2.6799999999999997</v>
      </c>
      <c r="J156" s="2" cm="1">
        <f t="array" ref="J156">INDEX( ComputeThermoProps($A156, $B156, ParametersRange), 1, COLUMN()-2 )</f>
        <v>3402.0557113433588</v>
      </c>
      <c r="K156" s="2" cm="1">
        <f t="array" ref="K156">INDEX( ComputeThermoProps($A156, $B156, ParametersRange), 1, COLUMN()-2 )</f>
        <v>60.482830165280639</v>
      </c>
      <c r="L156" s="2" cm="1">
        <f t="array" ref="L156">INDEX( ComputeThermoProps($A156, $B156, ParametersRange), 1, COLUMN()-2 )</f>
        <v>-4950.6231344818971</v>
      </c>
      <c r="M156" s="2" cm="1">
        <f t="array" ref="M156">INDEX( ComputeThermoProps($A156, $B156, ParametersRange), 1, COLUMN()-2 )</f>
        <v>3402.3161382520443</v>
      </c>
      <c r="N156" s="2" cm="1">
        <f t="array" ref="N156">INDEX( ComputeThermoProps($A156, $B156, ParametersRange), 1, COLUMN()-2 )</f>
        <v>-4950.362707573212</v>
      </c>
      <c r="O156" s="4">
        <f t="shared" si="5"/>
        <v>-2.1594546730334923</v>
      </c>
    </row>
    <row r="157" spans="1:15" x14ac:dyDescent="0.25">
      <c r="A157" s="2">
        <v>139.1</v>
      </c>
      <c r="B157" s="2">
        <f t="shared" si="4"/>
        <v>7.7180046353148499E-3</v>
      </c>
      <c r="C157" s="2" cm="1">
        <f t="array" ref="C157">INDEX( ComputeThermoProps($A157, $B157, ParametersRange), 1, COLUMN()-2 )</f>
        <v>37.631175084196535</v>
      </c>
      <c r="D157" s="2" cm="1">
        <f t="array" ref="D157">INDEX( ComputeThermoProps($A157, $B157, ParametersRange), 1, COLUMN()-2 )</f>
        <v>5.3202808038428455E-4</v>
      </c>
      <c r="E157" s="2" cm="1">
        <f t="array" ref="E157">INDEX( ComputeThermoProps($A157, $B157, ParametersRange), 1, COLUMN()-2 )</f>
        <v>3.9382910864184324E-4</v>
      </c>
      <c r="F157" s="2" cm="1">
        <f t="array" ref="F157">INDEX( ComputeThermoProps($A157, $B157, ParametersRange), 1, COLUMN()-2 )</f>
        <v>9.4131520786903727E-4</v>
      </c>
      <c r="G157" s="2" cm="1">
        <f t="array" ref="G157">INDEX( ComputeThermoProps($A157, $B157, ParametersRange), 1, COLUMN()-2 )</f>
        <v>33.561413885281063</v>
      </c>
      <c r="H157" s="2" cm="1">
        <f t="array" ref="H157">INDEX( ComputeThermoProps($A157, $B157, ParametersRange), 1, COLUMN()-2 )</f>
        <v>24.843541539486473</v>
      </c>
      <c r="I157" s="2" cm="1">
        <f t="array" ref="I157">INDEX( ComputeThermoProps($A157, $B157, ParametersRange), 1, COLUMN()-2 )</f>
        <v>2.68</v>
      </c>
      <c r="J157" s="2" cm="1">
        <f t="array" ref="J157">INDEX( ComputeThermoProps($A157, $B157, ParametersRange), 1, COLUMN()-2 )</f>
        <v>3435.5501691982372</v>
      </c>
      <c r="K157" s="2" cm="1">
        <f t="array" ref="K157">INDEX( ComputeThermoProps($A157, $B157, ParametersRange), 1, COLUMN()-2 )</f>
        <v>60.72445429654816</v>
      </c>
      <c r="L157" s="2" cm="1">
        <f t="array" ref="L157">INDEX( ComputeThermoProps($A157, $B157, ParametersRange), 1, COLUMN()-2 )</f>
        <v>-5011.2214234516114</v>
      </c>
      <c r="M157" s="2" cm="1">
        <f t="array" ref="M157">INDEX( ComputeThermoProps($A157, $B157, ParametersRange), 1, COLUMN()-2 )</f>
        <v>3435.8406067819692</v>
      </c>
      <c r="N157" s="2" cm="1">
        <f t="array" ref="N157">INDEX( ComputeThermoProps($A157, $B157, ParametersRange), 1, COLUMN()-2 )</f>
        <v>-5010.9309858678798</v>
      </c>
      <c r="O157" s="4">
        <f t="shared" si="5"/>
        <v>-2.1124949649339593</v>
      </c>
    </row>
    <row r="158" spans="1:15" x14ac:dyDescent="0.25">
      <c r="A158" s="2">
        <v>140.1</v>
      </c>
      <c r="B158" s="2">
        <f t="shared" si="4"/>
        <v>8.5944727363921145E-3</v>
      </c>
      <c r="C158" s="2" cm="1">
        <f t="array" ref="C158">INDEX( ComputeThermoProps($A158, $B158, ParametersRange), 1, COLUMN()-2 )</f>
        <v>37.666717717662529</v>
      </c>
      <c r="D158" s="2" cm="1">
        <f t="array" ref="D158">INDEX( ComputeThermoProps($A158, $B158, ParametersRange), 1, COLUMN()-2 )</f>
        <v>5.3609761890516434E-4</v>
      </c>
      <c r="E158" s="2" cm="1">
        <f t="array" ref="E158">INDEX( ComputeThermoProps($A158, $B158, ParametersRange), 1, COLUMN()-2 )</f>
        <v>3.9539603800569696E-4</v>
      </c>
      <c r="F158" s="2" cm="1">
        <f t="array" ref="F158">INDEX( ComputeThermoProps($A158, $B158, ParametersRange), 1, COLUMN()-2 )</f>
        <v>9.4774987229120228E-4</v>
      </c>
      <c r="G158" s="2" cm="1">
        <f t="array" ref="G158">INDEX( ComputeThermoProps($A158, $B158, ParametersRange), 1, COLUMN()-2 )</f>
        <v>33.688711807201884</v>
      </c>
      <c r="H158" s="2" cm="1">
        <f t="array" ref="H158">INDEX( ComputeThermoProps($A158, $B158, ParametersRange), 1, COLUMN()-2 )</f>
        <v>24.846935901873021</v>
      </c>
      <c r="I158" s="2" cm="1">
        <f t="array" ref="I158">INDEX( ComputeThermoProps($A158, $B158, ParametersRange), 1, COLUMN()-2 )</f>
        <v>2.68</v>
      </c>
      <c r="J158" s="2" cm="1">
        <f t="array" ref="J158">INDEX( ComputeThermoProps($A158, $B158, ParametersRange), 1, COLUMN()-2 )</f>
        <v>3469.1704245981168</v>
      </c>
      <c r="K158" s="2" cm="1">
        <f t="array" ref="K158">INDEX( ComputeThermoProps($A158, $B158, ParametersRange), 1, COLUMN()-2 )</f>
        <v>60.965247987188732</v>
      </c>
      <c r="L158" s="2" cm="1">
        <f t="array" ref="L158">INDEX( ComputeThermoProps($A158, $B158, ParametersRange), 1, COLUMN()-2 )</f>
        <v>-5072.0608184070243</v>
      </c>
      <c r="M158" s="2" cm="1">
        <f t="array" ref="M158">INDEX( ComputeThermoProps($A158, $B158, ParametersRange), 1, COLUMN()-2 )</f>
        <v>3469.4941501766107</v>
      </c>
      <c r="N158" s="2" cm="1">
        <f t="array" ref="N158">INDEX( ComputeThermoProps($A158, $B158, ParametersRange), 1, COLUMN()-2 )</f>
        <v>-5071.73709282853</v>
      </c>
      <c r="O158" s="4">
        <f t="shared" si="5"/>
        <v>-2.0657807617575417</v>
      </c>
    </row>
    <row r="159" spans="1:15" x14ac:dyDescent="0.25">
      <c r="A159" s="2">
        <v>141.1</v>
      </c>
      <c r="B159" s="2">
        <f t="shared" si="4"/>
        <v>9.5654372119169731E-3</v>
      </c>
      <c r="C159" s="2" cm="1">
        <f t="array" ref="C159">INDEX( ComputeThermoProps($A159, $B159, ParametersRange), 1, COLUMN()-2 )</f>
        <v>37.702536870007904</v>
      </c>
      <c r="D159" s="2" cm="1">
        <f t="array" ref="D159">INDEX( ComputeThermoProps($A159, $B159, ParametersRange), 1, COLUMN()-2 )</f>
        <v>5.4025038353389717E-4</v>
      </c>
      <c r="E159" s="2" cm="1">
        <f t="array" ref="E159">INDEX( ComputeThermoProps($A159, $B159, ParametersRange), 1, COLUMN()-2 )</f>
        <v>3.9698856790549084E-4</v>
      </c>
      <c r="F159" s="2" cm="1">
        <f t="array" ref="F159">INDEX( ComputeThermoProps($A159, $B159, ParametersRange), 1, COLUMN()-2 )</f>
        <v>9.5431256617145002E-4</v>
      </c>
      <c r="G159" s="2" cm="1">
        <f t="array" ref="G159">INDEX( ComputeThermoProps($A159, $B159, ParametersRange), 1, COLUMN()-2 )</f>
        <v>33.818039051393534</v>
      </c>
      <c r="H159" s="2" cm="1">
        <f t="array" ref="H159">INDEX( ComputeThermoProps($A159, $B159, ParametersRange), 1, COLUMN()-2 )</f>
        <v>24.850282945782173</v>
      </c>
      <c r="I159" s="2" cm="1">
        <f t="array" ref="I159">INDEX( ComputeThermoProps($A159, $B159, ParametersRange), 1, COLUMN()-2 )</f>
        <v>2.68</v>
      </c>
      <c r="J159" s="2" cm="1">
        <f t="array" ref="J159">INDEX( ComputeThermoProps($A159, $B159, ParametersRange), 1, COLUMN()-2 )</f>
        <v>3502.9184097829593</v>
      </c>
      <c r="K159" s="2" cm="1">
        <f t="array" ref="K159">INDEX( ComputeThermoProps($A159, $B159, ParametersRange), 1, COLUMN()-2 )</f>
        <v>61.205236798391375</v>
      </c>
      <c r="L159" s="2" cm="1">
        <f t="array" ref="L159">INDEX( ComputeThermoProps($A159, $B159, ParametersRange), 1, COLUMN()-2 )</f>
        <v>-5133.1405024700634</v>
      </c>
      <c r="M159" s="2" cm="1">
        <f t="array" ref="M159">INDEX( ComputeThermoProps($A159, $B159, ParametersRange), 1, COLUMN()-2 )</f>
        <v>3503.2790510321192</v>
      </c>
      <c r="N159" s="2" cm="1">
        <f t="array" ref="N159">INDEX( ComputeThermoProps($A159, $B159, ParametersRange), 1, COLUMN()-2 )</f>
        <v>-5132.7798612209035</v>
      </c>
      <c r="O159" s="4">
        <f t="shared" si="5"/>
        <v>-2.019295174681802</v>
      </c>
    </row>
    <row r="160" spans="1:15" x14ac:dyDescent="0.25">
      <c r="A160" s="2">
        <v>142.1</v>
      </c>
      <c r="B160" s="2">
        <f t="shared" si="4"/>
        <v>1.0640910724731053E-2</v>
      </c>
      <c r="C160" s="2" cm="1">
        <f t="array" ref="C160">INDEX( ComputeThermoProps($A160, $B160, ParametersRange), 1, COLUMN()-2 )</f>
        <v>37.738637942802676</v>
      </c>
      <c r="D160" s="2" cm="1">
        <f t="array" ref="D160">INDEX( ComputeThermoProps($A160, $B160, ParametersRange), 1, COLUMN()-2 )</f>
        <v>5.4448921265468552E-4</v>
      </c>
      <c r="E160" s="2" cm="1">
        <f t="array" ref="E160">INDEX( ComputeThermoProps($A160, $B160, ParametersRange), 1, COLUMN()-2 )</f>
        <v>3.986074083459342E-4</v>
      </c>
      <c r="F160" s="2" cm="1">
        <f t="array" ref="F160">INDEX( ComputeThermoProps($A160, $B160, ParametersRange), 1, COLUMN()-2 )</f>
        <v>9.6100774584074577E-4</v>
      </c>
      <c r="G160" s="2" cm="1">
        <f t="array" ref="G160">INDEX( ComputeThermoProps($A160, $B160, ParametersRange), 1, COLUMN()-2 )</f>
        <v>33.949466168294776</v>
      </c>
      <c r="H160" s="2" cm="1">
        <f t="array" ref="H160">INDEX( ComputeThermoProps($A160, $B160, ParametersRange), 1, COLUMN()-2 )</f>
        <v>24.853584624924896</v>
      </c>
      <c r="I160" s="2" cm="1">
        <f t="array" ref="I160">INDEX( ComputeThermoProps($A160, $B160, ParametersRange), 1, COLUMN()-2 )</f>
        <v>2.68</v>
      </c>
      <c r="J160" s="2" cm="1">
        <f t="array" ref="J160">INDEX( ComputeThermoProps($A160, $B160, ParametersRange), 1, COLUMN()-2 )</f>
        <v>3536.7961175287573</v>
      </c>
      <c r="K160" s="2" cm="1">
        <f t="array" ref="K160">INDEX( ComputeThermoProps($A160, $B160, ParametersRange), 1, COLUMN()-2 )</f>
        <v>61.444446178747448</v>
      </c>
      <c r="L160" s="2" cm="1">
        <f t="array" ref="L160">INDEX( ComputeThermoProps($A160, $B160, ParametersRange), 1, COLUMN()-2 )</f>
        <v>-5194.4596844712551</v>
      </c>
      <c r="M160" s="2" cm="1">
        <f t="array" ref="M160">INDEX( ComputeThermoProps($A160, $B160, ParametersRange), 1, COLUMN()-2 )</f>
        <v>3537.1976910059798</v>
      </c>
      <c r="N160" s="2" cm="1">
        <f t="array" ref="N160">INDEX( ComputeThermoProps($A160, $B160, ParametersRange), 1, COLUMN()-2 )</f>
        <v>-5194.0581109940322</v>
      </c>
      <c r="O160" s="4">
        <f t="shared" si="5"/>
        <v>-1.9730212004433274</v>
      </c>
    </row>
    <row r="161" spans="1:15" x14ac:dyDescent="0.25">
      <c r="A161" s="2">
        <v>143.1</v>
      </c>
      <c r="B161" s="2">
        <f t="shared" si="4"/>
        <v>1.183200581018188E-2</v>
      </c>
      <c r="C161" s="2" cm="1">
        <f t="array" ref="C161">INDEX( ComputeThermoProps($A161, $B161, ParametersRange), 1, COLUMN()-2 )</f>
        <v>37.775026507290882</v>
      </c>
      <c r="D161" s="2" cm="1">
        <f t="array" ref="D161">INDEX( ComputeThermoProps($A161, $B161, ParametersRange), 1, COLUMN()-2 )</f>
        <v>5.4881707924974289E-4</v>
      </c>
      <c r="E161" s="2" cm="1">
        <f t="array" ref="E161">INDEX( ComputeThermoProps($A161, $B161, ParametersRange), 1, COLUMN()-2 )</f>
        <v>4.0025329725476783E-4</v>
      </c>
      <c r="F161" s="2" cm="1">
        <f t="array" ref="F161">INDEX( ComputeThermoProps($A161, $B161, ParametersRange), 1, COLUMN()-2 )</f>
        <v>9.6784007462388593E-4</v>
      </c>
      <c r="G161" s="2" cm="1">
        <f t="array" ref="G161">INDEX( ComputeThermoProps($A161, $B161, ParametersRange), 1, COLUMN()-2 )</f>
        <v>34.083066827495266</v>
      </c>
      <c r="H161" s="2" cm="1">
        <f t="array" ref="H161">INDEX( ComputeThermoProps($A161, $B161, ParametersRange), 1, COLUMN()-2 )</f>
        <v>24.856842824404449</v>
      </c>
      <c r="I161" s="2" cm="1">
        <f t="array" ref="I161">INDEX( ComputeThermoProps($A161, $B161, ParametersRange), 1, COLUMN()-2 )</f>
        <v>2.68</v>
      </c>
      <c r="J161" s="2" cm="1">
        <f t="array" ref="J161">INDEX( ComputeThermoProps($A161, $B161, ParametersRange), 1, COLUMN()-2 )</f>
        <v>3570.8056056015353</v>
      </c>
      <c r="K161" s="2" cm="1">
        <f t="array" ref="K161">INDEX( ComputeThermoProps($A161, $B161, ParametersRange), 1, COLUMN()-2 )</f>
        <v>61.682901503169482</v>
      </c>
      <c r="L161" s="2" cm="1">
        <f t="array" ref="L161">INDEX( ComputeThermoProps($A161, $B161, ParametersRange), 1, COLUMN()-2 )</f>
        <v>-5256.0175995020172</v>
      </c>
      <c r="M161" s="2" cm="1">
        <f t="array" ref="M161">INDEX( ComputeThermoProps($A161, $B161, ParametersRange), 1, COLUMN()-2 )</f>
        <v>3571.2525599346495</v>
      </c>
      <c r="N161" s="2" cm="1">
        <f t="array" ref="N161">INDEX( ComputeThermoProps($A161, $B161, ParametersRange), 1, COLUMN()-2 )</f>
        <v>-5255.570645168903</v>
      </c>
      <c r="O161" s="4">
        <f t="shared" si="5"/>
        <v>-1.9269416257480376</v>
      </c>
    </row>
    <row r="162" spans="1:15" x14ac:dyDescent="0.25">
      <c r="A162" s="2">
        <v>144.1</v>
      </c>
      <c r="B162" s="2">
        <f t="shared" si="4"/>
        <v>1.3151069769383451E-2</v>
      </c>
      <c r="C162" s="2" cm="1">
        <f t="array" ref="C162">INDEX( ComputeThermoProps($A162, $B162, ParametersRange), 1, COLUMN()-2 )</f>
        <v>37.811708305787455</v>
      </c>
      <c r="D162" s="2" cm="1">
        <f t="array" ref="D162">INDEX( ComputeThermoProps($A162, $B162, ParametersRange), 1, COLUMN()-2 )</f>
        <v>5.532370987864592E-4</v>
      </c>
      <c r="E162" s="2" cm="1">
        <f t="array" ref="E162">INDEX( ComputeThermoProps($A162, $B162, ParametersRange), 1, COLUMN()-2 )</f>
        <v>4.019270016044877E-4</v>
      </c>
      <c r="F162" s="2" cm="1">
        <f t="array" ref="F162">INDEX( ComputeThermoProps($A162, $B162, ParametersRange), 1, COLUMN()-2 )</f>
        <v>9.7481443624911274E-4</v>
      </c>
      <c r="G162" s="2" cm="1">
        <f t="array" ref="G162">INDEX( ComputeThermoProps($A162, $B162, ParametersRange), 1, COLUMN()-2 )</f>
        <v>34.218918056831939</v>
      </c>
      <c r="H162" s="2" cm="1">
        <f t="array" ref="H162">INDEX( ComputeThermoProps($A162, $B162, ParametersRange), 1, COLUMN()-2 )</f>
        <v>24.860059390270141</v>
      </c>
      <c r="I162" s="2" cm="1">
        <f t="array" ref="I162">INDEX( ComputeThermoProps($A162, $B162, ParametersRange), 1, COLUMN()-2 )</f>
        <v>2.6799999999999997</v>
      </c>
      <c r="J162" s="2" cm="1">
        <f t="array" ref="J162">INDEX( ComputeThermoProps($A162, $B162, ParametersRange), 1, COLUMN()-2 )</f>
        <v>3604.948995051765</v>
      </c>
      <c r="K162" s="2" cm="1">
        <f t="array" ref="K162">INDEX( ComputeThermoProps($A162, $B162, ParametersRange), 1, COLUMN()-2 )</f>
        <v>61.920628057122755</v>
      </c>
      <c r="L162" s="2" cm="1">
        <f t="array" ref="L162">INDEX( ComputeThermoProps($A162, $B162, ParametersRange), 1, COLUMN()-2 )</f>
        <v>-5317.8135079796239</v>
      </c>
      <c r="M162" s="2" cm="1">
        <f t="array" ref="M162">INDEX( ComputeThermoProps($A162, $B162, ParametersRange), 1, COLUMN()-2 )</f>
        <v>3605.4462594657939</v>
      </c>
      <c r="N162" s="2" cm="1">
        <f t="array" ref="N162">INDEX( ComputeThermoProps($A162, $B162, ParametersRange), 1, COLUMN()-2 )</f>
        <v>-5317.316243565595</v>
      </c>
      <c r="O162" s="4">
        <f t="shared" si="5"/>
        <v>-1.8810389181975338</v>
      </c>
    </row>
    <row r="163" spans="1:15" x14ac:dyDescent="0.25">
      <c r="A163" s="2">
        <v>145.1</v>
      </c>
      <c r="B163" s="2">
        <f t="shared" si="4"/>
        <v>1.4611839732446964E-2</v>
      </c>
      <c r="C163" s="2" cm="1">
        <f t="array" ref="C163">INDEX( ComputeThermoProps($A163, $B163, ParametersRange), 1, COLUMN()-2 )</f>
        <v>37.848689259646193</v>
      </c>
      <c r="D163" s="2" cm="1">
        <f t="array" ref="D163">INDEX( ComputeThermoProps($A163, $B163, ParametersRange), 1, COLUMN()-2 )</f>
        <v>5.5775253787734684E-4</v>
      </c>
      <c r="E163" s="2" cm="1">
        <f t="array" ref="E163">INDEX( ComputeThermoProps($A163, $B163, ParametersRange), 1, COLUMN()-2 )</f>
        <v>4.036293188845284E-4</v>
      </c>
      <c r="F163" s="2" cm="1">
        <f t="array" ref="F163">INDEX( ComputeThermoProps($A163, $B163, ParametersRange), 1, COLUMN()-2 )</f>
        <v>9.8193594794841526E-4</v>
      </c>
      <c r="G163" s="2" cm="1">
        <f t="array" ref="G163">INDEX( ComputeThermoProps($A163, $B163, ParametersRange), 1, COLUMN()-2 )</f>
        <v>34.357100434697685</v>
      </c>
      <c r="H163" s="2" cm="1">
        <f t="array" ref="H163">INDEX( ComputeThermoProps($A163, $B163, ParametersRange), 1, COLUMN()-2 )</f>
        <v>24.863236122744304</v>
      </c>
      <c r="I163" s="2" cm="1">
        <f t="array" ref="I163">INDEX( ComputeThermoProps($A163, $B163, ParametersRange), 1, COLUMN()-2 )</f>
        <v>2.68</v>
      </c>
      <c r="J163" s="2" cm="1">
        <f t="array" ref="J163">INDEX( ComputeThermoProps($A163, $B163, ParametersRange), 1, COLUMN()-2 )</f>
        <v>3639.2284747339049</v>
      </c>
      <c r="K163" s="2" cm="1">
        <f t="array" ref="K163">INDEX( ComputeThermoProps($A163, $B163, ParametersRange), 1, COLUMN()-2 )</f>
        <v>62.157651075058595</v>
      </c>
      <c r="L163" s="2" cm="1">
        <f t="array" ref="L163">INDEX( ComputeThermoProps($A163, $B163, ParametersRange), 1, COLUMN()-2 )</f>
        <v>-5379.8466962570965</v>
      </c>
      <c r="M163" s="2" cm="1">
        <f t="array" ref="M163">INDEX( ComputeThermoProps($A163, $B163, ParametersRange), 1, COLUMN()-2 )</f>
        <v>3639.7815137154503</v>
      </c>
      <c r="N163" s="2" cm="1">
        <f t="array" ref="N163">INDEX( ComputeThermoProps($A163, $B163, ParametersRange), 1, COLUMN()-2 )</f>
        <v>-5379.2936572755516</v>
      </c>
      <c r="O163" s="4">
        <f t="shared" si="5"/>
        <v>-1.8352950999213602</v>
      </c>
    </row>
    <row r="164" spans="1:15" x14ac:dyDescent="0.25">
      <c r="A164" s="2">
        <v>146.1</v>
      </c>
      <c r="B164" s="2">
        <f t="shared" si="4"/>
        <v>1.6229621860342061E-2</v>
      </c>
      <c r="C164" s="2" cm="1">
        <f t="array" ref="C164">INDEX( ComputeThermoProps($A164, $B164, ParametersRange), 1, COLUMN()-2 )</f>
        <v>37.885975473760567</v>
      </c>
      <c r="D164" s="2" cm="1">
        <f t="array" ref="D164">INDEX( ComputeThermoProps($A164, $B164, ParametersRange), 1, COLUMN()-2 )</f>
        <v>5.6236682324506285E-4</v>
      </c>
      <c r="E164" s="2" cm="1">
        <f t="array" ref="E164">INDEX( ComputeThermoProps($A164, $B164, ParametersRange), 1, COLUMN()-2 )</f>
        <v>4.0536107847510692E-4</v>
      </c>
      <c r="F164" s="2" cm="1">
        <f t="array" ref="F164">INDEX( ComputeThermoProps($A164, $B164, ParametersRange), 1, COLUMN()-2 )</f>
        <v>9.8920997406210377E-4</v>
      </c>
      <c r="G164" s="2" cm="1">
        <f t="array" ref="G164">INDEX( ComputeThermoProps($A164, $B164, ParametersRange), 1, COLUMN()-2 )</f>
        <v>34.49769829302317</v>
      </c>
      <c r="H164" s="2" cm="1">
        <f t="array" ref="H164">INDEX( ComputeThermoProps($A164, $B164, ParametersRange), 1, COLUMN()-2 )</f>
        <v>24.866374769898016</v>
      </c>
      <c r="I164" s="2" cm="1">
        <f t="array" ref="I164">INDEX( ComputeThermoProps($A164, $B164, ParametersRange), 1, COLUMN()-2 )</f>
        <v>2.68</v>
      </c>
      <c r="J164" s="2" cm="1">
        <f t="array" ref="J164">INDEX( ComputeThermoProps($A164, $B164, ParametersRange), 1, COLUMN()-2 )</f>
        <v>3673.6463026833321</v>
      </c>
      <c r="K164" s="2" cm="1">
        <f t="array" ref="K164">INDEX( ComputeThermoProps($A164, $B164, ParametersRange), 1, COLUMN()-2 )</f>
        <v>62.393995750695659</v>
      </c>
      <c r="L164" s="2" cm="1">
        <f t="array" ref="L164">INDEX( ComputeThermoProps($A164, $B164, ParametersRange), 1, COLUMN()-2 )</f>
        <v>-5442.1164764933037</v>
      </c>
      <c r="M164" s="2" cm="1">
        <f t="array" ref="M164">INDEX( ComputeThermoProps($A164, $B164, ParametersRange), 1, COLUMN()-2 )</f>
        <v>3674.2611777390816</v>
      </c>
      <c r="N164" s="2" cm="1">
        <f t="array" ref="N164">INDEX( ComputeThermoProps($A164, $B164, ParametersRange), 1, COLUMN()-2 )</f>
        <v>-5441.5016014375542</v>
      </c>
      <c r="O164" s="4">
        <f t="shared" si="5"/>
        <v>-1.789691598835504</v>
      </c>
    </row>
    <row r="165" spans="1:15" x14ac:dyDescent="0.25">
      <c r="A165" s="2">
        <v>147.1</v>
      </c>
      <c r="B165" s="2">
        <f t="shared" si="4"/>
        <v>1.8021499717148511E-2</v>
      </c>
      <c r="C165" s="2" cm="1">
        <f t="array" ref="C165">INDEX( ComputeThermoProps($A165, $B165, ParametersRange), 1, COLUMN()-2 )</f>
        <v>37.923573241482458</v>
      </c>
      <c r="D165" s="2" cm="1">
        <f t="array" ref="D165">INDEX( ComputeThermoProps($A165, $B165, ParametersRange), 1, COLUMN()-2 )</f>
        <v>5.6708355148408194E-4</v>
      </c>
      <c r="E165" s="2" cm="1">
        <f t="array" ref="E165">INDEX( ComputeThermoProps($A165, $B165, ParametersRange), 1, COLUMN()-2 )</f>
        <v>4.0712314309648064E-4</v>
      </c>
      <c r="F165" s="2" cm="1">
        <f t="array" ref="F165">INDEX( ComputeThermoProps($A165, $B165, ParametersRange), 1, COLUMN()-2 )</f>
        <v>9.9664214157647608E-4</v>
      </c>
      <c r="G165" s="2" cm="1">
        <f t="array" ref="G165">INDEX( ComputeThermoProps($A165, $B165, ParametersRange), 1, COLUMN()-2 )</f>
        <v>34.640799968484927</v>
      </c>
      <c r="H165" s="2" cm="1">
        <f t="array" ref="H165">INDEX( ComputeThermoProps($A165, $B165, ParametersRange), 1, COLUMN()-2 )</f>
        <v>24.869477038502897</v>
      </c>
      <c r="I165" s="2" cm="1">
        <f t="array" ref="I165">INDEX( ComputeThermoProps($A165, $B165, ParametersRange), 1, COLUMN()-2 )</f>
        <v>2.68</v>
      </c>
      <c r="J165" s="2" cm="1">
        <f t="array" ref="J165">INDEX( ComputeThermoProps($A165, $B165, ParametersRange), 1, COLUMN()-2 )</f>
        <v>3708.2048080725244</v>
      </c>
      <c r="K165" s="2" cm="1">
        <f t="array" ref="K165">INDEX( ComputeThermoProps($A165, $B165, ParametersRange), 1, COLUMN()-2 )</f>
        <v>62.629687252042586</v>
      </c>
      <c r="L165" s="2" cm="1">
        <f t="array" ref="L165">INDEX( ComputeThermoProps($A165, $B165, ParametersRange), 1, COLUMN()-2 )</f>
        <v>-5504.6221867029399</v>
      </c>
      <c r="M165" s="2" cm="1">
        <f t="array" ref="M165">INDEX( ComputeThermoProps($A165, $B165, ParametersRange), 1, COLUMN()-2 )</f>
        <v>3708.8882477369689</v>
      </c>
      <c r="N165" s="2" cm="1">
        <f t="array" ref="N165">INDEX( ComputeThermoProps($A165, $B165, ParametersRange), 1, COLUMN()-2 )</f>
        <v>-5503.9387470384954</v>
      </c>
      <c r="O165" s="4">
        <f t="shared" si="5"/>
        <v>-1.7442090706388391</v>
      </c>
    </row>
    <row r="166" spans="1:15" x14ac:dyDescent="0.25">
      <c r="A166" s="2">
        <v>148.1</v>
      </c>
      <c r="B166" s="2">
        <f t="shared" si="4"/>
        <v>2.0006578291866792E-2</v>
      </c>
      <c r="C166" s="2" cm="1">
        <f t="array" ref="C166">INDEX( ComputeThermoProps($A166, $B166, ParametersRange), 1, COLUMN()-2 )</f>
        <v>37.961489049137562</v>
      </c>
      <c r="D166" s="2" cm="1">
        <f t="array" ref="D166">INDEX( ComputeThermoProps($A166, $B166, ParametersRange), 1, COLUMN()-2 )</f>
        <v>5.7190649935165644E-4</v>
      </c>
      <c r="E166" s="2" cm="1">
        <f t="array" ref="E166">INDEX( ComputeThermoProps($A166, $B166, ParametersRange), 1, COLUMN()-2 )</f>
        <v>4.0891641029550455E-4</v>
      </c>
      <c r="F166" s="2" cm="1">
        <f t="array" ref="F166">INDEX( ComputeThermoProps($A166, $B166, ParametersRange), 1, COLUMN()-2 )</f>
        <v>1.0042383559900362E-3</v>
      </c>
      <c r="G166" s="2" cm="1">
        <f t="array" ref="G166">INDEX( ComputeThermoProps($A166, $B166, ParametersRange), 1, COLUMN()-2 )</f>
        <v>34.786498046862278</v>
      </c>
      <c r="H166" s="2" cm="1">
        <f t="array" ref="H166">INDEX( ComputeThermoProps($A166, $B166, ParametersRange), 1, COLUMN()-2 )</f>
        <v>24.872544592866937</v>
      </c>
      <c r="I166" s="2" cm="1">
        <f t="array" ref="I166">INDEX( ComputeThermoProps($A166, $B166, ParametersRange), 1, COLUMN()-2 )</f>
        <v>2.6800000000000006</v>
      </c>
      <c r="J166" s="2" cm="1">
        <f t="array" ref="J166">INDEX( ComputeThermoProps($A166, $B166, ParametersRange), 1, COLUMN()-2 )</f>
        <v>3742.9063930735001</v>
      </c>
      <c r="K166" s="2" cm="1">
        <f t="array" ref="K166">INDEX( ComputeThermoProps($A166, $B166, ParametersRange), 1, COLUMN()-2 )</f>
        <v>62.864750735359969</v>
      </c>
      <c r="L166" s="2" cm="1">
        <f t="array" ref="L166">INDEX( ComputeThermoProps($A166, $B166, ParametersRange), 1, COLUMN()-2 )</f>
        <v>-5567.3631908333109</v>
      </c>
      <c r="M166" s="2" cm="1">
        <f t="array" ref="M166">INDEX( ComputeThermoProps($A166, $B166, ParametersRange), 1, COLUMN()-2 )</f>
        <v>3743.6658725762377</v>
      </c>
      <c r="N166" s="2" cm="1">
        <f t="array" ref="N166">INDEX( ComputeThermoProps($A166, $B166, ParametersRange), 1, COLUMN()-2 )</f>
        <v>-5566.6037113305738</v>
      </c>
      <c r="O166" s="4">
        <f t="shared" si="5"/>
        <v>-1.6988271820299969</v>
      </c>
    </row>
    <row r="167" spans="1:15" x14ac:dyDescent="0.25">
      <c r="A167" s="2">
        <v>149.1</v>
      </c>
      <c r="B167" s="2">
        <f t="shared" si="4"/>
        <v>2.2206272163061522E-2</v>
      </c>
      <c r="C167" s="2" cm="1">
        <f t="array" ref="C167">INDEX( ComputeThermoProps($A167, $B167, ParametersRange), 1, COLUMN()-2 )</f>
        <v>37.999729579929337</v>
      </c>
      <c r="D167" s="2" cm="1">
        <f t="array" ref="D167">INDEX( ComputeThermoProps($A167, $B167, ParametersRange), 1, COLUMN()-2 )</f>
        <v>5.7683963474698685E-4</v>
      </c>
      <c r="E167" s="2" cm="1">
        <f t="array" ref="E167">INDEX( ComputeThermoProps($A167, $B167, ParametersRange), 1, COLUMN()-2 )</f>
        <v>4.1074181395667171E-4</v>
      </c>
      <c r="F167" s="2" cm="1">
        <f t="array" ref="F167">INDEX( ComputeThermoProps($A167, $B167, ParametersRange), 1, COLUMN()-2 )</f>
        <v>1.0120048184218545E-3</v>
      </c>
      <c r="G167" s="2" cm="1">
        <f t="array" ref="G167">INDEX( ComputeThermoProps($A167, $B167, ParametersRange), 1, COLUMN()-2 )</f>
        <v>34.934889632225449</v>
      </c>
      <c r="H167" s="2" cm="1">
        <f t="array" ref="H167">INDEX( ComputeThermoProps($A167, $B167, ParametersRange), 1, COLUMN()-2 )</f>
        <v>24.875579057965137</v>
      </c>
      <c r="I167" s="2" cm="1">
        <f t="array" ref="I167">INDEX( ComputeThermoProps($A167, $B167, ParametersRange), 1, COLUMN()-2 )</f>
        <v>2.6799999999999997</v>
      </c>
      <c r="J167" s="2" cm="1">
        <f t="array" ref="J167">INDEX( ComputeThermoProps($A167, $B167, ParametersRange), 1, COLUMN()-2 )</f>
        <v>3777.7535345654055</v>
      </c>
      <c r="K167" s="2" cm="1">
        <f t="array" ref="K167">INDEX( ComputeThermoProps($A167, $B167, ParametersRange), 1, COLUMN()-2 )</f>
        <v>63.099211357708171</v>
      </c>
      <c r="L167" s="2" cm="1">
        <f t="array" ref="L167">INDEX( ComputeThermoProps($A167, $B167, ParametersRange), 1, COLUMN()-2 )</f>
        <v>-5630.3388788688826</v>
      </c>
      <c r="M167" s="2" cm="1">
        <f t="array" ref="M167">INDEX( ComputeThermoProps($A167, $B167, ParametersRange), 1, COLUMN()-2 )</f>
        <v>3778.5973669025802</v>
      </c>
      <c r="N167" s="2" cm="1">
        <f t="array" ref="N167">INDEX( ComputeThermoProps($A167, $B167, ParametersRange), 1, COLUMN()-2 )</f>
        <v>-5629.4950465317079</v>
      </c>
      <c r="O167" s="4">
        <f t="shared" si="5"/>
        <v>-1.6535243417169816</v>
      </c>
    </row>
    <row r="168" spans="1:15" x14ac:dyDescent="0.25">
      <c r="A168" s="2">
        <v>150.1</v>
      </c>
      <c r="B168" s="2">
        <f t="shared" si="4"/>
        <v>2.4644649173370857E-2</v>
      </c>
      <c r="C168" s="2" cm="1">
        <f t="array" ref="C168">INDEX( ComputeThermoProps($A168, $B168, ParametersRange), 1, COLUMN()-2 )</f>
        <v>38.038301716942748</v>
      </c>
      <c r="D168" s="2" cm="1">
        <f t="array" ref="D168">INDEX( ComputeThermoProps($A168, $B168, ParametersRange), 1, COLUMN()-2 )</f>
        <v>5.8188712832299991E-4</v>
      </c>
      <c r="E168" s="2" cm="1">
        <f t="array" ref="E168">INDEX( ComputeThermoProps($A168, $B168, ParametersRange), 1, COLUMN()-2 )</f>
        <v>4.1260032581817149E-4</v>
      </c>
      <c r="F168" s="2" cm="1">
        <f t="array" ref="F168">INDEX( ComputeThermoProps($A168, $B168, ParametersRange), 1, COLUMN()-2 )</f>
        <v>1.0199480435514343E-3</v>
      </c>
      <c r="G168" s="2" cm="1">
        <f t="array" ref="G168">INDEX( ComputeThermoProps($A168, $B168, ParametersRange), 1, COLUMN()-2 )</f>
        <v>35.086076626660336</v>
      </c>
      <c r="H168" s="2" cm="1">
        <f t="array" ref="H168">INDEX( ComputeThermoProps($A168, $B168, ParametersRange), 1, COLUMN()-2 )</f>
        <v>24.878582019098396</v>
      </c>
      <c r="I168" s="2" cm="1">
        <f t="array" ref="I168">INDEX( ComputeThermoProps($A168, $B168, ParametersRange), 1, COLUMN()-2 )</f>
        <v>2.68</v>
      </c>
      <c r="J168" s="2" cm="1">
        <f t="array" ref="J168">INDEX( ComputeThermoProps($A168, $B168, ParametersRange), 1, COLUMN()-2 )</f>
        <v>3812.748785602616</v>
      </c>
      <c r="K168" s="2" cm="1">
        <f t="array" ref="K168">INDEX( ComputeThermoProps($A168, $B168, ParametersRange), 1, COLUMN()-2 )</f>
        <v>63.333094287590022</v>
      </c>
      <c r="L168" s="2" cm="1">
        <f t="array" ref="L168">INDEX( ComputeThermoProps($A168, $B168, ParametersRange), 1, COLUMN()-2 )</f>
        <v>-5693.5486669646461</v>
      </c>
      <c r="M168" s="2" cm="1">
        <f t="array" ref="M168">INDEX( ComputeThermoProps($A168, $B168, ParametersRange), 1, COLUMN()-2 )</f>
        <v>3813.6862262035806</v>
      </c>
      <c r="N168" s="2" cm="1">
        <f t="array" ref="N168">INDEX( ComputeThermoProps($A168, $B168, ParametersRange), 1, COLUMN()-2 )</f>
        <v>-5692.6112263636815</v>
      </c>
      <c r="O168" s="4">
        <f t="shared" si="5"/>
        <v>-1.6082773598242746</v>
      </c>
    </row>
    <row r="169" spans="1:15" x14ac:dyDescent="0.25">
      <c r="A169" s="2">
        <v>151.1</v>
      </c>
      <c r="B169" s="2">
        <f t="shared" si="4"/>
        <v>2.7348845201801881E-2</v>
      </c>
      <c r="C169" s="2" cm="1">
        <f t="array" ref="C169">INDEX( ComputeThermoProps($A169, $B169, ParametersRange), 1, COLUMN()-2 )</f>
        <v>38.077212544841636</v>
      </c>
      <c r="D169" s="2" cm="1">
        <f t="array" ref="D169">INDEX( ComputeThermoProps($A169, $B169, ParametersRange), 1, COLUMN()-2 )</f>
        <v>5.8705336584877232E-4</v>
      </c>
      <c r="E169" s="2" cm="1">
        <f t="array" ref="E169">INDEX( ComputeThermoProps($A169, $B169, ParametersRange), 1, COLUMN()-2 )</f>
        <v>4.1449295696348553E-4</v>
      </c>
      <c r="F169" s="2" cm="1">
        <f t="array" ref="F169">INDEX( ComputeThermoProps($A169, $B169, ParametersRange), 1, COLUMN()-2 )</f>
        <v>1.0280748791262498E-3</v>
      </c>
      <c r="G169" s="2" cm="1">
        <f t="array" ref="G169">INDEX( ComputeThermoProps($A169, $B169, ParametersRange), 1, COLUMN()-2 )</f>
        <v>35.240166046615158</v>
      </c>
      <c r="H169" s="2" cm="1">
        <f t="array" ref="H169">INDEX( ComputeThermoProps($A169, $B169, ParametersRange), 1, COLUMN()-2 )</f>
        <v>24.881555031077909</v>
      </c>
      <c r="I169" s="2" cm="1">
        <f t="array" ref="I169">INDEX( ComputeThermoProps($A169, $B169, ParametersRange), 1, COLUMN()-2 )</f>
        <v>2.68</v>
      </c>
      <c r="J169" s="2" cm="1">
        <f t="array" ref="J169">INDEX( ComputeThermoProps($A169, $B169, ParametersRange), 1, COLUMN()-2 )</f>
        <v>3847.89477652389</v>
      </c>
      <c r="K169" s="2" cm="1">
        <f t="array" ref="K169">INDEX( ComputeThermoProps($A169, $B169, ParametersRange), 1, COLUMN()-2 )</f>
        <v>63.566424712993907</v>
      </c>
      <c r="L169" s="2" cm="1">
        <f t="array" ref="L169">INDEX( ComputeThermoProps($A169, $B169, ParametersRange), 1, COLUMN()-2 )</f>
        <v>-5756.9919976094889</v>
      </c>
      <c r="M169" s="2" cm="1">
        <f t="array" ref="M169">INDEX( ComputeThermoProps($A169, $B169, ParametersRange), 1, COLUMN()-2 )</f>
        <v>3848.9361443154949</v>
      </c>
      <c r="N169" s="2" cm="1">
        <f t="array" ref="N169">INDEX( ComputeThermoProps($A169, $B169, ParametersRange), 1, COLUMN()-2 )</f>
        <v>-5755.950629817884</v>
      </c>
      <c r="O169" s="4">
        <f t="shared" si="5"/>
        <v>-1.5630610069200692</v>
      </c>
    </row>
    <row r="170" spans="1:15" x14ac:dyDescent="0.25">
      <c r="A170" s="2">
        <v>152.1</v>
      </c>
      <c r="B170" s="2">
        <f t="shared" si="4"/>
        <v>3.034957203450275E-2</v>
      </c>
      <c r="C170" s="2" cm="1">
        <f t="array" ref="C170">INDEX( ComputeThermoProps($A170, $B170, ParametersRange), 1, COLUMN()-2 )</f>
        <v>38.116469349674851</v>
      </c>
      <c r="D170" s="2" cm="1">
        <f t="array" ref="D170">INDEX( ComputeThermoProps($A170, $B170, ParametersRange), 1, COLUMN()-2 )</f>
        <v>5.9234296108138314E-4</v>
      </c>
      <c r="E170" s="2" cm="1">
        <f t="array" ref="E170">INDEX( ComputeThermoProps($A170, $B170, ParametersRange), 1, COLUMN()-2 )</f>
        <v>4.1642075924384707E-4</v>
      </c>
      <c r="F170" s="2" cm="1">
        <f t="array" ref="F170">INDEX( ComputeThermoProps($A170, $B170, ParametersRange), 1, COLUMN()-2 )</f>
        <v>1.0363925257134837E-3</v>
      </c>
      <c r="G170" s="2" cm="1">
        <f t="array" ref="G170">INDEX( ComputeThermoProps($A170, $B170, ParametersRange), 1, COLUMN()-2 )</f>
        <v>35.39727033194287</v>
      </c>
      <c r="H170" s="2" cm="1">
        <f t="array" ref="H170">INDEX( ComputeThermoProps($A170, $B170, ParametersRange), 1, COLUMN()-2 )</f>
        <v>24.884499614678756</v>
      </c>
      <c r="I170" s="2" cm="1">
        <f t="array" ref="I170">INDEX( ComputeThermoProps($A170, $B170, ParametersRange), 1, COLUMN()-2 )</f>
        <v>2.68</v>
      </c>
      <c r="J170" s="2" cm="1">
        <f t="array" ref="J170">INDEX( ComputeThermoProps($A170, $B170, ParametersRange), 1, COLUMN()-2 )</f>
        <v>3883.1942155309221</v>
      </c>
      <c r="K170" s="2" cm="1">
        <f t="array" ref="K170">INDEX( ComputeThermoProps($A170, $B170, ParametersRange), 1, COLUMN()-2 )</f>
        <v>63.799227845836633</v>
      </c>
      <c r="L170" s="2" cm="1">
        <f t="array" ref="L170">INDEX( ComputeThermoProps($A170, $B170, ParametersRange), 1, COLUMN()-2 )</f>
        <v>-5820.6683398208297</v>
      </c>
      <c r="M170" s="2" cm="1">
        <f t="array" ref="M170">INDEX( ComputeThermoProps($A170, $B170, ParametersRange), 1, COLUMN()-2 )</f>
        <v>3884.351034063151</v>
      </c>
      <c r="N170" s="2" cm="1">
        <f t="array" ref="N170">INDEX( ComputeThermoProps($A170, $B170, ParametersRange), 1, COLUMN()-2 )</f>
        <v>-5819.5115212886003</v>
      </c>
      <c r="O170" s="4">
        <f t="shared" si="5"/>
        <v>-1.5178474286204977</v>
      </c>
    </row>
    <row r="171" spans="1:15" x14ac:dyDescent="0.25">
      <c r="A171" s="2">
        <v>153.1</v>
      </c>
      <c r="B171" s="2">
        <f t="shared" si="4"/>
        <v>3.3681750474221527E-2</v>
      </c>
      <c r="C171" s="2" cm="1">
        <f t="array" ref="C171">INDEX( ComputeThermoProps($A171, $B171, ParametersRange), 1, COLUMN()-2 )</f>
        <v>38.15607961592589</v>
      </c>
      <c r="D171" s="2" cm="1">
        <f t="array" ref="D171">INDEX( ComputeThermoProps($A171, $B171, ParametersRange), 1, COLUMN()-2 )</f>
        <v>5.9776076918369105E-4</v>
      </c>
      <c r="E171" s="2" cm="1">
        <f t="array" ref="E171">INDEX( ComputeThermoProps($A171, $B171, ParametersRange), 1, COLUMN()-2 )</f>
        <v>4.1838482656271112E-4</v>
      </c>
      <c r="F171" s="2" cm="1">
        <f t="array" ref="F171">INDEX( ComputeThermoProps($A171, $B171, ParametersRange), 1, COLUMN()-2 )</f>
        <v>1.0449085573064078E-3</v>
      </c>
      <c r="G171" s="2" cm="1">
        <f t="array" ref="G171">INDEX( ComputeThermoProps($A171, $B171, ParametersRange), 1, COLUMN()-2 )</f>
        <v>35.557507672537085</v>
      </c>
      <c r="H171" s="2" cm="1">
        <f t="array" ref="H171">INDEX( ComputeThermoProps($A171, $B171, ParametersRange), 1, COLUMN()-2 )</f>
        <v>24.887417253715931</v>
      </c>
      <c r="I171" s="2" cm="1">
        <f t="array" ref="I171">INDEX( ComputeThermoProps($A171, $B171, ParametersRange), 1, COLUMN()-2 )</f>
        <v>2.68</v>
      </c>
      <c r="J171" s="2" cm="1">
        <f t="array" ref="J171">INDEX( ComputeThermoProps($A171, $B171, ParametersRange), 1, COLUMN()-2 )</f>
        <v>3918.6498884824609</v>
      </c>
      <c r="K171" s="2" cm="1">
        <f t="array" ref="K171">INDEX( ComputeThermoProps($A171, $B171, ParametersRange), 1, COLUMN()-2 )</f>
        <v>64.031528921321822</v>
      </c>
      <c r="L171" s="2" cm="1">
        <f t="array" ref="L171">INDEX( ComputeThermoProps($A171, $B171, ParametersRange), 1, COLUMN()-2 )</f>
        <v>-5884.5771893719093</v>
      </c>
      <c r="M171" s="2" cm="1">
        <f t="array" ref="M171">INDEX( ComputeThermoProps($A171, $B171, ParametersRange), 1, COLUMN()-2 )</f>
        <v>3919.9350520351591</v>
      </c>
      <c r="N171" s="2" cm="1">
        <f t="array" ref="N171">INDEX( ComputeThermoProps($A171, $B171, ParametersRange), 1, COLUMN()-2 )</f>
        <v>-5883.2920258192116</v>
      </c>
      <c r="O171" s="4">
        <f t="shared" si="5"/>
        <v>-1.4726053458677548</v>
      </c>
    </row>
    <row r="172" spans="1:15" x14ac:dyDescent="0.25">
      <c r="A172" s="2">
        <v>154.1</v>
      </c>
      <c r="B172" s="2">
        <f t="shared" si="4"/>
        <v>3.7385317643864414E-2</v>
      </c>
      <c r="C172" s="2" cm="1">
        <f t="array" ref="C172">INDEX( ComputeThermoProps($A172, $B172, ParametersRange), 1, COLUMN()-2 )</f>
        <v>38.196051019479306</v>
      </c>
      <c r="D172" s="2" cm="1">
        <f t="array" ref="D172">INDEX( ComputeThermoProps($A172, $B172, ParametersRange), 1, COLUMN()-2 )</f>
        <v>6.0331190066827026E-4</v>
      </c>
      <c r="E172" s="2" cm="1">
        <f t="array" ref="E172">INDEX( ComputeThermoProps($A172, $B172, ParametersRange), 1, COLUMN()-2 )</f>
        <v>4.2038629591359584E-4</v>
      </c>
      <c r="F172" s="2" cm="1">
        <f t="array" ref="F172">INDEX( ComputeThermoProps($A172, $B172, ParametersRange), 1, COLUMN()-2 )</f>
        <v>1.0536309433551488E-3</v>
      </c>
      <c r="G172" s="2" cm="1">
        <f t="array" ref="G172">INDEX( ComputeThermoProps($A172, $B172, ParametersRange), 1, COLUMN()-2 )</f>
        <v>35.721002378349255</v>
      </c>
      <c r="H172" s="2" cm="1">
        <f t="array" ref="H172">INDEX( ComputeThermoProps($A172, $B172, ParametersRange), 1, COLUMN()-2 )</f>
        <v>24.890309406331184</v>
      </c>
      <c r="I172" s="2" cm="1">
        <f t="array" ref="I172">INDEX( ComputeThermoProps($A172, $B172, ParametersRange), 1, COLUMN()-2 )</f>
        <v>2.6799999999999997</v>
      </c>
      <c r="J172" s="2" cm="1">
        <f t="array" ref="J172">INDEX( ComputeThermoProps($A172, $B172, ParametersRange), 1, COLUMN()-2 )</f>
        <v>3954.2646575159793</v>
      </c>
      <c r="K172" s="2" cm="1">
        <f t="array" ref="K172">INDEX( ComputeThermoProps($A172, $B172, ParametersRange), 1, COLUMN()-2 )</f>
        <v>64.263353189936367</v>
      </c>
      <c r="L172" s="2" cm="1">
        <f t="array" ref="L172">INDEX( ComputeThermoProps($A172, $B172, ParametersRange), 1, COLUMN()-2 )</f>
        <v>-5948.718069053215</v>
      </c>
      <c r="M172" s="2" cm="1">
        <f t="array" ref="M172">INDEX( ComputeThermoProps($A172, $B172, ParametersRange), 1, COLUMN()-2 )</f>
        <v>3955.6926290160836</v>
      </c>
      <c r="N172" s="2" cm="1">
        <f t="array" ref="N172">INDEX( ComputeThermoProps($A172, $B172, ParametersRange), 1, COLUMN()-2 )</f>
        <v>-5947.2900975531102</v>
      </c>
      <c r="O172" s="4">
        <f t="shared" si="5"/>
        <v>-1.427298925024217</v>
      </c>
    </row>
    <row r="173" spans="1:15" x14ac:dyDescent="0.25">
      <c r="A173" s="2">
        <v>155.1</v>
      </c>
      <c r="B173" s="2">
        <f t="shared" si="4"/>
        <v>4.1506286989335998E-2</v>
      </c>
      <c r="C173" s="2" cm="1">
        <f t="array" ref="C173">INDEX( ComputeThermoProps($A173, $B173, ParametersRange), 1, COLUMN()-2 )</f>
        <v>38.236391414373969</v>
      </c>
      <c r="D173" s="2" cm="1">
        <f t="array" ref="D173">INDEX( ComputeThermoProps($A173, $B173, ParametersRange), 1, COLUMN()-2 )</f>
        <v>6.0900173532666844E-4</v>
      </c>
      <c r="E173" s="2" cm="1">
        <f t="array" ref="E173">INDEX( ComputeThermoProps($A173, $B173, ParametersRange), 1, COLUMN()-2 )</f>
        <v>4.2242634799342292E-4</v>
      </c>
      <c r="F173" s="2" cm="1">
        <f t="array" ref="F173">INDEX( ComputeThermoProps($A173, $B173, ParametersRange), 1, COLUMN()-2 )</f>
        <v>1.0625680703606967E-3</v>
      </c>
      <c r="G173" s="2" cm="1">
        <f t="array" ref="G173">INDEX( ComputeThermoProps($A173, $B173, ParametersRange), 1, COLUMN()-2 )</f>
        <v>35.887885240911352</v>
      </c>
      <c r="H173" s="2" cm="1">
        <f t="array" ref="H173">INDEX( ComputeThermoProps($A173, $B173, ParametersRange), 1, COLUMN()-2 )</f>
        <v>24.893177506946561</v>
      </c>
      <c r="I173" s="2" cm="1">
        <f t="array" ref="I173">INDEX( ComputeThermoProps($A173, $B173, ParametersRange), 1, COLUMN()-2 )</f>
        <v>2.68</v>
      </c>
      <c r="J173" s="2" cm="1">
        <f t="array" ref="J173">INDEX( ComputeThermoProps($A173, $B173, ParametersRange), 1, COLUMN()-2 )</f>
        <v>3990.041457876041</v>
      </c>
      <c r="K173" s="2" cm="1">
        <f t="array" ref="K173">INDEX( ComputeThermoProps($A173, $B173, ParametersRange), 1, COLUMN()-2 )</f>
        <v>64.494725898424562</v>
      </c>
      <c r="L173" s="2" cm="1">
        <f t="array" ref="L173">INDEX( ComputeThermoProps($A173, $B173, ParametersRange), 1, COLUMN()-2 )</f>
        <v>-6013.0905289696084</v>
      </c>
      <c r="M173" s="2" cm="1">
        <f t="array" ref="M173">INDEX( ComputeThermoProps($A173, $B173, ParametersRange), 1, COLUMN()-2 )</f>
        <v>3991.6285085115228</v>
      </c>
      <c r="N173" s="2" cm="1">
        <f t="array" ref="N173">INDEX( ComputeThermoProps($A173, $B173, ParametersRange), 1, COLUMN()-2 )</f>
        <v>-6011.5034783341262</v>
      </c>
      <c r="O173" s="4">
        <f t="shared" si="5"/>
        <v>-1.3818861153848301</v>
      </c>
    </row>
    <row r="174" spans="1:15" x14ac:dyDescent="0.25">
      <c r="A174" s="2">
        <v>156.1</v>
      </c>
      <c r="B174" s="2">
        <f t="shared" si="4"/>
        <v>4.609819528819141E-2</v>
      </c>
      <c r="C174" s="2" cm="1">
        <f t="array" ref="C174">INDEX( ComputeThermoProps($A174, $B174, ParametersRange), 1, COLUMN()-2 )</f>
        <v>38.277108809712857</v>
      </c>
      <c r="D174" s="2" cm="1">
        <f t="array" ref="D174">INDEX( ComputeThermoProps($A174, $B174, ParametersRange), 1, COLUMN()-2 )</f>
        <v>6.1483593550396888E-4</v>
      </c>
      <c r="E174" s="2" cm="1">
        <f t="array" ref="E174">INDEX( ComputeThermoProps($A174, $B174, ParametersRange), 1, COLUMN()-2 )</f>
        <v>4.2450620708446796E-4</v>
      </c>
      <c r="F174" s="2" cm="1">
        <f t="array" ref="F174">INDEX( ComputeThermoProps($A174, $B174, ParametersRange), 1, COLUMN()-2 )</f>
        <v>1.0717287618726365E-3</v>
      </c>
      <c r="G174" s="2" cm="1">
        <f t="array" ref="G174">INDEX( ComputeThermoProps($A174, $B174, ParametersRange), 1, COLUMN()-2 )</f>
        <v>36.058293869407869</v>
      </c>
      <c r="H174" s="2" cm="1">
        <f t="array" ref="H174">INDEX( ComputeThermoProps($A174, $B174, ParametersRange), 1, COLUMN()-2 )</f>
        <v>24.896022955933176</v>
      </c>
      <c r="I174" s="2" cm="1">
        <f t="array" ref="I174">INDEX( ComputeThermoProps($A174, $B174, ParametersRange), 1, COLUMN()-2 )</f>
        <v>2.6799999999999997</v>
      </c>
      <c r="J174" s="2" cm="1">
        <f t="array" ref="J174">INDEX( ComputeThermoProps($A174, $B174, ParametersRange), 1, COLUMN()-2 )</f>
        <v>4025.9832918956863</v>
      </c>
      <c r="K174" s="2" cm="1">
        <f t="array" ref="K174">INDEX( ComputeThermoProps($A174, $B174, ParametersRange), 1, COLUMN()-2 )</f>
        <v>64.72567225349448</v>
      </c>
      <c r="L174" s="2" cm="1">
        <f t="array" ref="L174">INDEX( ComputeThermoProps($A174, $B174, ParametersRange), 1, COLUMN()-2 )</f>
        <v>-6077.6941468748018</v>
      </c>
      <c r="M174" s="2" cm="1">
        <f t="array" ref="M174">INDEX( ComputeThermoProps($A174, $B174, ParametersRange), 1, COLUMN()-2 )</f>
        <v>4027.7477975326638</v>
      </c>
      <c r="N174" s="2" cm="1">
        <f t="array" ref="N174">INDEX( ComputeThermoProps($A174, $B174, ParametersRange), 1, COLUMN()-2 )</f>
        <v>-6075.9296412378244</v>
      </c>
      <c r="O174" s="4">
        <f t="shared" si="5"/>
        <v>-1.3363160765999798</v>
      </c>
    </row>
    <row r="175" spans="1:15" x14ac:dyDescent="0.25">
      <c r="A175" s="2">
        <v>157.1</v>
      </c>
      <c r="B175" s="2">
        <f t="shared" si="4"/>
        <v>5.1224186485542639E-2</v>
      </c>
      <c r="C175" s="2" cm="1">
        <f t="array" ref="C175">INDEX( ComputeThermoProps($A175, $B175, ParametersRange), 1, COLUMN()-2 )</f>
        <v>38.318211330027943</v>
      </c>
      <c r="D175" s="2" cm="1">
        <f t="array" ref="D175">INDEX( ComputeThermoProps($A175, $B175, ParametersRange), 1, COLUMN()-2 )</f>
        <v>6.2082045786886501E-4</v>
      </c>
      <c r="E175" s="2" cm="1">
        <f t="array" ref="E175">INDEX( ComputeThermoProps($A175, $B175, ParametersRange), 1, COLUMN()-2 )</f>
        <v>4.2662713963525557E-4</v>
      </c>
      <c r="F175" s="2" cm="1">
        <f t="array" ref="F175">INDEX( ComputeThermoProps($A175, $B175, ParametersRange), 1, COLUMN()-2 )</f>
        <v>1.0811222968885033E-3</v>
      </c>
      <c r="G175" s="2" cm="1">
        <f t="array" ref="G175">INDEX( ComputeThermoProps($A175, $B175, ParametersRange), 1, COLUMN()-2 )</f>
        <v>36.232373043622225</v>
      </c>
      <c r="H175" s="2" cm="1">
        <f t="array" ref="H175">INDEX( ComputeThermoProps($A175, $B175, ParametersRange), 1, COLUMN()-2 )</f>
        <v>24.898847127011397</v>
      </c>
      <c r="I175" s="2" cm="1">
        <f t="array" ref="I175">INDEX( ComputeThermoProps($A175, $B175, ParametersRange), 1, COLUMN()-2 )</f>
        <v>2.6799999999999997</v>
      </c>
      <c r="J175" s="2" cm="1">
        <f t="array" ref="J175">INDEX( ComputeThermoProps($A175, $B175, ParametersRange), 1, COLUMN()-2 )</f>
        <v>4062.093218195238</v>
      </c>
      <c r="K175" s="2" cm="1">
        <f t="array" ref="K175">INDEX( ComputeThermoProps($A175, $B175, ParametersRange), 1, COLUMN()-2 )</f>
        <v>64.956217356715243</v>
      </c>
      <c r="L175" s="2" cm="1">
        <f t="array" ref="L175">INDEX( ComputeThermoProps($A175, $B175, ParametersRange), 1, COLUMN()-2 )</f>
        <v>-6142.5285285447262</v>
      </c>
      <c r="M175" s="2" cm="1">
        <f t="array" ref="M175">INDEX( ComputeThermoProps($A175, $B175, ParametersRange), 1, COLUMN()-2 )</f>
        <v>4064.0560373981998</v>
      </c>
      <c r="N175" s="2" cm="1">
        <f t="array" ref="N175">INDEX( ComputeThermoProps($A175, $B175, ParametersRange), 1, COLUMN()-2 )</f>
        <v>-6140.5657093417649</v>
      </c>
      <c r="O175" s="4">
        <f t="shared" si="5"/>
        <v>-1.2905249300989541</v>
      </c>
    </row>
    <row r="176" spans="1:15" x14ac:dyDescent="0.25">
      <c r="A176" s="2">
        <v>158.1</v>
      </c>
      <c r="B176" s="2">
        <f t="shared" si="4"/>
        <v>5.6960252398671536E-2</v>
      </c>
      <c r="C176" s="2" cm="1">
        <f t="array" ref="C176">INDEX( ComputeThermoProps($A176, $B176, ParametersRange), 1, COLUMN()-2 )</f>
        <v>38.359707145296646</v>
      </c>
      <c r="D176" s="2" cm="1">
        <f t="array" ref="D176">INDEX( ComputeThermoProps($A176, $B176, ParametersRange), 1, COLUMN()-2 )</f>
        <v>6.2696156101186044E-4</v>
      </c>
      <c r="E176" s="2" cm="1">
        <f t="array" ref="E176">INDEX( ComputeThermoProps($A176, $B176, ParametersRange), 1, COLUMN()-2 )</f>
        <v>4.2879045036650637E-4</v>
      </c>
      <c r="F176" s="2" cm="1">
        <f t="array" ref="F176">INDEX( ComputeThermoProps($A176, $B176, ParametersRange), 1, COLUMN()-2 )</f>
        <v>1.0907584216976623E-3</v>
      </c>
      <c r="G176" s="2" cm="1">
        <f t="array" ref="G176">INDEX( ComputeThermoProps($A176, $B176, ParametersRange), 1, COLUMN()-2 )</f>
        <v>36.410275005049904</v>
      </c>
      <c r="H176" s="2" cm="1">
        <f t="array" ref="H176">INDEX( ComputeThermoProps($A176, $B176, ParametersRange), 1, COLUMN()-2 )</f>
        <v>24.901651374267193</v>
      </c>
      <c r="I176" s="2" cm="1">
        <f t="array" ref="I176">INDEX( ComputeThermoProps($A176, $B176, ParametersRange), 1, COLUMN()-2 )</f>
        <v>2.6799999999999997</v>
      </c>
      <c r="J176" s="2" cm="1">
        <f t="array" ref="J176">INDEX( ComputeThermoProps($A176, $B176, ParametersRange), 1, COLUMN()-2 )</f>
        <v>4098.3743321329321</v>
      </c>
      <c r="K176" s="2" cm="1">
        <f t="array" ref="K176">INDEX( ComputeThermoProps($A176, $B176, ParametersRange), 1, COLUMN()-2 )</f>
        <v>65.18638608680692</v>
      </c>
      <c r="L176" s="2" cm="1">
        <f t="array" ref="L176">INDEX( ComputeThermoProps($A176, $B176, ParametersRange), 1, COLUMN()-2 )</f>
        <v>-6207.5933081912417</v>
      </c>
      <c r="M176" s="2" cm="1">
        <f t="array" ref="M176">INDEX( ComputeThermoProps($A176, $B176, ParametersRange), 1, COLUMN()-2 )</f>
        <v>4100.5593107338673</v>
      </c>
      <c r="N176" s="2" cm="1">
        <f t="array" ref="N176">INDEX( ComputeThermoProps($A176, $B176, ParametersRange), 1, COLUMN()-2 )</f>
        <v>-6205.4083295903065</v>
      </c>
      <c r="O176" s="4">
        <f t="shared" si="5"/>
        <v>-1.2444280949486679</v>
      </c>
    </row>
    <row r="177" spans="1:15" x14ac:dyDescent="0.25">
      <c r="A177" s="2">
        <v>159.1</v>
      </c>
      <c r="B177" s="2">
        <f t="shared" si="4"/>
        <v>6.3400901893917685E-2</v>
      </c>
      <c r="C177" s="2" cm="1">
        <f t="array" ref="C177">INDEX( ComputeThermoProps($A177, $B177, ParametersRange), 1, COLUMN()-2 )</f>
        <v>38.401604337272346</v>
      </c>
      <c r="D177" s="2" cm="1">
        <f t="array" ref="D177">INDEX( ComputeThermoProps($A177, $B177, ParametersRange), 1, COLUMN()-2 )</f>
        <v>6.332658025453025E-4</v>
      </c>
      <c r="E177" s="2" cm="1">
        <f t="array" ref="E177">INDEX( ComputeThermoProps($A177, $B177, ParametersRange), 1, COLUMN()-2 )</f>
        <v>4.3099747307695643E-4</v>
      </c>
      <c r="F177" s="2" cm="1">
        <f t="array" ref="F177">INDEX( ComputeThermoProps($A177, $B177, ParametersRange), 1, COLUMN()-2 )</f>
        <v>1.1006473443479804E-3</v>
      </c>
      <c r="G177" s="2" cm="1">
        <f t="array" ref="G177">INDEX( ComputeThermoProps($A177, $B177, ParametersRange), 1, COLUMN()-2 )</f>
        <v>36.592159538950881</v>
      </c>
      <c r="H177" s="2" cm="1">
        <f t="array" ref="H177">INDEX( ComputeThermoProps($A177, $B177, ParametersRange), 1, COLUMN()-2 )</f>
        <v>24.904437018906361</v>
      </c>
      <c r="I177" s="2" cm="1">
        <f t="array" ref="I177">INDEX( ComputeThermoProps($A177, $B177, ParametersRange), 1, COLUMN()-2 )</f>
        <v>2.6799999999999997</v>
      </c>
      <c r="J177" s="2" cm="1">
        <f t="array" ref="J177">INDEX( ComputeThermoProps($A177, $B177, ParametersRange), 1, COLUMN()-2 )</f>
        <v>4134.8297279829712</v>
      </c>
      <c r="K177" s="2" cm="1">
        <f t="array" ref="K177">INDEX( ComputeThermoProps($A177, $B177, ParametersRange), 1, COLUMN()-2 )</f>
        <v>65.416202871777173</v>
      </c>
      <c r="L177" s="2" cm="1">
        <f t="array" ref="L177">INDEX( ComputeThermoProps($A177, $B177, ParametersRange), 1, COLUMN()-2 )</f>
        <v>-6272.888148916777</v>
      </c>
      <c r="M177" s="2" cm="1">
        <f t="array" ref="M177">INDEX( ComputeThermoProps($A177, $B177, ParametersRange), 1, COLUMN()-2 )</f>
        <v>4137.2644243321274</v>
      </c>
      <c r="N177" s="2" cm="1">
        <f t="array" ref="N177">INDEX( ComputeThermoProps($A177, $B177, ParametersRange), 1, COLUMN()-2 )</f>
        <v>-6270.4534525676208</v>
      </c>
      <c r="O177" s="4">
        <f t="shared" si="5"/>
        <v>-1.1979045641251163</v>
      </c>
    </row>
    <row r="178" spans="1:15" x14ac:dyDescent="0.25">
      <c r="A178" s="2">
        <v>160.1</v>
      </c>
      <c r="B178" s="2">
        <f t="shared" si="4"/>
        <v>7.0671278307414626E-2</v>
      </c>
      <c r="C178" s="2" cm="1">
        <f t="array" ref="C178">INDEX( ComputeThermoProps($A178, $B178, ParametersRange), 1, COLUMN()-2 )</f>
        <v>38.443910598133144</v>
      </c>
      <c r="D178" s="2" cm="1">
        <f t="array" ref="D178">INDEX( ComputeThermoProps($A178, $B178, ParametersRange), 1, COLUMN()-2 )</f>
        <v>6.3974000718873135E-4</v>
      </c>
      <c r="E178" s="2" cm="1">
        <f t="array" ref="E178">INDEX( ComputeThermoProps($A178, $B178, ParametersRange), 1, COLUMN()-2 )</f>
        <v>4.332495473899846E-4</v>
      </c>
      <c r="F178" s="2" cm="1">
        <f t="array" ref="F178">INDEX( ComputeThermoProps($A178, $B178, ParametersRange), 1, COLUMN()-2 )</f>
        <v>1.1107996844313471E-3</v>
      </c>
      <c r="G178" s="2" cm="1">
        <f t="array" ref="G178">INDEX( ComputeThermoProps($A178, $B178, ParametersRange), 1, COLUMN()-2 )</f>
        <v>36.7781936013576</v>
      </c>
      <c r="H178" s="2" cm="1">
        <f t="array" ref="H178">INDEX( ComputeThermoProps($A178, $B178, ParametersRange), 1, COLUMN()-2 )</f>
        <v>24.907205353046862</v>
      </c>
      <c r="I178" s="2" cm="1">
        <f t="array" ref="I178">INDEX( ComputeThermoProps($A178, $B178, ParametersRange), 1, COLUMN()-2 )</f>
        <v>2.68</v>
      </c>
      <c r="J178" s="2" cm="1">
        <f t="array" ref="J178">INDEX( ComputeThermoProps($A178, $B178, ParametersRange), 1, COLUMN()-2 )</f>
        <v>4171.4624132974532</v>
      </c>
      <c r="K178" s="2" cm="1">
        <f t="array" ref="K178">INDEX( ComputeThermoProps($A178, $B178, ParametersRange), 1, COLUMN()-2 )</f>
        <v>65.645691171179749</v>
      </c>
      <c r="L178" s="2" cm="1">
        <f t="array" ref="L178">INDEX( ComputeThermoProps($A178, $B178, ParametersRange), 1, COLUMN()-2 )</f>
        <v>-6338.4127432084242</v>
      </c>
      <c r="M178" s="2" cm="1">
        <f t="array" ref="M178">INDEX( ComputeThermoProps($A178, $B178, ParametersRange), 1, COLUMN()-2 )</f>
        <v>4174.1792936025595</v>
      </c>
      <c r="N178" s="2" cm="1">
        <f t="array" ref="N178">INDEX( ComputeThermoProps($A178, $B178, ParametersRange), 1, COLUMN()-2 )</f>
        <v>-6335.6958629033179</v>
      </c>
      <c r="O178" s="4">
        <f t="shared" si="5"/>
        <v>-1.1507570530628717</v>
      </c>
    </row>
    <row r="179" spans="1:15" x14ac:dyDescent="0.25">
      <c r="A179" s="2">
        <v>161.1</v>
      </c>
      <c r="B179" s="2">
        <f t="shared" si="4"/>
        <v>7.8967562992883975E-2</v>
      </c>
      <c r="C179" s="2" cm="1">
        <f t="array" ref="C179">INDEX( ComputeThermoProps($A179, $B179, ParametersRange), 1, COLUMN()-2 )</f>
        <v>38.48663220450306</v>
      </c>
      <c r="D179" s="2" cm="1">
        <f t="array" ref="D179">INDEX( ComputeThermoProps($A179, $B179, ParametersRange), 1, COLUMN()-2 )</f>
        <v>6.4639110545055428E-4</v>
      </c>
      <c r="E179" s="2" cm="1">
        <f t="array" ref="E179">INDEX( ComputeThermoProps($A179, $B179, ParametersRange), 1, COLUMN()-2 )</f>
        <v>4.355479349106876E-4</v>
      </c>
      <c r="F179" s="2" cm="1">
        <f t="array" ref="F179">INDEX( ComputeThermoProps($A179, $B179, ParametersRange), 1, COLUMN()-2 )</f>
        <v>1.1212262191015159E-3</v>
      </c>
      <c r="G179" s="2" cm="1">
        <f t="array" ref="G179">INDEX( ComputeThermoProps($A179, $B179, ParametersRange), 1, COLUMN()-2 )</f>
        <v>36.968548697903408</v>
      </c>
      <c r="H179" s="2" cm="1">
        <f t="array" ref="H179">INDEX( ComputeThermoProps($A179, $B179, ParametersRange), 1, COLUMN()-2 )</f>
        <v>24.909957618915143</v>
      </c>
      <c r="I179" s="2" cm="1">
        <f t="array" ref="I179">INDEX( ComputeThermoProps($A179, $B179, ParametersRange), 1, COLUMN()-2 )</f>
        <v>2.68</v>
      </c>
      <c r="J179" s="2" cm="1">
        <f t="array" ref="J179">INDEX( ComputeThermoProps($A179, $B179, ParametersRange), 1, COLUMN()-2 )</f>
        <v>4208.2750181786541</v>
      </c>
      <c r="K179" s="2" cm="1">
        <f t="array" ref="K179">INDEX( ComputeThermoProps($A179, $B179, ParametersRange), 1, COLUMN()-2 )</f>
        <v>65.874871704767088</v>
      </c>
      <c r="L179" s="2" cm="1">
        <f t="array" ref="L179">INDEX( ComputeThermoProps($A179, $B179, ParametersRange), 1, COLUMN()-2 )</f>
        <v>-6404.1668134593237</v>
      </c>
      <c r="M179" s="2" cm="1">
        <f t="array" ref="M179">INDEX( ComputeThermoProps($A179, $B179, ParametersRange), 1, COLUMN()-2 )</f>
        <v>4211.3142137316472</v>
      </c>
      <c r="N179" s="2" cm="1">
        <f t="array" ref="N179">INDEX( ComputeThermoProps($A179, $B179, ParametersRange), 1, COLUMN()-2 )</f>
        <v>-6401.1276179063307</v>
      </c>
      <c r="O179" s="4">
        <f t="shared" si="5"/>
        <v>-1.1025512644824913</v>
      </c>
    </row>
    <row r="180" spans="1:15" x14ac:dyDescent="0.25">
      <c r="A180" s="2">
        <v>162.1</v>
      </c>
      <c r="B180" s="2">
        <f t="shared" si="4"/>
        <v>2.1048784150911288</v>
      </c>
      <c r="C180" s="2" cm="1">
        <f t="array" ref="C180">INDEX( ComputeThermoProps($A180, $B180, ParametersRange), 1, COLUMN()-2 )</f>
        <v>38.479402137557621</v>
      </c>
      <c r="D180" s="2" cm="1">
        <f t="array" ref="D180">INDEX( ComputeThermoProps($A180, $B180, ParametersRange), 1, COLUMN()-2 )</f>
        <v>6.444413585671219E-4</v>
      </c>
      <c r="E180" s="2" cm="1">
        <f t="array" ref="E180">INDEX( ComputeThermoProps($A180, $B180, ParametersRange), 1, COLUMN()-2 )</f>
        <v>4.3374902541964288E-4</v>
      </c>
      <c r="F180" s="2" cm="1">
        <f t="array" ref="F180">INDEX( ComputeThermoProps($A180, $B180, ParametersRange), 1, COLUMN()-2 )</f>
        <v>1.1181302872542171E-3</v>
      </c>
      <c r="G180" s="2" cm="1">
        <f t="array" ref="G180">INDEX( ComputeThermoProps($A180, $B180, ParametersRange), 1, COLUMN()-2 )</f>
        <v>37.012414845586541</v>
      </c>
      <c r="H180" s="2" cm="1">
        <f t="array" ref="H180">INDEX( ComputeThermoProps($A180, $B180, ParametersRange), 1, COLUMN()-2 )</f>
        <v>24.911652013452464</v>
      </c>
      <c r="I180" s="2" cm="1">
        <f t="array" ref="I180">INDEX( ComputeThermoProps($A180, $B180, ParametersRange), 1, COLUMN()-2 )</f>
        <v>2.6800000000000006</v>
      </c>
      <c r="J180" s="2" cm="1">
        <f t="array" ref="J180">INDEX( ComputeThermoProps($A180, $B180, ParametersRange), 1, COLUMN()-2 )</f>
        <v>4231.1667953993274</v>
      </c>
      <c r="K180" s="2" cm="1">
        <f t="array" ref="K180">INDEX( ComputeThermoProps($A180, $B180, ParametersRange), 1, COLUMN()-2 )</f>
        <v>66.01644357561581</v>
      </c>
      <c r="L180" s="2" cm="1">
        <f t="array" ref="L180">INDEX( ComputeThermoProps($A180, $B180, ParametersRange), 1, COLUMN()-2 )</f>
        <v>-6470.0987082079946</v>
      </c>
      <c r="M180" s="2" cm="1">
        <f t="array" ref="M180">INDEX( ComputeThermoProps($A180, $B180, ParametersRange), 1, COLUMN()-2 )</f>
        <v>4312.1612583842834</v>
      </c>
      <c r="N180" s="2" cm="1">
        <f t="array" ref="N180">INDEX( ComputeThermoProps($A180, $B180, ParametersRange), 1, COLUMN()-2 )</f>
        <v>-6389.1042452230386</v>
      </c>
      <c r="O180" s="4">
        <f t="shared" si="5"/>
        <v>0.32322701457547093</v>
      </c>
    </row>
    <row r="181" spans="1:15" x14ac:dyDescent="0.25">
      <c r="A181" s="2">
        <v>163.1</v>
      </c>
      <c r="B181" s="2">
        <f t="shared" si="4"/>
        <v>4.7329999051786098</v>
      </c>
      <c r="C181" s="2" cm="1">
        <f t="array" ref="C181">INDEX( ComputeThermoProps($A181, $B181, ParametersRange), 1, COLUMN()-2 )</f>
        <v>38.457352617250223</v>
      </c>
      <c r="D181" s="2" cm="1">
        <f t="array" ref="D181">INDEX( ComputeThermoProps($A181, $B181, ParametersRange), 1, COLUMN()-2 )</f>
        <v>6.399677114117422E-4</v>
      </c>
      <c r="E181" s="2" cm="1">
        <f t="array" ref="E181">INDEX( ComputeThermoProps($A181, $B181, ParametersRange), 1, COLUMN()-2 )</f>
        <v>4.3076442299816198E-4</v>
      </c>
      <c r="F181" s="2" cm="1">
        <f t="array" ref="F181">INDEX( ComputeThermoProps($A181, $B181, ParametersRange), 1, COLUMN()-2 )</f>
        <v>1.1110661697240969E-3</v>
      </c>
      <c r="G181" s="2" cm="1">
        <f t="array" ref="G181">INDEX( ComputeThermoProps($A181, $B181, ParametersRange), 1, COLUMN()-2 )</f>
        <v>37.012181819984072</v>
      </c>
      <c r="H181" s="2" cm="1">
        <f t="array" ref="H181">INDEX( ComputeThermoProps($A181, $B181, ParametersRange), 1, COLUMN()-2 )</f>
        <v>24.913024299956842</v>
      </c>
      <c r="I181" s="2" cm="1">
        <f t="array" ref="I181">INDEX( ComputeThermoProps($A181, $B181, ParametersRange), 1, COLUMN()-2 )</f>
        <v>2.6799999999999997</v>
      </c>
      <c r="J181" s="2" cm="1">
        <f t="array" ref="J181">INDEX( ComputeThermoProps($A181, $B181, ParametersRange), 1, COLUMN()-2 )</f>
        <v>4249.9320010086285</v>
      </c>
      <c r="K181" s="2" cm="1">
        <f t="array" ref="K181">INDEX( ComputeThermoProps($A181, $B181, ParametersRange), 1, COLUMN()-2 )</f>
        <v>66.131357511830657</v>
      </c>
      <c r="L181" s="2" cm="1">
        <f t="array" ref="L181">INDEX( ComputeThermoProps($A181, $B181, ParametersRange), 1, COLUMN()-2 )</f>
        <v>-6536.0924091709512</v>
      </c>
      <c r="M181" s="2" cm="1">
        <f t="array" ref="M181">INDEX( ComputeThermoProps($A181, $B181, ParametersRange), 1, COLUMN()-2 )</f>
        <v>4431.9506472994944</v>
      </c>
      <c r="N181" s="2" cm="1">
        <f t="array" ref="N181">INDEX( ComputeThermoProps($A181, $B181, ParametersRange), 1, COLUMN()-2 )</f>
        <v>-6354.0737628800853</v>
      </c>
      <c r="O181" s="4">
        <f t="shared" si="5"/>
        <v>0.67513649576729529</v>
      </c>
    </row>
    <row r="182" spans="1:15" x14ac:dyDescent="0.25">
      <c r="A182" s="2">
        <v>164.1</v>
      </c>
      <c r="B182" s="2">
        <f t="shared" si="4"/>
        <v>7.3194607984165074</v>
      </c>
      <c r="C182" s="2" cm="1">
        <f t="array" ref="C182">INDEX( ComputeThermoProps($A182, $B182, ParametersRange), 1, COLUMN()-2 )</f>
        <v>38.436512231186164</v>
      </c>
      <c r="D182" s="2" cm="1">
        <f t="array" ref="D182">INDEX( ComputeThermoProps($A182, $B182, ParametersRange), 1, COLUMN()-2 )</f>
        <v>6.3575079131757682E-4</v>
      </c>
      <c r="E182" s="2" cm="1">
        <f t="array" ref="E182">INDEX( ComputeThermoProps($A182, $B182, ParametersRange), 1, COLUMN()-2 )</f>
        <v>4.279121515369951E-4</v>
      </c>
      <c r="F182" s="2" cm="1">
        <f t="array" ref="F182">INDEX( ComputeThermoProps($A182, $B182, ParametersRange), 1, COLUMN()-2 )</f>
        <v>1.1044048290475307E-3</v>
      </c>
      <c r="G182" s="2" cm="1">
        <f t="array" ref="G182">INDEX( ComputeThermoProps($A182, $B182, ParametersRange), 1, COLUMN()-2 )</f>
        <v>37.015434864824385</v>
      </c>
      <c r="H182" s="2" cm="1">
        <f t="array" ref="H182">INDEX( ComputeThermoProps($A182, $B182, ParametersRange), 1, COLUMN()-2 )</f>
        <v>24.914407641173138</v>
      </c>
      <c r="I182" s="2" cm="1">
        <f t="array" ref="I182">INDEX( ComputeThermoProps($A182, $B182, ParametersRange), 1, COLUMN()-2 )</f>
        <v>2.68</v>
      </c>
      <c r="J182" s="2" cm="1">
        <f t="array" ref="J182">INDEX( ComputeThermoProps($A182, $B182, ParametersRange), 1, COLUMN()-2 )</f>
        <v>4269.050216064179</v>
      </c>
      <c r="K182" s="2" cm="1">
        <f t="array" ref="K182">INDEX( ComputeThermoProps($A182, $B182, ParametersRange), 1, COLUMN()-2 )</f>
        <v>66.247419147592581</v>
      </c>
      <c r="L182" s="2" cm="1">
        <f t="array" ref="L182">INDEX( ComputeThermoProps($A182, $B182, ParametersRange), 1, COLUMN()-2 )</f>
        <v>-6602.1512660557628</v>
      </c>
      <c r="M182" s="2" cm="1">
        <f t="array" ref="M182">INDEX( ComputeThermoProps($A182, $B182, ParametersRange), 1, COLUMN()-2 )</f>
        <v>4550.3847605682031</v>
      </c>
      <c r="N182" s="2" cm="1">
        <f t="array" ref="N182">INDEX( ComputeThermoProps($A182, $B182, ParametersRange), 1, COLUMN()-2 )</f>
        <v>-6320.8167215517387</v>
      </c>
      <c r="O182" s="4">
        <f t="shared" si="5"/>
        <v>0.86447908913250404</v>
      </c>
    </row>
    <row r="183" spans="1:15" x14ac:dyDescent="0.25">
      <c r="A183" s="2">
        <v>165.1</v>
      </c>
      <c r="B183" s="2">
        <f t="shared" si="4"/>
        <v>9.9006287875047612</v>
      </c>
      <c r="C183" s="2" cm="1">
        <f t="array" ref="C183">INDEX( ComputeThermoProps($A183, $B183, ParametersRange), 1, COLUMN()-2 )</f>
        <v>38.415973155592461</v>
      </c>
      <c r="D183" s="2" cm="1">
        <f t="array" ref="D183">INDEX( ComputeThermoProps($A183, $B183, ParametersRange), 1, COLUMN()-2 )</f>
        <v>6.3163154566721574E-4</v>
      </c>
      <c r="E183" s="2" cm="1">
        <f t="array" ref="E183">INDEX( ComputeThermoProps($A183, $B183, ParametersRange), 1, COLUMN()-2 )</f>
        <v>4.2511667714637501E-4</v>
      </c>
      <c r="F183" s="2" cm="1">
        <f t="array" ref="F183">INDEX( ComputeThermoProps($A183, $B183, ParametersRange), 1, COLUMN()-2 )</f>
        <v>1.0978962845998388E-3</v>
      </c>
      <c r="G183" s="2" cm="1">
        <f t="array" ref="G183">INDEX( ComputeThermoProps($A183, $B183, ParametersRange), 1, COLUMN()-2 )</f>
        <v>37.019471819351921</v>
      </c>
      <c r="H183" s="2" cm="1">
        <f t="array" ref="H183">INDEX( ComputeThermoProps($A183, $B183, ParametersRange), 1, COLUMN()-2 )</f>
        <v>24.915783509407461</v>
      </c>
      <c r="I183" s="2" cm="1">
        <f t="array" ref="I183">INDEX( ComputeThermoProps($A183, $B183, ParametersRange), 1, COLUMN()-2 )</f>
        <v>2.6799999999999997</v>
      </c>
      <c r="J183" s="2" cm="1">
        <f t="array" ref="J183">INDEX( ComputeThermoProps($A183, $B183, ParametersRange), 1, COLUMN()-2 )</f>
        <v>4288.2675159755772</v>
      </c>
      <c r="K183" s="2" cm="1">
        <f t="array" ref="K183">INDEX( ComputeThermoProps($A183, $B183, ParametersRange), 1, COLUMN()-2 )</f>
        <v>66.36306589177255</v>
      </c>
      <c r="L183" s="2" cm="1">
        <f t="array" ref="L183">INDEX( ComputeThermoProps($A183, $B183, ParametersRange), 1, COLUMN()-2 )</f>
        <v>-6668.27466275607</v>
      </c>
      <c r="M183" s="2" cm="1">
        <f t="array" ref="M183">INDEX( ComputeThermoProps($A183, $B183, ParametersRange), 1, COLUMN()-2 )</f>
        <v>4668.6098056998462</v>
      </c>
      <c r="N183" s="2" cm="1">
        <f t="array" ref="N183">INDEX( ComputeThermoProps($A183, $B183, ParametersRange), 1, COLUMN()-2 )</f>
        <v>-6287.932373031801</v>
      </c>
      <c r="O183" s="4">
        <f t="shared" si="5"/>
        <v>0.99566277745328946</v>
      </c>
    </row>
    <row r="184" spans="1:15" x14ac:dyDescent="0.25">
      <c r="A184" s="2">
        <v>166.1</v>
      </c>
      <c r="B184" s="2">
        <f t="shared" si="4"/>
        <v>12.487514843583808</v>
      </c>
      <c r="C184" s="2" cm="1">
        <f t="array" ref="C184">INDEX( ComputeThermoProps($A184, $B184, ParametersRange), 1, COLUMN()-2 )</f>
        <v>38.395464172717951</v>
      </c>
      <c r="D184" s="2" cm="1">
        <f t="array" ref="D184">INDEX( ComputeThermoProps($A184, $B184, ParametersRange), 1, COLUMN()-2 )</f>
        <v>6.2756281711285797E-4</v>
      </c>
      <c r="E184" s="2" cm="1">
        <f t="array" ref="E184">INDEX( ComputeThermoProps($A184, $B184, ParametersRange), 1, COLUMN()-2 )</f>
        <v>4.2235546153181013E-4</v>
      </c>
      <c r="F184" s="2" cm="1">
        <f t="array" ref="F184">INDEX( ComputeThermoProps($A184, $B184, ParametersRange), 1, COLUMN()-2 )</f>
        <v>1.0914664303581366E-3</v>
      </c>
      <c r="G184" s="2" cm="1">
        <f t="array" ref="G184">INDEX( ComputeThermoProps($A184, $B184, ParametersRange), 1, COLUMN()-2 )</f>
        <v>37.023493559643079</v>
      </c>
      <c r="H184" s="2" cm="1">
        <f t="array" ref="H184">INDEX( ComputeThermoProps($A184, $B184, ParametersRange), 1, COLUMN()-2 )</f>
        <v>24.917146592340178</v>
      </c>
      <c r="I184" s="2" cm="1">
        <f t="array" ref="I184">INDEX( ComputeThermoProps($A184, $B184, ParametersRange), 1, COLUMN()-2 )</f>
        <v>2.6800000000000006</v>
      </c>
      <c r="J184" s="2" cm="1">
        <f t="array" ref="J184">INDEX( ComputeThermoProps($A184, $B184, ParametersRange), 1, COLUMN()-2 )</f>
        <v>4307.5084127789069</v>
      </c>
      <c r="K184" s="2" cm="1">
        <f t="array" ref="K184">INDEX( ComputeThermoProps($A184, $B184, ParametersRange), 1, COLUMN()-2 )</f>
        <v>66.477838078997394</v>
      </c>
      <c r="L184" s="2" cm="1">
        <f t="array" ref="L184">INDEX( ComputeThermoProps($A184, $B184, ParametersRange), 1, COLUMN()-2 )</f>
        <v>-6734.4604921425598</v>
      </c>
      <c r="M184" s="2" cm="1">
        <f t="array" ref="M184">INDEX( ComputeThermoProps($A184, $B184, ParametersRange), 1, COLUMN()-2 )</f>
        <v>4786.9723415620128</v>
      </c>
      <c r="N184" s="2" cm="1">
        <f t="array" ref="N184">INDEX( ComputeThermoProps($A184, $B184, ParametersRange), 1, COLUMN()-2 )</f>
        <v>-6254.9965633594538</v>
      </c>
      <c r="O184" s="4">
        <f t="shared" si="5"/>
        <v>1.0964760174688901</v>
      </c>
    </row>
    <row r="185" spans="1:15" x14ac:dyDescent="0.25">
      <c r="A185" s="2">
        <v>167.1</v>
      </c>
      <c r="B185" s="2">
        <f t="shared" si="4"/>
        <v>15.084649648119079</v>
      </c>
      <c r="C185" s="2" cm="1">
        <f t="array" ref="C185">INDEX( ComputeThermoProps($A185, $B185, ParametersRange), 1, COLUMN()-2 )</f>
        <v>38.374876644907758</v>
      </c>
      <c r="D185" s="2" cm="1">
        <f t="array" ref="D185">INDEX( ComputeThermoProps($A185, $B185, ParametersRange), 1, COLUMN()-2 )</f>
        <v>6.2352597315716845E-4</v>
      </c>
      <c r="E185" s="2" cm="1">
        <f t="array" ref="E185">INDEX( ComputeThermoProps($A185, $B185, ParametersRange), 1, COLUMN()-2 )</f>
        <v>4.1961948384838994E-4</v>
      </c>
      <c r="F185" s="2" cm="1">
        <f t="array" ref="F185">INDEX( ComputeThermoProps($A185, $B185, ParametersRange), 1, COLUMN()-2 )</f>
        <v>1.0850859951860034E-3</v>
      </c>
      <c r="G185" s="2" cm="1">
        <f t="array" ref="G185">INDEX( ComputeThermoProps($A185, $B185, ParametersRange), 1, COLUMN()-2 )</f>
        <v>37.027186318520563</v>
      </c>
      <c r="H185" s="2" cm="1">
        <f t="array" ref="H185">INDEX( ComputeThermoProps($A185, $B185, ParametersRange), 1, COLUMN()-2 )</f>
        <v>24.918494946832574</v>
      </c>
      <c r="I185" s="2" cm="1">
        <f t="array" ref="I185">INDEX( ComputeThermoProps($A185, $B185, ParametersRange), 1, COLUMN()-2 )</f>
        <v>2.68</v>
      </c>
      <c r="J185" s="2" cm="1">
        <f t="array" ref="J185">INDEX( ComputeThermoProps($A185, $B185, ParametersRange), 1, COLUMN()-2 )</f>
        <v>4326.7429794235977</v>
      </c>
      <c r="K185" s="2" cm="1">
        <f t="array" ref="K185">INDEX( ComputeThermoProps($A185, $B185, ParametersRange), 1, COLUMN()-2 )</f>
        <v>66.591557589728041</v>
      </c>
      <c r="L185" s="2" cm="1">
        <f t="array" ref="L185">INDEX( ComputeThermoProps($A185, $B185, ParametersRange), 1, COLUMN()-2 )</f>
        <v>-6800.7062938199579</v>
      </c>
      <c r="M185" s="2" cm="1">
        <f t="array" ref="M185">INDEX( ComputeThermoProps($A185, $B185, ParametersRange), 1, COLUMN()-2 )</f>
        <v>4905.614548901819</v>
      </c>
      <c r="N185" s="2" cm="1">
        <f t="array" ref="N185">INDEX( ComputeThermoProps($A185, $B185, ParametersRange), 1, COLUMN()-2 )</f>
        <v>-6221.8347243417365</v>
      </c>
      <c r="O185" s="4">
        <f t="shared" si="5"/>
        <v>1.1785352278251895</v>
      </c>
    </row>
    <row r="186" spans="1:15" x14ac:dyDescent="0.25">
      <c r="A186" s="2">
        <v>168.1</v>
      </c>
      <c r="B186" s="2">
        <f t="shared" si="4"/>
        <v>17.694128502837781</v>
      </c>
      <c r="C186" s="2" cm="1">
        <f t="array" ref="C186">INDEX( ComputeThermoProps($A186, $B186, ParametersRange), 1, COLUMN()-2 )</f>
        <v>38.3541628167577</v>
      </c>
      <c r="D186" s="2" cm="1">
        <f t="array" ref="D186">INDEX( ComputeThermoProps($A186, $B186, ParametersRange), 1, COLUMN()-2 )</f>
        <v>6.1951298999312417E-4</v>
      </c>
      <c r="E186" s="2" cm="1">
        <f t="array" ref="E186">INDEX( ComputeThermoProps($A186, $B186, ParametersRange), 1, COLUMN()-2 )</f>
        <v>4.1690475349734189E-4</v>
      </c>
      <c r="F186" s="2" cm="1">
        <f t="array" ref="F186">INDEX( ComputeThermoProps($A186, $B186, ParametersRange), 1, COLUMN()-2 )</f>
        <v>1.0787423827190951E-3</v>
      </c>
      <c r="G186" s="2" cm="1">
        <f t="array" ref="G186">INDEX( ComputeThermoProps($A186, $B186, ParametersRange), 1, COLUMN()-2 )</f>
        <v>37.030417509343039</v>
      </c>
      <c r="H186" s="2" cm="1">
        <f t="array" ref="H186">INDEX( ComputeThermoProps($A186, $B186, ParametersRange), 1, COLUMN()-2 )</f>
        <v>24.919827885784375</v>
      </c>
      <c r="I186" s="2" cm="1">
        <f t="array" ref="I186">INDEX( ComputeThermoProps($A186, $B186, ParametersRange), 1, COLUMN()-2 )</f>
        <v>2.68</v>
      </c>
      <c r="J186" s="2" cm="1">
        <f t="array" ref="J186">INDEX( ComputeThermoProps($A186, $B186, ParametersRange), 1, COLUMN()-2 )</f>
        <v>4345.9583327669334</v>
      </c>
      <c r="K186" s="2" cm="1">
        <f t="array" ref="K186">INDEX( ComputeThermoProps($A186, $B186, ParametersRange), 1, COLUMN()-2 )</f>
        <v>66.704151651039936</v>
      </c>
      <c r="L186" s="2" cm="1">
        <f t="array" ref="L186">INDEX( ComputeThermoProps($A186, $B186, ParametersRange), 1, COLUMN()-2 )</f>
        <v>-6867.0095597728796</v>
      </c>
      <c r="M186" s="2" cm="1">
        <f t="array" ref="M186">INDEX( ComputeThermoProps($A186, $B186, ParametersRange), 1, COLUMN()-2 )</f>
        <v>5024.601818265407</v>
      </c>
      <c r="N186" s="2" cm="1">
        <f t="array" ref="N186">INDEX( ComputeThermoProps($A186, $B186, ParametersRange), 1, COLUMN()-2 )</f>
        <v>-6188.3660742744059</v>
      </c>
      <c r="O186" s="4">
        <f t="shared" si="5"/>
        <v>1.2478291769916587</v>
      </c>
    </row>
    <row r="187" spans="1:15" x14ac:dyDescent="0.25">
      <c r="A187" s="2">
        <v>169.1</v>
      </c>
      <c r="B187" s="2">
        <f t="shared" si="4"/>
        <v>20.31694466780559</v>
      </c>
      <c r="C187" s="2" cm="1">
        <f t="array" ref="C187">INDEX( ComputeThermoProps($A187, $B187, ParametersRange), 1, COLUMN()-2 )</f>
        <v>38.333302283093765</v>
      </c>
      <c r="D187" s="2" cm="1">
        <f t="array" ref="D187">INDEX( ComputeThermoProps($A187, $B187, ParametersRange), 1, COLUMN()-2 )</f>
        <v>6.1552054595588037E-4</v>
      </c>
      <c r="E187" s="2" cm="1">
        <f t="array" ref="E187">INDEX( ComputeThermoProps($A187, $B187, ParametersRange), 1, COLUMN()-2 )</f>
        <v>4.1420951159335402E-4</v>
      </c>
      <c r="F187" s="2" cm="1">
        <f t="array" ref="F187">INDEX( ComputeThermoProps($A187, $B187, ParametersRange), 1, COLUMN()-2 )</f>
        <v>1.0724303872738168E-3</v>
      </c>
      <c r="G187" s="2" cm="1">
        <f t="array" ref="G187">INDEX( ComputeThermoProps($A187, $B187, ParametersRange), 1, COLUMN()-2 )</f>
        <v>37.033135444236692</v>
      </c>
      <c r="H187" s="2" cm="1">
        <f t="array" ref="H187">INDEX( ComputeThermoProps($A187, $B187, ParametersRange), 1, COLUMN()-2 )</f>
        <v>24.92114527437289</v>
      </c>
      <c r="I187" s="2" cm="1">
        <f t="array" ref="I187">INDEX( ComputeThermoProps($A187, $B187, ParametersRange), 1, COLUMN()-2 )</f>
        <v>2.68</v>
      </c>
      <c r="J187" s="2" cm="1">
        <f t="array" ref="J187">INDEX( ComputeThermoProps($A187, $B187, ParametersRange), 1, COLUMN()-2 )</f>
        <v>4365.1492300927466</v>
      </c>
      <c r="K187" s="2" cm="1">
        <f t="array" ref="K187">INDEX( ComputeThermoProps($A187, $B187, ParametersRange), 1, COLUMN()-2 )</f>
        <v>66.815594743784018</v>
      </c>
      <c r="L187" s="2" cm="1">
        <f t="array" ref="L187">INDEX( ComputeThermoProps($A187, $B187, ParametersRange), 1, COLUMN()-2 )</f>
        <v>-6933.3678410811308</v>
      </c>
      <c r="M187" s="2" cm="1">
        <f t="array" ref="M187">INDEX( ComputeThermoProps($A187, $B187, ParametersRange), 1, COLUMN()-2 )</f>
        <v>5143.9648115126283</v>
      </c>
      <c r="N187" s="2" cm="1">
        <f t="array" ref="N187">INDEX( ComputeThermoProps($A187, $B187, ParametersRange), 1, COLUMN()-2 )</f>
        <v>-6154.5522596612491</v>
      </c>
      <c r="O187" s="4">
        <f t="shared" si="5"/>
        <v>1.3078583978205254</v>
      </c>
    </row>
    <row r="188" spans="1:15" x14ac:dyDescent="0.25">
      <c r="A188" s="2">
        <v>170.1</v>
      </c>
      <c r="B188" s="2">
        <f t="shared" si="4"/>
        <v>22.953535010356145</v>
      </c>
      <c r="C188" s="2" cm="1">
        <f t="array" ref="C188">INDEX( ComputeThermoProps($A188, $B188, ParametersRange), 1, COLUMN()-2 )</f>
        <v>38.312288275595016</v>
      </c>
      <c r="D188" s="2" cm="1">
        <f t="array" ref="D188">INDEX( ComputeThermoProps($A188, $B188, ParametersRange), 1, COLUMN()-2 )</f>
        <v>6.1154761130058474E-4</v>
      </c>
      <c r="E188" s="2" cm="1">
        <f t="array" ref="E188">INDEX( ComputeThermoProps($A188, $B188, ParametersRange), 1, COLUMN()-2 )</f>
        <v>4.1153308892456016E-4</v>
      </c>
      <c r="F188" s="2" cm="1">
        <f t="array" ref="F188">INDEX( ComputeThermoProps($A188, $B188, ParametersRange), 1, COLUMN()-2 )</f>
        <v>1.0661484057507011E-3</v>
      </c>
      <c r="G188" s="2" cm="1">
        <f t="array" ref="G188">INDEX( ComputeThermoProps($A188, $B188, ParametersRange), 1, COLUMN()-2 )</f>
        <v>37.035328371871138</v>
      </c>
      <c r="H188" s="2" cm="1">
        <f t="array" ref="H188">INDEX( ComputeThermoProps($A188, $B188, ParametersRange), 1, COLUMN()-2 )</f>
        <v>24.922447251159685</v>
      </c>
      <c r="I188" s="2" cm="1">
        <f t="array" ref="I188">INDEX( ComputeThermoProps($A188, $B188, ParametersRange), 1, COLUMN()-2 )</f>
        <v>2.68</v>
      </c>
      <c r="J188" s="2" cm="1">
        <f t="array" ref="J188">INDEX( ComputeThermoProps($A188, $B188, ParametersRange), 1, COLUMN()-2 )</f>
        <v>4384.3142240651896</v>
      </c>
      <c r="K188" s="2" cm="1">
        <f t="array" ref="K188">INDEX( ComputeThermoProps($A188, $B188, ParametersRange), 1, COLUMN()-2 )</f>
        <v>66.925884845761857</v>
      </c>
      <c r="L188" s="2" cm="1">
        <f t="array" ref="L188">INDEX( ComputeThermoProps($A188, $B188, ParametersRange), 1, COLUMN()-2 )</f>
        <v>-6999.7787881989016</v>
      </c>
      <c r="M188" s="2" cm="1">
        <f t="array" ref="M188">INDEX( ComputeThermoProps($A188, $B188, ParametersRange), 1, COLUMN()-2 )</f>
        <v>5263.7166743259168</v>
      </c>
      <c r="N188" s="2" cm="1">
        <f t="array" ref="N188">INDEX( ComputeThermoProps($A188, $B188, ParametersRange), 1, COLUMN()-2 )</f>
        <v>-6120.3763379381744</v>
      </c>
      <c r="O188" s="4">
        <f t="shared" si="5"/>
        <v>1.3608495795145172</v>
      </c>
    </row>
    <row r="189" spans="1:15" x14ac:dyDescent="0.25">
      <c r="A189" s="2">
        <v>171.1</v>
      </c>
      <c r="B189" s="2">
        <f t="shared" si="4"/>
        <v>25.60403543586812</v>
      </c>
      <c r="C189" s="2" cm="1">
        <f t="array" ref="C189">INDEX( ComputeThermoProps($A189, $B189, ParametersRange), 1, COLUMN()-2 )</f>
        <v>38.291121254845876</v>
      </c>
      <c r="D189" s="2" cm="1">
        <f t="array" ref="D189">INDEX( ComputeThermoProps($A189, $B189, ParametersRange), 1, COLUMN()-2 )</f>
        <v>6.0759432734090681E-4</v>
      </c>
      <c r="E189" s="2" cm="1">
        <f t="array" ref="E189">INDEX( ComputeThermoProps($A189, $B189, ParametersRange), 1, COLUMN()-2 )</f>
        <v>4.088753749171389E-4</v>
      </c>
      <c r="F189" s="2" cm="1">
        <f t="array" ref="F189">INDEX( ComputeThermoProps($A189, $B189, ParametersRange), 1, COLUMN()-2 )</f>
        <v>1.0598966759634257E-3</v>
      </c>
      <c r="G189" s="2" cm="1">
        <f t="array" ref="G189">INDEX( ComputeThermoProps($A189, $B189, ParametersRange), 1, COLUMN()-2 )</f>
        <v>37.037005364152598</v>
      </c>
      <c r="H189" s="2" cm="1">
        <f t="array" ref="H189">INDEX( ComputeThermoProps($A189, $B189, ParametersRange), 1, COLUMN()-2 )</f>
        <v>24.923734097963866</v>
      </c>
      <c r="I189" s="2" cm="1">
        <f t="array" ref="I189">INDEX( ComputeThermoProps($A189, $B189, ParametersRange), 1, COLUMN()-2 )</f>
        <v>2.68</v>
      </c>
      <c r="J189" s="2" cm="1">
        <f t="array" ref="J189">INDEX( ComputeThermoProps($A189, $B189, ParametersRange), 1, COLUMN()-2 )</f>
        <v>4403.4538668713594</v>
      </c>
      <c r="K189" s="2" cm="1">
        <f t="array" ref="K189">INDEX( ComputeThermoProps($A189, $B189, ParametersRange), 1, COLUMN()-2 )</f>
        <v>67.035032331108795</v>
      </c>
      <c r="L189" s="2" cm="1">
        <f t="array" ref="L189">INDEX( ComputeThermoProps($A189, $B189, ParametersRange), 1, COLUMN()-2 )</f>
        <v>-7066.2401649813546</v>
      </c>
      <c r="M189" s="2" cm="1">
        <f t="array" ref="M189">INDEX( ComputeThermoProps($A189, $B189, ParametersRange), 1, COLUMN()-2 )</f>
        <v>5383.8610923595561</v>
      </c>
      <c r="N189" s="2" cm="1">
        <f t="array" ref="N189">INDEX( ComputeThermoProps($A189, $B189, ParametersRange), 1, COLUMN()-2 )</f>
        <v>-6085.8329394931579</v>
      </c>
      <c r="O189" s="4">
        <f t="shared" si="5"/>
        <v>1.4083084195857485</v>
      </c>
    </row>
    <row r="190" spans="1:15" x14ac:dyDescent="0.25">
      <c r="A190" s="2">
        <v>172.1</v>
      </c>
      <c r="B190" s="2">
        <f t="shared" si="4"/>
        <v>28.268411971172167</v>
      </c>
      <c r="C190" s="2" cm="1">
        <f t="array" ref="C190">INDEX( ComputeThermoProps($A190, $B190, ParametersRange), 1, COLUMN()-2 )</f>
        <v>38.269805632687927</v>
      </c>
      <c r="D190" s="2" cm="1">
        <f t="array" ref="D190">INDEX( ComputeThermoProps($A190, $B190, ParametersRange), 1, COLUMN()-2 )</f>
        <v>6.0366143773277561E-4</v>
      </c>
      <c r="E190" s="2" cm="1">
        <f t="array" ref="E190">INDEX( ComputeThermoProps($A190, $B190, ParametersRange), 1, COLUMN()-2 )</f>
        <v>4.0623654831960313E-4</v>
      </c>
      <c r="F190" s="2" cm="1">
        <f t="array" ref="F190">INDEX( ComputeThermoProps($A190, $B190, ParametersRange), 1, COLUMN()-2 )</f>
        <v>1.0536763821997505E-3</v>
      </c>
      <c r="G190" s="2" cm="1">
        <f t="array" ref="G190">INDEX( ComputeThermoProps($A190, $B190, ParametersRange), 1, COLUMN()-2 )</f>
        <v>37.03818653667993</v>
      </c>
      <c r="H190" s="2" cm="1">
        <f t="array" ref="H190">INDEX( ComputeThermoProps($A190, $B190, ParametersRange), 1, COLUMN()-2 )</f>
        <v>24.925006161051186</v>
      </c>
      <c r="I190" s="2" cm="1">
        <f t="array" ref="I190">INDEX( ComputeThermoProps($A190, $B190, ParametersRange), 1, COLUMN()-2 )</f>
        <v>2.68</v>
      </c>
      <c r="J190" s="2" cm="1">
        <f t="array" ref="J190">INDEX( ComputeThermoProps($A190, $B190, ParametersRange), 1, COLUMN()-2 )</f>
        <v>4422.5697924429032</v>
      </c>
      <c r="K190" s="2" cm="1">
        <f t="array" ref="K190">INDEX( ComputeThermoProps($A190, $B190, ParametersRange), 1, COLUMN()-2 )</f>
        <v>67.143054292650945</v>
      </c>
      <c r="L190" s="2" cm="1">
        <f t="array" ref="L190">INDEX( ComputeThermoProps($A190, $B190, ParametersRange), 1, COLUMN()-2 )</f>
        <v>-7132.7498513223236</v>
      </c>
      <c r="M190" s="2" cm="1">
        <f t="array" ref="M190">INDEX( ComputeThermoProps($A190, $B190, ParametersRange), 1, COLUMN()-2 )</f>
        <v>5504.3964241244103</v>
      </c>
      <c r="N190" s="2" cm="1">
        <f t="array" ref="N190">INDEX( ComputeThermoProps($A190, $B190, ParametersRange), 1, COLUMN()-2 )</f>
        <v>-6050.9232196408166</v>
      </c>
      <c r="O190" s="4">
        <f t="shared" si="5"/>
        <v>1.4513014119020256</v>
      </c>
    </row>
    <row r="191" spans="1:15" x14ac:dyDescent="0.25">
      <c r="A191" s="2">
        <v>173.1</v>
      </c>
      <c r="B191" s="2">
        <f t="shared" si="4"/>
        <v>30.946532635853369</v>
      </c>
      <c r="C191" s="2" cm="1">
        <f t="array" ref="C191">INDEX( ComputeThermoProps($A191, $B191, ParametersRange), 1, COLUMN()-2 )</f>
        <v>38.248347984581855</v>
      </c>
      <c r="D191" s="2" cm="1">
        <f t="array" ref="D191">INDEX( ComputeThermoProps($A191, $B191, ParametersRange), 1, COLUMN()-2 )</f>
        <v>5.9974998255029385E-4</v>
      </c>
      <c r="E191" s="2" cm="1">
        <f t="array" ref="E191">INDEX( ComputeThermoProps($A191, $B191, ParametersRange), 1, COLUMN()-2 )</f>
        <v>4.036169322718702E-4</v>
      </c>
      <c r="F191" s="2" cm="1">
        <f t="array" ref="F191">INDEX( ComputeThermoProps($A191, $B191, ParametersRange), 1, COLUMN()-2 )</f>
        <v>1.0474891748180539E-3</v>
      </c>
      <c r="G191" s="2" cm="1">
        <f t="array" ref="G191">INDEX( ComputeThermoProps($A191, $B191, ParametersRange), 1, COLUMN()-2 )</f>
        <v>37.03889777388077</v>
      </c>
      <c r="H191" s="2" cm="1">
        <f t="array" ref="H191">INDEX( ComputeThermoProps($A191, $B191, ParametersRange), 1, COLUMN()-2 )</f>
        <v>24.926263825229075</v>
      </c>
      <c r="I191" s="2" cm="1">
        <f t="array" ref="I191">INDEX( ComputeThermoProps($A191, $B191, ParametersRange), 1, COLUMN()-2 )</f>
        <v>2.6799999999999997</v>
      </c>
      <c r="J191" s="2" cm="1">
        <f t="array" ref="J191">INDEX( ComputeThermoProps($A191, $B191, ParametersRange), 1, COLUMN()-2 )</f>
        <v>4441.6642166008123</v>
      </c>
      <c r="K191" s="2" cm="1">
        <f t="array" ref="K191">INDEX( ComputeThermoProps($A191, $B191, ParametersRange), 1, COLUMN()-2 )</f>
        <v>67.249971445611735</v>
      </c>
      <c r="L191" s="2" cm="1">
        <f t="array" ref="L191">INDEX( ComputeThermoProps($A191, $B191, ParametersRange), 1, COLUMN()-2 )</f>
        <v>-7199.305840634579</v>
      </c>
      <c r="M191" s="2" cm="1">
        <f t="array" ref="M191">INDEX( ComputeThermoProps($A191, $B191, ParametersRange), 1, COLUMN()-2 )</f>
        <v>5625.3179657731507</v>
      </c>
      <c r="N191" s="2" cm="1">
        <f t="array" ref="N191">INDEX( ComputeThermoProps($A191, $B191, ParametersRange), 1, COLUMN()-2 )</f>
        <v>-6015.6520914622406</v>
      </c>
      <c r="O191" s="4">
        <f t="shared" si="5"/>
        <v>1.490611996119517</v>
      </c>
    </row>
    <row r="192" spans="1:15" x14ac:dyDescent="0.25">
      <c r="A192" s="2">
        <v>174.1</v>
      </c>
      <c r="B192" s="2">
        <f t="shared" si="4"/>
        <v>33.638208823548005</v>
      </c>
      <c r="C192" s="2" cm="1">
        <f t="array" ref="C192">INDEX( ComputeThermoProps($A192, $B192, ParametersRange), 1, COLUMN()-2 )</f>
        <v>38.226756028494307</v>
      </c>
      <c r="D192" s="2" cm="1">
        <f t="array" ref="D192">INDEX( ComputeThermoProps($A192, $B192, ParametersRange), 1, COLUMN()-2 )</f>
        <v>5.958611268606427E-4</v>
      </c>
      <c r="E192" s="2" cm="1">
        <f t="array" ref="E192">INDEX( ComputeThermoProps($A192, $B192, ParametersRange), 1, COLUMN()-2 )</f>
        <v>4.0101691316714587E-4</v>
      </c>
      <c r="F192" s="2" cm="1">
        <f t="array" ref="F192">INDEX( ComputeThermoProps($A192, $B192, ParametersRange), 1, COLUMN()-2 )</f>
        <v>1.0413369005501227E-3</v>
      </c>
      <c r="G192" s="2" cm="1">
        <f t="array" ref="G192">INDEX( ComputeThermoProps($A192, $B192, ParametersRange), 1, COLUMN()-2 )</f>
        <v>37.039167711111837</v>
      </c>
      <c r="H192" s="2" cm="1">
        <f t="array" ref="H192">INDEX( ComputeThermoProps($A192, $B192, ParametersRange), 1, COLUMN()-2 )</f>
        <v>24.927507488274394</v>
      </c>
      <c r="I192" s="2" cm="1">
        <f t="array" ref="I192">INDEX( ComputeThermoProps($A192, $B192, ParametersRange), 1, COLUMN()-2 )</f>
        <v>2.68</v>
      </c>
      <c r="J192" s="2" cm="1">
        <f t="array" ref="J192">INDEX( ComputeThermoProps($A192, $B192, ParametersRange), 1, COLUMN()-2 )</f>
        <v>4460.7396521470364</v>
      </c>
      <c r="K192" s="2" cm="1">
        <f t="array" ref="K192">INDEX( ComputeThermoProps($A192, $B192, ParametersRange), 1, COLUMN()-2 )</f>
        <v>67.355806359333755</v>
      </c>
      <c r="L192" s="2" cm="1">
        <f t="array" ref="L192">INDEX( ComputeThermoProps($A192, $B192, ParametersRange), 1, COLUMN()-2 )</f>
        <v>-7265.9062350129698</v>
      </c>
      <c r="M192" s="2" cm="1">
        <f t="array" ref="M192">INDEX( ComputeThermoProps($A192, $B192, ParametersRange), 1, COLUMN()-2 )</f>
        <v>5746.6192540803504</v>
      </c>
      <c r="N192" s="2" cm="1">
        <f t="array" ref="N192">INDEX( ComputeThermoProps($A192, $B192, ParametersRange), 1, COLUMN()-2 )</f>
        <v>-5980.0266330796558</v>
      </c>
      <c r="O192" s="4">
        <f t="shared" si="5"/>
        <v>1.5268328623113765</v>
      </c>
    </row>
    <row r="193" spans="1:15" x14ac:dyDescent="0.25">
      <c r="A193" s="2">
        <v>175.1</v>
      </c>
      <c r="B193" s="2">
        <f t="shared" si="4"/>
        <v>36.343220010197143</v>
      </c>
      <c r="C193" s="2" cm="1">
        <f t="array" ref="C193">INDEX( ComputeThermoProps($A193, $B193, ParametersRange), 1, COLUMN()-2 )</f>
        <v>38.205038022266429</v>
      </c>
      <c r="D193" s="2" cm="1">
        <f t="array" ref="D193">INDEX( ComputeThermoProps($A193, $B193, ParametersRange), 1, COLUMN()-2 )</f>
        <v>5.9199606257299064E-4</v>
      </c>
      <c r="E193" s="2" cm="1">
        <f t="array" ref="E193">INDEX( ComputeThermoProps($A193, $B193, ParametersRange), 1, COLUMN()-2 )</f>
        <v>3.9843689416706711E-4</v>
      </c>
      <c r="F193" s="2" cm="1">
        <f t="array" ref="F193">INDEX( ComputeThermoProps($A193, $B193, ParametersRange), 1, COLUMN()-2 )</f>
        <v>1.0352214482654816E-3</v>
      </c>
      <c r="G193" s="2" cm="1">
        <f t="array" ref="G193">INDEX( ComputeThermoProps($A193, $B193, ParametersRange), 1, COLUMN()-2 )</f>
        <v>37.039025980877646</v>
      </c>
      <c r="H193" s="2" cm="1">
        <f t="array" ref="H193">INDEX( ComputeThermoProps($A193, $B193, ParametersRange), 1, COLUMN()-2 )</f>
        <v>24.928737550470839</v>
      </c>
      <c r="I193" s="2" cm="1">
        <f t="array" ref="I193">INDEX( ComputeThermoProps($A193, $B193, ParametersRange), 1, COLUMN()-2 )</f>
        <v>2.6799999999999997</v>
      </c>
      <c r="J193" s="2" cm="1">
        <f t="array" ref="J193">INDEX( ComputeThermoProps($A193, $B193, ParametersRange), 1, COLUMN()-2 )</f>
        <v>4479.7987412571974</v>
      </c>
      <c r="K193" s="2" cm="1">
        <f t="array" ref="K193">INDEX( ComputeThermoProps($A193, $B193, ParametersRange), 1, COLUMN()-2 )</f>
        <v>67.460582414082751</v>
      </c>
      <c r="L193" s="2" cm="1">
        <f t="array" ref="L193">INDEX( ComputeThermoProps($A193, $B193, ParametersRange), 1, COLUMN()-2 )</f>
        <v>-7332.5492394486919</v>
      </c>
      <c r="M193" s="2" cm="1">
        <f t="array" ref="M193">INDEX( ComputeThermoProps($A193, $B193, ParametersRange), 1, COLUMN()-2 )</f>
        <v>5868.2928435983731</v>
      </c>
      <c r="N193" s="2" cm="1">
        <f t="array" ref="N193">INDEX( ComputeThermoProps($A193, $B193, ParametersRange), 1, COLUMN()-2 )</f>
        <v>-5944.0551371075162</v>
      </c>
      <c r="O193" s="4">
        <f t="shared" si="5"/>
        <v>1.5604234031786164</v>
      </c>
    </row>
    <row r="194" spans="1:15" x14ac:dyDescent="0.25">
      <c r="A194" s="2">
        <v>176.1</v>
      </c>
      <c r="B194" s="2">
        <f t="shared" si="4"/>
        <v>39.061328902783167</v>
      </c>
      <c r="C194" s="2" cm="1">
        <f t="array" ref="C194">INDEX( ComputeThermoProps($A194, $B194, ParametersRange), 1, COLUMN()-2 )</f>
        <v>38.183202400322415</v>
      </c>
      <c r="D194" s="2" cm="1">
        <f t="array" ref="D194">INDEX( ComputeThermoProps($A194, $B194, ParametersRange), 1, COLUMN()-2 )</f>
        <v>5.8815595190488763E-4</v>
      </c>
      <c r="E194" s="2" cm="1">
        <f t="array" ref="E194">INDEX( ComputeThermoProps($A194, $B194, ParametersRange), 1, COLUMN()-2 )</f>
        <v>3.9587726838706338E-4</v>
      </c>
      <c r="F194" s="2" cm="1">
        <f t="array" ref="F194">INDEX( ComputeThermoProps($A194, $B194, ParametersRange), 1, COLUMN()-2 )</f>
        <v>1.0291446603124502E-3</v>
      </c>
      <c r="G194" s="2" cm="1">
        <f t="array" ref="G194">INDEX( ComputeThermoProps($A194, $B194, ParametersRange), 1, COLUMN()-2 )</f>
        <v>37.038502181163686</v>
      </c>
      <c r="H194" s="2" cm="1">
        <f t="array" ref="H194">INDEX( ComputeThermoProps($A194, $B194, ParametersRange), 1, COLUMN()-2 )</f>
        <v>24.929954412836608</v>
      </c>
      <c r="I194" s="2" cm="1">
        <f t="array" ref="I194">INDEX( ComputeThermoProps($A194, $B194, ParametersRange), 1, COLUMN()-2 )</f>
        <v>2.6799999999999997</v>
      </c>
      <c r="J194" s="2" cm="1">
        <f t="array" ref="J194">INDEX( ComputeThermoProps($A194, $B194, ParametersRange), 1, COLUMN()-2 )</f>
        <v>4498.8441549179497</v>
      </c>
      <c r="K194" s="2" cm="1">
        <f t="array" ref="K194">INDEX( ComputeThermoProps($A194, $B194, ParametersRange), 1, COLUMN()-2 )</f>
        <v>67.564323172591457</v>
      </c>
      <c r="L194" s="2" cm="1">
        <f t="array" ref="L194">INDEX( ComputeThermoProps($A194, $B194, ParametersRange), 1, COLUMN()-2 )</f>
        <v>-7399.233155775406</v>
      </c>
      <c r="M194" s="2" cm="1">
        <f t="array" ref="M194">INDEX( ComputeThermoProps($A194, $B194, ParametersRange), 1, COLUMN()-2 )</f>
        <v>5990.3307824384829</v>
      </c>
      <c r="N194" s="2" cm="1">
        <f t="array" ref="N194">INDEX( ComputeThermoProps($A194, $B194, ParametersRange), 1, COLUMN()-2 )</f>
        <v>-5907.7465282548728</v>
      </c>
      <c r="O194" s="4">
        <f t="shared" si="5"/>
        <v>1.5917470143058619</v>
      </c>
    </row>
    <row r="195" spans="1:15" x14ac:dyDescent="0.25">
      <c r="A195" s="2">
        <v>177.1</v>
      </c>
      <c r="B195" s="2">
        <f t="shared" si="4"/>
        <v>41.792290895572407</v>
      </c>
      <c r="C195" s="2" cm="1">
        <f t="array" ref="C195">INDEX( ComputeThermoProps($A195, $B195, ParametersRange), 1, COLUMN()-2 )</f>
        <v>38.16125755238815</v>
      </c>
      <c r="D195" s="2" cm="1">
        <f t="array" ref="D195">INDEX( ComputeThermoProps($A195, $B195, ParametersRange), 1, COLUMN()-2 )</f>
        <v>5.843418950559554E-4</v>
      </c>
      <c r="E195" s="2" cm="1">
        <f t="array" ref="E195">INDEX( ComputeThermoProps($A195, $B195, ParametersRange), 1, COLUMN()-2 )</f>
        <v>3.9333840362696846E-4</v>
      </c>
      <c r="F195" s="2" cm="1">
        <f t="array" ref="F195">INDEX( ComputeThermoProps($A195, $B195, ParametersRange), 1, COLUMN()-2 )</f>
        <v>1.0231082811018462E-3</v>
      </c>
      <c r="G195" s="2" cm="1">
        <f t="array" ref="G195">INDEX( ComputeThermoProps($A195, $B195, ParametersRange), 1, COLUMN()-2 )</f>
        <v>37.03762522532795</v>
      </c>
      <c r="H195" s="2" cm="1">
        <f t="array" ref="H195">INDEX( ComputeThermoProps($A195, $B195, ParametersRange), 1, COLUMN()-2 )</f>
        <v>24.931158459670947</v>
      </c>
      <c r="I195" s="2" cm="1">
        <f t="array" ref="I195">INDEX( ComputeThermoProps($A195, $B195, ParametersRange), 1, COLUMN()-2 )</f>
        <v>2.68</v>
      </c>
      <c r="J195" s="2" cm="1">
        <f t="array" ref="J195">INDEX( ComputeThermoProps($A195, $B195, ParametersRange), 1, COLUMN()-2 )</f>
        <v>4517.8785321078958</v>
      </c>
      <c r="K195" s="2" cm="1">
        <f t="array" ref="K195">INDEX( ComputeThermoProps($A195, $B195, ParametersRange), 1, COLUMN()-2 )</f>
        <v>67.667051997724258</v>
      </c>
      <c r="L195" s="2" cm="1">
        <f t="array" ref="L195">INDEX( ComputeThermoProps($A195, $B195, ParametersRange), 1, COLUMN()-2 )</f>
        <v>-7465.9563766890697</v>
      </c>
      <c r="M195" s="2" cm="1">
        <f t="array" ref="M195">INDEX( ComputeThermoProps($A195, $B195, ParametersRange), 1, COLUMN()-2 )</f>
        <v>6112.7249086781612</v>
      </c>
      <c r="N195" s="2" cm="1">
        <f t="array" ref="N195">INDEX( ComputeThermoProps($A195, $B195, ParametersRange), 1, COLUMN()-2 )</f>
        <v>-5871.1100001188042</v>
      </c>
      <c r="O195" s="4">
        <f t="shared" si="5"/>
        <v>1.6210961781796691</v>
      </c>
    </row>
    <row r="196" spans="1:15" x14ac:dyDescent="0.25">
      <c r="A196" s="2">
        <v>178.1</v>
      </c>
      <c r="B196" s="2">
        <f t="shared" si="4"/>
        <v>44.535860031586893</v>
      </c>
      <c r="C196" s="2" cm="1">
        <f t="array" ref="C196">INDEX( ComputeThermoProps($A196, $B196, ParametersRange), 1, COLUMN()-2 )</f>
        <v>38.139211688956244</v>
      </c>
      <c r="D196" s="2" cm="1">
        <f t="array" ref="D196">INDEX( ComputeThermoProps($A196, $B196, ParametersRange), 1, COLUMN()-2 )</f>
        <v>5.8055491283415717E-4</v>
      </c>
      <c r="E196" s="2" cm="1">
        <f t="array" ref="E196">INDEX( ComputeThermoProps($A196, $B196, ParametersRange), 1, COLUMN()-2 )</f>
        <v>3.9082063404729286E-4</v>
      </c>
      <c r="F196" s="2" cm="1">
        <f t="array" ref="F196">INDEX( ComputeThermoProps($A196, $B196, ParametersRange), 1, COLUMN()-2 )</f>
        <v>1.0171139301269662E-3</v>
      </c>
      <c r="G196" s="2" cm="1">
        <f t="array" ref="G196">INDEX( ComputeThermoProps($A196, $B196, ParametersRange), 1, COLUMN()-2 )</f>
        <v>37.036422996269415</v>
      </c>
      <c r="H196" s="2" cm="1">
        <f t="array" ref="H196">INDEX( ComputeThermoProps($A196, $B196, ParametersRange), 1, COLUMN()-2 )</f>
        <v>24.932350064154225</v>
      </c>
      <c r="I196" s="2" cm="1">
        <f t="array" ref="I196">INDEX( ComputeThermoProps($A196, $B196, ParametersRange), 1, COLUMN()-2 )</f>
        <v>2.6800000000000006</v>
      </c>
      <c r="J196" s="2" cm="1">
        <f t="array" ref="J196">INDEX( ComputeThermoProps($A196, $B196, ParametersRange), 1, COLUMN()-2 )</f>
        <v>4536.9044432241189</v>
      </c>
      <c r="K196" s="2" cm="1">
        <f t="array" ref="K196">INDEX( ComputeThermoProps($A196, $B196, ParametersRange), 1, COLUMN()-2 )</f>
        <v>67.768791820514608</v>
      </c>
      <c r="L196" s="2" cm="1">
        <f t="array" ref="L196">INDEX( ComputeThermoProps($A196, $B196, ParametersRange), 1, COLUMN()-2 )</f>
        <v>-7532.7173800095325</v>
      </c>
      <c r="M196" s="2" cm="1">
        <f t="array" ref="M196">INDEX( ComputeThermoProps($A196, $B196, ParametersRange), 1, COLUMN()-2 )</f>
        <v>6235.4670367185372</v>
      </c>
      <c r="N196" s="2" cm="1">
        <f t="array" ref="N196">INDEX( ComputeThermoProps($A196, $B196, ParametersRange), 1, COLUMN()-2 )</f>
        <v>-5834.1547865151142</v>
      </c>
      <c r="O196" s="4">
        <f t="shared" si="5"/>
        <v>1.6487098433894833</v>
      </c>
    </row>
    <row r="197" spans="1:15" x14ac:dyDescent="0.25">
      <c r="A197" s="2">
        <v>179.1</v>
      </c>
      <c r="B197" s="2">
        <f t="shared" si="4"/>
        <v>47.291792765223157</v>
      </c>
      <c r="C197" s="2" cm="1">
        <f t="array" ref="C197">INDEX( ComputeThermoProps($A197, $B197, ParametersRange), 1, COLUMN()-2 )</f>
        <v>38.117072760954791</v>
      </c>
      <c r="D197" s="2" cm="1">
        <f t="array" ref="D197">INDEX( ComputeThermoProps($A197, $B197, ParametersRange), 1, COLUMN()-2 )</f>
        <v>5.7679593831696564E-4</v>
      </c>
      <c r="E197" s="2" cm="1">
        <f t="array" ref="E197">INDEX( ComputeThermoProps($A197, $B197, ParametersRange), 1, COLUMN()-2 )</f>
        <v>3.8832425609441082E-4</v>
      </c>
      <c r="F197" s="2" cm="1">
        <f t="array" ref="F197">INDEX( ComputeThermoProps($A197, $B197, ParametersRange), 1, COLUMN()-2 )</f>
        <v>1.0111630892999182E-3</v>
      </c>
      <c r="G197" s="2" cm="1">
        <f t="array" ref="G197">INDEX( ComputeThermoProps($A197, $B197, ParametersRange), 1, COLUMN()-2 )</f>
        <v>37.034922166997561</v>
      </c>
      <c r="H197" s="2" cm="1">
        <f t="array" ref="H197">INDEX( ComputeThermoProps($A197, $B197, ParametersRange), 1, COLUMN()-2 )</f>
        <v>24.933529597967905</v>
      </c>
      <c r="I197" s="2" cm="1">
        <f t="array" ref="I197">INDEX( ComputeThermoProps($A197, $B197, ParametersRange), 1, COLUMN()-2 )</f>
        <v>2.68</v>
      </c>
      <c r="J197" s="2" cm="1">
        <f t="array" ref="J197">INDEX( ComputeThermoProps($A197, $B197, ParametersRange), 1, COLUMN()-2 )</f>
        <v>4555.924368631343</v>
      </c>
      <c r="K197" s="2" cm="1">
        <f t="array" ref="K197">INDEX( ComputeThermoProps($A197, $B197, ParametersRange), 1, COLUMN()-2 )</f>
        <v>67.869565002187116</v>
      </c>
      <c r="L197" s="2" cm="1">
        <f t="array" ref="L197">INDEX( ComputeThermoProps($A197, $B197, ParametersRange), 1, COLUMN()-2 )</f>
        <v>-7599.5147232603695</v>
      </c>
      <c r="M197" s="2" cm="1">
        <f t="array" ref="M197">INDEX( ComputeThermoProps($A197, $B197, ParametersRange), 1, COLUMN()-2 )</f>
        <v>6358.5490744593499</v>
      </c>
      <c r="N197" s="2" cm="1">
        <f t="array" ref="N197">INDEX( ComputeThermoProps($A197, $B197, ParametersRange), 1, COLUMN()-2 )</f>
        <v>-5796.8900174323626</v>
      </c>
      <c r="O197" s="4">
        <f t="shared" si="5"/>
        <v>1.6747857778193169</v>
      </c>
    </row>
    <row r="198" spans="1:15" x14ac:dyDescent="0.25">
      <c r="A198" s="2">
        <v>180.1</v>
      </c>
      <c r="B198" s="2">
        <f t="shared" si="4"/>
        <v>50.05985031414356</v>
      </c>
      <c r="C198" s="2" cm="1">
        <f t="array" ref="C198">INDEX( ComputeThermoProps($A198, $B198, ParametersRange), 1, COLUMN()-2 )</f>
        <v>38.094848413866465</v>
      </c>
      <c r="D198" s="2" cm="1">
        <f t="array" ref="D198">INDEX( ComputeThermoProps($A198, $B198, ParametersRange), 1, COLUMN()-2 )</f>
        <v>5.7306581367605556E-4</v>
      </c>
      <c r="E198" s="2" cm="1">
        <f t="array" ref="E198">INDEX( ComputeThermoProps($A198, $B198, ParametersRange), 1, COLUMN()-2 )</f>
        <v>3.8584952704760371E-4</v>
      </c>
      <c r="F198" s="2" cm="1">
        <f t="array" ref="F198">INDEX( ComputeThermoProps($A198, $B198, ParametersRange), 1, COLUMN()-2 )</f>
        <v>1.0052570968894245E-3</v>
      </c>
      <c r="G198" s="2" cm="1">
        <f t="array" ref="G198">INDEX( ComputeThermoProps($A198, $B198, ParametersRange), 1, COLUMN()-2 )</f>
        <v>37.033148043901207</v>
      </c>
      <c r="H198" s="2" cm="1">
        <f t="array" ref="H198">INDEX( ComputeThermoProps($A198, $B198, ParametersRange), 1, COLUMN()-2 )</f>
        <v>24.934697406152775</v>
      </c>
      <c r="I198" s="2" cm="1">
        <f t="array" ref="I198">INDEX( ComputeThermoProps($A198, $B198, ParametersRange), 1, COLUMN()-2 )</f>
        <v>2.68</v>
      </c>
      <c r="J198" s="2" cm="1">
        <f t="array" ref="J198">INDEX( ComputeThermoProps($A198, $B198, ParametersRange), 1, COLUMN()-2 )</f>
        <v>4574.9406867987645</v>
      </c>
      <c r="K198" s="2" cm="1">
        <f t="array" ref="K198">INDEX( ComputeThermoProps($A198, $B198, ParametersRange), 1, COLUMN()-2 )</f>
        <v>67.969393255933028</v>
      </c>
      <c r="L198" s="2" cm="1">
        <f t="array" ref="L198">INDEX( ComputeThermoProps($A198, $B198, ParametersRange), 1, COLUMN()-2 )</f>
        <v>-7666.347038594773</v>
      </c>
      <c r="M198" s="2" cm="1">
        <f t="array" ref="M198">INDEX( ComputeThermoProps($A198, $B198, ParametersRange), 1, COLUMN()-2 )</f>
        <v>6481.9630961369094</v>
      </c>
      <c r="N198" s="2" cm="1">
        <f t="array" ref="N198">INDEX( ComputeThermoProps($A198, $B198, ParametersRange), 1, COLUMN()-2 )</f>
        <v>-5759.3246292566282</v>
      </c>
      <c r="O198" s="4">
        <f t="shared" si="5"/>
        <v>1.6994895466737494</v>
      </c>
    </row>
    <row r="199" spans="1:15" x14ac:dyDescent="0.25">
      <c r="A199" s="2">
        <v>181.1</v>
      </c>
      <c r="B199" s="2">
        <f t="shared" si="4"/>
        <v>52.839800092389034</v>
      </c>
      <c r="C199" s="2" cm="1">
        <f t="array" ref="C199">INDEX( ComputeThermoProps($A199, $B199, ParametersRange), 1, COLUMN()-2 )</f>
        <v>38.072545963999374</v>
      </c>
      <c r="D199" s="2" cm="1">
        <f t="array" ref="D199">INDEX( ComputeThermoProps($A199, $B199, ParametersRange), 1, COLUMN()-2 )</f>
        <v>5.6936529096175074E-4</v>
      </c>
      <c r="E199" s="2" cm="1">
        <f t="array" ref="E199">INDEX( ComputeThermoProps($A199, $B199, ParametersRange), 1, COLUMN()-2 )</f>
        <v>3.8339666518327531E-4</v>
      </c>
      <c r="F199" s="2" cm="1">
        <f t="array" ref="F199">INDEX( ComputeThermoProps($A199, $B199, ParametersRange), 1, COLUMN()-2 )</f>
        <v>9.993971496678241E-4</v>
      </c>
      <c r="G199" s="2" cm="1">
        <f t="array" ref="G199">INDEX( ComputeThermoProps($A199, $B199, ParametersRange), 1, COLUMN()-2 )</f>
        <v>37.031124576272163</v>
      </c>
      <c r="H199" s="2" cm="1">
        <f t="array" ref="H199">INDEX( ComputeThermoProps($A199, $B199, ParametersRange), 1, COLUMN()-2 )</f>
        <v>24.93585382865032</v>
      </c>
      <c r="I199" s="2" cm="1">
        <f t="array" ref="I199">INDEX( ComputeThermoProps($A199, $B199, ParametersRange), 1, COLUMN()-2 )</f>
        <v>2.68</v>
      </c>
      <c r="J199" s="2" cm="1">
        <f t="array" ref="J199">INDEX( ComputeThermoProps($A199, $B199, ParametersRange), 1, COLUMN()-2 )</f>
        <v>4593.9556685807156</v>
      </c>
      <c r="K199" s="2" cm="1">
        <f t="array" ref="K199">INDEX( ComputeThermoProps($A199, $B199, ParametersRange), 1, COLUMN()-2 )</f>
        <v>68.068297607121806</v>
      </c>
      <c r="L199" s="2" cm="1">
        <f t="array" ref="L199">INDEX( ComputeThermoProps($A199, $B199, ParametersRange), 1, COLUMN()-2 )</f>
        <v>-7733.2130280690435</v>
      </c>
      <c r="M199" s="2" cm="1">
        <f t="array" ref="M199">INDEX( ComputeThermoProps($A199, $B199, ParametersRange), 1, COLUMN()-2 )</f>
        <v>6605.7013863267357</v>
      </c>
      <c r="N199" s="2" cm="1">
        <f t="array" ref="N199">INDEX( ComputeThermoProps($A199, $B199, ParametersRange), 1, COLUMN()-2 )</f>
        <v>-5721.4673103230234</v>
      </c>
      <c r="O199" s="4">
        <f t="shared" si="5"/>
        <v>1.7229611658891859</v>
      </c>
    </row>
    <row r="200" spans="1:15" x14ac:dyDescent="0.25">
      <c r="A200" s="2">
        <v>182.1</v>
      </c>
      <c r="B200" s="2">
        <f t="shared" si="4"/>
        <v>55.631416538625139</v>
      </c>
      <c r="C200" s="2" cm="1">
        <f t="array" ref="C200">INDEX( ComputeThermoProps($A200, $B200, ParametersRange), 1, COLUMN()-2 )</f>
        <v>38.050172389088551</v>
      </c>
      <c r="D200" s="2" cm="1">
        <f t="array" ref="D200">INDEX( ComputeThermoProps($A200, $B200, ParametersRange), 1, COLUMN()-2 )</f>
        <v>5.6569503461490758E-4</v>
      </c>
      <c r="E200" s="2" cm="1">
        <f t="array" ref="E200">INDEX( ComputeThermoProps($A200, $B200, ParametersRange), 1, COLUMN()-2 )</f>
        <v>3.8096585092444016E-4</v>
      </c>
      <c r="F200" s="2" cm="1">
        <f t="array" ref="F200">INDEX( ComputeThermoProps($A200, $B200, ParametersRange), 1, COLUMN()-2 )</f>
        <v>9.935843063770748E-4</v>
      </c>
      <c r="G200" s="2" cm="1">
        <f t="array" ref="G200">INDEX( ComputeThermoProps($A200, $B200, ParametersRange), 1, COLUMN()-2 )</f>
        <v>37.028874334663797</v>
      </c>
      <c r="H200" s="2" cm="1">
        <f t="array" ref="H200">INDEX( ComputeThermoProps($A200, $B200, ParametersRange), 1, COLUMN()-2 )</f>
        <v>24.936999189470356</v>
      </c>
      <c r="I200" s="2" cm="1">
        <f t="array" ref="I200">INDEX( ComputeThermoProps($A200, $B200, ParametersRange), 1, COLUMN()-2 )</f>
        <v>2.68</v>
      </c>
      <c r="J200" s="2" cm="1">
        <f t="array" ref="J200">INDEX( ComputeThermoProps($A200, $B200, ParametersRange), 1, COLUMN()-2 )</f>
        <v>4612.9714754529341</v>
      </c>
      <c r="K200" s="2" cm="1">
        <f t="array" ref="K200">INDEX( ComputeThermoProps($A200, $B200, ParametersRange), 1, COLUMN()-2 )</f>
        <v>68.166298378390138</v>
      </c>
      <c r="L200" s="2" cm="1">
        <f t="array" ref="L200">INDEX( ComputeThermoProps($A200, $B200, ParametersRange), 1, COLUMN()-2 )</f>
        <v>-7800.1114592519098</v>
      </c>
      <c r="M200" s="2" cm="1">
        <f t="array" ref="M200">INDEX( ComputeThermoProps($A200, $B200, ParametersRange), 1, COLUMN()-2 )</f>
        <v>6729.7564649968126</v>
      </c>
      <c r="N200" s="2" cm="1">
        <f t="array" ref="N200">INDEX( ComputeThermoProps($A200, $B200, ParametersRange), 1, COLUMN()-2 )</f>
        <v>-5683.3264697080313</v>
      </c>
      <c r="O200" s="4">
        <f t="shared" si="5"/>
        <v>1.7453201184897387</v>
      </c>
    </row>
    <row r="201" spans="1:15" x14ac:dyDescent="0.25">
      <c r="A201" s="2">
        <v>183.1</v>
      </c>
      <c r="B201" s="2">
        <f t="shared" si="4"/>
        <v>58.43448154358439</v>
      </c>
      <c r="C201" s="2" cm="1">
        <f t="array" ref="C201">INDEX( ComputeThermoProps($A201, $B201, ParametersRange), 1, COLUMN()-2 )</f>
        <v>38.027734328166368</v>
      </c>
      <c r="D201" s="2" cm="1">
        <f t="array" ref="D201">INDEX( ComputeThermoProps($A201, $B201, ParametersRange), 1, COLUMN()-2 )</f>
        <v>5.6205562544162958E-4</v>
      </c>
      <c r="E201" s="2" cm="1">
        <f t="array" ref="E201">INDEX( ComputeThermoProps($A201, $B201, ParametersRange), 1, COLUMN()-2 )</f>
        <v>3.7855722857249401E-4</v>
      </c>
      <c r="F201" s="2" cm="1">
        <f t="array" ref="F201">INDEX( ComputeThermoProps($A201, $B201, ParametersRange), 1, COLUMN()-2 )</f>
        <v>9.8781949433911459E-4</v>
      </c>
      <c r="G201" s="2" cm="1">
        <f t="array" ref="G201">INDEX( ComputeThermoProps($A201, $B201, ParametersRange), 1, COLUMN()-2 )</f>
        <v>37.026418558903565</v>
      </c>
      <c r="H201" s="2" cm="1">
        <f t="array" ref="H201">INDEX( ComputeThermoProps($A201, $B201, ParametersRange), 1, COLUMN()-2 )</f>
        <v>24.938133805902705</v>
      </c>
      <c r="I201" s="2" cm="1">
        <f t="array" ref="I201">INDEX( ComputeThermoProps($A201, $B201, ParametersRange), 1, COLUMN()-2 )</f>
        <v>2.6799999999999997</v>
      </c>
      <c r="J201" s="2" cm="1">
        <f t="array" ref="J201">INDEX( ComputeThermoProps($A201, $B201, ParametersRange), 1, COLUMN()-2 )</f>
        <v>4631.9901602899599</v>
      </c>
      <c r="K201" s="2" cm="1">
        <f t="array" ref="K201">INDEX( ComputeThermoProps($A201, $B201, ParametersRange), 1, COLUMN()-2 )</f>
        <v>68.263415190830514</v>
      </c>
      <c r="L201" s="2" cm="1">
        <f t="array" ref="L201">INDEX( ComputeThermoProps($A201, $B201, ParametersRange), 1, COLUMN()-2 )</f>
        <v>-7867.0411611511072</v>
      </c>
      <c r="M201" s="2" cm="1">
        <f t="array" ref="M201">INDEX( ComputeThermoProps($A201, $B201, ParametersRange), 1, COLUMN()-2 )</f>
        <v>6854.1211000335279</v>
      </c>
      <c r="N201" s="2" cm="1">
        <f t="array" ref="N201">INDEX( ComputeThermoProps($A201, $B201, ParametersRange), 1, COLUMN()-2 )</f>
        <v>-5644.9102214075392</v>
      </c>
      <c r="O201" s="4">
        <f t="shared" si="5"/>
        <v>1.7666691951415627</v>
      </c>
    </row>
    <row r="202" spans="1:15" x14ac:dyDescent="0.25">
      <c r="A202" s="2">
        <v>184.1</v>
      </c>
      <c r="B202" s="2">
        <f t="shared" si="4"/>
        <v>61.248784611436271</v>
      </c>
      <c r="C202" s="2" cm="1">
        <f t="array" ref="C202">INDEX( ComputeThermoProps($A202, $B202, ParametersRange), 1, COLUMN()-2 )</f>
        <v>38.005238087378935</v>
      </c>
      <c r="D202" s="2" cm="1">
        <f t="array" ref="D202">INDEX( ComputeThermoProps($A202, $B202, ParametersRange), 1, COLUMN()-2 )</f>
        <v>5.5844756497800459E-4</v>
      </c>
      <c r="E202" s="2" cm="1">
        <f t="array" ref="E202">INDEX( ComputeThermoProps($A202, $B202, ParametersRange), 1, COLUMN()-2 )</f>
        <v>3.7617090836184229E-4</v>
      </c>
      <c r="F202" s="2" cm="1">
        <f t="array" ref="F202">INDEX( ComputeThermoProps($A202, $B202, ParametersRange), 1, COLUMN()-2 )</f>
        <v>9.8210351554325719E-4</v>
      </c>
      <c r="G202" s="2" cm="1">
        <f t="array" ref="G202">INDEX( ComputeThermoProps($A202, $B202, ParametersRange), 1, COLUMN()-2 )</f>
        <v>37.023777162149322</v>
      </c>
      <c r="H202" s="2" cm="1">
        <f t="array" ref="H202">INDEX( ComputeThermoProps($A202, $B202, ParametersRange), 1, COLUMN()-2 )</f>
        <v>24.939257970657803</v>
      </c>
      <c r="I202" s="2" cm="1">
        <f t="array" ref="I202">INDEX( ComputeThermoProps($A202, $B202, ParametersRange), 1, COLUMN()-2 )</f>
        <v>2.6800000000000006</v>
      </c>
      <c r="J202" s="2" cm="1">
        <f t="array" ref="J202">INDEX( ComputeThermoProps($A202, $B202, ParametersRange), 1, COLUMN()-2 )</f>
        <v>4651.0136697563503</v>
      </c>
      <c r="K202" s="2" cm="1">
        <f t="array" ref="K202">INDEX( ComputeThermoProps($A202, $B202, ParametersRange), 1, COLUMN()-2 )</f>
        <v>68.359666975514685</v>
      </c>
      <c r="L202" s="2" cm="1">
        <f t="array" ref="L202">INDEX( ComputeThermoProps($A202, $B202, ParametersRange), 1, COLUMN()-2 )</f>
        <v>-7934.0010204359032</v>
      </c>
      <c r="M202" s="2" cm="1">
        <f t="array" ref="M202">INDEX( ComputeThermoProps($A202, $B202, ParametersRange), 1, COLUMN()-2 )</f>
        <v>6978.7883114765764</v>
      </c>
      <c r="N202" s="2" cm="1">
        <f t="array" ref="N202">INDEX( ComputeThermoProps($A202, $B202, ParametersRange), 1, COLUMN()-2 )</f>
        <v>-5606.2263787156771</v>
      </c>
      <c r="O202" s="4">
        <f t="shared" si="5"/>
        <v>1.7870974752115314</v>
      </c>
    </row>
    <row r="203" spans="1:15" x14ac:dyDescent="0.25">
      <c r="A203" s="2">
        <v>185.1</v>
      </c>
      <c r="B203" s="2">
        <f t="shared" si="4"/>
        <v>64.074122845192022</v>
      </c>
      <c r="C203" s="2" cm="1">
        <f t="array" ref="C203">INDEX( ComputeThermoProps($A203, $B203, ParametersRange), 1, COLUMN()-2 )</f>
        <v>37.982689649542856</v>
      </c>
      <c r="D203" s="2" cm="1">
        <f t="array" ref="D203">INDEX( ComputeThermoProps($A203, $B203, ParametersRange), 1, COLUMN()-2 )</f>
        <v>5.548712806395194E-4</v>
      </c>
      <c r="E203" s="2" cm="1">
        <f t="array" ref="E203">INDEX( ComputeThermoProps($A203, $B203, ParametersRange), 1, COLUMN()-2 )</f>
        <v>3.7380696866960234E-4</v>
      </c>
      <c r="F203" s="2" cm="1">
        <f t="array" ref="F203">INDEX( ComputeThermoProps($A203, $B203, ParametersRange), 1, COLUMN()-2 )</f>
        <v>9.7643705569549078E-4</v>
      </c>
      <c r="G203" s="2" cm="1">
        <f t="array" ref="G203">INDEX( ComputeThermoProps($A203, $B203, ParametersRange), 1, COLUMN()-2 )</f>
        <v>37.02096883550022</v>
      </c>
      <c r="H203" s="2" cm="1">
        <f t="array" ref="H203">INDEX( ComputeThermoProps($A203, $B203, ParametersRange), 1, COLUMN()-2 )</f>
        <v>24.940371975389148</v>
      </c>
      <c r="I203" s="2" cm="1">
        <f t="array" ref="I203">INDEX( ComputeThermoProps($A203, $B203, ParametersRange), 1, COLUMN()-2 )</f>
        <v>2.6799999999999997</v>
      </c>
      <c r="J203" s="2" cm="1">
        <f t="array" ref="J203">INDEX( ComputeThermoProps($A203, $B203, ParametersRange), 1, COLUMN()-2 )</f>
        <v>4670.0438476974696</v>
      </c>
      <c r="K203" s="2" cm="1">
        <f t="array" ref="K203">INDEX( ComputeThermoProps($A203, $B203, ParametersRange), 1, COLUMN()-2 )</f>
        <v>68.455071991523994</v>
      </c>
      <c r="L203" s="2" cm="1">
        <f t="array" ref="L203">INDEX( ComputeThermoProps($A203, $B203, ParametersRange), 1, COLUMN()-2 )</f>
        <v>-8000.989977933621</v>
      </c>
      <c r="M203" s="2" cm="1">
        <f t="array" ref="M203">INDEX( ComputeThermoProps($A203, $B203, ParametersRange), 1, COLUMN()-2 )</f>
        <v>7103.7513702930819</v>
      </c>
      <c r="N203" s="2" cm="1">
        <f t="array" ref="N203">INDEX( ComputeThermoProps($A203, $B203, ParametersRange), 1, COLUMN()-2 )</f>
        <v>-5567.2824553380087</v>
      </c>
      <c r="O203" s="4">
        <f t="shared" si="5"/>
        <v>1.8066826695406302</v>
      </c>
    </row>
    <row r="204" spans="1:15" x14ac:dyDescent="0.25">
      <c r="A204" s="2">
        <v>186.1</v>
      </c>
      <c r="B204" s="2">
        <f t="shared" si="4"/>
        <v>66.910300817023838</v>
      </c>
      <c r="C204" s="2" cm="1">
        <f t="array" ref="C204">INDEX( ComputeThermoProps($A204, $B204, ParametersRange), 1, COLUMN()-2 )</f>
        <v>37.960094685966311</v>
      </c>
      <c r="D204" s="2" cm="1">
        <f t="array" ref="D204">INDEX( ComputeThermoProps($A204, $B204, ParametersRange), 1, COLUMN()-2 )</f>
        <v>5.5132713056737701E-4</v>
      </c>
      <c r="E204" s="2" cm="1">
        <f t="array" ref="E204">INDEX( ComputeThermoProps($A204, $B204, ParametersRange), 1, COLUMN()-2 )</f>
        <v>3.7146545827200077E-4</v>
      </c>
      <c r="F204" s="2" cm="1">
        <f t="array" ref="F204">INDEX( ComputeThermoProps($A204, $B204, ParametersRange), 1, COLUMN()-2 )</f>
        <v>9.7082069125939289E-4</v>
      </c>
      <c r="G204" s="2" cm="1">
        <f t="array" ref="G204">INDEX( ComputeThermoProps($A204, $B204, ParametersRange), 1, COLUMN()-2 )</f>
        <v>37.018011076885351</v>
      </c>
      <c r="H204" s="2" cm="1">
        <f t="array" ref="H204">INDEX( ComputeThermoProps($A204, $B204, ParametersRange), 1, COLUMN()-2 )</f>
        <v>24.941476097579304</v>
      </c>
      <c r="I204" s="2" cm="1">
        <f t="array" ref="I204">INDEX( ComputeThermoProps($A204, $B204, ParametersRange), 1, COLUMN()-2 )</f>
        <v>2.6799999999999997</v>
      </c>
      <c r="J204" s="2" cm="1">
        <f t="array" ref="J204">INDEX( ComputeThermoProps($A204, $B204, ParametersRange), 1, COLUMN()-2 )</f>
        <v>4689.082439119773</v>
      </c>
      <c r="K204" s="2" cm="1">
        <f t="array" ref="K204">INDEX( ComputeThermoProps($A204, $B204, ParametersRange), 1, COLUMN()-2 )</f>
        <v>68.549647847923495</v>
      </c>
      <c r="L204" s="2" cm="1">
        <f t="array" ref="L204">INDEX( ComputeThermoProps($A204, $B204, ParametersRange), 1, COLUMN()-2 )</f>
        <v>-8068.007025378789</v>
      </c>
      <c r="M204" s="2" cm="1">
        <f t="array" ref="M204">INDEX( ComputeThermoProps($A204, $B204, ParametersRange), 1, COLUMN()-2 )</f>
        <v>7229.0037936004865</v>
      </c>
      <c r="N204" s="2" cm="1">
        <f t="array" ref="N204">INDEX( ComputeThermoProps($A204, $B204, ParametersRange), 1, COLUMN()-2 )</f>
        <v>-5528.0856708980755</v>
      </c>
      <c r="O204" s="4">
        <f t="shared" si="5"/>
        <v>1.8254929823959432</v>
      </c>
    </row>
    <row r="205" spans="1:15" x14ac:dyDescent="0.25">
      <c r="A205" s="2">
        <v>187.1</v>
      </c>
      <c r="B205" s="2">
        <f t="shared" si="4"/>
        <v>69.757130364950655</v>
      </c>
      <c r="C205" s="2" cm="1">
        <f t="array" ref="C205">INDEX( ComputeThermoProps($A205, $B205, ParametersRange), 1, COLUMN()-2 )</f>
        <v>37.937458569542066</v>
      </c>
      <c r="D205" s="2" cm="1">
        <f t="array" ref="D205">INDEX( ComputeThermoProps($A205, $B205, ParametersRange), 1, COLUMN()-2 )</f>
        <v>5.4781540859183961E-4</v>
      </c>
      <c r="E205" s="2" cm="1">
        <f t="array" ref="E205">INDEX( ComputeThermoProps($A205, $B205, ParametersRange), 1, COLUMN()-2 )</f>
        <v>3.6914639857803298E-4</v>
      </c>
      <c r="F205" s="2" cm="1">
        <f t="array" ref="F205">INDEX( ComputeThermoProps($A205, $B205, ParametersRange), 1, COLUMN()-2 )</f>
        <v>9.6525489731487737E-4</v>
      </c>
      <c r="G205" s="2" cm="1">
        <f t="array" ref="G205">INDEX( ComputeThermoProps($A205, $B205, ParametersRange), 1, COLUMN()-2 )</f>
        <v>37.014920255427924</v>
      </c>
      <c r="H205" s="2" cm="1">
        <f t="array" ref="H205">INDEX( ComputeThermoProps($A205, $B205, ParametersRange), 1, COLUMN()-2 )</f>
        <v>24.942570602509054</v>
      </c>
      <c r="I205" s="2" cm="1">
        <f t="array" ref="I205">INDEX( ComputeThermoProps($A205, $B205, ParametersRange), 1, COLUMN()-2 )</f>
        <v>2.6800000000000006</v>
      </c>
      <c r="J205" s="2" cm="1">
        <f t="array" ref="J205">INDEX( ComputeThermoProps($A205, $B205, ParametersRange), 1, COLUMN()-2 )</f>
        <v>4708.1310944859069</v>
      </c>
      <c r="K205" s="2" cm="1">
        <f t="array" ref="K205">INDEX( ComputeThermoProps($A205, $B205, ParametersRange), 1, COLUMN()-2 )</f>
        <v>68.643411527955166</v>
      </c>
      <c r="L205" s="2" cm="1">
        <f t="array" ref="L205">INDEX( ComputeThermoProps($A205, $B205, ParametersRange), 1, COLUMN()-2 )</f>
        <v>-8135.0512023945039</v>
      </c>
      <c r="M205" s="2" cm="1">
        <f t="array" ref="M205">INDEX( ComputeThermoProps($A205, $B205, ParametersRange), 1, COLUMN()-2 )</f>
        <v>7354.5393376363672</v>
      </c>
      <c r="N205" s="2" cm="1">
        <f t="array" ref="N205">INDEX( ComputeThermoProps($A205, $B205, ParametersRange), 1, COLUMN()-2 )</f>
        <v>-5488.6429592440436</v>
      </c>
      <c r="O205" s="4">
        <f t="shared" si="5"/>
        <v>1.8435886064958869</v>
      </c>
    </row>
    <row r="206" spans="1:15" x14ac:dyDescent="0.25">
      <c r="A206" s="2">
        <v>188.1</v>
      </c>
      <c r="B206" s="2">
        <f t="shared" si="4"/>
        <v>72.614430344261109</v>
      </c>
      <c r="C206" s="2" cm="1">
        <f t="array" ref="C206">INDEX( ComputeThermoProps($A206, $B206, ParametersRange), 1, COLUMN()-2 )</f>
        <v>37.914786388444668</v>
      </c>
      <c r="D206" s="2" cm="1">
        <f t="array" ref="D206">INDEX( ComputeThermoProps($A206, $B206, ParametersRange), 1, COLUMN()-2 )</f>
        <v>5.4433634904415195E-4</v>
      </c>
      <c r="E206" s="2" cm="1">
        <f t="array" ref="E206">INDEX( ComputeThermoProps($A206, $B206, ParametersRange), 1, COLUMN()-2 )</f>
        <v>3.6684978579672065E-4</v>
      </c>
      <c r="F206" s="2" cm="1">
        <f t="array" ref="F206">INDEX( ComputeThermoProps($A206, $B206, ParametersRange), 1, COLUMN()-2 )</f>
        <v>9.59740055149094E-4</v>
      </c>
      <c r="G206" s="2" cm="1">
        <f t="array" ref="G206">INDEX( ComputeThermoProps($A206, $B206, ParametersRange), 1, COLUMN()-2 )</f>
        <v>37.011711674555301</v>
      </c>
      <c r="H206" s="2" cm="1">
        <f t="array" ref="H206">INDEX( ComputeThermoProps($A206, $B206, ParametersRange), 1, COLUMN()-2 )</f>
        <v>24.943655744509694</v>
      </c>
      <c r="I206" s="2" cm="1">
        <f t="array" ref="I206">INDEX( ComputeThermoProps($A206, $B206, ParametersRange), 1, COLUMN()-2 )</f>
        <v>2.6800000000000006</v>
      </c>
      <c r="J206" s="2" cm="1">
        <f t="array" ref="J206">INDEX( ComputeThermoProps($A206, $B206, ParametersRange), 1, COLUMN()-2 )</f>
        <v>4727.1913741404578</v>
      </c>
      <c r="K206" s="2" cm="1">
        <f t="array" ref="K206">INDEX( ComputeThermoProps($A206, $B206, ParametersRange), 1, COLUMN()-2 )</f>
        <v>68.736379414288251</v>
      </c>
      <c r="L206" s="2" cm="1">
        <f t="array" ref="L206">INDEX( ComputeThermoProps($A206, $B206, ParametersRange), 1, COLUMN()-2 )</f>
        <v>-8202.1215936871613</v>
      </c>
      <c r="M206" s="2" cm="1">
        <f t="array" ref="M206">INDEX( ComputeThermoProps($A206, $B206, ParametersRange), 1, COLUMN()-2 )</f>
        <v>7480.3519893617122</v>
      </c>
      <c r="N206" s="2" cm="1">
        <f t="array" ref="N206">INDEX( ComputeThermoProps($A206, $B206, ParametersRange), 1, COLUMN()-2 )</f>
        <v>-5448.9609784659078</v>
      </c>
      <c r="O206" s="4">
        <f t="shared" si="5"/>
        <v>1.8610229346964415</v>
      </c>
    </row>
    <row r="207" spans="1:15" x14ac:dyDescent="0.25">
      <c r="A207" s="2">
        <v>189.1</v>
      </c>
      <c r="B207" s="2">
        <f t="shared" si="4"/>
        <v>75.482026353130621</v>
      </c>
      <c r="C207" s="2" cm="1">
        <f t="array" ref="C207">INDEX( ComputeThermoProps($A207, $B207, ParametersRange), 1, COLUMN()-2 )</f>
        <v>37.892082959983597</v>
      </c>
      <c r="D207" s="2" cm="1">
        <f t="array" ref="D207">INDEX( ComputeThermoProps($A207, $B207, ParametersRange), 1, COLUMN()-2 )</f>
        <v>5.4089013138847479E-4</v>
      </c>
      <c r="E207" s="2" cm="1">
        <f t="array" ref="E207">INDEX( ComputeThermoProps($A207, $B207, ParametersRange), 1, COLUMN()-2 )</f>
        <v>3.6457559301151707E-4</v>
      </c>
      <c r="F207" s="2" cm="1">
        <f t="array" ref="F207">INDEX( ComputeThermoProps($A207, $B207, ParametersRange), 1, COLUMN()-2 )</f>
        <v>9.5427645964423489E-4</v>
      </c>
      <c r="G207" s="2" cm="1">
        <f t="array" ref="G207">INDEX( ComputeThermoProps($A207, $B207, ParametersRange), 1, COLUMN()-2 )</f>
        <v>37.008399638535828</v>
      </c>
      <c r="H207" s="2" cm="1">
        <f t="array" ref="H207">INDEX( ComputeThermoProps($A207, $B207, ParametersRange), 1, COLUMN()-2 )</f>
        <v>24.944731770186458</v>
      </c>
      <c r="I207" s="2" cm="1">
        <f t="array" ref="I207">INDEX( ComputeThermoProps($A207, $B207, ParametersRange), 1, COLUMN()-2 )</f>
        <v>2.6799999999999997</v>
      </c>
      <c r="J207" s="2" cm="1">
        <f t="array" ref="J207">INDEX( ComputeThermoProps($A207, $B207, ParametersRange), 1, COLUMN()-2 )</f>
        <v>4746.2647527436975</v>
      </c>
      <c r="K207" s="2" cm="1">
        <f t="array" ref="K207">INDEX( ComputeThermoProps($A207, $B207, ParametersRange), 1, COLUMN()-2 )</f>
        <v>68.828567314546845</v>
      </c>
      <c r="L207" s="2" cm="1">
        <f t="array" ref="L207">INDEX( ComputeThermoProps($A207, $B207, ParametersRange), 1, COLUMN()-2 )</f>
        <v>-8269.2173264371104</v>
      </c>
      <c r="M207" s="2" cm="1">
        <f t="array" ref="M207">INDEX( ComputeThermoProps($A207, $B207, ParametersRange), 1, COLUMN()-2 )</f>
        <v>7606.4359573041911</v>
      </c>
      <c r="N207" s="2" cm="1">
        <f t="array" ref="N207">INDEX( ComputeThermoProps($A207, $B207, ParametersRange), 1, COLUMN()-2 )</f>
        <v>-5409.0461218766168</v>
      </c>
      <c r="O207" s="4">
        <f t="shared" si="5"/>
        <v>1.8778435505041606</v>
      </c>
    </row>
    <row r="208" spans="1:15" x14ac:dyDescent="0.25">
      <c r="A208" s="2">
        <v>190.1</v>
      </c>
      <c r="B208" s="2">
        <f t="shared" si="4"/>
        <v>78.359750445769308</v>
      </c>
      <c r="C208" s="2" cm="1">
        <f t="array" ref="C208">INDEX( ComputeThermoProps($A208, $B208, ParametersRange), 1, COLUMN()-2 )</f>
        <v>37.869352844314776</v>
      </c>
      <c r="D208" s="2" cm="1">
        <f t="array" ref="D208">INDEX( ComputeThermoProps($A208, $B208, ParametersRange), 1, COLUMN()-2 )</f>
        <v>5.3747688456347721E-4</v>
      </c>
      <c r="E208" s="2" cm="1">
        <f t="array" ref="E208">INDEX( ComputeThermoProps($A208, $B208, ParametersRange), 1, COLUMN()-2 )</f>
        <v>3.6232377214685563E-4</v>
      </c>
      <c r="F208" s="2" cm="1">
        <f t="array" ref="F208">INDEX( ComputeThermoProps($A208, $B208, ParametersRange), 1, COLUMN()-2 )</f>
        <v>9.4886432599098518E-4</v>
      </c>
      <c r="G208" s="2" cm="1">
        <f t="array" ref="G208">INDEX( ComputeThermoProps($A208, $B208, ParametersRange), 1, COLUMN()-2 )</f>
        <v>37.004997505433252</v>
      </c>
      <c r="H208" s="2" cm="1">
        <f t="array" ref="H208">INDEX( ComputeThermoProps($A208, $B208, ParametersRange), 1, COLUMN()-2 )</f>
        <v>24.945798916251007</v>
      </c>
      <c r="I208" s="2" cm="1">
        <f t="array" ref="I208">INDEX( ComputeThermoProps($A208, $B208, ParametersRange), 1, COLUMN()-2 )</f>
        <v>2.68</v>
      </c>
      <c r="J208" s="2" cm="1">
        <f t="array" ref="J208">INDEX( ComputeThermoProps($A208, $B208, ParametersRange), 1, COLUMN()-2 )</f>
        <v>4765.3526236324478</v>
      </c>
      <c r="K208" s="2" cm="1">
        <f t="array" ref="K208">INDEX( ComputeThermoProps($A208, $B208, ParametersRange), 1, COLUMN()-2 )</f>
        <v>68.919990486594742</v>
      </c>
      <c r="L208" s="2" cm="1">
        <f t="array" ref="L208">INDEX( ComputeThermoProps($A208, $B208, ParametersRange), 1, COLUMN()-2 )</f>
        <v>-8336.3375678692119</v>
      </c>
      <c r="M208" s="2" cm="1">
        <f t="array" ref="M208">INDEX( ComputeThermoProps($A208, $B208, ParametersRange), 1, COLUMN()-2 )</f>
        <v>7732.7856620557377</v>
      </c>
      <c r="N208" s="2" cm="1">
        <f t="array" ref="N208">INDEX( ComputeThermoProps($A208, $B208, ParametersRange), 1, COLUMN()-2 )</f>
        <v>-5368.904529445922</v>
      </c>
      <c r="O208" s="4">
        <f t="shared" si="5"/>
        <v>1.8940930442165489</v>
      </c>
    </row>
    <row r="209" spans="1:15" x14ac:dyDescent="0.25">
      <c r="A209" s="2">
        <v>191.1</v>
      </c>
      <c r="B209" s="2">
        <f t="shared" si="4"/>
        <v>81.247440842188809</v>
      </c>
      <c r="C209" s="2" cm="1">
        <f t="array" ref="C209">INDEX( ComputeThermoProps($A209, $B209, ParametersRange), 1, COLUMN()-2 )</f>
        <v>37.846600357815895</v>
      </c>
      <c r="D209" s="2" cm="1">
        <f t="array" ref="D209">INDEX( ComputeThermoProps($A209, $B209, ParametersRange), 1, COLUMN()-2 )</f>
        <v>5.3409669108318532E-4</v>
      </c>
      <c r="E209" s="2" cm="1">
        <f t="array" ref="E209">INDEX( ComputeThermoProps($A209, $B209, ParametersRange), 1, COLUMN()-2 )</f>
        <v>3.6009425581953091E-4</v>
      </c>
      <c r="F209" s="2" cm="1">
        <f t="array" ref="F209">INDEX( ComputeThermoProps($A209, $B209, ParametersRange), 1, COLUMN()-2 )</f>
        <v>9.4350379605689667E-4</v>
      </c>
      <c r="G209" s="2" cm="1">
        <f t="array" ref="G209">INDEX( ComputeThermoProps($A209, $B209, ParametersRange), 1, COLUMN()-2 )</f>
        <v>37.001517739421061</v>
      </c>
      <c r="H209" s="2" cm="1">
        <f t="array" ref="H209">INDEX( ComputeThermoProps($A209, $B209, ParametersRange), 1, COLUMN()-2 )</f>
        <v>24.946857408062066</v>
      </c>
      <c r="I209" s="2" cm="1">
        <f t="array" ref="I209">INDEX( ComputeThermoProps($A209, $B209, ParametersRange), 1, COLUMN()-2 )</f>
        <v>2.68</v>
      </c>
      <c r="J209" s="2" cm="1">
        <f t="array" ref="J209">INDEX( ComputeThermoProps($A209, $B209, ParametersRange), 1, COLUMN()-2 )</f>
        <v>4784.4563030559329</v>
      </c>
      <c r="K209" s="2" cm="1">
        <f t="array" ref="K209">INDEX( ComputeThermoProps($A209, $B209, ParametersRange), 1, COLUMN()-2 )</f>
        <v>69.010663663237736</v>
      </c>
      <c r="L209" s="2" cm="1">
        <f t="array" ref="L209">INDEX( ComputeThermoProps($A209, $B209, ParametersRange), 1, COLUMN()-2 )</f>
        <v>-8403.4815229887972</v>
      </c>
      <c r="M209" s="2" cm="1">
        <f t="array" ref="M209">INDEX( ComputeThermoProps($A209, $B209, ParametersRange), 1, COLUMN()-2 )</f>
        <v>7859.3957267055421</v>
      </c>
      <c r="N209" s="2" cm="1">
        <f t="array" ref="N209">INDEX( ComputeThermoProps($A209, $B209, ParametersRange), 1, COLUMN()-2 )</f>
        <v>-5328.542099339189</v>
      </c>
      <c r="O209" s="4">
        <f t="shared" si="5"/>
        <v>1.9098096903202093</v>
      </c>
    </row>
    <row r="210" spans="1:15" x14ac:dyDescent="0.25">
      <c r="A210" s="2">
        <v>192.1</v>
      </c>
      <c r="B210" s="2">
        <f t="shared" si="4"/>
        <v>84.144941640721512</v>
      </c>
      <c r="C210" s="2" cm="1">
        <f t="array" ref="C210">INDEX( ComputeThermoProps($A210, $B210, ParametersRange), 1, COLUMN()-2 )</f>
        <v>37.823829586002368</v>
      </c>
      <c r="D210" s="2" cm="1">
        <f t="array" ref="D210">INDEX( ComputeThermoProps($A210, $B210, ParametersRange), 1, COLUMN()-2 )</f>
        <v>5.3074959096588003E-4</v>
      </c>
      <c r="E210" s="2" cm="1">
        <f t="array" ref="E210">INDEX( ComputeThermoProps($A210, $B210, ParametersRange), 1, COLUMN()-2 )</f>
        <v>3.5788695907270002E-4</v>
      </c>
      <c r="F210" s="2" cm="1">
        <f t="array" ref="F210">INDEX( ComputeThermoProps($A210, $B210, ParametersRange), 1, COLUMN()-2 )</f>
        <v>9.3819494480345189E-4</v>
      </c>
      <c r="G210" s="2" cm="1">
        <f t="array" ref="G210">INDEX( ComputeThermoProps($A210, $B210, ParametersRange), 1, COLUMN()-2 )</f>
        <v>36.997971978088394</v>
      </c>
      <c r="H210" s="2" cm="1">
        <f t="array" ref="H210">INDEX( ComputeThermoProps($A210, $B210, ParametersRange), 1, COLUMN()-2 )</f>
        <v>24.947907466114742</v>
      </c>
      <c r="I210" s="2" cm="1">
        <f t="array" ref="I210">INDEX( ComputeThermoProps($A210, $B210, ParametersRange), 1, COLUMN()-2 )</f>
        <v>2.6799999999999997</v>
      </c>
      <c r="J210" s="2" cm="1">
        <f t="array" ref="J210">INDEX( ComputeThermoProps($A210, $B210, ParametersRange), 1, COLUMN()-2 )</f>
        <v>4803.5770342542864</v>
      </c>
      <c r="K210" s="2" cm="1">
        <f t="array" ref="K210">INDEX( ComputeThermoProps($A210, $B210, ParametersRange), 1, COLUMN()-2 )</f>
        <v>69.100601076127006</v>
      </c>
      <c r="L210" s="2" cm="1">
        <f t="array" ref="L210">INDEX( ComputeThermoProps($A210, $B210, ParametersRange), 1, COLUMN()-2 )</f>
        <v>-8470.6484324697103</v>
      </c>
      <c r="M210" s="2" cm="1">
        <f t="array" ref="M210">INDEX( ComputeThermoProps($A210, $B210, ParametersRange), 1, COLUMN()-2 )</f>
        <v>7986.2609673970519</v>
      </c>
      <c r="N210" s="2" cm="1">
        <f t="array" ref="N210">INDEX( ComputeThermoProps($A210, $B210, ParametersRange), 1, COLUMN()-2 )</f>
        <v>-5287.9644993269458</v>
      </c>
      <c r="O210" s="4">
        <f t="shared" si="5"/>
        <v>1.9250280135554378</v>
      </c>
    </row>
    <row r="211" spans="1:15" x14ac:dyDescent="0.25">
      <c r="A211" s="2">
        <v>193.1</v>
      </c>
      <c r="B211" s="2">
        <f t="shared" ref="B211:B274" si="6">IF(
  A211 &lt;= $B$5,
  $B$6 * EXP( ($B$5/A211) * ( $B$8*(1 - A211/$B$5) + $B$9*(1 - A211/$B$5)^1.5 + $B$10*(1 - A211/$B$5)^5 ) ),
  $B$6 * ( 1 + $B$12 * MAX(A211/$B$5 - 1, 0)^$B$13 + $B$14 * MAX(A211/$B$5 - 1, 0)^$B$15 )
)</f>
        <v>87.052102537353662</v>
      </c>
      <c r="C211" s="2" cm="1">
        <f t="array" ref="C211">INDEX( ComputeThermoProps($A211, $B211, ParametersRange), 1, COLUMN()-2 )</f>
        <v>37.801044395910345</v>
      </c>
      <c r="D211" s="2" cm="1">
        <f t="array" ref="D211">INDEX( ComputeThermoProps($A211, $B211, ParametersRange), 1, COLUMN()-2 )</f>
        <v>5.274355852791044E-4</v>
      </c>
      <c r="E211" s="2" cm="1">
        <f t="array" ref="E211">INDEX( ComputeThermoProps($A211, $B211, ParametersRange), 1, COLUMN()-2 )</f>
        <v>3.5570178099363938E-4</v>
      </c>
      <c r="F211" s="2" cm="1">
        <f t="array" ref="F211">INDEX( ComputeThermoProps($A211, $B211, ParametersRange), 1, COLUMN()-2 )</f>
        <v>9.3293778559549458E-4</v>
      </c>
      <c r="G211" s="2" cm="1">
        <f t="array" ref="G211">INDEX( ComputeThermoProps($A211, $B211, ParametersRange), 1, COLUMN()-2 )</f>
        <v>36.994371069297387</v>
      </c>
      <c r="H211" s="2" cm="1">
        <f t="array" ref="H211">INDEX( ComputeThermoProps($A211, $B211, ParametersRange), 1, COLUMN()-2 )</f>
        <v>24.948949299894668</v>
      </c>
      <c r="I211" s="2" cm="1">
        <f t="array" ref="I211">INDEX( ComputeThermoProps($A211, $B211, ParametersRange), 1, COLUMN()-2 )</f>
        <v>2.6800000000000006</v>
      </c>
      <c r="J211" s="2" cm="1">
        <f t="array" ref="J211">INDEX( ComputeThermoProps($A211, $B211, ParametersRange), 1, COLUMN()-2 )</f>
        <v>4822.7159913610858</v>
      </c>
      <c r="K211" s="2" cm="1">
        <f t="array" ref="K211">INDEX( ComputeThermoProps($A211, $B211, ParametersRange), 1, COLUMN()-2 )</f>
        <v>69.189816478733988</v>
      </c>
      <c r="L211" s="2" cm="1">
        <f t="array" ref="L211">INDEX( ComputeThermoProps($A211, $B211, ParametersRange), 1, COLUMN()-2 )</f>
        <v>-8537.8375706824463</v>
      </c>
      <c r="M211" s="2" cm="1">
        <f t="array" ref="M211">INDEX( ComputeThermoProps($A211, $B211, ParametersRange), 1, COLUMN()-2 )</f>
        <v>8113.376384132931</v>
      </c>
      <c r="N211" s="2" cm="1">
        <f t="array" ref="N211">INDEX( ComputeThermoProps($A211, $B211, ParametersRange), 1, COLUMN()-2 )</f>
        <v>-5247.177177910602</v>
      </c>
      <c r="O211" s="4">
        <f t="shared" ref="O211:O274" si="7">LOG10(B211)</f>
        <v>1.9397792649346075</v>
      </c>
    </row>
    <row r="212" spans="1:15" x14ac:dyDescent="0.25">
      <c r="A212" s="2">
        <v>194.1</v>
      </c>
      <c r="B212" s="2">
        <f t="shared" si="6"/>
        <v>89.968778554478632</v>
      </c>
      <c r="C212" s="2" cm="1">
        <f t="array" ref="C212">INDEX( ComputeThermoProps($A212, $B212, ParametersRange), 1, COLUMN()-2 )</f>
        <v>37.778248447906883</v>
      </c>
      <c r="D212" s="2" cm="1">
        <f t="array" ref="D212">INDEX( ComputeThermoProps($A212, $B212, ParametersRange), 1, COLUMN()-2 )</f>
        <v>5.2415463952938917E-4</v>
      </c>
      <c r="E212" s="2" cm="1">
        <f t="array" ref="E212">INDEX( ComputeThermoProps($A212, $B212, ParametersRange), 1, COLUMN()-2 )</f>
        <v>3.5353860621854485E-4</v>
      </c>
      <c r="F212" s="2" cm="1">
        <f t="array" ref="F212">INDEX( ComputeThermoProps($A212, $B212, ParametersRange), 1, COLUMN()-2 )</f>
        <v>9.2773227561542687E-4</v>
      </c>
      <c r="G212" s="2" cm="1">
        <f t="array" ref="G212">INDEX( ComputeThermoProps($A212, $B212, ParametersRange), 1, COLUMN()-2 )</f>
        <v>36.990725124377356</v>
      </c>
      <c r="H212" s="2" cm="1">
        <f t="array" ref="H212">INDEX( ComputeThermoProps($A212, $B212, ParametersRange), 1, COLUMN()-2 )</f>
        <v>24.949983110380199</v>
      </c>
      <c r="I212" s="2" cm="1">
        <f t="array" ref="I212">INDEX( ComputeThermoProps($A212, $B212, ParametersRange), 1, COLUMN()-2 )</f>
        <v>2.6799999999999997</v>
      </c>
      <c r="J212" s="2" cm="1">
        <f t="array" ref="J212">INDEX( ComputeThermoProps($A212, $B212, ParametersRange), 1, COLUMN()-2 )</f>
        <v>4841.8742831205263</v>
      </c>
      <c r="K212" s="2" cm="1">
        <f t="array" ref="K212">INDEX( ComputeThermoProps($A212, $B212, ParametersRange), 1, COLUMN()-2 )</f>
        <v>69.278323168324874</v>
      </c>
      <c r="L212" s="2" cm="1">
        <f t="array" ref="L212">INDEX( ComputeThermoProps($A212, $B212, ParametersRange), 1, COLUMN()-2 )</f>
        <v>-8605.0482438513318</v>
      </c>
      <c r="M212" s="2" cm="1">
        <f t="array" ref="M212">INDEX( ComputeThermoProps($A212, $B212, ParametersRange), 1, COLUMN()-2 )</f>
        <v>8240.7371519063363</v>
      </c>
      <c r="N212" s="2" cm="1">
        <f t="array" ref="N212">INDEX( ComputeThermoProps($A212, $B212, ParametersRange), 1, COLUMN()-2 )</f>
        <v>-5206.1853750655218</v>
      </c>
      <c r="O212" s="4">
        <f t="shared" si="7"/>
        <v>1.9540918243954866</v>
      </c>
    </row>
    <row r="213" spans="1:15" x14ac:dyDescent="0.25">
      <c r="A213" s="2">
        <v>195.1</v>
      </c>
      <c r="B213" s="2">
        <f t="shared" si="6"/>
        <v>92.894829780660089</v>
      </c>
      <c r="C213" s="2" cm="1">
        <f t="array" ref="C213">INDEX( ComputeThermoProps($A213, $B213, ParametersRange), 1, COLUMN()-2 )</f>
        <v>37.755445206911169</v>
      </c>
      <c r="D213" s="2" cm="1">
        <f t="array" ref="D213">INDEX( ComputeThermoProps($A213, $B213, ParametersRange), 1, COLUMN()-2 )</f>
        <v>5.2090668687045463E-4</v>
      </c>
      <c r="E213" s="2" cm="1">
        <f t="array" ref="E213">INDEX( ComputeThermoProps($A213, $B213, ParametersRange), 1, COLUMN()-2 )</f>
        <v>3.5139730632902436E-4</v>
      </c>
      <c r="F213" s="2" cm="1">
        <f t="array" ref="F213">INDEX( ComputeThermoProps($A213, $B213, ParametersRange), 1, COLUMN()-2 )</f>
        <v>9.2257832120492124E-4</v>
      </c>
      <c r="G213" s="2" cm="1">
        <f t="array" ref="G213">INDEX( ComputeThermoProps($A213, $B213, ParametersRange), 1, COLUMN()-2 )</f>
        <v>36.987043580706548</v>
      </c>
      <c r="H213" s="2" cm="1">
        <f t="array" ref="H213">INDEX( ComputeThermoProps($A213, $B213, ParametersRange), 1, COLUMN()-2 )</f>
        <v>24.951009098039858</v>
      </c>
      <c r="I213" s="2" cm="1">
        <f t="array" ref="I213">INDEX( ComputeThermoProps($A213, $B213, ParametersRange), 1, COLUMN()-2 )</f>
        <v>2.68</v>
      </c>
      <c r="J213" s="2" cm="1">
        <f t="array" ref="J213">INDEX( ComputeThermoProps($A213, $B213, ParametersRange), 1, COLUMN()-2 )</f>
        <v>4861.0529564164326</v>
      </c>
      <c r="K213" s="2" cm="1">
        <f t="array" ref="K213">INDEX( ComputeThermoProps($A213, $B213, ParametersRange), 1, COLUMN()-2 )</f>
        <v>69.366134006905739</v>
      </c>
      <c r="L213" s="2" cm="1">
        <f t="array" ref="L213">INDEX( ComputeThermoProps($A213, $B213, ParametersRange), 1, COLUMN()-2 )</f>
        <v>-8672.2797883308758</v>
      </c>
      <c r="M213" s="2" cm="1">
        <f t="array" ref="M213">INDEX( ComputeThermoProps($A213, $B213, ParametersRange), 1, COLUMN()-2 )</f>
        <v>8368.3386122054853</v>
      </c>
      <c r="N213" s="2" cm="1">
        <f t="array" ref="N213">INDEX( ComputeThermoProps($A213, $B213, ParametersRange), 1, COLUMN()-2 )</f>
        <v>-5164.994132541824</v>
      </c>
      <c r="O213" s="4">
        <f t="shared" si="7"/>
        <v>1.9679915432701316</v>
      </c>
    </row>
    <row r="214" spans="1:15" x14ac:dyDescent="0.25">
      <c r="A214" s="2">
        <v>196.1</v>
      </c>
      <c r="B214" s="2">
        <f t="shared" si="6"/>
        <v>95.830121122275727</v>
      </c>
      <c r="C214" s="2" cm="1">
        <f t="array" ref="C214">INDEX( ComputeThermoProps($A214, $B214, ParametersRange), 1, COLUMN()-2 )</f>
        <v>37.732637953026625</v>
      </c>
      <c r="D214" s="2" cm="1">
        <f t="array" ref="D214">INDEX( ComputeThermoProps($A214, $B214, ParametersRange), 1, COLUMN()-2 )</f>
        <v>5.1769163084773161E-4</v>
      </c>
      <c r="E214" s="2" cm="1">
        <f t="array" ref="E214">INDEX( ComputeThermoProps($A214, $B214, ParametersRange), 1, COLUMN()-2 )</f>
        <v>3.4927774114568735E-4</v>
      </c>
      <c r="F214" s="2" cm="1">
        <f t="array" ref="F214">INDEX( ComputeThermoProps($A214, $B214, ParametersRange), 1, COLUMN()-2 )</f>
        <v>9.174757815547189E-4</v>
      </c>
      <c r="G214" s="2" cm="1">
        <f t="array" ref="G214">INDEX( ComputeThermoProps($A214, $B214, ParametersRange), 1, COLUMN()-2 )</f>
        <v>36.983335209813127</v>
      </c>
      <c r="H214" s="2" cm="1">
        <f t="array" ref="H214">INDEX( ComputeThermoProps($A214, $B214, ParametersRange), 1, COLUMN()-2 )</f>
        <v>24.952027447236631</v>
      </c>
      <c r="I214" s="2" cm="1">
        <f t="array" ref="I214">INDEX( ComputeThermoProps($A214, $B214, ParametersRange), 1, COLUMN()-2 )</f>
        <v>2.6800000000000006</v>
      </c>
      <c r="J214" s="2" cm="1">
        <f t="array" ref="J214">INDEX( ComputeThermoProps($A214, $B214, ParametersRange), 1, COLUMN()-2 )</f>
        <v>4880.2529996145713</v>
      </c>
      <c r="K214" s="2" cm="1">
        <f t="array" ref="K214">INDEX( ComputeThermoProps($A214, $B214, ParametersRange), 1, COLUMN()-2 )</f>
        <v>69.453261441135609</v>
      </c>
      <c r="L214" s="2" cm="1">
        <f t="array" ref="L214">INDEX( ComputeThermoProps($A214, $B214, ParametersRange), 1, COLUMN()-2 )</f>
        <v>-8739.5315689921208</v>
      </c>
      <c r="M214" s="2" cm="1">
        <f t="array" ref="M214">INDEX( ComputeThermoProps($A214, $B214, ParametersRange), 1, COLUMN()-2 )</f>
        <v>8496.1762649160901</v>
      </c>
      <c r="N214" s="2" cm="1">
        <f t="array" ref="N214">INDEX( ComputeThermoProps($A214, $B214, ParametersRange), 1, COLUMN()-2 )</f>
        <v>-5123.608303690603</v>
      </c>
      <c r="O214" s="4">
        <f t="shared" si="7"/>
        <v>1.9815020370651073</v>
      </c>
    </row>
    <row r="215" spans="1:15" x14ac:dyDescent="0.25">
      <c r="A215" s="2">
        <v>197.1</v>
      </c>
      <c r="B215" s="2">
        <f t="shared" si="6"/>
        <v>98.774522067415731</v>
      </c>
      <c r="C215" s="2" cm="1">
        <f t="array" ref="C215">INDEX( ComputeThermoProps($A215, $B215, ParametersRange), 1, COLUMN()-2 )</f>
        <v>37.709829791594316</v>
      </c>
      <c r="D215" s="2" cm="1">
        <f t="array" ref="D215">INDEX( ComputeThermoProps($A215, $B215, ParametersRange), 1, COLUMN()-2 )</f>
        <v>5.1450934821090652E-4</v>
      </c>
      <c r="E215" s="2" cm="1">
        <f t="array" ref="E215">INDEX( ComputeThermoProps($A215, $B215, ParametersRange), 1, COLUMN()-2 )</f>
        <v>3.4717975992465004E-4</v>
      </c>
      <c r="F215" s="2" cm="1">
        <f t="array" ref="F215">INDEX( ComputeThermoProps($A215, $B215, ParametersRange), 1, COLUMN()-2 )</f>
        <v>9.1242447358531919E-4</v>
      </c>
      <c r="G215" s="2" cm="1">
        <f t="array" ref="G215">INDEX( ComputeThermoProps($A215, $B215, ParametersRange), 1, COLUMN()-2 )</f>
        <v>36.979608183525379</v>
      </c>
      <c r="H215" s="2" cm="1">
        <f t="array" ref="H215">INDEX( ComputeThermoProps($A215, $B215, ParametersRange), 1, COLUMN()-2 )</f>
        <v>24.953038338190126</v>
      </c>
      <c r="I215" s="2" cm="1">
        <f t="array" ref="I215">INDEX( ComputeThermoProps($A215, $B215, ParametersRange), 1, COLUMN()-2 )</f>
        <v>2.6800000000000006</v>
      </c>
      <c r="J215" s="2" cm="1">
        <f t="array" ref="J215">INDEX( ComputeThermoProps($A215, $B215, ParametersRange), 1, COLUMN()-2 )</f>
        <v>4899.4753457226252</v>
      </c>
      <c r="K215" s="2" cm="1">
        <f t="array" ref="K215">INDEX( ComputeThermoProps($A215, $B215, ParametersRange), 1, COLUMN()-2 )</f>
        <v>69.539717521224858</v>
      </c>
      <c r="L215" s="2" cm="1">
        <f t="array" ref="L215">INDEX( ComputeThermoProps($A215, $B215, ParametersRange), 1, COLUMN()-2 )</f>
        <v>-8806.8029777107931</v>
      </c>
      <c r="M215" s="2" cm="1">
        <f t="array" ref="M215">INDEX( ComputeThermoProps($A215, $B215, ParametersRange), 1, COLUMN()-2 )</f>
        <v>8624.245760630949</v>
      </c>
      <c r="N215" s="2" cm="1">
        <f t="array" ref="N215">INDEX( ComputeThermoProps($A215, $B215, ParametersRange), 1, COLUMN()-2 )</f>
        <v>-5082.0325628024702</v>
      </c>
      <c r="O215" s="4">
        <f t="shared" si="7"/>
        <v>1.9946449369716945</v>
      </c>
    </row>
    <row r="216" spans="1:15" x14ac:dyDescent="0.25">
      <c r="A216" s="2">
        <v>198.1</v>
      </c>
      <c r="B216" s="2">
        <f t="shared" si="6"/>
        <v>101.7279064620672</v>
      </c>
      <c r="C216" s="2" cm="1">
        <f t="array" ref="C216">INDEX( ComputeThermoProps($A216, $B216, ParametersRange), 1, COLUMN()-2 )</f>
        <v>37.687023662685405</v>
      </c>
      <c r="D216" s="2" cm="1">
        <f t="array" ref="D216">INDEX( ComputeThermoProps($A216, $B216, ParametersRange), 1, COLUMN()-2 )</f>
        <v>5.1135969142727239E-4</v>
      </c>
      <c r="E216" s="2" cm="1">
        <f t="array" ref="E216">INDEX( ComputeThermoProps($A216, $B216, ParametersRange), 1, COLUMN()-2 )</f>
        <v>3.4510320246290807E-4</v>
      </c>
      <c r="F216" s="2" cm="1">
        <f t="array" ref="F216">INDEX( ComputeThermoProps($A216, $B216, ParametersRange), 1, COLUMN()-2 )</f>
        <v>9.074241759749244E-4</v>
      </c>
      <c r="G216" s="2" cm="1">
        <f t="array" ref="G216">INDEX( ComputeThermoProps($A216, $B216, ParametersRange), 1, COLUMN()-2 )</f>
        <v>36.97587011653011</v>
      </c>
      <c r="H216" s="2" cm="1">
        <f t="array" ref="H216">INDEX( ComputeThermoProps($A216, $B216, ParametersRange), 1, COLUMN()-2 )</f>
        <v>24.954041949319212</v>
      </c>
      <c r="I216" s="2" cm="1">
        <f t="array" ref="I216">INDEX( ComputeThermoProps($A216, $B216, ParametersRange), 1, COLUMN()-2 )</f>
        <v>2.6799999999999997</v>
      </c>
      <c r="J216" s="2" cm="1">
        <f t="array" ref="J216">INDEX( ComputeThermoProps($A216, $B216, ParametersRange), 1, COLUMN()-2 )</f>
        <v>4918.7208753740597</v>
      </c>
      <c r="K216" s="2" cm="1">
        <f t="array" ref="K216">INDEX( ComputeThermoProps($A216, $B216, ParametersRange), 1, COLUMN()-2 )</f>
        <v>69.625513918847759</v>
      </c>
      <c r="L216" s="2" cm="1">
        <f t="array" ref="L216">INDEX( ComputeThermoProps($A216, $B216, ParametersRange), 1, COLUMN()-2 )</f>
        <v>-8874.093431949681</v>
      </c>
      <c r="M216" s="2" cm="1">
        <f t="array" ref="M216">INDEX( ComputeThermoProps($A216, $B216, ParametersRange), 1, COLUMN()-2 )</f>
        <v>8752.542893365433</v>
      </c>
      <c r="N216" s="2" cm="1">
        <f t="array" ref="N216">INDEX( ComputeThermoProps($A216, $B216, ParametersRange), 1, COLUMN()-2 )</f>
        <v>-5040.2714139583077</v>
      </c>
      <c r="O216" s="4">
        <f t="shared" si="7"/>
        <v>2.0074401069048311</v>
      </c>
    </row>
    <row r="217" spans="1:15" x14ac:dyDescent="0.25">
      <c r="A217" s="2">
        <v>199.1</v>
      </c>
      <c r="B217" s="2">
        <f t="shared" si="6"/>
        <v>104.69015229837888</v>
      </c>
      <c r="C217" s="2" cm="1">
        <f t="array" ref="C217">INDEX( ComputeThermoProps($A217, $B217, ParametersRange), 1, COLUMN()-2 )</f>
        <v>37.664222350054558</v>
      </c>
      <c r="D217" s="2" cm="1">
        <f t="array" ref="D217">INDEX( ComputeThermoProps($A217, $B217, ParametersRange), 1, COLUMN()-2 )</f>
        <v>5.0824249090270597E-4</v>
      </c>
      <c r="E217" s="2" cm="1">
        <f t="array" ref="E217">INDEX( ComputeThermoProps($A217, $B217, ParametersRange), 1, COLUMN()-2 )</f>
        <v>3.430479001184865E-4</v>
      </c>
      <c r="F217" s="2" cm="1">
        <f t="array" ref="F217">INDEX( ComputeThermoProps($A217, $B217, ParametersRange), 1, COLUMN()-2 )</f>
        <v>9.0247463231909E-4</v>
      </c>
      <c r="G217" s="2" cm="1">
        <f t="array" ref="G217">INDEX( ComputeThermoProps($A217, $B217, ParametersRange), 1, COLUMN()-2 )</f>
        <v>36.972128083181076</v>
      </c>
      <c r="H217" s="2" cm="1">
        <f t="array" ref="H217">INDEX( ComputeThermoProps($A217, $B217, ParametersRange), 1, COLUMN()-2 )</f>
        <v>24.955038448910344</v>
      </c>
      <c r="I217" s="2" cm="1">
        <f t="array" ref="I217">INDEX( ComputeThermoProps($A217, $B217, ParametersRange), 1, COLUMN()-2 )</f>
        <v>2.6799999999999997</v>
      </c>
      <c r="J217" s="2" cm="1">
        <f t="array" ref="J217">INDEX( ComputeThermoProps($A217, $B217, ParametersRange), 1, COLUMN()-2 )</f>
        <v>4937.9904196432781</v>
      </c>
      <c r="K217" s="2" cm="1">
        <f t="array" ref="K217">INDEX( ComputeThermoProps($A217, $B217, ParametersRange), 1, COLUMN()-2 )</f>
        <v>69.710661944106732</v>
      </c>
      <c r="L217" s="2" cm="1">
        <f t="array" ref="L217">INDEX( ComputeThermoProps($A217, $B217, ParametersRange), 1, COLUMN()-2 )</f>
        <v>-8941.4023734283728</v>
      </c>
      <c r="M217" s="2" cm="1">
        <f t="array" ref="M217">INDEX( ComputeThermoProps($A217, $B217, ParametersRange), 1, COLUMN()-2 )</f>
        <v>8881.0635936704948</v>
      </c>
      <c r="N217" s="2" cm="1">
        <f t="array" ref="N217">INDEX( ComputeThermoProps($A217, $B217, ParametersRange), 1, COLUMN()-2 )</f>
        <v>-4998.3291994011552</v>
      </c>
      <c r="O217" s="4">
        <f t="shared" si="7"/>
        <v>2.0199058315965468</v>
      </c>
    </row>
    <row r="218" spans="1:15" x14ac:dyDescent="0.25">
      <c r="A218">
        <v>200.1</v>
      </c>
      <c r="B218" s="2">
        <f t="shared" si="6"/>
        <v>107.66114151464944</v>
      </c>
      <c r="C218" s="2" cm="1">
        <f t="array" ref="C218">INDEX( ComputeThermoProps($A218, $B218, ParametersRange), 1, COLUMN()-2 )</f>
        <v>37.641428489578971</v>
      </c>
      <c r="O218" s="4">
        <f t="shared" si="7"/>
        <v>2.0320589802621791</v>
      </c>
    </row>
    <row r="219" spans="1:15" x14ac:dyDescent="0.25">
      <c r="A219">
        <v>201.1</v>
      </c>
      <c r="B219" s="2">
        <f t="shared" si="6"/>
        <v>110.64075980657977</v>
      </c>
      <c r="C219" s="2" cm="1">
        <f t="array" ref="C219">INDEX( ComputeThermoProps($A219, $B219, ParametersRange), 1, COLUMN()-2 )</f>
        <v>37.618644577208968</v>
      </c>
      <c r="O219" s="4">
        <f t="shared" si="7"/>
        <v>2.0439151495549046</v>
      </c>
    </row>
    <row r="220" spans="1:15" x14ac:dyDescent="0.25">
      <c r="A220">
        <v>202.1</v>
      </c>
      <c r="B220" s="2">
        <f t="shared" si="6"/>
        <v>113.62889644927324</v>
      </c>
      <c r="C220" s="2" cm="1">
        <f t="array" ref="C220">INDEX( ComputeThermoProps($A220, $B220, ParametersRange), 1, COLUMN()-2 )</f>
        <v>37.595872976456377</v>
      </c>
      <c r="O220" s="4">
        <f t="shared" si="7"/>
        <v>2.0554887888804467</v>
      </c>
    </row>
    <row r="221" spans="1:15" x14ac:dyDescent="0.25">
      <c r="A221">
        <v>203.1</v>
      </c>
      <c r="B221" s="2">
        <f t="shared" si="6"/>
        <v>116.62544412943795</v>
      </c>
      <c r="C221" s="2" cm="1">
        <f t="array" ref="C221">INDEX( ComputeThermoProps($A221, $B221, ParametersRange), 1, COLUMN()-2 )</f>
        <v>37.573115925446849</v>
      </c>
      <c r="O221" s="4">
        <f t="shared" si="7"/>
        <v>2.0667933106246261</v>
      </c>
    </row>
    <row r="222" spans="1:15" x14ac:dyDescent="0.25">
      <c r="A222">
        <v>204.1</v>
      </c>
      <c r="B222" s="2">
        <f t="shared" si="6"/>
        <v>119.63029878723084</v>
      </c>
      <c r="C222" s="2" cm="1">
        <f t="array" ref="C222">INDEX( ComputeThermoProps($A222, $B222, ParametersRange), 1, COLUMN()-2 )</f>
        <v>37.550375543561643</v>
      </c>
      <c r="O222" s="4">
        <f t="shared" si="7"/>
        <v>2.0778411874251512</v>
      </c>
    </row>
    <row r="223" spans="1:15" x14ac:dyDescent="0.25">
      <c r="A223">
        <v>205.1</v>
      </c>
      <c r="B223" s="2">
        <f t="shared" si="6"/>
        <v>122.64335946719244</v>
      </c>
      <c r="C223" s="2" cm="1">
        <f t="array" ref="C223">INDEX( ComputeThermoProps($A223, $B223, ParametersRange), 1, COLUMN()-2 )</f>
        <v>37.527653837693229</v>
      </c>
      <c r="O223" s="4">
        <f t="shared" si="7"/>
        <v>2.0886440382755511</v>
      </c>
    </row>
    <row r="224" spans="1:15" x14ac:dyDescent="0.25">
      <c r="A224">
        <v>206.1</v>
      </c>
      <c r="B224" s="2">
        <f t="shared" si="6"/>
        <v>125.66452817772908</v>
      </c>
      <c r="C224" s="2" cm="1">
        <f t="array" ref="C224">INDEX( ComputeThermoProps($A224, $B224, ParametersRange), 1, COLUMN()-2 )</f>
        <v>37.504952708138397</v>
      </c>
      <c r="O224" s="4">
        <f t="shared" si="7"/>
        <v>2.0992127049674503</v>
      </c>
    </row>
    <row r="225" spans="1:15" x14ac:dyDescent="0.25">
      <c r="A225">
        <v>207.1</v>
      </c>
      <c r="B225" s="2">
        <f t="shared" si="6"/>
        <v>128.69370975862051</v>
      </c>
      <c r="C225" s="2" cm="1">
        <f t="array" ref="C225">INDEX( ComputeThermoProps($A225, $B225, ParametersRange), 1, COLUMN()-2 )</f>
        <v>37.482273954151047</v>
      </c>
      <c r="O225" s="4">
        <f t="shared" si="7"/>
        <v>2.1095573201453952</v>
      </c>
    </row>
    <row r="226" spans="1:15" x14ac:dyDescent="0.25">
      <c r="A226">
        <v>208.1</v>
      </c>
      <c r="B226" s="2">
        <f t="shared" si="6"/>
        <v>131.73081175605509</v>
      </c>
      <c r="C226" s="2" cm="1">
        <f t="array" ref="C226">INDEX( ComputeThermoProps($A226, $B226, ParametersRange), 1, COLUMN()-2 )</f>
        <v>37.459619279175769</v>
      </c>
      <c r="O226" s="4">
        <f t="shared" si="7"/>
        <v>2.1196873680564132</v>
      </c>
    </row>
    <row r="227" spans="1:15" x14ac:dyDescent="0.25">
      <c r="A227">
        <v>209.1</v>
      </c>
      <c r="B227" s="2">
        <f t="shared" si="6"/>
        <v>134.77574430471483</v>
      </c>
      <c r="C227" s="2" cm="1">
        <f t="array" ref="C227">INDEX( ComputeThermoProps($A227, $B227, ParametersRange), 1, COLUMN()-2 )</f>
        <v>37.436990295782188</v>
      </c>
      <c r="O227" s="4">
        <f t="shared" si="7"/>
        <v>2.1296117389168336</v>
      </c>
    </row>
    <row r="228" spans="1:15" x14ac:dyDescent="0.25">
      <c r="A228">
        <v>210.1</v>
      </c>
      <c r="B228" s="2">
        <f t="shared" si="6"/>
        <v>137.82842001646668</v>
      </c>
      <c r="C228" s="2" cm="1">
        <f t="array" ref="C228">INDEX( ComputeThermoProps($A228, $B228, ParametersRange), 1, COLUMN()-2 )</f>
        <v>37.41438853031859</v>
      </c>
      <c r="O228" s="4">
        <f t="shared" si="7"/>
        <v>2.1393387776856918</v>
      </c>
    </row>
    <row r="229" spans="1:15" x14ac:dyDescent="0.25">
      <c r="A229">
        <v>211.1</v>
      </c>
      <c r="B229" s="2">
        <f t="shared" si="6"/>
        <v>140.88875387523558</v>
      </c>
      <c r="C229" s="2" cm="1">
        <f t="array" ref="C229">INDEX( ComputeThermoProps($A229, $B229, ParametersRange), 1, COLUMN()-2 )</f>
        <v>37.39181542730249</v>
      </c>
      <c r="O229" s="4">
        <f t="shared" si="7"/>
        <v>2.1488763279223084</v>
      </c>
    </row>
    <row r="230" spans="1:15" x14ac:dyDescent="0.25">
      <c r="A230">
        <v>212.1</v>
      </c>
      <c r="B230" s="2">
        <f t="shared" si="6"/>
        <v>143.95666313766415</v>
      </c>
      <c r="C230" s="2" cm="1">
        <f t="array" ref="C230">INDEX( ComputeThermoProps($A230, $B230, ParametersRange), 1, COLUMN()-2 )</f>
        <v>37.369272353564504</v>
      </c>
      <c r="O230" s="4">
        <f t="shared" si="7"/>
        <v>2.1582317713116952</v>
      </c>
    </row>
    <row r="231" spans="1:15" x14ac:dyDescent="0.25">
      <c r="A231">
        <v>213.1</v>
      </c>
      <c r="B231" s="2">
        <f t="shared" si="6"/>
        <v>147.03206723919087</v>
      </c>
      <c r="C231" s="2" cm="1">
        <f t="array" ref="C231">INDEX( ComputeThermoProps($A231, $B231, ParametersRange), 1, COLUMN()-2 )</f>
        <v>37.346760602160813</v>
      </c>
      <c r="O231" s="4">
        <f t="shared" si="7"/>
        <v>2.1674120633620748</v>
      </c>
    </row>
    <row r="232" spans="1:15" x14ac:dyDescent="0.25">
      <c r="A232">
        <v>214.1</v>
      </c>
      <c r="B232" s="2">
        <f t="shared" si="6"/>
        <v>150.11488770519739</v>
      </c>
      <c r="C232" s="2" cm="1">
        <f t="array" ref="C232">INDEX( ComputeThermoProps($A232, $B232, ParametersRange), 1, COLUMN()-2 )</f>
        <v>37.324281396068642</v>
      </c>
      <c r="O232" s="4">
        <f t="shared" si="7"/>
        <v>2.1764237657115459</v>
      </c>
    </row>
    <row r="233" spans="1:15" x14ac:dyDescent="0.25">
      <c r="A233">
        <v>215.1</v>
      </c>
      <c r="B233" s="2">
        <f t="shared" si="6"/>
        <v>153.2050480669063</v>
      </c>
      <c r="C233" s="2" cm="1">
        <f t="array" ref="C233">INDEX( ComputeThermoProps($A233, $B233, ParametersRange), 1, COLUMN()-2 )</f>
        <v>37.301835891678088</v>
      </c>
      <c r="O233" s="4">
        <f t="shared" si="7"/>
        <v>2.1852730754237566</v>
      </c>
    </row>
    <row r="234" spans="1:15" x14ac:dyDescent="0.25">
      <c r="A234">
        <v>216.1</v>
      </c>
      <c r="B234" s="2">
        <f t="shared" si="6"/>
        <v>156.30247378172544</v>
      </c>
      <c r="C234" s="2" cm="1">
        <f t="array" ref="C234">INDEX( ComputeThermoProps($A234, $B234, ParametersRange), 1, COLUMN()-2 )</f>
        <v>37.279425182092858</v>
      </c>
      <c r="O234" s="4">
        <f t="shared" si="7"/>
        <v>2.1939658516036458</v>
      </c>
    </row>
    <row r="235" spans="1:15" x14ac:dyDescent="0.25">
      <c r="A235">
        <v>217.1</v>
      </c>
      <c r="B235" s="2">
        <f t="shared" si="6"/>
        <v>159.40709215775985</v>
      </c>
      <c r="C235" s="2" cm="1">
        <f t="array" ref="C235">INDEX( ComputeThermoProps($A235, $B235, ParametersRange), 1, COLUMN()-2 )</f>
        <v>37.257050300251535</v>
      </c>
      <c r="O235" s="4">
        <f t="shared" si="7"/>
        <v>2.2025076396225844</v>
      </c>
    </row>
    <row r="236" spans="1:15" x14ac:dyDescent="0.25">
      <c r="A236">
        <v>218.1</v>
      </c>
      <c r="B236" s="2">
        <f t="shared" si="6"/>
        <v>162.51883228223113</v>
      </c>
      <c r="C236" s="2" cm="1">
        <f t="array" ref="C236">INDEX( ComputeThermoProps($A236, $B236, ParametersRange), 1, COLUMN()-2 )</f>
        <v>37.234712221880308</v>
      </c>
      <c r="O236" s="4">
        <f t="shared" si="7"/>
        <v>2.2109036932063963</v>
      </c>
    </row>
    <row r="237" spans="1:15" x14ac:dyDescent="0.25">
      <c r="A237">
        <v>219.1</v>
      </c>
      <c r="B237" s="2">
        <f t="shared" si="6"/>
        <v>165.63762495355846</v>
      </c>
      <c r="C237" s="2" cm="1">
        <f t="array" ref="C237">INDEX( ComputeThermoProps($A237, $B237, ParametersRange), 1, COLUMN()-2 )</f>
        <v>37.212411868287298</v>
      </c>
      <c r="O237" s="4">
        <f t="shared" si="7"/>
        <v>2.2191589946089034</v>
      </c>
    </row>
    <row r="238" spans="1:15" x14ac:dyDescent="0.25">
      <c r="A238">
        <v>220.1</v>
      </c>
      <c r="B238" s="2">
        <f t="shared" si="6"/>
        <v>168.7634026168792</v>
      </c>
      <c r="C238" s="2" cm="1">
        <f t="array" ref="C238">INDEX( ComputeThermoProps($A238, $B238, ParametersRange), 1, COLUMN()-2 )</f>
        <v>37.190150109008101</v>
      </c>
      <c r="O238" s="4">
        <f t="shared" si="7"/>
        <v>2.227278273067022</v>
      </c>
    </row>
    <row r="239" spans="1:15" x14ac:dyDescent="0.25">
      <c r="A239">
        <v>221.1</v>
      </c>
      <c r="B239" s="2">
        <f t="shared" si="6"/>
        <v>171.89609930279502</v>
      </c>
      <c r="C239" s="2" cm="1">
        <f t="array" ref="C239">INDEX( ComputeThermoProps($A239, $B239, ParametersRange), 1, COLUMN()-2 )</f>
        <v>37.16792776431123</v>
      </c>
      <c r="O239" s="4">
        <f t="shared" si="7"/>
        <v>2.2352660217103657</v>
      </c>
    </row>
    <row r="240" spans="1:15" x14ac:dyDescent="0.25">
      <c r="A240">
        <v>222.1</v>
      </c>
      <c r="B240" s="2">
        <f t="shared" si="6"/>
        <v>175.03565056914988</v>
      </c>
      <c r="C240" s="2" cm="1">
        <f t="array" ref="C240">INDEX( ComputeThermoProps($A240, $B240, ParametersRange), 1, COLUMN()-2 )</f>
        <v>37.145745607571918</v>
      </c>
      <c r="O240" s="4">
        <f t="shared" si="7"/>
        <v>2.2431265130783462</v>
      </c>
    </row>
    <row r="241" spans="1:15" x14ac:dyDescent="0.25">
      <c r="A241">
        <v>223.1</v>
      </c>
      <c r="B241" s="2">
        <f t="shared" si="6"/>
        <v>178.18199344565608</v>
      </c>
      <c r="C241" s="2" cm="1">
        <f t="array" ref="C241">INDEX( ComputeThermoProps($A241, $B241, ParametersRange), 1, COLUMN()-2 )</f>
        <v>37.123604367521878</v>
      </c>
      <c r="O241" s="4">
        <f t="shared" si="7"/>
        <v>2.250863813380334</v>
      </c>
    </row>
    <row r="242" spans="1:15" x14ac:dyDescent="0.25">
      <c r="A242">
        <v>224.1</v>
      </c>
      <c r="B242" s="2">
        <f t="shared" si="6"/>
        <v>181.33506638119917</v>
      </c>
      <c r="C242" s="2" cm="1">
        <f t="array" ref="C242">INDEX( ComputeThermoProps($A242, $B242, ParametersRange), 1, COLUMN()-2 )</f>
        <v>37.101504730382452</v>
      </c>
      <c r="O242" s="4">
        <f t="shared" si="7"/>
        <v>2.2584817956192991</v>
      </c>
    </row>
    <row r="243" spans="1:15" x14ac:dyDescent="0.25">
      <c r="A243">
        <v>225.1</v>
      </c>
      <c r="B243" s="2">
        <f t="shared" si="6"/>
        <v>184.49480919366266</v>
      </c>
      <c r="C243" s="2" cm="1">
        <f t="array" ref="C243">INDEX( ComputeThermoProps($A243, $B243, ParametersRange), 1, COLUMN()-2 )</f>
        <v>37.079447341887658</v>
      </c>
      <c r="O243" s="4">
        <f t="shared" si="7"/>
        <v>2.2659841516860721</v>
      </c>
    </row>
    <row r="244" spans="1:15" x14ac:dyDescent="0.25">
      <c r="A244">
        <v>226.1</v>
      </c>
      <c r="B244" s="2">
        <f t="shared" si="6"/>
        <v>187.66116302212617</v>
      </c>
      <c r="C244" s="2" cm="1">
        <f t="array" ref="C244">INDEX( ComputeThermoProps($A244, $B244, ParametersRange), 1, COLUMN()-2 )</f>
        <v>37.057432809203732</v>
      </c>
      <c r="O244" s="4">
        <f t="shared" si="7"/>
        <v>2.2733744035197652</v>
      </c>
    </row>
    <row r="245" spans="1:15" x14ac:dyDescent="0.25">
      <c r="A245">
        <v>227.1</v>
      </c>
      <c r="B245" s="2">
        <f t="shared" si="6"/>
        <v>190.8340702812979</v>
      </c>
      <c r="C245" s="2" cm="1">
        <f t="array" ref="C245">INDEX( ComputeThermoProps($A245, $B245, ParametersRange), 1, COLUMN()-2 )</f>
        <v>37.035461702750872</v>
      </c>
      <c r="O245" s="4">
        <f t="shared" si="7"/>
        <v>2.280655913419686</v>
      </c>
    </row>
    <row r="246" spans="1:15" x14ac:dyDescent="0.25">
      <c r="A246">
        <v>228.1</v>
      </c>
      <c r="B246" s="2">
        <f t="shared" si="6"/>
        <v>194.01347461805386</v>
      </c>
      <c r="C246" s="2" cm="1">
        <f t="array" ref="C246">INDEX( ComputeThermoProps($A246, $B246, ParametersRange), 1, COLUMN()-2 )</f>
        <v>37.013534557932886</v>
      </c>
      <c r="O246" s="4">
        <f t="shared" si="7"/>
        <v>2.2878318935851079</v>
      </c>
    </row>
    <row r="247" spans="1:15" x14ac:dyDescent="0.25">
      <c r="A247">
        <v>229.1</v>
      </c>
      <c r="B247" s="2">
        <f t="shared" si="6"/>
        <v>197.19932086996371</v>
      </c>
      <c r="C247" s="2" cm="1">
        <f t="array" ref="C247">INDEX( ComputeThermoProps($A247, $B247, ParametersRange), 1, COLUMN()-2 )</f>
        <v>36.991651876779855</v>
      </c>
      <c r="O247" s="4">
        <f t="shared" si="7"/>
        <v>2.294905414951363</v>
      </c>
    </row>
    <row r="248" spans="1:15" x14ac:dyDescent="0.25">
      <c r="A248">
        <v>230.1</v>
      </c>
      <c r="B248" s="2">
        <f t="shared" si="6"/>
        <v>200.39155502569133</v>
      </c>
      <c r="C248" s="2" cm="1">
        <f t="array" ref="C248">INDEX( ComputeThermoProps($A248, $B248, ParametersRange), 1, COLUMN()-2 )</f>
        <v>36.969814129508734</v>
      </c>
      <c r="O248" s="4">
        <f t="shared" si="7"/>
        <v>2.3018794153837221</v>
      </c>
    </row>
    <row r="249" spans="1:15" x14ac:dyDescent="0.25">
      <c r="A249">
        <v>231.1</v>
      </c>
      <c r="B249" s="2">
        <f t="shared" si="6"/>
        <v>203.59012418716597</v>
      </c>
      <c r="C249" s="2" cm="1">
        <f t="array" ref="C249">INDEX( ComputeThermoProps($A249, $B249, ParametersRange), 1, COLUMN()-2 )</f>
        <v>36.948021756006362</v>
      </c>
      <c r="O249" s="4">
        <f t="shared" si="7"/>
        <v>2.308756707284354</v>
      </c>
    </row>
    <row r="250" spans="1:15" x14ac:dyDescent="0.25">
      <c r="A250">
        <v>232.1</v>
      </c>
      <c r="B250" s="2">
        <f t="shared" si="6"/>
        <v>206.794976533425</v>
      </c>
      <c r="C250" s="2" cm="1">
        <f t="array" ref="C250">INDEX( ComputeThermoProps($A250, $B250, ParametersRange), 1, COLUMN()-2 )</f>
        <v>36.926275167239304</v>
      </c>
      <c r="O250" s="4">
        <f t="shared" si="7"/>
        <v>2.3155399846621765</v>
      </c>
    </row>
    <row r="251" spans="1:15" x14ac:dyDescent="0.25">
      <c r="A251">
        <v>233.1</v>
      </c>
      <c r="B251" s="2">
        <f t="shared" si="6"/>
        <v>210.00606128603846</v>
      </c>
      <c r="C251" s="2" cm="1">
        <f t="array" ref="C251">INDEX( ComputeThermoProps($A251, $B251, ParametersRange), 1, COLUMN()-2 )</f>
        <v>36.904574746594434</v>
      </c>
      <c r="O251" s="4">
        <f t="shared" si="7"/>
        <v>2.3222318297105424</v>
      </c>
    </row>
    <row r="252" spans="1:15" x14ac:dyDescent="0.25">
      <c r="A252">
        <v>234.1</v>
      </c>
      <c r="B252" s="2">
        <f t="shared" si="6"/>
        <v>213.22332867602759</v>
      </c>
      <c r="C252" s="2" cm="1">
        <f t="array" ref="C252">INDEX( ComputeThermoProps($A252, $B252, ParametersRange), 1, COLUMN()-2 )</f>
        <v>36.882920851154054</v>
      </c>
      <c r="O252" s="4">
        <f t="shared" si="7"/>
        <v>2.3288347189333631</v>
      </c>
    </row>
    <row r="253" spans="1:15" x14ac:dyDescent="0.25">
      <c r="A253">
        <v>235.1</v>
      </c>
      <c r="B253" s="2">
        <f t="shared" si="6"/>
        <v>216.44672991220006</v>
      </c>
      <c r="C253" s="2" cm="1">
        <f t="array" ref="C253">INDEX( ComputeThermoProps($A253, $B253, ParametersRange), 1, COLUMN()-2 )</f>
        <v>36.861313812909138</v>
      </c>
      <c r="O253" s="4">
        <f t="shared" si="7"/>
        <v>2.3353510288564294</v>
      </c>
    </row>
    <row r="254" spans="1:15" x14ac:dyDescent="0.25">
      <c r="A254">
        <v>236.1</v>
      </c>
      <c r="B254" s="2">
        <f t="shared" si="6"/>
        <v>219.67621715082353</v>
      </c>
      <c r="C254" s="2" cm="1">
        <f t="array" ref="C254">INDEX( ComputeThermoProps($A254, $B254, ParametersRange), 1, COLUMN()-2 )</f>
        <v>36.839753939913948</v>
      </c>
      <c r="O254" s="4">
        <f t="shared" si="7"/>
        <v>2.3417830413572269</v>
      </c>
    </row>
    <row r="255" spans="1:15" x14ac:dyDescent="0.25">
      <c r="A255">
        <v>237.1</v>
      </c>
      <c r="B255" s="2">
        <f t="shared" si="6"/>
        <v>222.91174346657021</v>
      </c>
      <c r="C255" s="2" cm="1">
        <f t="array" ref="C255">INDEX( ComputeThermoProps($A255, $B255, ParametersRange), 1, COLUMN()-2 )</f>
        <v>36.818241517385225</v>
      </c>
      <c r="O255" s="4">
        <f t="shared" si="7"/>
        <v>2.3481329486434714</v>
      </c>
    </row>
    <row r="256" spans="1:15" x14ac:dyDescent="0.25">
      <c r="A256">
        <v>238.1</v>
      </c>
      <c r="B256" s="2">
        <f t="shared" si="6"/>
        <v>226.1532628246641</v>
      </c>
      <c r="C256" s="2" cm="1">
        <f t="array" ref="C256">INDEX( ComputeThermoProps($A256, $B256, ParametersRange), 1, COLUMN()-2 )</f>
        <v>36.796776808748888</v>
      </c>
      <c r="O256" s="4">
        <f t="shared" si="7"/>
        <v>2.3544028579078269</v>
      </c>
    </row>
    <row r="257" spans="1:15" x14ac:dyDescent="0.25">
      <c r="A257">
        <v>239.1</v>
      </c>
      <c r="B257" s="2">
        <f t="shared" si="6"/>
        <v>229.40073005416917</v>
      </c>
      <c r="C257" s="2" cm="1">
        <f t="array" ref="C257">INDEX( ComputeThermoProps($A257, $B257, ParametersRange), 1, COLUMN()-2 )</f>
        <v>36.775360056636941</v>
      </c>
      <c r="O257" s="4">
        <f t="shared" si="7"/>
        <v>2.3605947956837872</v>
      </c>
    </row>
    <row r="258" spans="1:15" x14ac:dyDescent="0.25">
      <c r="A258">
        <v>240.1</v>
      </c>
      <c r="B258" s="2">
        <f t="shared" si="6"/>
        <v>232.65410082236204</v>
      </c>
      <c r="C258" s="2" cm="1">
        <f t="array" ref="C258">INDEX( ComputeThermoProps($A258, $B258, ParametersRange), 1, COLUMN()-2 )</f>
        <v>36.753991483837268</v>
      </c>
      <c r="O258" s="4">
        <f t="shared" si="7"/>
        <v>2.3667107119254958</v>
      </c>
    </row>
    <row r="259" spans="1:15" x14ac:dyDescent="0.25">
      <c r="A259">
        <v>241.1</v>
      </c>
      <c r="B259" s="2">
        <f t="shared" si="6"/>
        <v>235.91333161013213</v>
      </c>
      <c r="C259" s="2" cm="1">
        <f t="array" ref="C259">INDEX( ComputeThermoProps($A259, $B259, ParametersRange), 1, COLUMN()-2 )</f>
        <v>36.732671294198795</v>
      </c>
      <c r="O259" s="4">
        <f t="shared" si="7"/>
        <v>2.3727524838322607</v>
      </c>
    </row>
    <row r="260" spans="1:15" x14ac:dyDescent="0.25">
      <c r="A260">
        <v>242.1</v>
      </c>
      <c r="B260" s="2">
        <f t="shared" si="6"/>
        <v>239.17837968835906</v>
      </c>
      <c r="C260" s="2" cm="1">
        <f t="array" ref="C260">INDEX( ComputeThermoProps($A260, $B260, ParametersRange), 1, COLUMN()-2 )</f>
        <v>36.711399673494199</v>
      </c>
      <c r="O260" s="4">
        <f t="shared" si="7"/>
        <v>2.3787219194367273</v>
      </c>
    </row>
    <row r="261" spans="1:15" x14ac:dyDescent="0.25">
      <c r="A261">
        <v>243.1</v>
      </c>
      <c r="B261" s="2">
        <f t="shared" si="6"/>
        <v>242.44920309521908</v>
      </c>
      <c r="C261" s="2" cm="1">
        <f t="array" ref="C261">INDEX( ComputeThermoProps($A261, $B261, ParametersRange), 1, COLUMN()-2 )</f>
        <v>36.690176790242454</v>
      </c>
      <c r="O261" s="4">
        <f t="shared" si="7"/>
        <v>2.3846207609740522</v>
      </c>
    </row>
    <row r="262" spans="1:15" x14ac:dyDescent="0.25">
      <c r="A262">
        <v>244.1</v>
      </c>
      <c r="B262" s="2">
        <f t="shared" si="6"/>
        <v>245.72576061437363</v>
      </c>
      <c r="C262" s="2" cm="1">
        <f t="array" ref="C262">INDEX( ComputeThermoProps($A262, $B262, ParametersRange), 1, COLUMN()-2 )</f>
        <v>36.669002796493324</v>
      </c>
      <c r="O262" s="4">
        <f t="shared" si="7"/>
        <v>2.3904506880479381</v>
      </c>
    </row>
    <row r="263" spans="1:15" x14ac:dyDescent="0.25">
      <c r="A263">
        <v>245.1</v>
      </c>
      <c r="B263" s="2">
        <f t="shared" si="6"/>
        <v>249.00801175399883</v>
      </c>
      <c r="C263" s="2" cm="1">
        <f t="array" ref="C263">INDEX( ComputeThermoProps($A263, $B263, ParametersRange), 1, COLUMN()-2 )</f>
        <v>36.647877828575503</v>
      </c>
      <c r="O263" s="4">
        <f t="shared" si="7"/>
        <v>2.3962133206080907</v>
      </c>
    </row>
    <row r="264" spans="1:15" x14ac:dyDescent="0.25">
      <c r="A264">
        <v>246.1</v>
      </c>
      <c r="B264" s="2">
        <f t="shared" si="6"/>
        <v>252.29591672661431</v>
      </c>
      <c r="C264" s="2" cm="1">
        <f t="array" ref="C264">INDEX( ComputeThermoProps($A264, $B264, ParametersRange), 1, COLUMN()-2 )</f>
        <v>36.626802007810539</v>
      </c>
      <c r="O264" s="4">
        <f t="shared" si="7"/>
        <v>2.4019102217524151</v>
      </c>
    </row>
    <row r="265" spans="1:15" x14ac:dyDescent="0.25">
      <c r="A265">
        <v>247.1</v>
      </c>
      <c r="B265" s="2">
        <f t="shared" si="6"/>
        <v>255.58943642967364</v>
      </c>
      <c r="C265" s="2" cm="1">
        <f t="array" ref="C265">INDEX( ComputeThermoProps($A265, $B265, ParametersRange), 1, COLUMN()-2 )</f>
        <v>36.605775441193991</v>
      </c>
      <c r="O265" s="4">
        <f t="shared" si="7"/>
        <v>2.4075429003662294</v>
      </c>
    </row>
    <row r="266" spans="1:15" x14ac:dyDescent="0.25">
      <c r="A266">
        <v>248.1</v>
      </c>
      <c r="B266" s="2">
        <f t="shared" si="6"/>
        <v>258.88853242688032</v>
      </c>
      <c r="C266" s="2" cm="1">
        <f t="array" ref="C266">INDEX( ComputeThermoProps($A266, $B266, ParametersRange), 1, COLUMN()-2 )</f>
        <v>36.584798222045691</v>
      </c>
      <c r="O266" s="4">
        <f t="shared" si="7"/>
        <v>2.4131128136097373</v>
      </c>
    </row>
    <row r="267" spans="1:15" x14ac:dyDescent="0.25">
      <c r="A267">
        <v>249.1</v>
      </c>
      <c r="B267" s="2">
        <f t="shared" si="6"/>
        <v>262.19316693019533</v>
      </c>
      <c r="C267" s="2" cm="1">
        <f t="array" ref="C267">INDEX( ComputeThermoProps($A267, $B267, ParametersRange), 1, COLUMN()-2 )</f>
        <v>36.563870430630409</v>
      </c>
      <c r="O267" s="4">
        <f t="shared" si="7"/>
        <v>2.4186213692641361</v>
      </c>
    </row>
    <row r="268" spans="1:15" x14ac:dyDescent="0.25">
      <c r="A268">
        <v>250.1</v>
      </c>
      <c r="B268" s="2">
        <f t="shared" si="6"/>
        <v>265.50330278250459</v>
      </c>
      <c r="C268" s="2" cm="1">
        <f t="array" ref="C268">INDEX( ComputeThermoProps($A268, $B268, ParametersRange), 1, COLUMN()-2 )</f>
        <v>36.542992134750591</v>
      </c>
      <c r="O268" s="4">
        <f t="shared" si="7"/>
        <v>2.4240699279459061</v>
      </c>
    </row>
    <row r="269" spans="1:15" x14ac:dyDescent="0.25">
      <c r="A269">
        <v>251.1</v>
      </c>
      <c r="B269" s="2">
        <f t="shared" si="6"/>
        <v>268.81890344091494</v>
      </c>
      <c r="C269" s="2" cm="1">
        <f t="array" ref="C269">INDEX( ComputeThermoProps($A269, $B269, ParametersRange), 1, COLUMN()-2 )</f>
        <v>36.522163390312421</v>
      </c>
      <c r="O269" s="4">
        <f t="shared" si="7"/>
        <v>2.4294598051980767</v>
      </c>
    </row>
    <row r="270" spans="1:15" x14ac:dyDescent="0.25">
      <c r="A270">
        <v>252.1</v>
      </c>
      <c r="B270" s="2">
        <f t="shared" si="6"/>
        <v>272.13993296065161</v>
      </c>
      <c r="C270" s="2" cm="1">
        <f t="array" ref="C270">INDEX( ComputeThermoProps($A270, $B270, ParametersRange), 1, COLUMN()-2 )</f>
        <v>36.501384241866532</v>
      </c>
      <c r="O270" s="4">
        <f t="shared" si="7"/>
        <v>2.4347922734666034</v>
      </c>
    </row>
    <row r="271" spans="1:15" x14ac:dyDescent="0.25">
      <c r="A271">
        <v>253.1</v>
      </c>
      <c r="B271" s="2">
        <f t="shared" si="6"/>
        <v>275.46635597952934</v>
      </c>
      <c r="C271" s="2" cm="1">
        <f t="array" ref="C271">INDEX( ComputeThermoProps($A271, $B271, ParametersRange), 1, COLUMN()-2 )</f>
        <v>36.480654723124616</v>
      </c>
      <c r="O271" s="4">
        <f t="shared" si="7"/>
        <v>2.4400685639693505</v>
      </c>
    </row>
    <row r="272" spans="1:15" x14ac:dyDescent="0.25">
      <c r="A272">
        <v>254.1</v>
      </c>
      <c r="B272" s="2">
        <f t="shared" si="6"/>
        <v>278.79813770297039</v>
      </c>
      <c r="C272" s="2" cm="1">
        <f t="array" ref="C272">INDEX( ComputeThermoProps($A272, $B272, ParametersRange), 1, COLUMN()-2 )</f>
        <v>36.459974857453112</v>
      </c>
      <c r="O272" s="4">
        <f t="shared" si="7"/>
        <v>2.44528986846462</v>
      </c>
    </row>
    <row r="273" spans="1:15" x14ac:dyDescent="0.25">
      <c r="A273">
        <v>255.1</v>
      </c>
      <c r="B273" s="2">
        <f t="shared" si="6"/>
        <v>282.1352438895471</v>
      </c>
      <c r="C273" s="2" cm="1">
        <f t="array" ref="C273">INDEX( ComputeThermoProps($A273, $B273, ParametersRange), 1, COLUMN()-2 )</f>
        <v>36.439344658344979</v>
      </c>
      <c r="O273" s="4">
        <f t="shared" si="7"/>
        <v>2.4504573409256478</v>
      </c>
    </row>
    <row r="274" spans="1:15" x14ac:dyDescent="0.25">
      <c r="A274">
        <v>256.10000000000002</v>
      </c>
      <c r="B274" s="2">
        <f t="shared" si="6"/>
        <v>285.47764083702543</v>
      </c>
      <c r="C274" s="2" cm="1">
        <f t="array" ref="C274">INDEX( ComputeThermoProps($A274, $B274, ParametersRange), 1, COLUMN()-2 )</f>
        <v>36.418764129870745</v>
      </c>
      <c r="O274" s="4">
        <f t="shared" si="7"/>
        <v>2.4555720991270125</v>
      </c>
    </row>
    <row r="275" spans="1:15" x14ac:dyDescent="0.25">
      <c r="A275">
        <v>257.10000000000002</v>
      </c>
      <c r="B275" s="2">
        <f t="shared" ref="B275:B338" si="8">IF(
  A275 &lt;= $B$5,
  $B$6 * EXP( ($B$5/A275) * ( $B$8*(1 - A275/$B$5) + $B$9*(1 - A275/$B$5)^1.5 + $B$10*(1 - A275/$B$5)^5 ) ),
  $B$6 * ( 1 + $B$12 * MAX(A275/$B$5 - 1, 0)^$B$13 + $B$14 * MAX(A275/$B$5 - 1, 0)^$B$15 )
)</f>
        <v>288.82529536888643</v>
      </c>
      <c r="C275" s="2" cm="1">
        <f t="array" ref="C275">INDEX( ComputeThermoProps($A275, $B275, ParametersRange), 1, COLUMN()-2 )</f>
        <v>36.398233267109724</v>
      </c>
      <c r="O275" s="4">
        <f t="shared" ref="O275:O338" si="9">LOG10(B275)</f>
        <v>2.4606352261484634</v>
      </c>
    </row>
    <row r="276" spans="1:15" x14ac:dyDescent="0.25">
      <c r="A276">
        <v>258.10000000000002</v>
      </c>
      <c r="B276" s="2">
        <f t="shared" si="8"/>
        <v>292.17817482130738</v>
      </c>
      <c r="C276" s="2" cm="1">
        <f t="array" ref="C276">INDEX( ComputeThermoProps($A276, $B276, ParametersRange), 1, COLUMN()-2 )</f>
        <v>36.377752056562315</v>
      </c>
      <c r="O276" s="4">
        <f t="shared" si="9"/>
        <v>2.4656477718012919</v>
      </c>
    </row>
    <row r="277" spans="1:15" x14ac:dyDescent="0.25">
      <c r="A277">
        <v>259.10000000000002</v>
      </c>
      <c r="B277" s="2">
        <f t="shared" si="8"/>
        <v>295.53624703058011</v>
      </c>
      <c r="C277" s="2" cm="1">
        <f t="array" ref="C277">INDEX( ComputeThermoProps($A277, $B277, ParametersRange), 1, COLUMN()-2 )</f>
        <v>36.357320476544373</v>
      </c>
      <c r="O277" s="4">
        <f t="shared" si="9"/>
        <v>2.4706107539819739</v>
      </c>
    </row>
    <row r="278" spans="1:15" x14ac:dyDescent="0.25">
      <c r="A278">
        <v>260.10000000000002</v>
      </c>
      <c r="B278" s="2">
        <f t="shared" si="8"/>
        <v>298.899480320951</v>
      </c>
      <c r="C278" s="2" cm="1">
        <f t="array" ref="C278">INDEX( ComputeThermoProps($A278, $B278, ParametersRange), 1, COLUMN()-2 )</f>
        <v>36.336938497564439</v>
      </c>
      <c r="O278" s="4">
        <f t="shared" si="9"/>
        <v>2.4755251599575159</v>
      </c>
    </row>
    <row r="279" spans="1:15" x14ac:dyDescent="0.25">
      <c r="A279">
        <v>261.10000000000002</v>
      </c>
      <c r="B279" s="2">
        <f t="shared" si="8"/>
        <v>302.26784349286237</v>
      </c>
      <c r="C279" s="2" cm="1">
        <f t="array" ref="C279">INDEX( ComputeThermoProps($A279, $B279, ParametersRange), 1, COLUMN()-2 )</f>
        <v>36.31660608268453</v>
      </c>
      <c r="O279" s="4">
        <f t="shared" si="9"/>
        <v>2.4803919475865861</v>
      </c>
    </row>
    <row r="280" spans="1:15" x14ac:dyDescent="0.25">
      <c r="A280">
        <v>262.10000000000002</v>
      </c>
      <c r="B280" s="2">
        <f t="shared" si="8"/>
        <v>305.64130581158065</v>
      </c>
      <c r="C280" s="2" cm="1">
        <f t="array" ref="C280">INDEX( ComputeThermoProps($A280, $B280, ParametersRange), 1, COLUMN()-2 )</f>
        <v>36.29632318786549</v>
      </c>
      <c r="O280" s="4">
        <f t="shared" si="9"/>
        <v>2.4852120464802638</v>
      </c>
    </row>
    <row r="281" spans="1:15" x14ac:dyDescent="0.25">
      <c r="A281">
        <v>263.10000000000002</v>
      </c>
      <c r="B281" s="2">
        <f t="shared" si="8"/>
        <v>309.01983699619336</v>
      </c>
      <c r="C281" s="2" cm="1">
        <f t="array" ref="C281">INDEX( ComputeThermoProps($A281, $B281, ParametersRange), 1, COLUMN()-2 )</f>
        <v>36.276089762297381</v>
      </c>
      <c r="O281" s="4">
        <f t="shared" si="9"/>
        <v>2.4899863591059437</v>
      </c>
    </row>
    <row r="282" spans="1:15" x14ac:dyDescent="0.25">
      <c r="A282">
        <v>264.10000000000002</v>
      </c>
      <c r="B282" s="2">
        <f t="shared" si="8"/>
        <v>312.40340720896131</v>
      </c>
      <c r="C282" s="2" cm="1">
        <f t="array" ref="C282">INDEX( ComputeThermoProps($A282, $B282, ParametersRange), 1, COLUMN()-2 )</f>
        <v>36.255905748715698</v>
      </c>
      <c r="O282" s="4">
        <f t="shared" si="9"/>
        <v>2.4947157618377251</v>
      </c>
    </row>
    <row r="283" spans="1:15" x14ac:dyDescent="0.25">
      <c r="A283">
        <v>265.10000000000002</v>
      </c>
      <c r="B283" s="2">
        <f t="shared" si="8"/>
        <v>315.79198704501152</v>
      </c>
      <c r="C283" s="2" cm="1">
        <f t="array" ref="C283">INDEX( ComputeThermoProps($A283, $B283, ParametersRange), 1, COLUMN()-2 )</f>
        <v>36.235771083704066</v>
      </c>
      <c r="O283" s="4">
        <f t="shared" si="9"/>
        <v>2.4994011059563612</v>
      </c>
    </row>
    <row r="284" spans="1:15" x14ac:dyDescent="0.25">
      <c r="A284">
        <v>266.10000000000002</v>
      </c>
      <c r="B284" s="2">
        <f t="shared" si="8"/>
        <v>319.18554752235644</v>
      </c>
      <c r="C284" s="2" cm="1">
        <f t="array" ref="C284">INDEX( ComputeThermoProps($A284, $B284, ParametersRange), 1, COLUMN()-2 )</f>
        <v>36.215685697984057</v>
      </c>
      <c r="O284" s="4">
        <f t="shared" si="9"/>
        <v>2.5040432186016592</v>
      </c>
    </row>
    <row r="285" spans="1:15" x14ac:dyDescent="0.25">
      <c r="A285">
        <v>267.10000000000002</v>
      </c>
      <c r="B285" s="2">
        <f t="shared" si="8"/>
        <v>322.58406007222669</v>
      </c>
      <c r="C285" s="2" cm="1">
        <f t="array" ref="C285">INDEX( ComputeThermoProps($A285, $B285, ParametersRange), 1, COLUMN()-2 )</f>
        <v>36.195649516692562</v>
      </c>
      <c r="O285" s="4">
        <f t="shared" si="9"/>
        <v>2.5086429036800175</v>
      </c>
    </row>
    <row r="286" spans="1:15" x14ac:dyDescent="0.25">
      <c r="A286">
        <v>268.10000000000002</v>
      </c>
      <c r="B286" s="2">
        <f t="shared" si="8"/>
        <v>325.98749652970497</v>
      </c>
      <c r="C286" s="2" cm="1">
        <f t="array" ref="C286">INDEX( ComputeThermoProps($A286, $B286, ParametersRange), 1, COLUMN()-2 )</f>
        <v>36.175662459647562</v>
      </c>
      <c r="O286" s="4">
        <f t="shared" si="9"/>
        <v>2.5132009427296209</v>
      </c>
    </row>
    <row r="287" spans="1:15" x14ac:dyDescent="0.25">
      <c r="A287">
        <v>269.10000000000002</v>
      </c>
      <c r="B287" s="2">
        <f t="shared" si="8"/>
        <v>329.39582912464977</v>
      </c>
      <c r="C287" s="2" cm="1">
        <f t="array" ref="C287">INDEX( ComputeThermoProps($A287, $B287, ParametersRange), 1, COLUMN()-2 )</f>
        <v>36.155724441602473</v>
      </c>
      <c r="O287" s="4">
        <f t="shared" si="9"/>
        <v>2.5177180957456442</v>
      </c>
    </row>
    <row r="288" spans="1:15" x14ac:dyDescent="0.25">
      <c r="A288">
        <v>270.10000000000002</v>
      </c>
      <c r="B288" s="2">
        <f t="shared" si="8"/>
        <v>332.80903047289706</v>
      </c>
      <c r="C288" s="2" cm="1">
        <f t="array" ref="C288">INDEX( ComputeThermoProps($A288, $B288, ParametersRange), 1, COLUMN()-2 )</f>
        <v>36.135835372489858</v>
      </c>
      <c r="O288" s="4">
        <f t="shared" si="9"/>
        <v>2.5221951019676627</v>
      </c>
    </row>
    <row r="289" spans="1:15" x14ac:dyDescent="0.25">
      <c r="A289">
        <v>271.10000000000002</v>
      </c>
      <c r="B289" s="2">
        <f t="shared" si="8"/>
        <v>336.22707356772895</v>
      </c>
      <c r="C289" s="2" cm="1">
        <f t="array" ref="C289">INDEX( ComputeThermoProps($A289, $B289, ParametersRange), 1, COLUMN()-2 )</f>
        <v>36.115995157654872</v>
      </c>
      <c r="O289" s="4">
        <f t="shared" si="9"/>
        <v>2.5266326806313359</v>
      </c>
    </row>
    <row r="290" spans="1:15" x14ac:dyDescent="0.25">
      <c r="A290">
        <v>272.10000000000002</v>
      </c>
      <c r="B290" s="2">
        <f t="shared" si="8"/>
        <v>339.64993177160051</v>
      </c>
      <c r="C290" s="2" cm="1">
        <f t="array" ref="C290">INDEX( ComputeThermoProps($A290, $B290, ParametersRange), 1, COLUMN()-2 )</f>
        <v>36.096203698078817</v>
      </c>
      <c r="O290" s="4">
        <f t="shared" si="9"/>
        <v>2.531031531686291</v>
      </c>
    </row>
    <row r="291" spans="1:15" x14ac:dyDescent="0.25">
      <c r="A291">
        <v>273.10000000000002</v>
      </c>
      <c r="B291" s="2">
        <f t="shared" si="8"/>
        <v>343.07757880811278</v>
      </c>
      <c r="C291" s="2" cm="1">
        <f t="array" ref="C291">INDEX( ComputeThermoProps($A291, $B291, ParametersRange), 1, COLUMN()-2 )</f>
        <v>36.076460890593417</v>
      </c>
      <c r="O291" s="4">
        <f t="shared" si="9"/>
        <v>2.5353923364820194</v>
      </c>
    </row>
    <row r="292" spans="1:15" x14ac:dyDescent="0.25">
      <c r="A292">
        <v>274.10000000000002</v>
      </c>
      <c r="B292" s="2">
        <f t="shared" si="8"/>
        <v>346.50998875422448</v>
      </c>
      <c r="C292" s="2" cm="1">
        <f t="array" ref="C292">INDEX( ComputeThermoProps($A292, $B292, ParametersRange), 1, COLUMN()-2 )</f>
        <v>36.056766628086088</v>
      </c>
      <c r="O292" s="4">
        <f t="shared" si="9"/>
        <v>2.5397157584234793</v>
      </c>
    </row>
    <row r="293" spans="1:15" x14ac:dyDescent="0.25">
      <c r="A293">
        <v>275.10000000000002</v>
      </c>
      <c r="B293" s="2">
        <f t="shared" si="8"/>
        <v>349.94713603269344</v>
      </c>
      <c r="C293" s="2" cm="1">
        <f t="array" ref="C293">INDEX( ComputeThermoProps($A293, $B293, ParametersRange), 1, COLUMN()-2 )</f>
        <v>36.037120799696623</v>
      </c>
      <c r="O293" s="4">
        <f t="shared" si="9"/>
        <v>2.5440024435980058</v>
      </c>
    </row>
    <row r="294" spans="1:15" x14ac:dyDescent="0.25">
      <c r="A294">
        <v>276.10000000000002</v>
      </c>
      <c r="B294" s="2">
        <f t="shared" si="8"/>
        <v>353.3889954047371</v>
      </c>
      <c r="C294" s="2" cm="1">
        <f t="array" ref="C294">INDEX( ComputeThermoProps($A294, $B294, ParametersRange), 1, COLUMN()-2 )</f>
        <v>36.017523291005688</v>
      </c>
      <c r="O294" s="4">
        <f t="shared" si="9"/>
        <v>2.5482530213750163</v>
      </c>
    </row>
    <row r="295" spans="1:15" x14ac:dyDescent="0.25">
      <c r="A295">
        <v>277.10000000000002</v>
      </c>
      <c r="B295" s="2">
        <f t="shared" si="8"/>
        <v>356.83554196290794</v>
      </c>
      <c r="C295" s="2" cm="1">
        <f t="array" ref="C295">INDEX( ComputeThermoProps($A295, $B295, ParametersRange), 1, COLUMN()-2 )</f>
        <v>35.997973984215527</v>
      </c>
      <c r="O295" s="4">
        <f t="shared" si="9"/>
        <v>2.5524681049799258</v>
      </c>
    </row>
    <row r="296" spans="1:15" x14ac:dyDescent="0.25">
      <c r="A296">
        <v>278.10000000000002</v>
      </c>
      <c r="B296" s="2">
        <f t="shared" si="8"/>
        <v>360.28675112417068</v>
      </c>
      <c r="C296" s="2" cm="1">
        <f t="array" ref="C296">INDEX( ComputeThermoProps($A296, $B296, ParametersRange), 1, COLUMN()-2 )</f>
        <v>35.978472758323058</v>
      </c>
      <c r="O296" s="4">
        <f t="shared" si="9"/>
        <v>2.5566482920435858</v>
      </c>
    </row>
    <row r="297" spans="1:15" x14ac:dyDescent="0.25">
      <c r="A297">
        <v>279.10000000000002</v>
      </c>
      <c r="B297" s="2">
        <f t="shared" si="8"/>
        <v>363.74259862318002</v>
      </c>
      <c r="C297" s="2" cm="1">
        <f t="array" ref="C297">INDEX( ComputeThermoProps($A297, $B297, ParametersRange), 1, COLUMN()-2 )</f>
        <v>35.959019489285929</v>
      </c>
      <c r="O297" s="4">
        <f t="shared" si="9"/>
        <v>2.5607941651284958</v>
      </c>
    </row>
    <row r="298" spans="1:15" x14ac:dyDescent="0.25">
      <c r="A298">
        <v>280.10000000000002</v>
      </c>
      <c r="B298" s="2">
        <f t="shared" si="8"/>
        <v>367.20306050574578</v>
      </c>
      <c r="C298" s="2" cm="1">
        <f t="array" ref="C298">INDEX( ComputeThermoProps($A298, $B298, ParametersRange), 1, COLUMN()-2 )</f>
        <v>35.939614050181582</v>
      </c>
      <c r="O298" s="4">
        <f t="shared" si="9"/>
        <v>2.564906292232958</v>
      </c>
    </row>
    <row r="299" spans="1:15" x14ac:dyDescent="0.25">
      <c r="A299">
        <v>281.10000000000002</v>
      </c>
      <c r="B299" s="2">
        <f t="shared" si="8"/>
        <v>370.66811312248387</v>
      </c>
      <c r="C299" s="2" cm="1">
        <f t="array" ref="C299">INDEX( ComputeThermoProps($A299, $B299, ParametersRange), 1, COLUMN()-2 )</f>
        <v>35.920256311359829</v>
      </c>
      <c r="O299" s="4">
        <f t="shared" si="9"/>
        <v>2.5689852272742737</v>
      </c>
    </row>
    <row r="300" spans="1:15" x14ac:dyDescent="0.25">
      <c r="A300">
        <v>282.10000000000002</v>
      </c>
      <c r="B300" s="2">
        <f t="shared" si="8"/>
        <v>374.13773312264277</v>
      </c>
      <c r="C300" s="2" cm="1">
        <f t="array" ref="C300">INDEX( ComputeThermoProps($A300, $B300, ParametersRange), 1, COLUMN()-2 )</f>
        <v>35.900946140589078</v>
      </c>
      <c r="O300" s="4">
        <f t="shared" si="9"/>
        <v>2.5730315105520218</v>
      </c>
    </row>
    <row r="301" spans="1:15" x14ac:dyDescent="0.25">
      <c r="A301">
        <v>283.10000000000002</v>
      </c>
      <c r="B301" s="2">
        <f t="shared" si="8"/>
        <v>377.61189744810105</v>
      </c>
      <c r="C301" s="2" cm="1">
        <f t="array" ref="C301">INDEX( ComputeThermoProps($A301, $B301, ParametersRange), 1, COLUMN()-2 )</f>
        <v>35.88168340319654</v>
      </c>
      <c r="O301" s="4">
        <f t="shared" si="9"/>
        <v>2.5770456691923971</v>
      </c>
    </row>
    <row r="302" spans="1:15" x14ac:dyDescent="0.25">
      <c r="A302">
        <v>284.10000000000002</v>
      </c>
      <c r="B302" s="2">
        <f t="shared" si="8"/>
        <v>381.09058332752971</v>
      </c>
      <c r="C302" s="2" cm="1">
        <f t="array" ref="C302">INDEX( ComputeThermoProps($A302, $B302, ParametersRange), 1, COLUMN()-2 )</f>
        <v>35.86246796220275</v>
      </c>
      <c r="O302" s="4">
        <f t="shared" si="9"/>
        <v>2.5810282175745338</v>
      </c>
    </row>
    <row r="303" spans="1:15" x14ac:dyDescent="0.25">
      <c r="A303">
        <v>285.10000000000002</v>
      </c>
      <c r="B303" s="2">
        <f t="shared" si="8"/>
        <v>384.57376827071431</v>
      </c>
      <c r="C303" s="2" cm="1">
        <f t="array" ref="C303">INDEX( ComputeThermoProps($A303, $B303, ParametersRange), 1, COLUMN()-2 )</f>
        <v>35.843299678450379</v>
      </c>
      <c r="O303" s="4">
        <f t="shared" si="9"/>
        <v>2.5849796577396833</v>
      </c>
    </row>
    <row r="304" spans="1:15" x14ac:dyDescent="0.25">
      <c r="A304">
        <v>286.10000000000002</v>
      </c>
      <c r="B304" s="2">
        <f t="shared" si="8"/>
        <v>388.06143006302909</v>
      </c>
      <c r="C304" s="2" cm="1">
        <f t="array" ref="C304">INDEX( ComputeThermoProps($A304, $B304, ParametersRange), 1, COLUMN()-2 )</f>
        <v>35.824178410727953</v>
      </c>
      <c r="O304" s="4">
        <f t="shared" si="9"/>
        <v>2.5889004797840656</v>
      </c>
    </row>
    <row r="305" spans="1:15" x14ac:dyDescent="0.25">
      <c r="A305">
        <v>287.10000000000002</v>
      </c>
      <c r="B305" s="2">
        <f t="shared" si="8"/>
        <v>391.55354676006141</v>
      </c>
      <c r="C305" s="2" cm="1">
        <f t="array" ref="C305">INDEX( ComputeThermoProps($A305, $B305, ParametersRange), 1, COLUMN()-2 )</f>
        <v>35.805104015888354</v>
      </c>
      <c r="O305" s="4">
        <f t="shared" si="9"/>
        <v>2.5927911622361774</v>
      </c>
    </row>
    <row r="306" spans="1:15" x14ac:dyDescent="0.25">
      <c r="A306">
        <v>288.10000000000002</v>
      </c>
      <c r="B306" s="2">
        <f t="shared" si="8"/>
        <v>395.05009668237778</v>
      </c>
      <c r="C306" s="2" cm="1">
        <f t="array" ref="C306">INDEX( ComputeThermoProps($A306, $B306, ParametersRange), 1, COLUMN()-2 )</f>
        <v>35.786076348962524</v>
      </c>
      <c r="O306" s="4">
        <f t="shared" si="9"/>
        <v>2.5966521724192835</v>
      </c>
    </row>
    <row r="307" spans="1:15" x14ac:dyDescent="0.25">
      <c r="A307">
        <v>289.10000000000002</v>
      </c>
      <c r="B307" s="2">
        <f t="shared" si="8"/>
        <v>398.5510584104295</v>
      </c>
      <c r="C307" s="2" cm="1">
        <f t="array" ref="C307">INDEX( ComputeThermoProps($A307, $B307, ParametersRange), 1, COLUMN()-2 )</f>
        <v>35.767095263268509</v>
      </c>
      <c r="O307" s="4">
        <f t="shared" si="9"/>
        <v>2.600483966799791</v>
      </c>
    </row>
    <row r="308" spans="1:15" x14ac:dyDescent="0.25">
      <c r="A308">
        <v>290.10000000000002</v>
      </c>
      <c r="B308" s="2">
        <f t="shared" si="8"/>
        <v>402.05641077959143</v>
      </c>
      <c r="C308" s="2" cm="1">
        <f t="array" ref="C308">INDEX( ComputeThermoProps($A308, $B308, ParametersRange), 1, COLUMN()-2 )</f>
        <v>35.748160610516003</v>
      </c>
      <c r="O308" s="4">
        <f t="shared" si="9"/>
        <v>2.6042869913221565</v>
      </c>
    </row>
    <row r="309" spans="1:15" x14ac:dyDescent="0.25">
      <c r="A309">
        <v>291.10000000000002</v>
      </c>
      <c r="B309" s="2">
        <f t="shared" si="8"/>
        <v>405.56613287533111</v>
      </c>
      <c r="C309" s="2" cm="1">
        <f t="array" ref="C309">INDEX( ComputeThermoProps($A309, $B309, ParametersRange), 1, COLUMN()-2 )</f>
        <v>35.729272240906631</v>
      </c>
      <c r="O309" s="4">
        <f t="shared" si="9"/>
        <v>2.6080616817309528</v>
      </c>
    </row>
    <row r="310" spans="1:15" x14ac:dyDescent="0.25">
      <c r="A310">
        <v>292.10000000000002</v>
      </c>
      <c r="B310" s="2">
        <f t="shared" si="8"/>
        <v>409.08020402850178</v>
      </c>
      <c r="C310" s="2" cm="1">
        <f t="array" ref="C310">INDEX( ComputeThermoProps($A310, $B310, ParametersRange), 1, COLUMN()-2 )</f>
        <v>35.710430003230151</v>
      </c>
      <c r="O310" s="4">
        <f t="shared" si="9"/>
        <v>2.6118084638806773</v>
      </c>
    </row>
    <row r="311" spans="1:15" x14ac:dyDescent="0.25">
      <c r="A311">
        <v>293.10000000000002</v>
      </c>
      <c r="B311" s="2">
        <f t="shared" si="8"/>
        <v>412.59860381075816</v>
      </c>
      <c r="C311" s="2" cm="1">
        <f t="array" ref="C311">INDEX( ComputeThermoProps($A311, $B311, ParametersRange), 1, COLUMN()-2 )</f>
        <v>35.691633744956683</v>
      </c>
      <c r="O311" s="4">
        <f t="shared" si="9"/>
        <v>2.6155277540338626</v>
      </c>
    </row>
    <row r="312" spans="1:15" x14ac:dyDescent="0.25">
      <c r="A312">
        <v>294.10000000000002</v>
      </c>
      <c r="B312" s="2">
        <f t="shared" si="8"/>
        <v>416.12131203008704</v>
      </c>
      <c r="C312" s="2" cm="1">
        <f t="array" ref="C312">INDEX( ComputeThermoProps($A312, $B312, ParametersRange), 1, COLUMN()-2 )</f>
        <v>35.672883312325169</v>
      </c>
      <c r="O312" s="4">
        <f t="shared" si="9"/>
        <v>2.6192199591480096</v>
      </c>
    </row>
    <row r="313" spans="1:15" x14ac:dyDescent="0.25">
      <c r="A313">
        <v>295.10000000000002</v>
      </c>
      <c r="B313" s="2">
        <f t="shared" si="8"/>
        <v>419.64830872645365</v>
      </c>
      <c r="C313" s="2" cm="1">
        <f t="array" ref="C313">INDEX( ComputeThermoProps($A313, $B313, ParametersRange), 1, COLUMN()-2 )</f>
        <v>35.654178550428227</v>
      </c>
      <c r="O313" s="4">
        <f t="shared" si="9"/>
        <v>2.6228854771518559</v>
      </c>
    </row>
    <row r="314" spans="1:15" x14ac:dyDescent="0.25">
      <c r="A314">
        <v>296.10000000000002</v>
      </c>
      <c r="B314" s="2">
        <f t="shared" si="8"/>
        <v>423.17957416755587</v>
      </c>
      <c r="C314" s="2" cm="1">
        <f t="array" ref="C314">INDEX( ComputeThermoProps($A314, $B314, ParametersRange), 1, COLUMN()-2 )</f>
        <v>35.635519303293563</v>
      </c>
      <c r="O314" s="4">
        <f t="shared" si="9"/>
        <v>2.6265246972114351</v>
      </c>
    </row>
    <row r="315" spans="1:15" x14ac:dyDescent="0.25">
      <c r="A315">
        <v>297.10000000000002</v>
      </c>
      <c r="B315" s="2">
        <f t="shared" si="8"/>
        <v>426.71508884468574</v>
      </c>
      <c r="C315" s="2" cm="1">
        <f t="array" ref="C315">INDEX( ComputeThermoProps($A315, $B315, ParametersRange), 1, COLUMN()-2 )</f>
        <v>35.616905413961938</v>
      </c>
      <c r="O315" s="4">
        <f t="shared" si="9"/>
        <v>2.6301379999863927</v>
      </c>
    </row>
    <row r="316" spans="1:15" x14ac:dyDescent="0.25">
      <c r="A316">
        <v>298.10000000000002</v>
      </c>
      <c r="B316" s="2">
        <f t="shared" si="8"/>
        <v>430.25483346869402</v>
      </c>
      <c r="C316" s="2" cm="1">
        <f t="array" ref="C316">INDEX( ComputeThermoProps($A316, $B316, ParametersRange), 1, COLUMN()-2 )</f>
        <v>35.598336724562088</v>
      </c>
      <c r="O316" s="4">
        <f t="shared" si="9"/>
        <v>2.6337257578769746</v>
      </c>
    </row>
    <row r="317" spans="1:15" x14ac:dyDescent="0.25">
      <c r="A317">
        <v>299.10000000000002</v>
      </c>
      <c r="B317" s="2">
        <f t="shared" si="8"/>
        <v>433.79878896605248</v>
      </c>
      <c r="C317" s="2" cm="1">
        <f t="array" ref="C317">INDEX( ComputeThermoProps($A317, $B317, ParametersRange), 1, COLUMN()-2 )</f>
        <v>35.579813076382472</v>
      </c>
      <c r="O317" s="4">
        <f t="shared" si="9"/>
        <v>2.6372883352620957</v>
      </c>
    </row>
    <row r="318" spans="1:15" x14ac:dyDescent="0.25">
      <c r="A318">
        <v>300.10000000000002</v>
      </c>
      <c r="B318" s="2">
        <f t="shared" si="8"/>
        <v>437.34693647501564</v>
      </c>
      <c r="C318" s="2" cm="1">
        <f t="array" ref="C318">INDEX( ComputeThermoProps($A318, $B318, ParametersRange), 1, COLUMN()-2 )</f>
        <v>35.561334309940094</v>
      </c>
      <c r="O318" s="4">
        <f t="shared" si="9"/>
        <v>2.6408260887288768</v>
      </c>
    </row>
    <row r="319" spans="1:15" x14ac:dyDescent="0.25">
      <c r="A319">
        <v>301.10000000000002</v>
      </c>
      <c r="B319" s="2">
        <f t="shared" si="8"/>
        <v>440.89925734187312</v>
      </c>
      <c r="C319" s="2" cm="1">
        <f t="array" ref="C319">INDEX( ComputeThermoProps($A319, $B319, ParametersRange), 1, COLUMN()-2 )</f>
        <v>35.542900265046548</v>
      </c>
      <c r="O319" s="4">
        <f t="shared" si="9"/>
        <v>2.6443393672940068</v>
      </c>
    </row>
    <row r="320" spans="1:15" x14ac:dyDescent="0.25">
      <c r="A320">
        <v>302.10000000000002</v>
      </c>
      <c r="B320" s="2">
        <f t="shared" si="8"/>
        <v>444.45573311729493</v>
      </c>
      <c r="C320" s="2" cm="1">
        <f t="array" ref="C320">INDEX( ComputeThermoProps($A320, $B320, ParametersRange), 1, COLUMN()-2 )</f>
        <v>35.524510780871282</v>
      </c>
      <c r="O320" s="4">
        <f t="shared" si="9"/>
        <v>2.647828512617286</v>
      </c>
    </row>
    <row r="321" spans="1:15" x14ac:dyDescent="0.25">
      <c r="A321">
        <v>303.10000000000002</v>
      </c>
      <c r="B321" s="2">
        <f t="shared" si="8"/>
        <v>448.01634555276348</v>
      </c>
      <c r="C321" s="2" cm="1">
        <f t="array" ref="C321">INDEX( ComputeThermoProps($A321, $B321, ParametersRange), 1, COLUMN()-2 )</f>
        <v>35.506165696002313</v>
      </c>
      <c r="O321" s="4">
        <f t="shared" si="9"/>
        <v>2.651293859207676</v>
      </c>
    </row>
    <row r="322" spans="1:15" x14ac:dyDescent="0.25">
      <c r="A322">
        <v>304.10000000000002</v>
      </c>
      <c r="B322" s="2">
        <f t="shared" si="8"/>
        <v>451.58107659709077</v>
      </c>
      <c r="C322" s="2" cm="1">
        <f t="array" ref="C322">INDEX( ComputeThermoProps($A322, $B322, ParametersRange), 1, COLUMN()-2 )</f>
        <v>35.487864848504415</v>
      </c>
      <c r="O322" s="4">
        <f t="shared" si="9"/>
        <v>2.6547357346221649</v>
      </c>
    </row>
    <row r="323" spans="1:15" x14ac:dyDescent="0.25">
      <c r="A323">
        <v>305.10000000000002</v>
      </c>
      <c r="B323" s="2">
        <f t="shared" si="8"/>
        <v>455.14990839301845</v>
      </c>
      <c r="C323" s="2" cm="1">
        <f t="array" ref="C323">INDEX( ComputeThermoProps($A323, $B323, ParametersRange), 1, COLUMN()-2 )</f>
        <v>35.469608075974904</v>
      </c>
      <c r="O323" s="4">
        <f t="shared" si="9"/>
        <v>2.6581544596577618</v>
      </c>
    </row>
    <row r="324" spans="1:15" x14ac:dyDescent="0.25">
      <c r="A324">
        <v>306.10000000000002</v>
      </c>
      <c r="B324" s="2">
        <f t="shared" si="8"/>
        <v>458.72282327389831</v>
      </c>
      <c r="C324" s="2" cm="1">
        <f t="array" ref="C324">INDEX( ComputeThermoProps($A324, $B324, ParametersRange), 1, COLUMN()-2 )</f>
        <v>35.451395215597117</v>
      </c>
      <c r="O324" s="4">
        <f t="shared" si="9"/>
        <v>2.661550348536883</v>
      </c>
    </row>
    <row r="325" spans="1:15" x14ac:dyDescent="0.25">
      <c r="A325">
        <v>307.10000000000002</v>
      </c>
      <c r="B325" s="2">
        <f t="shared" si="8"/>
        <v>462.29980376044995</v>
      </c>
      <c r="C325" s="2" cm="1">
        <f t="array" ref="C325">INDEX( ComputeThermoProps($A325, $B325, ParametersRange), 1, COLUMN()-2 )</f>
        <v>35.433226104191718</v>
      </c>
      <c r="O325" s="4">
        <f t="shared" si="9"/>
        <v>2.6649237090864233</v>
      </c>
    </row>
    <row r="326" spans="1:15" x14ac:dyDescent="0.25">
      <c r="A326">
        <v>308.10000000000002</v>
      </c>
      <c r="B326" s="2">
        <f t="shared" si="8"/>
        <v>465.88083255759443</v>
      </c>
      <c r="C326" s="2" cm="1">
        <f t="array" ref="C326">INDEX( ComputeThermoProps($A326, $B326, ParametersRange), 1, COLUMN()-2 )</f>
        <v>35.415100578265815</v>
      </c>
      <c r="O326" s="4">
        <f t="shared" si="9"/>
        <v>2.6682748429107503</v>
      </c>
    </row>
    <row r="327" spans="1:15" x14ac:dyDescent="0.25">
      <c r="A327">
        <v>309.10000000000002</v>
      </c>
      <c r="B327" s="2">
        <f t="shared" si="8"/>
        <v>469.46589255136047</v>
      </c>
      <c r="C327" s="2" cm="1">
        <f t="array" ref="C327">INDEX( ComputeThermoProps($A327, $B327, ParametersRange), 1, COLUMN()-2 )</f>
        <v>35.397018474060069</v>
      </c>
      <c r="O327" s="4">
        <f t="shared" si="9"/>
        <v>2.671604045558881</v>
      </c>
    </row>
    <row r="328" spans="1:15" x14ac:dyDescent="0.25">
      <c r="A328">
        <v>310.10000000000002</v>
      </c>
      <c r="B328" s="2">
        <f t="shared" si="8"/>
        <v>473.05496680586293</v>
      </c>
      <c r="C328" s="2" cm="1">
        <f t="array" ref="C328">INDEX( ComputeThermoProps($A328, $B328, ParametersRange), 1, COLUMN()-2 )</f>
        <v>35.378979627593829</v>
      </c>
      <c r="O328" s="4">
        <f t="shared" si="9"/>
        <v>2.6749116066860674</v>
      </c>
    </row>
    <row r="329" spans="1:15" x14ac:dyDescent="0.25">
      <c r="A329">
        <v>311.10000000000002</v>
      </c>
      <c r="B329" s="2">
        <f t="shared" si="8"/>
        <v>476.64803856034865</v>
      </c>
      <c r="C329" s="2" cm="1">
        <f t="array" ref="C329">INDEX( ComputeThermoProps($A329, $B329, ParametersRange), 1, COLUMN()-2 )</f>
        <v>35.360983874708403</v>
      </c>
      <c r="O329" s="4">
        <f t="shared" si="9"/>
        <v>2.6781978102100155</v>
      </c>
    </row>
    <row r="330" spans="1:15" x14ac:dyDescent="0.25">
      <c r="A330">
        <v>312.10000000000002</v>
      </c>
      <c r="B330" s="2">
        <f t="shared" si="8"/>
        <v>480.24509122631065</v>
      </c>
      <c r="C330" s="2" cm="1">
        <f t="array" ref="C330">INDEX( ComputeThermoProps($A330, $B330, ParametersRange), 1, COLUMN()-2 )</f>
        <v>35.34303105110849</v>
      </c>
      <c r="O330" s="4">
        <f t="shared" si="9"/>
        <v>2.6814629344619534</v>
      </c>
    </row>
    <row r="331" spans="1:15" x14ac:dyDescent="0.25">
      <c r="A331">
        <v>313.10000000000002</v>
      </c>
      <c r="B331" s="2">
        <f t="shared" si="8"/>
        <v>483.84610838466773</v>
      </c>
      <c r="C331" s="2" cm="1">
        <f t="array" ref="C331">INDEX( ComputeThermoProps($A331, $B331, ParametersRange), 1, COLUMN()-2 )</f>
        <v>35.325120992401878</v>
      </c>
      <c r="O331" s="4">
        <f t="shared" si="9"/>
        <v>2.6847072523327475</v>
      </c>
    </row>
    <row r="332" spans="1:15" x14ac:dyDescent="0.25">
      <c r="A332">
        <v>314.10000000000002</v>
      </c>
      <c r="B332" s="2">
        <f t="shared" si="8"/>
        <v>487.45107378300509</v>
      </c>
      <c r="C332" s="2" cm="1">
        <f t="array" ref="C332">INDEX( ComputeThermoProps($A332, $B332, ParametersRange), 1, COLUMN()-2 )</f>
        <v>35.307253534137473</v>
      </c>
      <c r="O332" s="4">
        <f t="shared" si="9"/>
        <v>2.6879310314142639</v>
      </c>
    </row>
    <row r="333" spans="1:15" x14ac:dyDescent="0.25">
      <c r="A333">
        <v>315.10000000000002</v>
      </c>
      <c r="B333" s="2">
        <f t="shared" si="8"/>
        <v>491.05997133287889</v>
      </c>
      <c r="C333" s="2" cm="1">
        <f t="array" ref="C333">INDEX( ComputeThermoProps($A333, $B333, ParametersRange), 1, COLUMN()-2 )</f>
        <v>35.289428511841756</v>
      </c>
      <c r="O333" s="4">
        <f t="shared" si="9"/>
        <v>2.6911345341361539</v>
      </c>
    </row>
    <row r="334" spans="1:15" x14ac:dyDescent="0.25">
      <c r="A334">
        <v>316.10000000000002</v>
      </c>
      <c r="B334" s="2">
        <f t="shared" si="8"/>
        <v>494.67278510717949</v>
      </c>
      <c r="C334" s="2" cm="1">
        <f t="array" ref="C334">INDEX( ComputeThermoProps($A334, $B334, ParametersRange), 1, COLUMN()-2 )</f>
        <v>35.271645761053577</v>
      </c>
      <c r="O334" s="4">
        <f t="shared" si="9"/>
        <v>2.6943180178982504</v>
      </c>
    </row>
    <row r="335" spans="1:15" x14ac:dyDescent="0.25">
      <c r="A335">
        <v>317.10000000000002</v>
      </c>
      <c r="B335" s="2">
        <f t="shared" si="8"/>
        <v>498.28949933755246</v>
      </c>
      <c r="C335" s="2" cm="1">
        <f t="array" ref="C335">INDEX( ComputeThermoProps($A335, $B335, ParametersRange), 1, COLUMN()-2 )</f>
        <v>35.253905117357654</v>
      </c>
      <c r="O335" s="4">
        <f t="shared" si="9"/>
        <v>2.6974817351987341</v>
      </c>
    </row>
    <row r="336" spans="1:15" x14ac:dyDescent="0.25">
      <c r="A336">
        <v>318.10000000000002</v>
      </c>
      <c r="B336" s="2">
        <f t="shared" si="8"/>
        <v>501.91009841187662</v>
      </c>
      <c r="C336" s="2" cm="1">
        <f t="array" ref="C336">INDEX( ComputeThermoProps($A336, $B336, ParametersRange), 1, COLUMN()-2 )</f>
        <v>35.236206416416437</v>
      </c>
      <c r="O336" s="4">
        <f t="shared" si="9"/>
        <v>2.7006259337582352</v>
      </c>
    </row>
    <row r="337" spans="1:15" x14ac:dyDescent="0.25">
      <c r="A337">
        <v>319.10000000000002</v>
      </c>
      <c r="B337" s="2">
        <f t="shared" si="8"/>
        <v>505.53456687179636</v>
      </c>
      <c r="C337" s="2" cm="1">
        <f t="array" ref="C337">INDEX( ComputeThermoProps($A337, $B337, ParametersRange), 1, COLUMN()-2 )</f>
        <v>35.21854949400074</v>
      </c>
      <c r="O337" s="4">
        <f t="shared" si="9"/>
        <v>2.7037508566400219</v>
      </c>
    </row>
    <row r="338" spans="1:15" x14ac:dyDescent="0.25">
      <c r="A338">
        <v>320.10000000000002</v>
      </c>
      <c r="B338" s="2">
        <f t="shared" si="8"/>
        <v>509.16288941030774</v>
      </c>
      <c r="C338" s="2" cm="1">
        <f t="array" ref="C338">INDEX( ComputeThermoProps($A338, $B338, ParametersRange), 1, COLUMN()-2 )</f>
        <v>35.200934186019033</v>
      </c>
      <c r="O338" s="4">
        <f t="shared" si="9"/>
        <v>2.7068567423664289</v>
      </c>
    </row>
    <row r="339" spans="1:15" x14ac:dyDescent="0.25">
      <c r="A339">
        <v>321.10000000000002</v>
      </c>
      <c r="B339" s="2">
        <f t="shared" ref="B339:B367" si="10">IF(
  A339 &lt;= $B$5,
  $B$6 * EXP( ($B$5/A339) * ( $B$8*(1 - A339/$B$5) + $B$9*(1 - A339/$B$5)^1.5 + $B$10*(1 - A339/$B$5)^5 ) ),
  $B$6 * ( 1 + $B$12 * MAX(A339/$B$5 - 1, 0)^$B$13 + $B$14 * MAX(A339/$B$5 - 1, 0)^$B$15 )
)</f>
        <v>512.79505086939639</v>
      </c>
      <c r="C339" s="2" cm="1">
        <f t="array" ref="C339">INDEX( ComputeThermoProps($A339, $B339, ParametersRange), 1, COLUMN()-2 )</f>
        <v>35.183360328545412</v>
      </c>
      <c r="O339" s="4">
        <f t="shared" ref="O339:O367" si="11">LOG10(B339)</f>
        <v>2.709943825031659</v>
      </c>
    </row>
    <row r="340" spans="1:15" x14ac:dyDescent="0.25">
      <c r="A340">
        <v>322.10000000000002</v>
      </c>
      <c r="B340" s="2">
        <f t="shared" si="10"/>
        <v>516.43103623772583</v>
      </c>
      <c r="C340" s="2" cm="1">
        <f t="array" ref="C340">INDEX( ComputeThermoProps($A340, $B340, ParametersRange), 1, COLUMN()-2 )</f>
        <v>35.165827757846387</v>
      </c>
      <c r="O340" s="4">
        <f t="shared" si="11"/>
        <v>2.7130123344110983</v>
      </c>
    </row>
    <row r="341" spans="1:15" x14ac:dyDescent="0.25">
      <c r="A341">
        <v>323.10000000000002</v>
      </c>
      <c r="B341" s="2">
        <f t="shared" si="10"/>
        <v>520.07083064837491</v>
      </c>
      <c r="C341" s="2" cm="1">
        <f t="array" ref="C341">INDEX( ComputeThermoProps($A341, $B341, ParametersRange), 1, COLUMN()-2 )</f>
        <v>35.148336310406471</v>
      </c>
      <c r="O341" s="4">
        <f t="shared" si="11"/>
        <v>2.7160624960672681</v>
      </c>
    </row>
    <row r="342" spans="1:15" x14ac:dyDescent="0.25">
      <c r="A342">
        <v>324.10000000000002</v>
      </c>
      <c r="B342" s="2">
        <f t="shared" si="10"/>
        <v>523.71441937662235</v>
      </c>
      <c r="C342" s="2" cm="1">
        <f t="array" ref="C342">INDEX( ComputeThermoProps($A342, $B342, ParametersRange), 1, COLUMN()-2 )</f>
        <v>35.130885822952727</v>
      </c>
      <c r="O342" s="4">
        <f t="shared" si="11"/>
        <v>2.7190945314525452</v>
      </c>
    </row>
    <row r="343" spans="1:15" x14ac:dyDescent="0.25">
      <c r="A343">
        <v>325.10000000000002</v>
      </c>
      <c r="B343" s="2">
        <f t="shared" si="10"/>
        <v>527.36178783778053</v>
      </c>
      <c r="C343" s="2" cm="1">
        <f t="array" ref="C343">INDEX( ComputeThermoProps($A343, $B343, ParametersRange), 1, COLUMN()-2 )</f>
        <v>35.11347613247807</v>
      </c>
      <c r="O343" s="4">
        <f t="shared" si="11"/>
        <v>2.7221086580087608</v>
      </c>
    </row>
    <row r="344" spans="1:15" x14ac:dyDescent="0.25">
      <c r="A344">
        <v>326.10000000000002</v>
      </c>
      <c r="B344" s="2">
        <f t="shared" si="10"/>
        <v>531.01292158506942</v>
      </c>
      <c r="C344" s="2" cm="1">
        <f t="array" ref="C344">INDEX( ComputeThermoProps($A344, $B344, ParametersRange), 1, COLUMN()-2 )</f>
        <v>35.096107076263692</v>
      </c>
      <c r="O344" s="4">
        <f t="shared" si="11"/>
        <v>2.7251050892637938</v>
      </c>
    </row>
    <row r="345" spans="1:15" x14ac:dyDescent="0.25">
      <c r="A345">
        <v>327.10000000000002</v>
      </c>
      <c r="B345" s="2">
        <f t="shared" si="10"/>
        <v>534.6678063075409</v>
      </c>
      <c r="C345" s="2" cm="1">
        <f t="array" ref="C345">INDEX( ComputeThermoProps($A345, $B345, ParametersRange), 1, COLUMN()-2 )</f>
        <v>35.078778491900387</v>
      </c>
      <c r="O345" s="4">
        <f t="shared" si="11"/>
        <v>2.7280840349252693</v>
      </c>
    </row>
    <row r="346" spans="1:15" x14ac:dyDescent="0.25">
      <c r="A346">
        <v>328.1</v>
      </c>
      <c r="B346" s="2">
        <f t="shared" si="10"/>
        <v>538.32642782803941</v>
      </c>
      <c r="C346" s="2" cm="1">
        <f t="array" ref="C346">INDEX( ComputeThermoProps($A346, $B346, ParametersRange), 1, COLUMN()-2 )</f>
        <v>35.061490217308922</v>
      </c>
      <c r="O346" s="4">
        <f t="shared" si="11"/>
        <v>2.7310457009714608</v>
      </c>
    </row>
    <row r="347" spans="1:15" x14ac:dyDescent="0.25">
      <c r="A347">
        <v>329.1</v>
      </c>
      <c r="B347" s="2">
        <f t="shared" si="10"/>
        <v>541.98877210121134</v>
      </c>
      <c r="C347" s="2" cm="1">
        <f t="array" ref="C347">INDEX( ComputeThermoProps($A347, $B347, ParametersRange), 1, COLUMN()-2 )</f>
        <v>35.044242090759518</v>
      </c>
      <c r="O347" s="4">
        <f t="shared" si="11"/>
        <v>2.733990289739503</v>
      </c>
    </row>
    <row r="348" spans="1:15" x14ac:dyDescent="0.25">
      <c r="A348">
        <v>330.1</v>
      </c>
      <c r="B348" s="2">
        <f t="shared" si="10"/>
        <v>545.65482521154922</v>
      </c>
      <c r="C348" s="2" cm="1">
        <f t="array" ref="C348">INDEX( ComputeThermoProps($A348, $B348, ParametersRange), 1, COLUMN()-2 )</f>
        <v>35.027033950890377</v>
      </c>
      <c r="O348" s="4">
        <f t="shared" si="11"/>
        <v>2.7369180000110029</v>
      </c>
    </row>
    <row r="349" spans="1:15" x14ac:dyDescent="0.25">
      <c r="A349">
        <v>331.1</v>
      </c>
      <c r="B349" s="2">
        <f t="shared" si="10"/>
        <v>549.32457337147764</v>
      </c>
      <c r="C349" s="2" cm="1">
        <f t="array" ref="C349">INDEX( ComputeThermoProps($A349, $B349, ParametersRange), 1, COLUMN()-2 )</f>
        <v>35.009865636725422</v>
      </c>
      <c r="O349" s="4">
        <f t="shared" si="11"/>
        <v>2.7398290270951429</v>
      </c>
    </row>
    <row r="350" spans="1:15" x14ac:dyDescent="0.25">
      <c r="A350">
        <v>332.1</v>
      </c>
      <c r="B350" s="2">
        <f t="shared" si="10"/>
        <v>552.9980029194802</v>
      </c>
      <c r="C350" s="2" cm="1">
        <f t="array" ref="C350">INDEX( ComputeThermoProps($A350, $B350, ParametersRange), 1, COLUMN()-2 )</f>
        <v>34.99273698769116</v>
      </c>
      <c r="O350" s="4">
        <f t="shared" si="11"/>
        <v>2.7427235629093714</v>
      </c>
    </row>
    <row r="351" spans="1:15" x14ac:dyDescent="0.25">
      <c r="A351">
        <v>333.1</v>
      </c>
      <c r="B351" s="2">
        <f t="shared" si="10"/>
        <v>556.67510031825918</v>
      </c>
      <c r="C351" s="2" cm="1">
        <f t="array" ref="C351">INDEX( ComputeThermoProps($A351, $B351, ParametersRange), 1, COLUMN()-2 )</f>
        <v>34.975647843632764</v>
      </c>
      <c r="O351" s="4">
        <f t="shared" si="11"/>
        <v>2.7456017960577479</v>
      </c>
    </row>
    <row r="352" spans="1:15" x14ac:dyDescent="0.25">
      <c r="A352">
        <v>334.1</v>
      </c>
      <c r="B352" s="2">
        <f t="shared" si="10"/>
        <v>560.35585215293759</v>
      </c>
      <c r="C352" s="2" cm="1">
        <f t="array" ref="C352">INDEX( ComputeThermoProps($A352, $B352, ParametersRange), 1, COLUMN()-2 )</f>
        <v>34.958598044829394</v>
      </c>
      <c r="O352" s="4">
        <f t="shared" si="11"/>
        <v>2.7484639119070455</v>
      </c>
    </row>
    <row r="353" spans="1:15" x14ac:dyDescent="0.25">
      <c r="A353">
        <v>335.1</v>
      </c>
      <c r="B353" s="2">
        <f t="shared" si="10"/>
        <v>564.04024512929197</v>
      </c>
      <c r="C353" s="2" cm="1">
        <f t="array" ref="C353">INDEX( ComputeThermoProps($A353, $B353, ParametersRange), 1, COLUMN()-2 )</f>
        <v>34.941587432008774</v>
      </c>
      <c r="O353" s="4">
        <f t="shared" si="11"/>
        <v>2.7513100926606664</v>
      </c>
    </row>
    <row r="354" spans="1:15" x14ac:dyDescent="0.25">
      <c r="A354">
        <v>336.1</v>
      </c>
      <c r="B354" s="2">
        <f t="shared" si="10"/>
        <v>567.72826607202228</v>
      </c>
      <c r="C354" s="2" cm="1">
        <f t="array" ref="C354">INDEX( ComputeThermoProps($A354, $B354, ParametersRange), 1, COLUMN()-2 )</f>
        <v>34.924615846361085</v>
      </c>
      <c r="O354" s="4">
        <f t="shared" si="11"/>
        <v>2.7541405174304603</v>
      </c>
    </row>
    <row r="355" spans="1:15" x14ac:dyDescent="0.25">
      <c r="A355">
        <v>337.1</v>
      </c>
      <c r="B355" s="2">
        <f t="shared" si="10"/>
        <v>571.41990192305741</v>
      </c>
      <c r="C355" s="2" cm="1">
        <f t="array" ref="C355">INDEX( ComputeThermoProps($A355, $B355, ParametersRange), 1, COLUMN()-2 )</f>
        <v>34.907683129552147</v>
      </c>
      <c r="O355" s="4">
        <f t="shared" si="11"/>
        <v>2.7569553623065128</v>
      </c>
    </row>
    <row r="356" spans="1:15" x14ac:dyDescent="0.25">
      <c r="A356">
        <v>338.1</v>
      </c>
      <c r="B356" s="2">
        <f t="shared" si="10"/>
        <v>575.11513973989008</v>
      </c>
      <c r="C356" s="2" cm="1">
        <f t="array" ref="C356">INDEX( ComputeThermoProps($A356, $B356, ParametersRange), 1, COLUMN()-2 )</f>
        <v>34.890789123735956</v>
      </c>
      <c r="O356" s="4">
        <f t="shared" si="11"/>
        <v>2.7597548004249672</v>
      </c>
    </row>
    <row r="357" spans="1:15" x14ac:dyDescent="0.25">
      <c r="A357">
        <v>339.1</v>
      </c>
      <c r="B357" s="2">
        <f t="shared" si="10"/>
        <v>578.81396669394701</v>
      </c>
      <c r="C357" s="2" cm="1">
        <f t="array" ref="C357">INDEX( ComputeThermoProps($A357, $B357, ParametersRange), 1, COLUMN()-2 )</f>
        <v>34.873933671566597</v>
      </c>
      <c r="O357" s="4">
        <f t="shared" si="11"/>
        <v>2.7625390020339546</v>
      </c>
    </row>
    <row r="358" spans="1:15" x14ac:dyDescent="0.25">
      <c r="A358">
        <v>340.1</v>
      </c>
      <c r="B358" s="2">
        <f t="shared" si="10"/>
        <v>582.51637006899057</v>
      </c>
      <c r="C358" s="2" cm="1">
        <f t="array" ref="C358">INDEX( ComputeThermoProps($A358, $B358, ParametersRange), 1, COLUMN()-2 )</f>
        <v>34.857116616209574</v>
      </c>
      <c r="O358" s="4">
        <f t="shared" si="11"/>
        <v>2.765308134557686</v>
      </c>
    </row>
    <row r="359" spans="1:15" x14ac:dyDescent="0.25">
      <c r="A359">
        <v>341.1</v>
      </c>
      <c r="B359" s="2">
        <f t="shared" si="10"/>
        <v>586.22233725954766</v>
      </c>
      <c r="C359" s="2" cm="1">
        <f t="array" ref="C359">INDEX( ComputeThermoProps($A359, $B359, ParametersRange), 1, COLUMN()-2 )</f>
        <v>34.840337801352483</v>
      </c>
      <c r="O359" s="4">
        <f t="shared" si="11"/>
        <v>2.7680623626587777</v>
      </c>
    </row>
    <row r="360" spans="1:15" x14ac:dyDescent="0.25">
      <c r="A360">
        <v>342.1</v>
      </c>
      <c r="B360" s="2">
        <f t="shared" si="10"/>
        <v>589.93185576937424</v>
      </c>
      <c r="C360" s="2" cm="1">
        <f t="array" ref="C360">INDEX( ComputeThermoProps($A360, $B360, ParametersRange), 1, COLUMN()-2 )</f>
        <v>34.823597071215232</v>
      </c>
      <c r="O360" s="4">
        <f t="shared" si="11"/>
        <v>2.7708018482988588</v>
      </c>
    </row>
    <row r="361" spans="1:15" x14ac:dyDescent="0.25">
      <c r="A361">
        <v>343.1</v>
      </c>
      <c r="B361" s="2">
        <f t="shared" si="10"/>
        <v>593.64491320994398</v>
      </c>
      <c r="C361" s="2" cm="1">
        <f t="array" ref="C361">INDEX( ComputeThermoProps($A361, $B361, ParametersRange), 1, COLUMN()-2 )</f>
        <v>34.806894270559603</v>
      </c>
      <c r="O361" s="4">
        <f t="shared" si="11"/>
        <v>2.7735267507975232</v>
      </c>
    </row>
    <row r="362" spans="1:15" x14ac:dyDescent="0.25">
      <c r="A362">
        <v>344.1</v>
      </c>
      <c r="B362" s="2">
        <f t="shared" si="10"/>
        <v>597.3614972989692</v>
      </c>
      <c r="C362" s="2" cm="1">
        <f t="array" ref="C362">INDEX( ComputeThermoProps($A362, $B362, ParametersRange), 1, COLUMN()-2 )</f>
        <v>34.790229244698402</v>
      </c>
      <c r="O362" s="4">
        <f t="shared" si="11"/>
        <v>2.77623722688968</v>
      </c>
    </row>
    <row r="363" spans="1:15" x14ac:dyDescent="0.25">
      <c r="A363">
        <v>345.1</v>
      </c>
      <c r="B363" s="2">
        <f t="shared" si="10"/>
        <v>601.08159585894691</v>
      </c>
      <c r="C363" s="2" cm="1">
        <f t="array" ref="C363">INDEX( ComputeThermoProps($A363, $B363, ParametersRange), 1, COLUMN()-2 )</f>
        <v>34.773601839504032</v>
      </c>
      <c r="O363" s="4">
        <f t="shared" si="11"/>
        <v>2.7789334307813505</v>
      </c>
    </row>
    <row r="364" spans="1:15" x14ac:dyDescent="0.25">
      <c r="A364">
        <v>346.1</v>
      </c>
      <c r="B364" s="2">
        <f t="shared" si="10"/>
        <v>604.80519681573389</v>
      </c>
      <c r="C364" s="2" cm="1">
        <f t="array" ref="C364">INDEX( ComputeThermoProps($A364, $B364, ParametersRange), 1, COLUMN()-2 )</f>
        <v>34.757011901416625</v>
      </c>
      <c r="O364" s="4">
        <f t="shared" si="11"/>
        <v>2.7816155142039638</v>
      </c>
    </row>
    <row r="365" spans="1:15" x14ac:dyDescent="0.25">
      <c r="A365">
        <v>347.1</v>
      </c>
      <c r="B365" s="2">
        <f t="shared" si="10"/>
        <v>608.53228819714764</v>
      </c>
      <c r="C365" s="2" cm="1">
        <f t="array" ref="C365">INDEX( ComputeThermoProps($A365, $B365, ParametersRange), 1, COLUMN()-2 )</f>
        <v>34.740459277451713</v>
      </c>
      <c r="O365" s="4">
        <f t="shared" si="11"/>
        <v>2.7842836264672046</v>
      </c>
    </row>
    <row r="366" spans="1:15" x14ac:dyDescent="0.25">
      <c r="A366">
        <v>348.1</v>
      </c>
      <c r="B366" s="2">
        <f t="shared" si="10"/>
        <v>612.26285813159325</v>
      </c>
      <c r="C366" s="2" cm="1">
        <f t="array" ref="C366">INDEX( ComputeThermoProps($A366, $B366, ParametersRange), 1, COLUMN()-2 )</f>
        <v>34.723943815207427</v>
      </c>
      <c r="O366" s="4">
        <f t="shared" si="11"/>
        <v>2.7869379145104487</v>
      </c>
    </row>
    <row r="367" spans="1:15" x14ac:dyDescent="0.25">
      <c r="A367">
        <v>349.1</v>
      </c>
      <c r="B367" s="2">
        <f t="shared" si="10"/>
        <v>615.99689484671592</v>
      </c>
      <c r="C367" s="2" cm="1">
        <f t="array" ref="C367">INDEX( ComputeThermoProps($A367, $B367, ParametersRange), 1, COLUMN()-2 )</f>
        <v>34.707465362871297</v>
      </c>
      <c r="O367" s="4">
        <f t="shared" si="11"/>
        <v>2.7895785229528416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Parameters</vt:lpstr>
      <vt:lpstr>Inputs</vt:lpstr>
      <vt:lpstr>Outputs</vt:lpstr>
      <vt:lpstr>Sweep</vt:lpstr>
      <vt:lpstr>p_in</vt:lpstr>
      <vt:lpstr>ParametersRange</vt:lpstr>
      <vt:lpstr>T_in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2025-09-21T09:37:46Z</dcterms:modified>
</cp:coreProperties>
</file>