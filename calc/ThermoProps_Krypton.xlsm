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447" documentId="8_{B0C8A4BE-9622-4CEE-91F7-C2B4B71EBE2F}" xr6:coauthVersionLast="47" xr6:coauthVersionMax="47" xr10:uidLastSave="{D9A49B8F-33F2-4C36-A45B-8B5D8366A0F2}"/>
  <bookViews>
    <workbookView xWindow="-2892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Ht_REFPROP">Sweep!$B$8</definedName>
    <definedName name="p_in">Inputs!$B$3</definedName>
    <definedName name="ParametersRange">Parameters!$B$2:$B$32</definedName>
    <definedName name="pt_REF">Sweep!$B$6</definedName>
    <definedName name="St_REFPROP">Sweep!$B$7</definedName>
    <definedName name="T_in">Inputs!$B$2</definedName>
    <definedName name="Tt_REF">Sweep!$B$5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" l="1"/>
  <c r="B8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373" i="4"/>
  <c r="B374" i="4"/>
  <c r="B375" i="4"/>
  <c r="B376" i="4"/>
  <c r="B377" i="4"/>
  <c r="B378" i="4"/>
  <c r="B379" i="4"/>
  <c r="B380" i="4"/>
  <c r="B381" i="4"/>
  <c r="B382" i="4"/>
  <c r="B10" i="4"/>
  <c r="M407" i="4" a="1"/>
  <c r="C374" i="4" a="1"/>
  <c r="M392" i="4" a="1"/>
  <c r="M389" i="4" a="1"/>
  <c r="M404" i="4" a="1"/>
  <c r="M406" i="4" a="1"/>
  <c r="M388" i="4" a="1"/>
  <c r="M393" i="4" a="1"/>
  <c r="C376" i="4" a="1"/>
  <c r="C377" i="4" a="1"/>
  <c r="M387" i="4" a="1"/>
  <c r="M399" i="4" a="1"/>
  <c r="M400" i="4" a="1"/>
  <c r="C373" i="4" a="1"/>
  <c r="C381" i="4" a="1"/>
  <c r="M396" i="4" a="1"/>
  <c r="M403" i="4" a="1"/>
  <c r="M386" i="4" a="1"/>
  <c r="M395" i="4" a="1"/>
  <c r="M409" i="4" a="1"/>
  <c r="M384" i="4" a="1"/>
  <c r="M383" i="4" a="1"/>
  <c r="C380" i="4" a="1"/>
  <c r="M385" i="4" a="1"/>
  <c r="C379" i="4" a="1"/>
  <c r="M390" i="4" a="1"/>
  <c r="M405" i="4" a="1"/>
  <c r="M391" i="4" a="1"/>
  <c r="M408" i="4" a="1"/>
  <c r="M402" i="4" a="1"/>
  <c r="M401" i="4" a="1"/>
  <c r="M398" i="4" a="1"/>
  <c r="C382" i="4" a="1"/>
  <c r="M410" i="4" a="1"/>
  <c r="C378" i="4" a="1"/>
  <c r="C375" i="4" a="1"/>
  <c r="M397" i="4" a="1"/>
  <c r="M394" i="4" a="1"/>
  <c r="B11" i="4" l="1"/>
  <c r="M386" i="4"/>
  <c r="M400" i="4"/>
  <c r="M399" i="4"/>
  <c r="M393" i="4"/>
  <c r="M387" i="4"/>
  <c r="M410" i="4"/>
  <c r="M404" i="4"/>
  <c r="M398" i="4"/>
  <c r="M392" i="4"/>
  <c r="M406" i="4"/>
  <c r="M388" i="4"/>
  <c r="M405" i="4"/>
  <c r="M409" i="4"/>
  <c r="M397" i="4"/>
  <c r="M385" i="4"/>
  <c r="M408" i="4"/>
  <c r="M402" i="4"/>
  <c r="M396" i="4"/>
  <c r="M390" i="4"/>
  <c r="M384" i="4"/>
  <c r="M394" i="4"/>
  <c r="M403" i="4"/>
  <c r="M391" i="4"/>
  <c r="M407" i="4"/>
  <c r="M401" i="4"/>
  <c r="M395" i="4"/>
  <c r="M389" i="4"/>
  <c r="M383" i="4"/>
  <c r="C376" i="4"/>
  <c r="C379" i="4"/>
  <c r="C378" i="4"/>
  <c r="C377" i="4"/>
  <c r="C382" i="4"/>
  <c r="C381" i="4"/>
  <c r="C375" i="4"/>
  <c r="C374" i="4"/>
  <c r="C380" i="4"/>
  <c r="C373" i="4"/>
  <c r="M382" i="4" a="1"/>
  <c r="M381" i="4" a="1"/>
  <c r="M380" i="4" a="1"/>
  <c r="M380" i="4" l="1"/>
  <c r="M382" i="4"/>
  <c r="M381" i="4"/>
  <c r="M379" i="4" a="1"/>
  <c r="M374" i="4" a="1"/>
  <c r="M378" i="4" a="1"/>
  <c r="M375" i="4" a="1"/>
  <c r="M377" i="4" a="1"/>
  <c r="M373" i="4" a="1"/>
  <c r="M376" i="4" a="1"/>
  <c r="M374" i="4" l="1"/>
  <c r="M373" i="4"/>
  <c r="M378" i="4"/>
  <c r="M377" i="4"/>
  <c r="M376" i="4"/>
  <c r="M375" i="4"/>
  <c r="M379" i="4"/>
  <c r="A23" i="4" a="1"/>
  <c r="B9" i="3"/>
  <c r="B12" i="3"/>
  <c r="B5" i="3"/>
  <c r="B10" i="3"/>
  <c r="B4" i="3"/>
  <c r="B6" i="3"/>
  <c r="B7" i="3"/>
  <c r="B2" i="3"/>
  <c r="B16" i="3"/>
  <c r="B11" i="3"/>
  <c r="B13" i="3"/>
  <c r="B8" i="3"/>
  <c r="B3" i="3"/>
  <c r="B232" i="4" l="1"/>
  <c r="B244" i="4"/>
  <c r="B256" i="4"/>
  <c r="B268" i="4"/>
  <c r="B280" i="4"/>
  <c r="B292" i="4"/>
  <c r="B304" i="4"/>
  <c r="B316" i="4"/>
  <c r="B328" i="4"/>
  <c r="B340" i="4"/>
  <c r="B352" i="4"/>
  <c r="B364" i="4"/>
  <c r="B357" i="4"/>
  <c r="B325" i="4"/>
  <c r="B267" i="4"/>
  <c r="B233" i="4"/>
  <c r="B245" i="4"/>
  <c r="B257" i="4"/>
  <c r="B269" i="4"/>
  <c r="B281" i="4"/>
  <c r="B293" i="4"/>
  <c r="B305" i="4"/>
  <c r="B317" i="4"/>
  <c r="B329" i="4"/>
  <c r="B341" i="4"/>
  <c r="B353" i="4"/>
  <c r="B365" i="4"/>
  <c r="B253" i="4"/>
  <c r="B339" i="4"/>
  <c r="B234" i="4"/>
  <c r="B246" i="4"/>
  <c r="B258" i="4"/>
  <c r="B270" i="4"/>
  <c r="B282" i="4"/>
  <c r="B294" i="4"/>
  <c r="B306" i="4"/>
  <c r="B318" i="4"/>
  <c r="B330" i="4"/>
  <c r="B342" i="4"/>
  <c r="B354" i="4"/>
  <c r="B366" i="4"/>
  <c r="B369" i="4"/>
  <c r="B313" i="4"/>
  <c r="B351" i="4"/>
  <c r="B223" i="4"/>
  <c r="B235" i="4"/>
  <c r="B247" i="4"/>
  <c r="B259" i="4"/>
  <c r="B271" i="4"/>
  <c r="B283" i="4"/>
  <c r="B295" i="4"/>
  <c r="B307" i="4"/>
  <c r="B319" i="4"/>
  <c r="B331" i="4"/>
  <c r="B343" i="4"/>
  <c r="B355" i="4"/>
  <c r="B367" i="4"/>
  <c r="B356" i="4"/>
  <c r="B301" i="4"/>
  <c r="B279" i="4"/>
  <c r="B224" i="4"/>
  <c r="B236" i="4"/>
  <c r="B248" i="4"/>
  <c r="B260" i="4"/>
  <c r="B272" i="4"/>
  <c r="B284" i="4"/>
  <c r="B296" i="4"/>
  <c r="B308" i="4"/>
  <c r="B320" i="4"/>
  <c r="B332" i="4"/>
  <c r="B344" i="4"/>
  <c r="B368" i="4"/>
  <c r="B289" i="4"/>
  <c r="B303" i="4"/>
  <c r="B225" i="4"/>
  <c r="B237" i="4"/>
  <c r="B249" i="4"/>
  <c r="B261" i="4"/>
  <c r="B273" i="4"/>
  <c r="B285" i="4"/>
  <c r="B297" i="4"/>
  <c r="B309" i="4"/>
  <c r="B321" i="4"/>
  <c r="B333" i="4"/>
  <c r="B345" i="4"/>
  <c r="B265" i="4"/>
  <c r="B337" i="4"/>
  <c r="B315" i="4"/>
  <c r="B226" i="4"/>
  <c r="B238" i="4"/>
  <c r="B250" i="4"/>
  <c r="B262" i="4"/>
  <c r="B274" i="4"/>
  <c r="B286" i="4"/>
  <c r="B298" i="4"/>
  <c r="B310" i="4"/>
  <c r="B322" i="4"/>
  <c r="B334" i="4"/>
  <c r="B346" i="4"/>
  <c r="B358" i="4"/>
  <c r="B370" i="4"/>
  <c r="B277" i="4"/>
  <c r="B361" i="4"/>
  <c r="B363" i="4"/>
  <c r="B227" i="4"/>
  <c r="B239" i="4"/>
  <c r="B251" i="4"/>
  <c r="B263" i="4"/>
  <c r="B275" i="4"/>
  <c r="B287" i="4"/>
  <c r="B299" i="4"/>
  <c r="B311" i="4"/>
  <c r="B323" i="4"/>
  <c r="B335" i="4"/>
  <c r="B347" i="4"/>
  <c r="B359" i="4"/>
  <c r="B371" i="4"/>
  <c r="B229" i="4"/>
  <c r="B327" i="4"/>
  <c r="B228" i="4"/>
  <c r="B240" i="4"/>
  <c r="B252" i="4"/>
  <c r="B264" i="4"/>
  <c r="B276" i="4"/>
  <c r="B288" i="4"/>
  <c r="B300" i="4"/>
  <c r="B312" i="4"/>
  <c r="B324" i="4"/>
  <c r="B336" i="4"/>
  <c r="B348" i="4"/>
  <c r="B360" i="4"/>
  <c r="B372" i="4"/>
  <c r="B241" i="4"/>
  <c r="B349" i="4"/>
  <c r="B230" i="4"/>
  <c r="B242" i="4"/>
  <c r="B254" i="4"/>
  <c r="B266" i="4"/>
  <c r="B278" i="4"/>
  <c r="B290" i="4"/>
  <c r="B302" i="4"/>
  <c r="B314" i="4"/>
  <c r="B326" i="4"/>
  <c r="B338" i="4"/>
  <c r="B350" i="4"/>
  <c r="B362" i="4"/>
  <c r="B231" i="4"/>
  <c r="B243" i="4"/>
  <c r="B255" i="4"/>
  <c r="B291" i="4"/>
  <c r="A23" i="4"/>
  <c r="B23" i="4" s="1"/>
  <c r="B127" i="4"/>
  <c r="B139" i="4"/>
  <c r="B151" i="4"/>
  <c r="B163" i="4"/>
  <c r="B175" i="4"/>
  <c r="B187" i="4"/>
  <c r="B199" i="4"/>
  <c r="B211" i="4"/>
  <c r="B182" i="4"/>
  <c r="B134" i="4"/>
  <c r="B205" i="4"/>
  <c r="B169" i="4"/>
  <c r="B192" i="4"/>
  <c r="B144" i="4"/>
  <c r="B215" i="4"/>
  <c r="B179" i="4"/>
  <c r="B131" i="4"/>
  <c r="B202" i="4"/>
  <c r="B166" i="4"/>
  <c r="B213" i="4"/>
  <c r="B189" i="4"/>
  <c r="B165" i="4"/>
  <c r="B141" i="4"/>
  <c r="B129" i="4"/>
  <c r="B222" i="4"/>
  <c r="B210" i="4"/>
  <c r="B198" i="4"/>
  <c r="B186" i="4"/>
  <c r="B174" i="4"/>
  <c r="B162" i="4"/>
  <c r="B150" i="4"/>
  <c r="B138" i="4"/>
  <c r="B126" i="4"/>
  <c r="B218" i="4"/>
  <c r="B158" i="4"/>
  <c r="B157" i="4"/>
  <c r="B194" i="4"/>
  <c r="B146" i="4"/>
  <c r="B193" i="4"/>
  <c r="B145" i="4"/>
  <c r="B216" i="4"/>
  <c r="B168" i="4"/>
  <c r="B156" i="4"/>
  <c r="B191" i="4"/>
  <c r="B155" i="4"/>
  <c r="B190" i="4"/>
  <c r="B142" i="4"/>
  <c r="B221" i="4"/>
  <c r="B209" i="4"/>
  <c r="B197" i="4"/>
  <c r="B185" i="4"/>
  <c r="B173" i="4"/>
  <c r="B161" i="4"/>
  <c r="B149" i="4"/>
  <c r="B137" i="4"/>
  <c r="B125" i="4"/>
  <c r="B220" i="4"/>
  <c r="B208" i="4"/>
  <c r="B196" i="4"/>
  <c r="B184" i="4"/>
  <c r="B172" i="4"/>
  <c r="B160" i="4"/>
  <c r="B148" i="4"/>
  <c r="B136" i="4"/>
  <c r="B124" i="4"/>
  <c r="B206" i="4"/>
  <c r="B170" i="4"/>
  <c r="B219" i="4"/>
  <c r="B207" i="4"/>
  <c r="B195" i="4"/>
  <c r="B183" i="4"/>
  <c r="B171" i="4"/>
  <c r="B159" i="4"/>
  <c r="B147" i="4"/>
  <c r="B135" i="4"/>
  <c r="B123" i="4"/>
  <c r="B217" i="4"/>
  <c r="B181" i="4"/>
  <c r="B133" i="4"/>
  <c r="B204" i="4"/>
  <c r="B180" i="4"/>
  <c r="B132" i="4"/>
  <c r="B203" i="4"/>
  <c r="B167" i="4"/>
  <c r="B143" i="4"/>
  <c r="B214" i="4"/>
  <c r="B178" i="4"/>
  <c r="B154" i="4"/>
  <c r="B130" i="4"/>
  <c r="B201" i="4"/>
  <c r="B177" i="4"/>
  <c r="B153" i="4"/>
  <c r="B212" i="4"/>
  <c r="B200" i="4"/>
  <c r="B188" i="4"/>
  <c r="B176" i="4"/>
  <c r="B164" i="4"/>
  <c r="B152" i="4"/>
  <c r="B140" i="4"/>
  <c r="B128" i="4"/>
  <c r="B81" i="4"/>
  <c r="O81" i="4" s="1"/>
  <c r="B104" i="4"/>
  <c r="O104" i="4" s="1"/>
  <c r="B119" i="4"/>
  <c r="O119" i="4" s="1"/>
  <c r="B107" i="4"/>
  <c r="O107" i="4" s="1"/>
  <c r="B95" i="4"/>
  <c r="O95" i="4" s="1"/>
  <c r="B83" i="4"/>
  <c r="O83" i="4" s="1"/>
  <c r="B71" i="4"/>
  <c r="O71" i="4" s="1"/>
  <c r="B59" i="4"/>
  <c r="O59" i="4" s="1"/>
  <c r="B47" i="4"/>
  <c r="O47" i="4" s="1"/>
  <c r="B35" i="4"/>
  <c r="O35" i="4" s="1"/>
  <c r="B117" i="4"/>
  <c r="O117" i="4" s="1"/>
  <c r="B45" i="4"/>
  <c r="O45" i="4" s="1"/>
  <c r="B68" i="4"/>
  <c r="O68" i="4" s="1"/>
  <c r="B118" i="4"/>
  <c r="O118" i="4" s="1"/>
  <c r="B106" i="4"/>
  <c r="O106" i="4" s="1"/>
  <c r="B94" i="4"/>
  <c r="O94" i="4" s="1"/>
  <c r="B82" i="4"/>
  <c r="O82" i="4" s="1"/>
  <c r="B70" i="4"/>
  <c r="O70" i="4" s="1"/>
  <c r="B58" i="4"/>
  <c r="O58" i="4" s="1"/>
  <c r="B46" i="4"/>
  <c r="O46" i="4" s="1"/>
  <c r="B34" i="4"/>
  <c r="O34" i="4" s="1"/>
  <c r="B33" i="4"/>
  <c r="O33" i="4" s="1"/>
  <c r="B93" i="4"/>
  <c r="O93" i="4" s="1"/>
  <c r="B57" i="4"/>
  <c r="O57" i="4" s="1"/>
  <c r="B80" i="4"/>
  <c r="O80" i="4" s="1"/>
  <c r="B44" i="4"/>
  <c r="O44" i="4" s="1"/>
  <c r="B115" i="4"/>
  <c r="O115" i="4" s="1"/>
  <c r="B91" i="4"/>
  <c r="O91" i="4" s="1"/>
  <c r="B67" i="4"/>
  <c r="O67" i="4" s="1"/>
  <c r="B43" i="4"/>
  <c r="O43" i="4" s="1"/>
  <c r="B114" i="4"/>
  <c r="O114" i="4" s="1"/>
  <c r="B90" i="4"/>
  <c r="O90" i="4" s="1"/>
  <c r="B66" i="4"/>
  <c r="O66" i="4" s="1"/>
  <c r="B42" i="4"/>
  <c r="O42" i="4" s="1"/>
  <c r="B113" i="4"/>
  <c r="O113" i="4" s="1"/>
  <c r="B77" i="4"/>
  <c r="O77" i="4" s="1"/>
  <c r="B65" i="4"/>
  <c r="O65" i="4" s="1"/>
  <c r="B41" i="4"/>
  <c r="O41" i="4" s="1"/>
  <c r="B100" i="4"/>
  <c r="O100" i="4" s="1"/>
  <c r="B64" i="4"/>
  <c r="O64" i="4" s="1"/>
  <c r="B40" i="4"/>
  <c r="O40" i="4" s="1"/>
  <c r="B87" i="4"/>
  <c r="O87" i="4" s="1"/>
  <c r="B51" i="4"/>
  <c r="O51" i="4" s="1"/>
  <c r="B27" i="4"/>
  <c r="O27" i="4" s="1"/>
  <c r="B122" i="4"/>
  <c r="O122" i="4" s="1"/>
  <c r="B110" i="4"/>
  <c r="O110" i="4" s="1"/>
  <c r="B98" i="4"/>
  <c r="O98" i="4" s="1"/>
  <c r="B86" i="4"/>
  <c r="O86" i="4" s="1"/>
  <c r="B74" i="4"/>
  <c r="O74" i="4" s="1"/>
  <c r="B62" i="4"/>
  <c r="O62" i="4" s="1"/>
  <c r="B50" i="4"/>
  <c r="O50" i="4" s="1"/>
  <c r="B38" i="4"/>
  <c r="O38" i="4" s="1"/>
  <c r="B26" i="4"/>
  <c r="O26" i="4" s="1"/>
  <c r="B88" i="4"/>
  <c r="O88" i="4" s="1"/>
  <c r="B99" i="4"/>
  <c r="O99" i="4" s="1"/>
  <c r="B63" i="4"/>
  <c r="O63" i="4" s="1"/>
  <c r="B39" i="4"/>
  <c r="O39" i="4" s="1"/>
  <c r="B121" i="4"/>
  <c r="O121" i="4" s="1"/>
  <c r="B109" i="4"/>
  <c r="O109" i="4" s="1"/>
  <c r="B97" i="4"/>
  <c r="O97" i="4" s="1"/>
  <c r="B85" i="4"/>
  <c r="O85" i="4" s="1"/>
  <c r="B73" i="4"/>
  <c r="O73" i="4" s="1"/>
  <c r="B61" i="4"/>
  <c r="O61" i="4" s="1"/>
  <c r="B49" i="4"/>
  <c r="O49" i="4" s="1"/>
  <c r="B37" i="4"/>
  <c r="O37" i="4" s="1"/>
  <c r="B25" i="4"/>
  <c r="O25" i="4" s="1"/>
  <c r="B105" i="4"/>
  <c r="O105" i="4" s="1"/>
  <c r="B69" i="4"/>
  <c r="O69" i="4" s="1"/>
  <c r="B116" i="4"/>
  <c r="O116" i="4" s="1"/>
  <c r="B92" i="4"/>
  <c r="O92" i="4" s="1"/>
  <c r="B56" i="4"/>
  <c r="O56" i="4" s="1"/>
  <c r="B32" i="4"/>
  <c r="O32" i="4" s="1"/>
  <c r="B103" i="4"/>
  <c r="O103" i="4" s="1"/>
  <c r="B79" i="4"/>
  <c r="O79" i="4" s="1"/>
  <c r="B55" i="4"/>
  <c r="O55" i="4" s="1"/>
  <c r="B31" i="4"/>
  <c r="O31" i="4" s="1"/>
  <c r="B102" i="4"/>
  <c r="O102" i="4" s="1"/>
  <c r="B78" i="4"/>
  <c r="O78" i="4" s="1"/>
  <c r="B54" i="4"/>
  <c r="O54" i="4" s="1"/>
  <c r="B30" i="4"/>
  <c r="O30" i="4" s="1"/>
  <c r="B101" i="4"/>
  <c r="O101" i="4" s="1"/>
  <c r="B89" i="4"/>
  <c r="O89" i="4" s="1"/>
  <c r="B53" i="4"/>
  <c r="O53" i="4" s="1"/>
  <c r="B29" i="4"/>
  <c r="O29" i="4" s="1"/>
  <c r="B112" i="4"/>
  <c r="O112" i="4" s="1"/>
  <c r="B76" i="4"/>
  <c r="O76" i="4" s="1"/>
  <c r="B52" i="4"/>
  <c r="O52" i="4" s="1"/>
  <c r="B28" i="4"/>
  <c r="O28" i="4" s="1"/>
  <c r="B111" i="4"/>
  <c r="O111" i="4" s="1"/>
  <c r="B75" i="4"/>
  <c r="O75" i="4" s="1"/>
  <c r="B120" i="4"/>
  <c r="O120" i="4" s="1"/>
  <c r="B108" i="4"/>
  <c r="O108" i="4" s="1"/>
  <c r="B96" i="4"/>
  <c r="O96" i="4" s="1"/>
  <c r="B84" i="4"/>
  <c r="O84" i="4" s="1"/>
  <c r="B72" i="4"/>
  <c r="O72" i="4" s="1"/>
  <c r="B60" i="4"/>
  <c r="O60" i="4" s="1"/>
  <c r="B48" i="4"/>
  <c r="O48" i="4" s="1"/>
  <c r="B36" i="4"/>
  <c r="O36" i="4" s="1"/>
  <c r="B24" i="4"/>
  <c r="C24" i="4" a="1"/>
  <c r="D24" i="4" a="1"/>
  <c r="D24" i="4" l="1"/>
  <c r="C24" i="4"/>
  <c r="O24" i="4"/>
  <c r="O333" i="4"/>
  <c r="O327" i="4"/>
  <c r="O317" i="4"/>
  <c r="O305" i="4"/>
  <c r="O302" i="4"/>
  <c r="O336" i="4"/>
  <c r="O371" i="4"/>
  <c r="O227" i="4"/>
  <c r="O274" i="4"/>
  <c r="O297" i="4"/>
  <c r="O320" i="4"/>
  <c r="O367" i="4"/>
  <c r="O223" i="4"/>
  <c r="O270" i="4"/>
  <c r="O293" i="4"/>
  <c r="O328" i="4"/>
  <c r="O259" i="4"/>
  <c r="O298" i="4"/>
  <c r="O314" i="4"/>
  <c r="O340" i="4"/>
  <c r="O290" i="4"/>
  <c r="O324" i="4"/>
  <c r="O359" i="4"/>
  <c r="O363" i="4"/>
  <c r="O262" i="4"/>
  <c r="O285" i="4"/>
  <c r="O308" i="4"/>
  <c r="O355" i="4"/>
  <c r="O351" i="4"/>
  <c r="O258" i="4"/>
  <c r="O281" i="4"/>
  <c r="O316" i="4"/>
  <c r="O279" i="4"/>
  <c r="O344" i="4"/>
  <c r="O239" i="4"/>
  <c r="O278" i="4"/>
  <c r="O312" i="4"/>
  <c r="O347" i="4"/>
  <c r="O361" i="4"/>
  <c r="O250" i="4"/>
  <c r="O273" i="4"/>
  <c r="O296" i="4"/>
  <c r="O343" i="4"/>
  <c r="O313" i="4"/>
  <c r="O246" i="4"/>
  <c r="O269" i="4"/>
  <c r="O304" i="4"/>
  <c r="O263" i="4"/>
  <c r="O251" i="4"/>
  <c r="O282" i="4"/>
  <c r="O291" i="4"/>
  <c r="O266" i="4"/>
  <c r="O300" i="4"/>
  <c r="O335" i="4"/>
  <c r="O277" i="4"/>
  <c r="O238" i="4"/>
  <c r="O261" i="4"/>
  <c r="O284" i="4"/>
  <c r="O331" i="4"/>
  <c r="O369" i="4"/>
  <c r="O234" i="4"/>
  <c r="O257" i="4"/>
  <c r="O292" i="4"/>
  <c r="O368" i="4"/>
  <c r="O360" i="4"/>
  <c r="O352" i="4"/>
  <c r="O309" i="4"/>
  <c r="O255" i="4"/>
  <c r="O254" i="4"/>
  <c r="O288" i="4"/>
  <c r="O323" i="4"/>
  <c r="O370" i="4"/>
  <c r="O226" i="4"/>
  <c r="O249" i="4"/>
  <c r="O272" i="4"/>
  <c r="O319" i="4"/>
  <c r="O366" i="4"/>
  <c r="O339" i="4"/>
  <c r="O245" i="4"/>
  <c r="O280" i="4"/>
  <c r="O338" i="4"/>
  <c r="O306" i="4"/>
  <c r="O301" i="4"/>
  <c r="O229" i="4"/>
  <c r="O235" i="4"/>
  <c r="O243" i="4"/>
  <c r="O242" i="4"/>
  <c r="O276" i="4"/>
  <c r="O311" i="4"/>
  <c r="O358" i="4"/>
  <c r="O315" i="4"/>
  <c r="O237" i="4"/>
  <c r="O260" i="4"/>
  <c r="O307" i="4"/>
  <c r="O354" i="4"/>
  <c r="O253" i="4"/>
  <c r="O233" i="4"/>
  <c r="O268" i="4"/>
  <c r="O228" i="4"/>
  <c r="O364" i="4"/>
  <c r="O321" i="4"/>
  <c r="O332" i="4"/>
  <c r="O231" i="4"/>
  <c r="O230" i="4"/>
  <c r="O264" i="4"/>
  <c r="O299" i="4"/>
  <c r="O346" i="4"/>
  <c r="O337" i="4"/>
  <c r="O225" i="4"/>
  <c r="O248" i="4"/>
  <c r="O295" i="4"/>
  <c r="O342" i="4"/>
  <c r="O365" i="4"/>
  <c r="O267" i="4"/>
  <c r="O256" i="4"/>
  <c r="O310" i="4"/>
  <c r="O326" i="4"/>
  <c r="O247" i="4"/>
  <c r="O348" i="4"/>
  <c r="O356" i="4"/>
  <c r="O362" i="4"/>
  <c r="O349" i="4"/>
  <c r="O252" i="4"/>
  <c r="O287" i="4"/>
  <c r="O334" i="4"/>
  <c r="O265" i="4"/>
  <c r="O303" i="4"/>
  <c r="O236" i="4"/>
  <c r="O283" i="4"/>
  <c r="O330" i="4"/>
  <c r="O353" i="4"/>
  <c r="O325" i="4"/>
  <c r="O244" i="4"/>
  <c r="O372" i="4"/>
  <c r="O329" i="4"/>
  <c r="O294" i="4"/>
  <c r="O286" i="4"/>
  <c r="O350" i="4"/>
  <c r="O241" i="4"/>
  <c r="O240" i="4"/>
  <c r="O275" i="4"/>
  <c r="O322" i="4"/>
  <c r="O345" i="4"/>
  <c r="O289" i="4"/>
  <c r="O224" i="4"/>
  <c r="O271" i="4"/>
  <c r="O318" i="4"/>
  <c r="O341" i="4"/>
  <c r="O357" i="4"/>
  <c r="O232" i="4"/>
  <c r="O205" i="4"/>
  <c r="O200" i="4"/>
  <c r="O132" i="4"/>
  <c r="O195" i="4"/>
  <c r="O208" i="4"/>
  <c r="O190" i="4"/>
  <c r="O218" i="4"/>
  <c r="O165" i="4"/>
  <c r="O134" i="4"/>
  <c r="O203" i="4"/>
  <c r="O180" i="4"/>
  <c r="O212" i="4"/>
  <c r="O183" i="4"/>
  <c r="O189" i="4"/>
  <c r="O196" i="4"/>
  <c r="O155" i="4"/>
  <c r="O158" i="4"/>
  <c r="O220" i="4"/>
  <c r="O141" i="4"/>
  <c r="O126" i="4"/>
  <c r="O188" i="4"/>
  <c r="O182" i="4"/>
  <c r="O142" i="4"/>
  <c r="O207" i="4"/>
  <c r="O153" i="4"/>
  <c r="O204" i="4"/>
  <c r="O219" i="4"/>
  <c r="O125" i="4"/>
  <c r="O191" i="4"/>
  <c r="O138" i="4"/>
  <c r="O213" i="4"/>
  <c r="O211" i="4"/>
  <c r="O177" i="4"/>
  <c r="O133" i="4"/>
  <c r="O170" i="4"/>
  <c r="O137" i="4"/>
  <c r="O156" i="4"/>
  <c r="O150" i="4"/>
  <c r="O166" i="4"/>
  <c r="O199" i="4"/>
  <c r="O201" i="4"/>
  <c r="O181" i="4"/>
  <c r="O206" i="4"/>
  <c r="O149" i="4"/>
  <c r="O168" i="4"/>
  <c r="O162" i="4"/>
  <c r="O202" i="4"/>
  <c r="O187" i="4"/>
  <c r="O130" i="4"/>
  <c r="O217" i="4"/>
  <c r="O124" i="4"/>
  <c r="O161" i="4"/>
  <c r="O216" i="4"/>
  <c r="O174" i="4"/>
  <c r="O131" i="4"/>
  <c r="O175" i="4"/>
  <c r="O128" i="4"/>
  <c r="O154" i="4"/>
  <c r="O123" i="4"/>
  <c r="O136" i="4"/>
  <c r="O173" i="4"/>
  <c r="O145" i="4"/>
  <c r="O186" i="4"/>
  <c r="O179" i="4"/>
  <c r="O163" i="4"/>
  <c r="O140" i="4"/>
  <c r="O178" i="4"/>
  <c r="O135" i="4"/>
  <c r="O148" i="4"/>
  <c r="O185" i="4"/>
  <c r="O193" i="4"/>
  <c r="O198" i="4"/>
  <c r="O215" i="4"/>
  <c r="O151" i="4"/>
  <c r="O152" i="4"/>
  <c r="O214" i="4"/>
  <c r="O147" i="4"/>
  <c r="O160" i="4"/>
  <c r="O197" i="4"/>
  <c r="O146" i="4"/>
  <c r="O210" i="4"/>
  <c r="O144" i="4"/>
  <c r="O139" i="4"/>
  <c r="O164" i="4"/>
  <c r="O143" i="4"/>
  <c r="O159" i="4"/>
  <c r="O172" i="4"/>
  <c r="O209" i="4"/>
  <c r="O194" i="4"/>
  <c r="O222" i="4"/>
  <c r="O192" i="4"/>
  <c r="O127" i="4"/>
  <c r="O176" i="4"/>
  <c r="O167" i="4"/>
  <c r="O171" i="4"/>
  <c r="O184" i="4"/>
  <c r="O221" i="4"/>
  <c r="O157" i="4"/>
  <c r="O129" i="4"/>
  <c r="O169" i="4"/>
  <c r="O23" i="4"/>
  <c r="G167" i="4" a="1"/>
  <c r="L99" i="4" a="1"/>
  <c r="G118" i="4" a="1"/>
  <c r="F209" i="4" a="1"/>
  <c r="L38" i="4" a="1"/>
  <c r="G68" i="4" a="1"/>
  <c r="E192" i="4" a="1"/>
  <c r="H150" i="4" a="1"/>
  <c r="L75" i="4" a="1"/>
  <c r="I115" i="4" a="1"/>
  <c r="E87" i="4" a="1"/>
  <c r="H168" i="4" a="1"/>
  <c r="K116" i="4" a="1"/>
  <c r="L41" i="4" a="1"/>
  <c r="H218" i="4" a="1"/>
  <c r="N206" i="4" a="1"/>
  <c r="C122" i="4" a="1"/>
  <c r="C92" i="4" a="1"/>
  <c r="C62" i="4" a="1"/>
  <c r="N84" i="4" a="1"/>
  <c r="M282" i="4" a="1"/>
  <c r="J178" i="4" a="1"/>
  <c r="H119" i="4" a="1"/>
  <c r="E124" i="4" a="1"/>
  <c r="C99" i="4" a="1"/>
  <c r="F204" i="4" a="1"/>
  <c r="N26" i="4" a="1"/>
  <c r="E68" i="4" a="1"/>
  <c r="I202" i="4" a="1"/>
  <c r="G136" i="4" a="1"/>
  <c r="K184" i="4" a="1"/>
  <c r="C203" i="4" a="1"/>
  <c r="M128" i="4" a="1"/>
  <c r="F118" i="4" a="1"/>
  <c r="K166" i="4" a="1"/>
  <c r="L204" i="4" a="1"/>
  <c r="N184" i="4" a="1"/>
  <c r="G85" i="4" a="1"/>
  <c r="L206" i="4" a="1"/>
  <c r="D39" i="4" a="1"/>
  <c r="F23" i="4" a="1"/>
  <c r="M203" i="4" a="1"/>
  <c r="J26" i="4" a="1"/>
  <c r="E28" i="4" a="1"/>
  <c r="N170" i="4" a="1"/>
  <c r="F144" i="4" a="1"/>
  <c r="C200" i="4" a="1"/>
  <c r="M110" i="4" a="1"/>
  <c r="E89" i="4" a="1"/>
  <c r="N128" i="4" a="1"/>
  <c r="G90" i="4" a="1"/>
  <c r="G199" i="4" a="1"/>
  <c r="K173" i="4" a="1"/>
  <c r="L152" i="4" a="1"/>
  <c r="H108" i="4" a="1"/>
  <c r="H102" i="4" a="1"/>
  <c r="E48" i="4" a="1"/>
  <c r="D140" i="4" a="1"/>
  <c r="G121" i="4" a="1"/>
  <c r="K103" i="4" a="1"/>
  <c r="L35" i="4" a="1"/>
  <c r="F35" i="4" a="1"/>
  <c r="K174" i="4" a="1"/>
  <c r="I212" i="4" a="1"/>
  <c r="N36" i="4" a="1"/>
  <c r="K101" i="4" a="1"/>
  <c r="H63" i="4" a="1"/>
  <c r="D98" i="4" a="1"/>
  <c r="F161" i="4" a="1"/>
  <c r="H96" i="4" a="1"/>
  <c r="I85" i="4" a="1"/>
  <c r="J100" i="4" a="1"/>
  <c r="M117" i="4" a="1"/>
  <c r="D120" i="4" a="1"/>
  <c r="J171" i="4" a="1"/>
  <c r="L55" i="4" a="1"/>
  <c r="L166" i="4" a="1"/>
  <c r="E145" i="4" a="1"/>
  <c r="H186" i="4" a="1"/>
  <c r="D83" i="4" a="1"/>
  <c r="J206" i="4" a="1"/>
  <c r="C101" i="4" a="1"/>
  <c r="J140" i="4" a="1"/>
  <c r="H64" i="4" a="1"/>
  <c r="C36" i="4" a="1"/>
  <c r="C110" i="4" a="1"/>
  <c r="F130" i="4" a="1"/>
  <c r="F100" i="4" a="1"/>
  <c r="F29" i="4" a="1"/>
  <c r="K56" i="4" a="1"/>
  <c r="C49" i="4" a="1"/>
  <c r="H202" i="4" a="1"/>
  <c r="C220" i="4" a="1"/>
  <c r="F116" i="4" a="1"/>
  <c r="J217" i="4" a="1"/>
  <c r="M72" i="4" a="1"/>
  <c r="J122" i="4" a="1"/>
  <c r="N136" i="4" a="1"/>
  <c r="E43" i="4" a="1"/>
  <c r="G200" i="4" a="1"/>
  <c r="F27" i="4" a="1"/>
  <c r="C160" i="4" a="1"/>
  <c r="F68" i="4" a="1"/>
  <c r="J99" i="4" a="1"/>
  <c r="N144" i="4" a="1"/>
  <c r="H99" i="4" a="1"/>
  <c r="N167" i="4" a="1"/>
  <c r="M230" i="4" a="1"/>
  <c r="M303" i="4" a="1"/>
  <c r="M277" i="4" a="1"/>
  <c r="G201" i="4" a="1"/>
  <c r="F173" i="4" a="1"/>
  <c r="E23" i="4" a="1"/>
  <c r="G208" i="4" a="1"/>
  <c r="E195" i="4" a="1"/>
  <c r="F25" i="4" a="1"/>
  <c r="H138" i="4" a="1"/>
  <c r="K132" i="4" a="1"/>
  <c r="I213" i="4" a="1"/>
  <c r="C231" i="4" a="1"/>
  <c r="M281" i="4" a="1"/>
  <c r="E137" i="4" a="1"/>
  <c r="G116" i="4" a="1"/>
  <c r="N59" i="4" a="1"/>
  <c r="L168" i="4" a="1"/>
  <c r="N95" i="4" a="1"/>
  <c r="D122" i="4" a="1"/>
  <c r="N29" i="4" a="1"/>
  <c r="H36" i="4" a="1"/>
  <c r="H70" i="4" a="1"/>
  <c r="D80" i="4" a="1"/>
  <c r="L63" i="4" a="1"/>
  <c r="M178" i="4" a="1"/>
  <c r="M126" i="4" a="1"/>
  <c r="C78" i="4" a="1"/>
  <c r="G39" i="4" a="1"/>
  <c r="N35" i="4" a="1"/>
  <c r="N201" i="4" a="1"/>
  <c r="F146" i="4" a="1"/>
  <c r="J151" i="4" a="1"/>
  <c r="L91" i="4" a="1"/>
  <c r="F176" i="4" a="1"/>
  <c r="F187" i="4" a="1"/>
  <c r="H156" i="4" a="1"/>
  <c r="F215" i="4" a="1"/>
  <c r="F54" i="4" a="1"/>
  <c r="M150" i="4" a="1"/>
  <c r="D210" i="4" a="1"/>
  <c r="G48" i="4" a="1"/>
  <c r="N99" i="4" a="1"/>
  <c r="C81" i="4" a="1"/>
  <c r="C159" i="4" a="1"/>
  <c r="M159" i="4" a="1"/>
  <c r="C209" i="4" a="1"/>
  <c r="D216" i="4" a="1"/>
  <c r="H42" i="4" a="1"/>
  <c r="L118" i="4" a="1"/>
  <c r="D130" i="4" a="1"/>
  <c r="E148" i="4" a="1"/>
  <c r="L213" i="4" a="1"/>
  <c r="F26" i="4" a="1"/>
  <c r="K196" i="4" a="1"/>
  <c r="M31" i="4" a="1"/>
  <c r="C77" i="4" a="1"/>
  <c r="E72" i="4" a="1"/>
  <c r="J64" i="4" a="1"/>
  <c r="G46" i="4" a="1"/>
  <c r="D32" i="4" a="1"/>
  <c r="L175" i="4" a="1"/>
  <c r="G127" i="4" a="1"/>
  <c r="E107" i="4" a="1"/>
  <c r="D77" i="4" a="1"/>
  <c r="K52" i="4" a="1"/>
  <c r="D150" i="4" a="1"/>
  <c r="E60" i="4" a="1"/>
  <c r="D88" i="4" a="1"/>
  <c r="N166" i="4" a="1"/>
  <c r="M180" i="4" a="1"/>
  <c r="H217" i="4" a="1"/>
  <c r="I220" i="4" a="1"/>
  <c r="F89" i="4" a="1"/>
  <c r="H49" i="4" a="1"/>
  <c r="D79" i="4" a="1"/>
  <c r="L71" i="4" a="1"/>
  <c r="I144" i="4" a="1"/>
  <c r="I130" i="4" a="1"/>
  <c r="M210" i="4" a="1"/>
  <c r="L103" i="4" a="1"/>
  <c r="K107" i="4" a="1"/>
  <c r="H87" i="4" a="1"/>
  <c r="H141" i="4" a="1"/>
  <c r="M86" i="4" a="1"/>
  <c r="I122" i="4" a="1"/>
  <c r="C57" i="4" a="1"/>
  <c r="N152" i="4" a="1"/>
  <c r="E30" i="4" a="1"/>
  <c r="E165" i="4" a="1"/>
  <c r="D110" i="4" a="1"/>
  <c r="J180" i="4" a="1"/>
  <c r="J44" i="4" a="1"/>
  <c r="I193" i="4" a="1"/>
  <c r="H93" i="4" a="1"/>
  <c r="L141" i="4" a="1"/>
  <c r="K86" i="4" a="1"/>
  <c r="D164" i="4" a="1"/>
  <c r="N137" i="4" a="1"/>
  <c r="H66" i="4" a="1"/>
  <c r="E65" i="4" a="1"/>
  <c r="G51" i="4" a="1"/>
  <c r="F208" i="4" a="1"/>
  <c r="D222" i="4" a="1"/>
  <c r="E76" i="4" a="1"/>
  <c r="M51" i="4" a="1"/>
  <c r="K50" i="4" a="1"/>
  <c r="I34" i="4" a="1"/>
  <c r="N132" i="4" a="1"/>
  <c r="D99" i="4" a="1"/>
  <c r="D182" i="4" a="1"/>
  <c r="K110" i="4" a="1"/>
  <c r="G93" i="4" a="1"/>
  <c r="D91" i="4" a="1"/>
  <c r="M220" i="4" a="1"/>
  <c r="M105" i="4" a="1"/>
  <c r="G217" i="4" a="1"/>
  <c r="H26" i="4" a="1"/>
  <c r="E80" i="4" a="1"/>
  <c r="H48" i="4" a="1"/>
  <c r="I27" i="4" a="1"/>
  <c r="L78" i="4" a="1"/>
  <c r="E161" i="4" a="1"/>
  <c r="M33" i="4" a="1"/>
  <c r="K73" i="4" a="1"/>
  <c r="I73" i="4" a="1"/>
  <c r="M58" i="4" a="1"/>
  <c r="M268" i="4" a="1"/>
  <c r="C362" i="4" a="1"/>
  <c r="C251" i="4" a="1"/>
  <c r="L98" i="4" a="1"/>
  <c r="J184" i="4" a="1"/>
  <c r="M107" i="4" a="1"/>
  <c r="E117" i="4" a="1"/>
  <c r="H90" i="4" a="1"/>
  <c r="H149" i="4" a="1"/>
  <c r="M166" i="4" a="1"/>
  <c r="H128" i="4" a="1"/>
  <c r="L154" i="4" a="1"/>
  <c r="C233" i="4" a="1"/>
  <c r="M262" i="4" a="1"/>
  <c r="E74" i="4" a="1"/>
  <c r="F145" i="4" a="1"/>
  <c r="J123" i="4" a="1"/>
  <c r="C196" i="4" a="1"/>
  <c r="C68" i="4" a="1"/>
  <c r="C82" i="4" a="1"/>
  <c r="G23" i="4" a="1"/>
  <c r="M92" i="4" a="1"/>
  <c r="E200" i="4" a="1"/>
  <c r="C191" i="4" a="1"/>
  <c r="F207" i="4" a="1"/>
  <c r="I145" i="4" a="1"/>
  <c r="F125" i="4" a="1"/>
  <c r="L119" i="4" a="1"/>
  <c r="N104" i="4" a="1"/>
  <c r="H92" i="4" a="1"/>
  <c r="M42" i="4" a="1"/>
  <c r="L132" i="4" a="1"/>
  <c r="F168" i="4" a="1"/>
  <c r="L81" i="4" a="1"/>
  <c r="M119" i="4" a="1"/>
  <c r="D151" i="4" a="1"/>
  <c r="C34" i="4" a="1"/>
  <c r="F41" i="4" a="1"/>
  <c r="M64" i="4" a="1"/>
  <c r="H72" i="4" a="1"/>
  <c r="D195" i="4" a="1"/>
  <c r="E220" i="4" a="1"/>
  <c r="G139" i="4" a="1"/>
  <c r="F141" i="4" a="1"/>
  <c r="J76" i="4" a="1"/>
  <c r="C35" i="4" a="1"/>
  <c r="F52" i="4" a="1"/>
  <c r="D68" i="4" a="1"/>
  <c r="H176" i="4" a="1"/>
  <c r="J177" i="4" a="1"/>
  <c r="J152" i="4" a="1"/>
  <c r="N150" i="4" a="1"/>
  <c r="E222" i="4" a="1"/>
  <c r="L42" i="4" a="1"/>
  <c r="D89" i="4" a="1"/>
  <c r="E212" i="4" a="1"/>
  <c r="G171" i="4" a="1"/>
  <c r="F79" i="4" a="1"/>
  <c r="H127" i="4" a="1"/>
  <c r="G175" i="4" a="1"/>
  <c r="H73" i="4" a="1"/>
  <c r="G207" i="4" a="1"/>
  <c r="I52" i="4" a="1"/>
  <c r="C67" i="4" a="1"/>
  <c r="H98" i="4" a="1"/>
  <c r="D26" i="4" a="1"/>
  <c r="F76" i="4" a="1"/>
  <c r="H118" i="4" a="1"/>
  <c r="M90" i="4" a="1"/>
  <c r="J211" i="4" a="1"/>
  <c r="H196" i="4" a="1"/>
  <c r="N57" i="4" a="1"/>
  <c r="E175" i="4" a="1"/>
  <c r="N130" i="4" a="1"/>
  <c r="N61" i="4" a="1"/>
  <c r="F108" i="4" a="1"/>
  <c r="F38" i="4" a="1"/>
  <c r="C45" i="4" a="1"/>
  <c r="J31" i="4" a="1"/>
  <c r="J138" i="4" a="1"/>
  <c r="G186" i="4" a="1"/>
  <c r="L92" i="4" a="1"/>
  <c r="H193" i="4" a="1"/>
  <c r="J36" i="4" a="1"/>
  <c r="E119" i="4" a="1"/>
  <c r="J98" i="4" a="1"/>
  <c r="J69" i="4" a="1"/>
  <c r="C186" i="4" a="1"/>
  <c r="N31" i="4" a="1"/>
  <c r="E215" i="4" a="1"/>
  <c r="C170" i="4" a="1"/>
  <c r="M82" i="4" a="1"/>
  <c r="G131" i="4" a="1"/>
  <c r="J57" i="4" a="1"/>
  <c r="J158" i="4" a="1"/>
  <c r="D189" i="4" a="1"/>
  <c r="E51" i="4" a="1"/>
  <c r="N85" i="4" a="1"/>
  <c r="H68" i="4" a="1"/>
  <c r="L178" i="4" a="1"/>
  <c r="F49" i="4" a="1"/>
  <c r="C137" i="4" a="1"/>
  <c r="D57" i="4" a="1"/>
  <c r="F195" i="4" a="1"/>
  <c r="J83" i="4" a="1"/>
  <c r="H155" i="4" a="1"/>
  <c r="H47" i="4" a="1"/>
  <c r="C79" i="4" a="1"/>
  <c r="M213" i="4" a="1"/>
  <c r="M340" i="4" a="1"/>
  <c r="N32" i="4" a="1"/>
  <c r="D211" i="4" a="1"/>
  <c r="N219" i="4" a="1"/>
  <c r="C47" i="4" a="1"/>
  <c r="N71" i="4" a="1"/>
  <c r="J28" i="4" a="1"/>
  <c r="K97" i="4" a="1"/>
  <c r="C143" i="4" a="1"/>
  <c r="M199" i="4" a="1"/>
  <c r="D43" i="4" a="1"/>
  <c r="J68" i="4" a="1"/>
  <c r="G106" i="4" a="1"/>
  <c r="H213" i="4" a="1"/>
  <c r="G77" i="4" a="1"/>
  <c r="F171" i="4" a="1"/>
  <c r="I71" i="4" a="1"/>
  <c r="C56" i="4" a="1"/>
  <c r="G133" i="4" a="1"/>
  <c r="E38" i="4" a="1"/>
  <c r="C210" i="4" a="1"/>
  <c r="K131" i="4" a="1"/>
  <c r="J89" i="4" a="1"/>
  <c r="N122" i="4" a="1"/>
  <c r="H124" i="4" a="1"/>
  <c r="K93" i="4" a="1"/>
  <c r="N55" i="4" a="1"/>
  <c r="L192" i="4" a="1"/>
  <c r="F30" i="4" a="1"/>
  <c r="M57" i="4" a="1"/>
  <c r="C116" i="4" a="1"/>
  <c r="D154" i="4" a="1"/>
  <c r="K209" i="4" a="1"/>
  <c r="L31" i="4" a="1"/>
  <c r="I74" i="4" a="1"/>
  <c r="D61" i="4" a="1"/>
  <c r="M243" i="4" a="1"/>
  <c r="M225" i="4" a="1"/>
  <c r="M312" i="4" a="1"/>
  <c r="J174" i="4" a="1"/>
  <c r="K30" i="4" a="1"/>
  <c r="C154" i="4" a="1"/>
  <c r="H23" i="4" a="1"/>
  <c r="I211" i="4" a="1"/>
  <c r="C195" i="4" a="1"/>
  <c r="N215" i="4" a="1"/>
  <c r="F156" i="4" a="1"/>
  <c r="F94" i="4" a="1"/>
  <c r="C235" i="4" a="1"/>
  <c r="C223" i="4" a="1"/>
  <c r="H33" i="4" a="1"/>
  <c r="H152" i="4" a="1"/>
  <c r="N98" i="4" a="1"/>
  <c r="M138" i="4" a="1"/>
  <c r="D28" i="4" a="1"/>
  <c r="H188" i="4" a="1"/>
  <c r="J141" i="4" a="1"/>
  <c r="D93" i="4" a="1"/>
  <c r="I135" i="4" a="1"/>
  <c r="M103" i="4" a="1"/>
  <c r="K152" i="4" a="1"/>
  <c r="E125" i="4" a="1"/>
  <c r="F190" i="4" a="1"/>
  <c r="L201" i="4" a="1"/>
  <c r="N82" i="4" a="1"/>
  <c r="G213" i="4" a="1"/>
  <c r="L46" i="4" a="1"/>
  <c r="E211" i="4" a="1"/>
  <c r="L120" i="4" a="1"/>
  <c r="J24" i="4" a="1"/>
  <c r="N180" i="4" a="1"/>
  <c r="K44" i="4" a="1"/>
  <c r="L129" i="4" a="1"/>
  <c r="M89" i="4" a="1"/>
  <c r="D116" i="4" a="1"/>
  <c r="K199" i="4" a="1"/>
  <c r="J133" i="4" a="1"/>
  <c r="I101" i="4" a="1"/>
  <c r="N207" i="4" a="1"/>
  <c r="H46" i="4" a="1"/>
  <c r="D220" i="4" a="1"/>
  <c r="K28" i="4" a="1"/>
  <c r="F74" i="4" a="1"/>
  <c r="J118" i="4" a="1"/>
  <c r="K202" i="4" a="1"/>
  <c r="F32" i="4" a="1"/>
  <c r="I56" i="4" a="1"/>
  <c r="J116" i="4" a="1"/>
  <c r="K95" i="4" a="1"/>
  <c r="N143" i="4" a="1"/>
  <c r="N177" i="4" a="1"/>
  <c r="H204" i="4" a="1"/>
  <c r="N216" i="4" a="1"/>
  <c r="J37" i="4" a="1"/>
  <c r="C96" i="4" a="1"/>
  <c r="D144" i="4" a="1"/>
  <c r="M347" i="4" a="1"/>
  <c r="N83" i="4" a="1"/>
  <c r="G165" i="4" a="1"/>
  <c r="M205" i="4" a="1"/>
  <c r="I45" i="4" a="1"/>
  <c r="E113" i="4" a="1"/>
  <c r="M211" i="4" a="1"/>
  <c r="C151" i="4" a="1"/>
  <c r="E57" i="4" a="1"/>
  <c r="C327" i="4" a="1"/>
  <c r="E116" i="4" a="1"/>
  <c r="G192" i="4" a="1"/>
  <c r="I84" i="4" a="1"/>
  <c r="N76" i="4" a="1"/>
  <c r="H161" i="4" a="1"/>
  <c r="D192" i="4" a="1"/>
  <c r="K92" i="4" a="1"/>
  <c r="C162" i="4" a="1"/>
  <c r="N212" i="4" a="1"/>
  <c r="K180" i="4" a="1"/>
  <c r="C61" i="4" a="1"/>
  <c r="F184" i="4" a="1"/>
  <c r="L150" i="4" a="1"/>
  <c r="C147" i="4" a="1"/>
  <c r="F188" i="4" a="1"/>
  <c r="F175" i="4" a="1"/>
  <c r="C65" i="4" a="1"/>
  <c r="F102" i="4" a="1"/>
  <c r="F28" i="4" a="1"/>
  <c r="J136" i="4" a="1"/>
  <c r="K64" i="4" a="1"/>
  <c r="I166" i="4" a="1"/>
  <c r="G140" i="4" a="1"/>
  <c r="N208" i="4" a="1"/>
  <c r="J70" i="4" a="1"/>
  <c r="F122" i="4" a="1"/>
  <c r="G149" i="4" a="1"/>
  <c r="F189" i="4" a="1"/>
  <c r="G144" i="4" a="1"/>
  <c r="D179" i="4" a="1"/>
  <c r="K123" i="4" a="1"/>
  <c r="G195" i="4" a="1"/>
  <c r="K41" i="4" a="1"/>
  <c r="C64" i="4" a="1"/>
  <c r="C140" i="4" a="1"/>
  <c r="E83" i="4" a="1"/>
  <c r="N203" i="4" a="1"/>
  <c r="J48" i="4" a="1"/>
  <c r="K57" i="4" a="1"/>
  <c r="C184" i="4" a="1"/>
  <c r="K33" i="4" a="1"/>
  <c r="C227" i="4" a="1"/>
  <c r="J176" i="4" a="1"/>
  <c r="C173" i="4" a="1"/>
  <c r="L48" i="4" a="1"/>
  <c r="N133" i="4" a="1"/>
  <c r="I29" i="4" a="1"/>
  <c r="I180" i="4" a="1"/>
  <c r="C113" i="4" a="1"/>
  <c r="F186" i="4" a="1"/>
  <c r="L57" i="4" a="1"/>
  <c r="D40" i="4" a="1"/>
  <c r="D138" i="4" a="1"/>
  <c r="K134" i="4" a="1"/>
  <c r="N92" i="4" a="1"/>
  <c r="C189" i="4" a="1"/>
  <c r="E105" i="4" a="1"/>
  <c r="M280" i="4" a="1"/>
  <c r="M231" i="4" a="1"/>
  <c r="C281" i="4" a="1"/>
  <c r="H189" i="4" a="1"/>
  <c r="M44" i="4" a="1"/>
  <c r="N115" i="4" a="1"/>
  <c r="G27" i="4" a="1"/>
  <c r="I190" i="4" a="1"/>
  <c r="K151" i="4" a="1"/>
  <c r="G134" i="4" a="1"/>
  <c r="G187" i="4" a="1"/>
  <c r="C23" i="4" a="1"/>
  <c r="C245" i="4" a="1"/>
  <c r="M371" i="4" a="1"/>
  <c r="D47" i="4" a="1"/>
  <c r="J179" i="4" a="1"/>
  <c r="M35" i="4" a="1"/>
  <c r="G172" i="4" a="1"/>
  <c r="K38" i="4" a="1"/>
  <c r="M144" i="4" a="1"/>
  <c r="C29" i="4" a="1"/>
  <c r="K136" i="4" a="1"/>
  <c r="G64" i="4" a="1"/>
  <c r="G95" i="4" a="1"/>
  <c r="N52" i="4" a="1"/>
  <c r="E45" i="4" a="1"/>
  <c r="J139" i="4" a="1"/>
  <c r="M49" i="4" a="1"/>
  <c r="I75" i="4" a="1"/>
  <c r="L40" i="4" a="1"/>
  <c r="J97" i="4" a="1"/>
  <c r="M111" i="4" a="1"/>
  <c r="K137" i="4" a="1"/>
  <c r="H158" i="4" a="1"/>
  <c r="J111" i="4" a="1"/>
  <c r="C168" i="4" a="1"/>
  <c r="I80" i="4" a="1"/>
  <c r="L87" i="4" a="1"/>
  <c r="C90" i="4" a="1"/>
  <c r="C156" i="4" a="1"/>
  <c r="E99" i="4" a="1"/>
  <c r="L197" i="4" a="1"/>
  <c r="E166" i="4" a="1"/>
  <c r="K104" i="4" a="1"/>
  <c r="I196" i="4" a="1"/>
  <c r="F194" i="4" a="1"/>
  <c r="I142" i="4" a="1"/>
  <c r="J189" i="4" a="1"/>
  <c r="I31" i="4" a="1"/>
  <c r="N27" i="4" a="1"/>
  <c r="M148" i="4" a="1"/>
  <c r="D214" i="4" a="1"/>
  <c r="K78" i="4" a="1"/>
  <c r="M155" i="4" a="1"/>
  <c r="J168" i="4" a="1"/>
  <c r="L53" i="4" a="1"/>
  <c r="L101" i="4" a="1"/>
  <c r="N39" i="4" a="1"/>
  <c r="M221" i="4" a="1"/>
  <c r="I92" i="4" a="1"/>
  <c r="F150" i="4" a="1"/>
  <c r="I153" i="4" a="1"/>
  <c r="F220" i="4" a="1"/>
  <c r="M43" i="4" a="1"/>
  <c r="E52" i="4" a="1"/>
  <c r="E46" i="4" a="1"/>
  <c r="K71" i="4" a="1"/>
  <c r="I37" i="4" a="1"/>
  <c r="C138" i="4" a="1"/>
  <c r="N210" i="4" a="1"/>
  <c r="E75" i="4" a="1"/>
  <c r="I30" i="4" a="1"/>
  <c r="G219" i="4" a="1"/>
  <c r="G110" i="4" a="1"/>
  <c r="D149" i="4" a="1"/>
  <c r="N74" i="4" a="1"/>
  <c r="E64" i="4" a="1"/>
  <c r="H192" i="4" a="1"/>
  <c r="F50" i="4" a="1"/>
  <c r="G71" i="4" a="1"/>
  <c r="F196" i="4" a="1"/>
  <c r="C285" i="4" a="1"/>
  <c r="H83" i="4" a="1"/>
  <c r="F69" i="4" a="1"/>
  <c r="F55" i="4" a="1"/>
  <c r="J167" i="4" a="1"/>
  <c r="D81" i="4" a="1"/>
  <c r="G94" i="4" a="1"/>
  <c r="F212" i="4" a="1"/>
  <c r="D133" i="4" a="1"/>
  <c r="G143" i="4" a="1"/>
  <c r="H129" i="4" a="1"/>
  <c r="N178" i="4" a="1"/>
  <c r="F98" i="4" a="1"/>
  <c r="C204" i="4" a="1"/>
  <c r="C30" i="4" a="1"/>
  <c r="J62" i="4" a="1"/>
  <c r="G54" i="4" a="1"/>
  <c r="E115" i="4" a="1"/>
  <c r="H74" i="4" a="1"/>
  <c r="K206" i="4" a="1"/>
  <c r="L167" i="4" a="1"/>
  <c r="C213" i="4" a="1"/>
  <c r="K189" i="4" a="1"/>
  <c r="C217" i="4" a="1"/>
  <c r="G79" i="4" a="1"/>
  <c r="N181" i="4" a="1"/>
  <c r="H29" i="4" a="1"/>
  <c r="F24" i="4" a="1"/>
  <c r="D56" i="4" a="1"/>
  <c r="K158" i="4" a="1"/>
  <c r="H184" i="4" a="1"/>
  <c r="M100" i="4" a="1"/>
  <c r="F101" i="4" a="1"/>
  <c r="H67" i="4" a="1"/>
  <c r="M67" i="4" a="1"/>
  <c r="M191" i="4" a="1"/>
  <c r="J56" i="4" a="1"/>
  <c r="F170" i="4" a="1"/>
  <c r="N155" i="4" a="1"/>
  <c r="E70" i="4" a="1"/>
  <c r="N162" i="4" a="1"/>
  <c r="E81" i="4" a="1"/>
  <c r="H38" i="4" a="1"/>
  <c r="L113" i="4" a="1"/>
  <c r="N158" i="4" a="1"/>
  <c r="M271" i="4" a="1"/>
  <c r="M249" i="4" a="1"/>
  <c r="M233" i="4" a="1"/>
  <c r="C262" i="4" a="1"/>
  <c r="M113" i="4" a="1"/>
  <c r="C181" i="4" a="1"/>
  <c r="C175" i="4" a="1"/>
  <c r="H166" i="4" a="1"/>
  <c r="K87" i="4" a="1"/>
  <c r="F34" i="4" a="1"/>
  <c r="H91" i="4" a="1"/>
  <c r="F45" i="4" a="1"/>
  <c r="M224" i="4" a="1"/>
  <c r="M226" i="4" a="1"/>
  <c r="M333" i="4" a="1"/>
  <c r="F177" i="4" a="1"/>
  <c r="M77" i="4" a="1"/>
  <c r="E91" i="4" a="1"/>
  <c r="H61" i="4" a="1"/>
  <c r="C97" i="4" a="1"/>
  <c r="H103" i="4" a="1"/>
  <c r="H52" i="4" a="1"/>
  <c r="M37" i="4" a="1"/>
  <c r="J200" i="4" a="1"/>
  <c r="N28" i="4" a="1"/>
  <c r="I53" i="4" a="1"/>
  <c r="N43" i="4" a="1"/>
  <c r="M122" i="4" a="1"/>
  <c r="D53" i="4" a="1"/>
  <c r="E79" i="4" a="1"/>
  <c r="E78" i="4" a="1"/>
  <c r="D177" i="4" a="1"/>
  <c r="F174" i="4" a="1"/>
  <c r="E24" i="4" a="1"/>
  <c r="F106" i="4" a="1"/>
  <c r="M172" i="4" a="1"/>
  <c r="I109" i="4" a="1"/>
  <c r="E146" i="4" a="1"/>
  <c r="E140" i="4" a="1"/>
  <c r="D167" i="4" a="1"/>
  <c r="C73" i="4" a="1"/>
  <c r="G147" i="4" a="1"/>
  <c r="F147" i="4" a="1"/>
  <c r="L179" i="4" a="1"/>
  <c r="E62" i="4" a="1"/>
  <c r="H212" i="4" a="1"/>
  <c r="K62" i="4" a="1"/>
  <c r="K42" i="4" a="1"/>
  <c r="M40" i="4" a="1"/>
  <c r="H151" i="4" a="1"/>
  <c r="I72" i="4" a="1"/>
  <c r="H136" i="4" a="1"/>
  <c r="I171" i="4" a="1"/>
  <c r="L210" i="4" a="1"/>
  <c r="E203" i="4" a="1"/>
  <c r="F199" i="4" a="1"/>
  <c r="M104" i="4" a="1"/>
  <c r="D34" i="4" a="1"/>
  <c r="J208" i="4" a="1"/>
  <c r="C87" i="4" a="1"/>
  <c r="M97" i="4" a="1"/>
  <c r="H75" i="4" a="1"/>
  <c r="D105" i="4" a="1"/>
  <c r="G122" i="4" a="1"/>
  <c r="N139" i="4" a="1"/>
  <c r="D97" i="4" a="1"/>
  <c r="G176" i="4" a="1"/>
  <c r="F104" i="4" a="1"/>
  <c r="M182" i="4" a="1"/>
  <c r="K75" i="4" a="1"/>
  <c r="K96" i="4" a="1"/>
  <c r="C153" i="4" a="1"/>
  <c r="F111" i="4" a="1"/>
  <c r="H222" i="4" a="1"/>
  <c r="C158" i="4" a="1"/>
  <c r="D50" i="4" a="1"/>
  <c r="G168" i="4" a="1"/>
  <c r="G63" i="4" a="1"/>
  <c r="I60" i="4" a="1"/>
  <c r="G216" i="4" a="1"/>
  <c r="D84" i="4" a="1"/>
  <c r="E47" i="4" a="1"/>
  <c r="H58" i="4" a="1"/>
  <c r="G105" i="4" a="1"/>
  <c r="D153" i="4" a="1"/>
  <c r="F37" i="4" a="1"/>
  <c r="K48" i="4" a="1"/>
  <c r="C197" i="4" a="1"/>
  <c r="L88" i="4" a="1"/>
  <c r="M52" i="4" a="1"/>
  <c r="E41" i="4" a="1"/>
  <c r="C121" i="4" a="1"/>
  <c r="N78" i="4" a="1"/>
  <c r="J85" i="4" a="1"/>
  <c r="C39" i="4" a="1"/>
  <c r="K85" i="4" a="1"/>
  <c r="D85" i="4" a="1"/>
  <c r="D176" i="4" a="1"/>
  <c r="E132" i="4" a="1"/>
  <c r="H24" i="4" a="1"/>
  <c r="L187" i="4" a="1"/>
  <c r="E63" i="4" a="1"/>
  <c r="J199" i="4" a="1"/>
  <c r="G45" i="4" a="1"/>
  <c r="C128" i="4" a="1"/>
  <c r="N196" i="4" a="1"/>
  <c r="K81" i="4" a="1"/>
  <c r="I77" i="4" a="1"/>
  <c r="G50" i="4" a="1"/>
  <c r="E86" i="4" a="1"/>
  <c r="K55" i="4" a="1"/>
  <c r="N157" i="4" a="1"/>
  <c r="N151" i="4" a="1"/>
  <c r="M133" i="4" a="1"/>
  <c r="H60" i="4" a="1"/>
  <c r="K207" i="4" a="1"/>
  <c r="J33" i="4" a="1"/>
  <c r="G115" i="4" a="1"/>
  <c r="E31" i="4" a="1"/>
  <c r="H132" i="4" a="1"/>
  <c r="K163" i="4" a="1"/>
  <c r="J61" i="4" a="1"/>
  <c r="L176" i="4" a="1"/>
  <c r="I162" i="4" a="1"/>
  <c r="G182" i="4" a="1"/>
  <c r="L106" i="4" a="1"/>
  <c r="E77" i="4" a="1"/>
  <c r="M240" i="4" a="1"/>
  <c r="M255" i="4" a="1"/>
  <c r="M315" i="4" a="1"/>
  <c r="M314" i="4" a="1"/>
  <c r="M149" i="4" a="1"/>
  <c r="N198" i="4" a="1"/>
  <c r="J102" i="4" a="1"/>
  <c r="C71" i="4" a="1"/>
  <c r="L151" i="4" a="1"/>
  <c r="L36" i="4" a="1"/>
  <c r="I100" i="4" a="1"/>
  <c r="J153" i="4" a="1"/>
  <c r="M241" i="4" a="1"/>
  <c r="C309" i="4" a="1"/>
  <c r="M193" i="4" a="1"/>
  <c r="M121" i="4" a="1"/>
  <c r="K125" i="4" a="1"/>
  <c r="J155" i="4" a="1"/>
  <c r="K34" i="4" a="1"/>
  <c r="H144" i="4" a="1"/>
  <c r="K39" i="4" a="1"/>
  <c r="C176" i="4" a="1"/>
  <c r="M171" i="4" a="1"/>
  <c r="E162" i="4" a="1"/>
  <c r="I59" i="4" a="1"/>
  <c r="N146" i="4" a="1"/>
  <c r="D124" i="4" a="1"/>
  <c r="H41" i="4" a="1"/>
  <c r="C88" i="4" a="1"/>
  <c r="K135" i="4" a="1"/>
  <c r="L124" i="4" a="1"/>
  <c r="F48" i="4" a="1"/>
  <c r="L83" i="4" a="1"/>
  <c r="J115" i="4" a="1"/>
  <c r="N42" i="4" a="1"/>
  <c r="C108" i="4" a="1"/>
  <c r="L89" i="4" a="1"/>
  <c r="D141" i="4" a="1"/>
  <c r="C100" i="4" a="1"/>
  <c r="F59" i="4" a="1"/>
  <c r="E55" i="4" a="1"/>
  <c r="F65" i="4" a="1"/>
  <c r="H43" i="4" a="1"/>
  <c r="E92" i="4" a="1"/>
  <c r="H145" i="4" a="1"/>
  <c r="J220" i="4" a="1"/>
  <c r="N186" i="4" a="1"/>
  <c r="M127" i="4" a="1"/>
  <c r="M175" i="4" a="1"/>
  <c r="F218" i="4" a="1"/>
  <c r="M174" i="4" a="1"/>
  <c r="D217" i="4" a="1"/>
  <c r="F131" i="4" a="1"/>
  <c r="D113" i="4" a="1"/>
  <c r="M46" i="4" a="1"/>
  <c r="J110" i="4" a="1"/>
  <c r="I98" i="4" a="1"/>
  <c r="E164" i="4" a="1"/>
  <c r="J72" i="4" a="1"/>
  <c r="I139" i="4" a="1"/>
  <c r="H94" i="4" a="1"/>
  <c r="E141" i="4" a="1"/>
  <c r="E111" i="4" a="1"/>
  <c r="I86" i="4" a="1"/>
  <c r="F213" i="4" a="1"/>
  <c r="C208" i="4" a="1"/>
  <c r="N33" i="4" a="1"/>
  <c r="H37" i="4" a="1"/>
  <c r="H32" i="4" a="1"/>
  <c r="F117" i="4" a="1"/>
  <c r="L104" i="4" a="1"/>
  <c r="K141" i="4" a="1"/>
  <c r="L189" i="4" a="1"/>
  <c r="G218" i="4" a="1"/>
  <c r="D166" i="4" a="1"/>
  <c r="N119" i="4" a="1"/>
  <c r="G98" i="4" a="1"/>
  <c r="I89" i="4" a="1"/>
  <c r="K109" i="4" a="1"/>
  <c r="H112" i="4" a="1"/>
  <c r="M32" i="4" a="1"/>
  <c r="H55" i="4" a="1"/>
  <c r="N188" i="4" a="1"/>
  <c r="G92" i="4" a="1"/>
  <c r="M207" i="4" a="1"/>
  <c r="I120" i="4" a="1"/>
  <c r="J82" i="4" a="1"/>
  <c r="G42" i="4" a="1"/>
  <c r="J55" i="4" a="1"/>
  <c r="N220" i="4" a="1"/>
  <c r="I70" i="4" a="1"/>
  <c r="G80" i="4" a="1"/>
  <c r="L32" i="4" a="1"/>
  <c r="D165" i="4" a="1"/>
  <c r="D119" i="4" a="1"/>
  <c r="K181" i="4" a="1"/>
  <c r="K167" i="4" a="1"/>
  <c r="I44" i="4" a="1"/>
  <c r="J222" i="4" a="1"/>
  <c r="I58" i="4" a="1"/>
  <c r="L186" i="4" a="1"/>
  <c r="G82" i="4" a="1"/>
  <c r="M66" i="4" a="1"/>
  <c r="I35" i="4" a="1"/>
  <c r="N62" i="4" a="1"/>
  <c r="K218" i="4" a="1"/>
  <c r="N47" i="4" a="1"/>
  <c r="C126" i="4" a="1"/>
  <c r="C114" i="4" a="1"/>
  <c r="D29" i="4" a="1"/>
  <c r="E104" i="4" a="1"/>
  <c r="F179" i="4" a="1"/>
  <c r="K69" i="4" a="1"/>
  <c r="C218" i="4" a="1"/>
  <c r="I87" i="4" a="1"/>
  <c r="L50" i="4" a="1"/>
  <c r="M123" i="4" a="1"/>
  <c r="J104" i="4" a="1"/>
  <c r="N195" i="4" a="1"/>
  <c r="L74" i="4" a="1"/>
  <c r="I156" i="4" a="1"/>
  <c r="I32" i="4" a="1"/>
  <c r="D203" i="4" a="1"/>
  <c r="N108" i="4" a="1"/>
  <c r="H169" i="4" a="1"/>
  <c r="N179" i="4" a="1"/>
  <c r="C44" i="4" a="1"/>
  <c r="M372" i="4" a="1"/>
  <c r="C257" i="4" a="1"/>
  <c r="M235" i="4" a="1"/>
  <c r="M223" i="4" a="1"/>
  <c r="J92" i="4" a="1"/>
  <c r="E25" i="4" a="1"/>
  <c r="M120" i="4" a="1"/>
  <c r="L215" i="4" a="1"/>
  <c r="J157" i="4" a="1"/>
  <c r="C135" i="4" a="1"/>
  <c r="K203" i="4" a="1"/>
  <c r="G160" i="4" a="1"/>
  <c r="C244" i="4" a="1"/>
  <c r="M234" i="4" a="1"/>
  <c r="M134" i="4" a="1"/>
  <c r="J156" i="4" a="1"/>
  <c r="N88" i="4" a="1"/>
  <c r="E61" i="4" a="1"/>
  <c r="J197" i="4" a="1"/>
  <c r="D41" i="4" a="1"/>
  <c r="M186" i="4" a="1"/>
  <c r="J185" i="4" a="1"/>
  <c r="G59" i="4" a="1"/>
  <c r="C53" i="4" a="1"/>
  <c r="K54" i="4" a="1"/>
  <c r="I189" i="4" a="1"/>
  <c r="I61" i="4" a="1"/>
  <c r="J32" i="4" a="1"/>
  <c r="G84" i="4" a="1"/>
  <c r="D30" i="4" a="1"/>
  <c r="L116" i="4" a="1"/>
  <c r="E184" i="4" a="1"/>
  <c r="G202" i="4" a="1"/>
  <c r="D184" i="4" a="1"/>
  <c r="F80" i="4" a="1"/>
  <c r="K59" i="4" a="1"/>
  <c r="N161" i="4" a="1"/>
  <c r="F91" i="4" a="1"/>
  <c r="M98" i="4" a="1"/>
  <c r="J131" i="4" a="1"/>
  <c r="K58" i="4" a="1"/>
  <c r="C76" i="4" a="1"/>
  <c r="N100" i="4" a="1"/>
  <c r="C198" i="4" a="1"/>
  <c r="F211" i="4" a="1"/>
  <c r="M63" i="4" a="1"/>
  <c r="G185" i="4" a="1"/>
  <c r="H105" i="4" a="1"/>
  <c r="C41" i="4" a="1"/>
  <c r="G62" i="4" a="1"/>
  <c r="M215" i="4" a="1"/>
  <c r="D215" i="4" a="1"/>
  <c r="M156" i="4" a="1"/>
  <c r="N87" i="4" a="1"/>
  <c r="J29" i="4" a="1"/>
  <c r="D100" i="4" a="1"/>
  <c r="D63" i="4" a="1"/>
  <c r="J93" i="4" a="1"/>
  <c r="M25" i="4" a="1"/>
  <c r="D125" i="4" a="1"/>
  <c r="K88" i="4" a="1"/>
  <c r="I23" i="4" a="1"/>
  <c r="G30" i="4" a="1"/>
  <c r="C199" i="4" a="1"/>
  <c r="C192" i="4" a="1"/>
  <c r="M81" i="4" a="1"/>
  <c r="N117" i="4" a="1"/>
  <c r="N191" i="4" a="1"/>
  <c r="G53" i="4" a="1"/>
  <c r="D96" i="4" a="1"/>
  <c r="H57" i="4" a="1"/>
  <c r="I99" i="4" a="1"/>
  <c r="G215" i="4" a="1"/>
  <c r="D36" i="4" a="1"/>
  <c r="L79" i="4" a="1"/>
  <c r="I175" i="4" a="1"/>
  <c r="L95" i="4" a="1"/>
  <c r="J80" i="4" a="1"/>
  <c r="C119" i="4" a="1"/>
  <c r="H106" i="4" a="1"/>
  <c r="D136" i="4" a="1"/>
  <c r="C59" i="4" a="1"/>
  <c r="G36" i="4" a="1"/>
  <c r="K115" i="4" a="1"/>
  <c r="C188" i="4" a="1"/>
  <c r="J39" i="4" a="1"/>
  <c r="I50" i="4" a="1"/>
  <c r="L69" i="4" a="1"/>
  <c r="E199" i="4" a="1"/>
  <c r="C155" i="4" a="1"/>
  <c r="I215" i="4" a="1"/>
  <c r="M136" i="4" a="1"/>
  <c r="C165" i="4" a="1"/>
  <c r="K145" i="4" a="1"/>
  <c r="F165" i="4" a="1"/>
  <c r="E84" i="4" a="1"/>
  <c r="N40" i="4" a="1"/>
  <c r="N45" i="4" a="1"/>
  <c r="M129" i="4" a="1"/>
  <c r="I28" i="4" a="1"/>
  <c r="G25" i="4" a="1"/>
  <c r="N44" i="4" a="1"/>
  <c r="L136" i="4" a="1"/>
  <c r="L164" i="4" a="1"/>
  <c r="E183" i="4" a="1"/>
  <c r="C201" i="4" a="1"/>
  <c r="K49" i="4" a="1"/>
  <c r="L47" i="4" a="1"/>
  <c r="G55" i="4" a="1"/>
  <c r="E129" i="4" a="1"/>
  <c r="D46" i="4" a="1"/>
  <c r="N145" i="4" a="1"/>
  <c r="D186" i="4" a="1"/>
  <c r="E100" i="4" a="1"/>
  <c r="E160" i="4" a="1"/>
  <c r="F214" i="4" a="1"/>
  <c r="M163" i="4" a="1"/>
  <c r="J166" i="4" a="1"/>
  <c r="I25" i="4" a="1"/>
  <c r="L170" i="4" a="1"/>
  <c r="D64" i="4" a="1"/>
  <c r="G49" i="4" a="1"/>
  <c r="N213" i="4" a="1"/>
  <c r="C46" i="4" a="1"/>
  <c r="D66" i="4" a="1"/>
  <c r="H40" i="4" a="1"/>
  <c r="I54" i="4" a="1"/>
  <c r="C236" i="4" a="1"/>
  <c r="M238" i="4" a="1"/>
  <c r="M245" i="4" a="1"/>
  <c r="C371" i="4" a="1"/>
  <c r="J203" i="4" a="1"/>
  <c r="H220" i="4" a="1"/>
  <c r="I188" i="4" a="1"/>
  <c r="M157" i="4" a="1"/>
  <c r="C66" i="4" a="1"/>
  <c r="E154" i="4" a="1"/>
  <c r="N93" i="4" a="1"/>
  <c r="K114" i="4" a="1"/>
  <c r="C303" i="4" a="1"/>
  <c r="C277" i="4" a="1"/>
  <c r="I129" i="4" a="1"/>
  <c r="L105" i="4" a="1"/>
  <c r="K216" i="4" a="1"/>
  <c r="L169" i="4" a="1"/>
  <c r="G102" i="4" a="1"/>
  <c r="I210" i="4" a="1"/>
  <c r="G174" i="4" a="1"/>
  <c r="L45" i="4" a="1"/>
  <c r="M169" i="4" a="1"/>
  <c r="G44" i="4" a="1"/>
  <c r="L102" i="4" a="1"/>
  <c r="M94" i="4" a="1"/>
  <c r="I62" i="4" a="1"/>
  <c r="F36" i="4" a="1"/>
  <c r="C107" i="4" a="1"/>
  <c r="N53" i="4" a="1"/>
  <c r="M99" i="4" a="1"/>
  <c r="L109" i="4" a="1"/>
  <c r="G117" i="4" a="1"/>
  <c r="J75" i="4" a="1"/>
  <c r="I81" i="4" a="1"/>
  <c r="M132" i="4" a="1"/>
  <c r="I116" i="4" a="1"/>
  <c r="N68" i="4" a="1"/>
  <c r="F135" i="4" a="1"/>
  <c r="L26" i="4" a="1"/>
  <c r="N171" i="4" a="1"/>
  <c r="G190" i="4" a="1"/>
  <c r="H165" i="4" a="1"/>
  <c r="C146" i="4" a="1"/>
  <c r="G151" i="4" a="1"/>
  <c r="G112" i="4" a="1"/>
  <c r="E56" i="4" a="1"/>
  <c r="M85" i="4" a="1"/>
  <c r="E194" i="4" a="1"/>
  <c r="M70" i="4" a="1"/>
  <c r="G89" i="4" a="1"/>
  <c r="F158" i="4" a="1"/>
  <c r="E149" i="4" a="1"/>
  <c r="C205" i="4" a="1"/>
  <c r="K43" i="4" a="1"/>
  <c r="N50" i="4" a="1"/>
  <c r="H111" i="4" a="1"/>
  <c r="J73" i="4" a="1"/>
  <c r="K31" i="4" a="1"/>
  <c r="C215" i="4" a="1"/>
  <c r="G169" i="4" a="1"/>
  <c r="E32" i="4" a="1"/>
  <c r="I112" i="4" a="1"/>
  <c r="N90" i="4" a="1"/>
  <c r="G87" i="4" a="1"/>
  <c r="N199" i="4" a="1"/>
  <c r="H104" i="4" a="1"/>
  <c r="N165" i="4" a="1"/>
  <c r="G47" i="4" a="1"/>
  <c r="L85" i="4" a="1"/>
  <c r="G107" i="4" a="1"/>
  <c r="C202" i="4" a="1"/>
  <c r="C117" i="4" a="1"/>
  <c r="I41" i="4" a="1"/>
  <c r="I117" i="4" a="1"/>
  <c r="N174" i="4" a="1"/>
  <c r="E102" i="4" a="1"/>
  <c r="J165" i="4" a="1"/>
  <c r="D126" i="4" a="1"/>
  <c r="L155" i="4" a="1"/>
  <c r="I147" i="4" a="1"/>
  <c r="E156" i="4" a="1"/>
  <c r="N197" i="4" a="1"/>
  <c r="N169" i="4" a="1"/>
  <c r="N209" i="4" a="1"/>
  <c r="E202" i="4" a="1"/>
  <c r="J181" i="4" a="1"/>
  <c r="E130" i="4" a="1"/>
  <c r="F115" i="4" a="1"/>
  <c r="E29" i="4" a="1"/>
  <c r="J95" i="4" a="1"/>
  <c r="M183" i="4" a="1"/>
  <c r="G206" i="4" a="1"/>
  <c r="L44" i="4" a="1"/>
  <c r="C221" i="4" a="1"/>
  <c r="J145" i="4" a="1"/>
  <c r="J128" i="4" a="1"/>
  <c r="M61" i="4" a="1"/>
  <c r="G99" i="4" a="1"/>
  <c r="N105" i="4" a="1"/>
  <c r="K170" i="4" a="1"/>
  <c r="G109" i="4" a="1"/>
  <c r="J30" i="4" a="1"/>
  <c r="C169" i="4" a="1"/>
  <c r="J192" i="4" a="1"/>
  <c r="N70" i="4" a="1"/>
  <c r="F51" i="4" a="1"/>
  <c r="F105" i="4" a="1"/>
  <c r="C148" i="4" a="1"/>
  <c r="M153" i="4" a="1"/>
  <c r="H197" i="4" a="1"/>
  <c r="D160" i="4" a="1"/>
  <c r="C103" i="4" a="1"/>
  <c r="F129" i="4" a="1"/>
  <c r="H121" i="4" a="1"/>
  <c r="I79" i="4" a="1"/>
  <c r="E186" i="4" a="1"/>
  <c r="C144" i="4" a="1"/>
  <c r="D101" i="4" a="1"/>
  <c r="E187" i="4" a="1"/>
  <c r="M135" i="4" a="1"/>
  <c r="F134" i="4" a="1"/>
  <c r="N112" i="4" a="1"/>
  <c r="N135" i="4" a="1"/>
  <c r="D147" i="4" a="1"/>
  <c r="H62" i="4" a="1"/>
  <c r="D181" i="4" a="1"/>
  <c r="C349" i="4" a="1"/>
  <c r="C224" i="4" a="1"/>
  <c r="C226" i="4" a="1"/>
  <c r="C333" i="4" a="1"/>
  <c r="K219" i="4" a="1"/>
  <c r="J49" i="4" a="1"/>
  <c r="H146" i="4" a="1"/>
  <c r="M30" i="4" a="1"/>
  <c r="L54" i="4" a="1"/>
  <c r="F136" i="4" a="1"/>
  <c r="G67" i="4" a="1"/>
  <c r="I176" i="4" a="1"/>
  <c r="M362" i="4" a="1"/>
  <c r="M251" i="4" a="1"/>
  <c r="M75" i="4" a="1"/>
  <c r="J53" i="4" a="1"/>
  <c r="C136" i="4" a="1"/>
  <c r="F57" i="4" a="1"/>
  <c r="E114" i="4" a="1"/>
  <c r="F149" i="4" a="1"/>
  <c r="C187" i="4" a="1"/>
  <c r="N211" i="4" a="1"/>
  <c r="E35" i="4" a="1"/>
  <c r="M28" i="4" a="1"/>
  <c r="G119" i="4" a="1"/>
  <c r="M160" i="4" a="1"/>
  <c r="J193" i="4" a="1"/>
  <c r="N77" i="4" a="1"/>
  <c r="F120" i="4" a="1"/>
  <c r="K98" i="4" a="1"/>
  <c r="L198" i="4" a="1"/>
  <c r="M29" i="4" a="1"/>
  <c r="L126" i="4" a="1"/>
  <c r="F153" i="4" a="1"/>
  <c r="K120" i="4" a="1"/>
  <c r="H54" i="4" a="1"/>
  <c r="N107" i="4" a="1"/>
  <c r="L111" i="4" a="1"/>
  <c r="J47" i="4" a="1"/>
  <c r="L145" i="4" a="1"/>
  <c r="M53" i="4" a="1"/>
  <c r="D90" i="4" a="1"/>
  <c r="H28" i="4" a="1"/>
  <c r="H88" i="4" a="1"/>
  <c r="I36" i="4" a="1"/>
  <c r="I199" i="4" a="1"/>
  <c r="N187" i="4" a="1"/>
  <c r="I83" i="4" a="1"/>
  <c r="E44" i="4" a="1"/>
  <c r="H31" i="4" a="1"/>
  <c r="D48" i="4" a="1"/>
  <c r="G37" i="4" a="1"/>
  <c r="M115" i="4" a="1"/>
  <c r="K139" i="4" a="1"/>
  <c r="J112" i="4" a="1"/>
  <c r="E185" i="4" a="1"/>
  <c r="F53" i="4" a="1"/>
  <c r="I114" i="4" a="1"/>
  <c r="M195" i="4" a="1"/>
  <c r="M192" i="4" a="1"/>
  <c r="M165" i="4" a="1"/>
  <c r="I24" i="4" a="1"/>
  <c r="M74" i="4" a="1"/>
  <c r="D71" i="4" a="1"/>
  <c r="C115" i="4" a="1"/>
  <c r="E134" i="4" a="1"/>
  <c r="I110" i="4" a="1"/>
  <c r="L122" i="4" a="1"/>
  <c r="F71" i="4" a="1"/>
  <c r="M197" i="4" a="1"/>
  <c r="G157" i="4" a="1"/>
  <c r="G43" i="4" a="1"/>
  <c r="N111" i="4" a="1"/>
  <c r="E53" i="4" a="1"/>
  <c r="E147" i="4" a="1"/>
  <c r="D212" i="4" a="1"/>
  <c r="G209" i="4" a="1"/>
  <c r="F137" i="4" a="1"/>
  <c r="N110" i="4" a="1"/>
  <c r="C89" i="4" a="1"/>
  <c r="I198" i="4" a="1"/>
  <c r="K91" i="4" a="1"/>
  <c r="D170" i="4" a="1"/>
  <c r="J103" i="4" a="1"/>
  <c r="M65" i="4" a="1"/>
  <c r="D178" i="4" a="1"/>
  <c r="L51" i="4" a="1"/>
  <c r="I163" i="4" a="1"/>
  <c r="M45" i="4" a="1"/>
  <c r="H195" i="4" a="1"/>
  <c r="M83" i="4" a="1"/>
  <c r="I181" i="4" a="1"/>
  <c r="K168" i="4" a="1"/>
  <c r="M147" i="4" a="1"/>
  <c r="L108" i="4" a="1"/>
  <c r="F206" i="4" a="1"/>
  <c r="L56" i="4" a="1"/>
  <c r="K108" i="4" a="1"/>
  <c r="D128" i="4" a="1"/>
  <c r="F163" i="4" a="1"/>
  <c r="F128" i="4" a="1"/>
  <c r="G74" i="4" a="1"/>
  <c r="I128" i="4" a="1"/>
  <c r="N79" i="4" a="1"/>
  <c r="L196" i="4" a="1"/>
  <c r="K29" i="4" a="1"/>
  <c r="M143" i="4" a="1"/>
  <c r="H110" i="4" a="1"/>
  <c r="F126" i="4" a="1"/>
  <c r="M114" i="4" a="1"/>
  <c r="D65" i="4" a="1"/>
  <c r="K70" i="4" a="1"/>
  <c r="L220" i="4" a="1"/>
  <c r="I123" i="4" a="1"/>
  <c r="I159" i="4" a="1"/>
  <c r="G193" i="4" a="1"/>
  <c r="F185" i="4" a="1"/>
  <c r="E106" i="4" a="1"/>
  <c r="F33" i="4" a="1"/>
  <c r="M93" i="4" a="1"/>
  <c r="I33" i="4" a="1"/>
  <c r="L93" i="4" a="1"/>
  <c r="N204" i="4" a="1"/>
  <c r="E66" i="4" a="1"/>
  <c r="G113" i="4" a="1"/>
  <c r="L34" i="4" a="1"/>
  <c r="C310" i="4" a="1"/>
  <c r="C241" i="4" a="1"/>
  <c r="M309" i="4" a="1"/>
  <c r="G40" i="4" a="1"/>
  <c r="G210" i="4" a="1"/>
  <c r="H203" i="4" a="1"/>
  <c r="I221" i="4" a="1"/>
  <c r="J187" i="4" a="1"/>
  <c r="H174" i="4" a="1"/>
  <c r="D206" i="4" a="1"/>
  <c r="J207" i="4" a="1"/>
  <c r="L52" i="4" a="1"/>
  <c r="M256" i="4" a="1"/>
  <c r="M343" i="4" a="1"/>
  <c r="L107" i="4" a="1"/>
  <c r="I160" i="4" a="1"/>
  <c r="D104" i="4" a="1"/>
  <c r="L211" i="4" a="1"/>
  <c r="F203" i="4" a="1"/>
  <c r="C85" i="4" a="1"/>
  <c r="N23" i="4" a="1"/>
  <c r="H200" i="4" a="1"/>
  <c r="N86" i="4" a="1"/>
  <c r="E42" i="4" a="1"/>
  <c r="G32" i="4" a="1"/>
  <c r="F62" i="4" a="1"/>
  <c r="D86" i="4" a="1"/>
  <c r="F112" i="4" a="1"/>
  <c r="G52" i="4" a="1"/>
  <c r="G120" i="4" a="1"/>
  <c r="H160" i="4" a="1"/>
  <c r="J120" i="4" a="1"/>
  <c r="F75" i="4" a="1"/>
  <c r="C52" i="4" a="1"/>
  <c r="E138" i="4" a="1"/>
  <c r="J96" i="4" a="1"/>
  <c r="D200" i="4" a="1"/>
  <c r="K142" i="4" a="1"/>
  <c r="E67" i="4" a="1"/>
  <c r="C179" i="4" a="1"/>
  <c r="C124" i="4" a="1"/>
  <c r="G114" i="4" a="1"/>
  <c r="C38" i="4" a="1"/>
  <c r="L100" i="4" a="1"/>
  <c r="I94" i="4" a="1"/>
  <c r="C33" i="4" a="1"/>
  <c r="I93" i="4" a="1"/>
  <c r="D171" i="4" a="1"/>
  <c r="J113" i="4" a="1"/>
  <c r="L43" i="4" a="1"/>
  <c r="M313" i="4" a="1"/>
  <c r="C40" i="4" a="1"/>
  <c r="L181" i="4" a="1"/>
  <c r="D69" i="4" a="1"/>
  <c r="I66" i="4" a="1"/>
  <c r="C74" i="4" a="1"/>
  <c r="L60" i="4" a="1"/>
  <c r="H139" i="4" a="1"/>
  <c r="N172" i="4" a="1"/>
  <c r="K177" i="4" a="1"/>
  <c r="H77" i="4" a="1"/>
  <c r="C75" i="4" a="1"/>
  <c r="F160" i="4" a="1"/>
  <c r="M184" i="4" a="1"/>
  <c r="N218" i="4" a="1"/>
  <c r="L165" i="4" a="1"/>
  <c r="M164" i="4" a="1"/>
  <c r="J67" i="4" a="1"/>
  <c r="H164" i="4" a="1"/>
  <c r="H101" i="4" a="1"/>
  <c r="F47" i="4" a="1"/>
  <c r="M316" i="4" a="1"/>
  <c r="M162" i="4" a="1"/>
  <c r="L153" i="4" a="1"/>
  <c r="C133" i="4" a="1"/>
  <c r="L61" i="4" a="1"/>
  <c r="H78" i="4" a="1"/>
  <c r="J191" i="4" a="1"/>
  <c r="M158" i="4" a="1"/>
  <c r="N164" i="4" a="1"/>
  <c r="I167" i="4" a="1"/>
  <c r="M55" i="4" a="1"/>
  <c r="H163" i="4" a="1"/>
  <c r="C219" i="4" a="1"/>
  <c r="J172" i="4" a="1"/>
  <c r="N183" i="4" a="1"/>
  <c r="M146" i="4" a="1"/>
  <c r="N205" i="4" a="1"/>
  <c r="N163" i="4" a="1"/>
  <c r="J121" i="4" a="1"/>
  <c r="E181" i="4" a="1"/>
  <c r="J108" i="4" a="1"/>
  <c r="I125" i="4" a="1"/>
  <c r="F86" i="4" a="1"/>
  <c r="E135" i="4" a="1"/>
  <c r="F58" i="4" a="1"/>
  <c r="F56" i="4" a="1"/>
  <c r="G34" i="4" a="1"/>
  <c r="N116" i="4" a="1"/>
  <c r="E144" i="4" a="1"/>
  <c r="J41" i="4" a="1"/>
  <c r="J162" i="4" a="1"/>
  <c r="E167" i="4" a="1"/>
  <c r="M95" i="4" a="1"/>
  <c r="K193" i="4" a="1"/>
  <c r="M130" i="4" a="1"/>
  <c r="E37" i="4" a="1"/>
  <c r="I49" i="4" a="1"/>
  <c r="H125" i="4" a="1"/>
  <c r="F183" i="4" a="1"/>
  <c r="K198" i="4" a="1"/>
  <c r="K162" i="4" a="1"/>
  <c r="D137" i="4" a="1"/>
  <c r="J148" i="4" a="1"/>
  <c r="D103" i="4" a="1"/>
  <c r="J204" i="4" a="1"/>
  <c r="N190" i="4" a="1"/>
  <c r="E169" i="4" a="1"/>
  <c r="I133" i="4" a="1"/>
  <c r="N72" i="4" a="1"/>
  <c r="N73" i="4" a="1"/>
  <c r="N154" i="4" a="1"/>
  <c r="J78" i="4" a="1"/>
  <c r="G78" i="4" a="1"/>
  <c r="E150" i="4" a="1"/>
  <c r="F95" i="4" a="1"/>
  <c r="N141" i="4" a="1"/>
  <c r="M248" i="4" a="1"/>
  <c r="M244" i="4" a="1"/>
  <c r="C234" i="4" a="1"/>
  <c r="I126" i="4" a="1"/>
  <c r="E206" i="4" a="1"/>
  <c r="L131" i="4" a="1"/>
  <c r="E142" i="4" a="1"/>
  <c r="F121" i="4" a="1"/>
  <c r="L205" i="4" a="1"/>
  <c r="M214" i="4" a="1"/>
  <c r="N101" i="4" a="1"/>
  <c r="M62" i="4" a="1"/>
  <c r="C225" i="4" a="1"/>
  <c r="C312" i="4" a="1"/>
  <c r="E178" i="4" a="1"/>
  <c r="H175" i="4" a="1"/>
  <c r="C132" i="4" a="1"/>
  <c r="M60" i="4" a="1"/>
  <c r="C166" i="4" a="1"/>
  <c r="M73" i="4" a="1"/>
  <c r="M56" i="4" a="1"/>
  <c r="M76" i="4" a="1"/>
  <c r="M38" i="4" a="1"/>
  <c r="L134" i="4" a="1"/>
  <c r="G142" i="4" a="1"/>
  <c r="E122" i="4" a="1"/>
  <c r="E163" i="4" a="1"/>
  <c r="G221" i="4" a="1"/>
  <c r="L49" i="4" a="1"/>
  <c r="K153" i="4" a="1"/>
  <c r="E189" i="4" a="1"/>
  <c r="I127" i="4" a="1"/>
  <c r="C289" i="4" a="1"/>
  <c r="M370" i="4" a="1"/>
  <c r="L37" i="4" a="1"/>
  <c r="J135" i="4" a="1"/>
  <c r="I208" i="4" a="1"/>
  <c r="C123" i="4" a="1"/>
  <c r="I88" i="4" a="1"/>
  <c r="F148" i="4" a="1"/>
  <c r="J213" i="4" a="1"/>
  <c r="I63" i="4" a="1"/>
  <c r="K179" i="4" a="1"/>
  <c r="M267" i="4" a="1"/>
  <c r="M296" i="4" a="1"/>
  <c r="F155" i="4" a="1"/>
  <c r="H208" i="4" a="1"/>
  <c r="M161" i="4" a="1"/>
  <c r="J150" i="4" a="1"/>
  <c r="L212" i="4" a="1"/>
  <c r="M106" i="4" a="1"/>
  <c r="J219" i="4" a="1"/>
  <c r="L173" i="4" a="1"/>
  <c r="E190" i="4" a="1"/>
  <c r="M301" i="4" a="1"/>
  <c r="M320" i="4" a="1"/>
  <c r="I67" i="4" a="1"/>
  <c r="K126" i="4" a="1"/>
  <c r="M140" i="4" a="1"/>
  <c r="K53" i="4" a="1"/>
  <c r="F152" i="4" a="1"/>
  <c r="M154" i="4" a="1"/>
  <c r="C55" i="4" a="1"/>
  <c r="D218" i="4" a="1"/>
  <c r="M334" i="4" a="1"/>
  <c r="C300" i="4" a="1"/>
  <c r="I185" i="4" a="1"/>
  <c r="I38" i="4" a="1"/>
  <c r="L190" i="4" a="1"/>
  <c r="H97" i="4" a="1"/>
  <c r="H143" i="4" a="1"/>
  <c r="D54" i="4" a="1"/>
  <c r="D73" i="4" a="1"/>
  <c r="M36" i="4" a="1"/>
  <c r="H177" i="4" a="1"/>
  <c r="C307" i="4" a="1"/>
  <c r="C324" i="4" a="1"/>
  <c r="D38" i="4" a="1"/>
  <c r="C43" i="4" a="1"/>
  <c r="J127" i="4" a="1"/>
  <c r="D123" i="4" a="1"/>
  <c r="K183" i="4" a="1"/>
  <c r="H84" i="4" a="1"/>
  <c r="E97" i="4" a="1"/>
  <c r="H76" i="4" a="1"/>
  <c r="M294" i="4" a="1"/>
  <c r="M368" i="4" a="1"/>
  <c r="H80" i="4" a="1"/>
  <c r="H182" i="4" a="1"/>
  <c r="N193" i="4" a="1"/>
  <c r="M131" i="4" a="1"/>
  <c r="K140" i="4" a="1"/>
  <c r="I195" i="4" a="1"/>
  <c r="L163" i="4" a="1"/>
  <c r="G203" i="4" a="1"/>
  <c r="C51" i="4" a="1"/>
  <c r="M264" i="4" a="1"/>
  <c r="C279" i="4" a="1"/>
  <c r="E93" i="4" a="1"/>
  <c r="C129" i="4" a="1"/>
  <c r="D62" i="4" a="1"/>
  <c r="K211" i="4" a="1"/>
  <c r="I134" i="4" a="1"/>
  <c r="H179" i="4" a="1"/>
  <c r="E108" i="4" a="1"/>
  <c r="K84" i="4" a="1"/>
  <c r="M318" i="4" a="1"/>
  <c r="C272" i="4" a="1"/>
  <c r="M317" i="4" a="1"/>
  <c r="J202" i="4" a="1"/>
  <c r="L127" i="4" a="1"/>
  <c r="D33" i="4" a="1"/>
  <c r="K79" i="4" a="1"/>
  <c r="K149" i="4" a="1"/>
  <c r="I69" i="4" a="1"/>
  <c r="D92" i="4" a="1"/>
  <c r="J188" i="4" a="1"/>
  <c r="M310" i="4" a="1"/>
  <c r="C313" i="4" a="1"/>
  <c r="G189" i="4" a="1"/>
  <c r="K204" i="4" a="1"/>
  <c r="N129" i="4" a="1"/>
  <c r="G29" i="4" a="1"/>
  <c r="C50" i="4" a="1"/>
  <c r="C161" i="4" a="1"/>
  <c r="L199" i="4" a="1"/>
  <c r="M23" i="4" a="1"/>
  <c r="L182" i="4" a="1"/>
  <c r="F67" i="4" a="1"/>
  <c r="D132" i="4" a="1"/>
  <c r="M101" i="4" a="1"/>
  <c r="D70" i="4" a="1"/>
  <c r="I216" i="4" a="1"/>
  <c r="C206" i="4" a="1"/>
  <c r="E121" i="4" a="1"/>
  <c r="E34" i="4" a="1"/>
  <c r="G24" i="4" a="1"/>
  <c r="L39" i="4" a="1"/>
  <c r="M206" i="4" a="1"/>
  <c r="N118" i="4" a="1"/>
  <c r="K133" i="4" a="1"/>
  <c r="I68" i="4" a="1"/>
  <c r="G161" i="4" a="1"/>
  <c r="C350" i="4" a="1"/>
  <c r="M352" i="4" a="1"/>
  <c r="I178" i="4" a="1"/>
  <c r="G124" i="4" a="1"/>
  <c r="F132" i="4" a="1"/>
  <c r="L130" i="4" a="1"/>
  <c r="C180" i="4" a="1"/>
  <c r="F103" i="4" a="1"/>
  <c r="I91" i="4" a="1"/>
  <c r="I201" i="4" a="1"/>
  <c r="N46" i="4" a="1"/>
  <c r="C337" i="4" a="1"/>
  <c r="C278" i="4" a="1"/>
  <c r="J216" i="4" a="1"/>
  <c r="D55" i="4" a="1"/>
  <c r="K143" i="4" a="1"/>
  <c r="C63" i="4" a="1"/>
  <c r="K169" i="4" a="1"/>
  <c r="E188" i="4" a="1"/>
  <c r="H81" i="4" a="1"/>
  <c r="J163" i="4" a="1"/>
  <c r="C357" i="4" a="1"/>
  <c r="M366" i="4" a="1"/>
  <c r="C302" i="4" a="1"/>
  <c r="C177" i="4" a="1"/>
  <c r="C42" i="4" a="1"/>
  <c r="I136" i="4" a="1"/>
  <c r="H79" i="4" a="1"/>
  <c r="K146" i="4" a="1"/>
  <c r="E208" i="4" a="1"/>
  <c r="E123" i="4" a="1"/>
  <c r="N182" i="4" a="1"/>
  <c r="C348" i="4" a="1"/>
  <c r="M304" i="4" a="1"/>
  <c r="E171" i="4" a="1"/>
  <c r="E128" i="4" a="1"/>
  <c r="E210" i="4" a="1"/>
  <c r="K190" i="4" a="1"/>
  <c r="L147" i="4" a="1"/>
  <c r="G130" i="4" a="1"/>
  <c r="L195" i="4" a="1"/>
  <c r="H187" i="4" a="1"/>
  <c r="M116" i="4" a="1"/>
  <c r="M276" i="4" a="1"/>
  <c r="C328" i="4" a="1"/>
  <c r="E50" i="4" a="1"/>
  <c r="I197" i="4" a="1"/>
  <c r="D157" i="4" a="1"/>
  <c r="N168" i="4" a="1"/>
  <c r="C105" i="4" a="1"/>
  <c r="E217" i="4" a="1"/>
  <c r="C185" i="4" a="1"/>
  <c r="K113" i="4" a="1"/>
  <c r="M330" i="4" a="1"/>
  <c r="C284" i="4" a="1"/>
  <c r="F85" i="4" a="1"/>
  <c r="L65" i="4" a="1"/>
  <c r="K148" i="4" a="1"/>
  <c r="J137" i="4" a="1"/>
  <c r="G123" i="4" a="1"/>
  <c r="M209" i="4" a="1"/>
  <c r="J218" i="4" a="1"/>
  <c r="N60" i="4" a="1"/>
  <c r="J126" i="4" a="1"/>
  <c r="C228" i="4" a="1"/>
  <c r="M308" i="4" a="1"/>
  <c r="H140" i="4" a="1"/>
  <c r="L97" i="4" a="1"/>
  <c r="M71" i="4" a="1"/>
  <c r="H126" i="4" a="1"/>
  <c r="L208" i="4" a="1"/>
  <c r="K106" i="4" a="1"/>
  <c r="J195" i="4" a="1"/>
  <c r="M170" i="4" a="1"/>
  <c r="C275" i="4" a="1"/>
  <c r="M254" i="4" a="1"/>
  <c r="D127" i="4" a="1"/>
  <c r="I158" i="4" a="1"/>
  <c r="H147" i="4" a="1"/>
  <c r="D134" i="4" a="1"/>
  <c r="F88" i="4" a="1"/>
  <c r="G125" i="4" a="1"/>
  <c r="I192" i="4" a="1"/>
  <c r="I140" i="4" a="1"/>
  <c r="L28" i="4" a="1"/>
  <c r="C248" i="4" a="1"/>
  <c r="C347" i="4" a="1"/>
  <c r="L142" i="4" a="1"/>
  <c r="J144" i="4" a="1"/>
  <c r="H185" i="4" a="1"/>
  <c r="G137" i="4" a="1"/>
  <c r="F109" i="4" a="1"/>
  <c r="J124" i="4" a="1"/>
  <c r="K47" i="4" a="1"/>
  <c r="D131" i="4" a="1"/>
  <c r="E131" i="4" a="1"/>
  <c r="N127" i="4" a="1"/>
  <c r="K221" i="4" a="1"/>
  <c r="C317" i="4" a="1"/>
  <c r="N153" i="4" a="1"/>
  <c r="K117" i="4" a="1"/>
  <c r="H116" i="4" a="1"/>
  <c r="F140" i="4" a="1"/>
  <c r="F202" i="4" a="1"/>
  <c r="D159" i="4" a="1"/>
  <c r="E213" i="4" a="1"/>
  <c r="C214" i="4" a="1"/>
  <c r="G91" i="4" a="1"/>
  <c r="J107" i="4" a="1"/>
  <c r="J196" i="4" a="1"/>
  <c r="I207" i="4" a="1"/>
  <c r="F64" i="4" a="1"/>
  <c r="E39" i="4" a="1"/>
  <c r="C325" i="4" a="1"/>
  <c r="M369" i="4" a="1"/>
  <c r="H133" i="4" a="1"/>
  <c r="G184" i="4" a="1"/>
  <c r="K194" i="4" a="1"/>
  <c r="H59" i="4" a="1"/>
  <c r="L66" i="4" a="1"/>
  <c r="G97" i="4" a="1"/>
  <c r="F151" i="4" a="1"/>
  <c r="M78" i="4" a="1"/>
  <c r="J142" i="4" a="1"/>
  <c r="M332" i="4" a="1"/>
  <c r="M258" i="4" a="1"/>
  <c r="C152" i="4" a="1"/>
  <c r="F73" i="4" a="1"/>
  <c r="C142" i="4" a="1"/>
  <c r="E95" i="4" a="1"/>
  <c r="H209" i="4" a="1"/>
  <c r="N24" i="4" a="1"/>
  <c r="N81" i="4" a="1"/>
  <c r="N75" i="4" a="1"/>
  <c r="M345" i="4" a="1"/>
  <c r="M323" i="4" a="1"/>
  <c r="I119" i="4" a="1"/>
  <c r="D168" i="4" a="1"/>
  <c r="I106" i="4" a="1"/>
  <c r="L184" i="4" a="1"/>
  <c r="L121" i="4" a="1"/>
  <c r="E201" i="4" a="1"/>
  <c r="G162" i="4" a="1"/>
  <c r="F164" i="4" a="1"/>
  <c r="L191" i="4" a="1"/>
  <c r="C365" i="4" a="1"/>
  <c r="M273" i="4" a="1"/>
  <c r="N65" i="4" a="1"/>
  <c r="N103" i="4" a="1"/>
  <c r="M91" i="4" a="1"/>
  <c r="N63" i="4" a="1"/>
  <c r="L128" i="4" a="1"/>
  <c r="C164" i="4" a="1"/>
  <c r="C72" i="4" a="1"/>
  <c r="K160" i="4" a="1"/>
  <c r="C149" i="4" a="1"/>
  <c r="C306" i="4" a="1"/>
  <c r="M297" i="4" a="1"/>
  <c r="G56" i="4" a="1"/>
  <c r="J146" i="4" a="1"/>
  <c r="J161" i="4" a="1"/>
  <c r="H85" i="4" a="1"/>
  <c r="H201" i="4" a="1"/>
  <c r="I108" i="4" a="1"/>
  <c r="D202" i="4" a="1"/>
  <c r="C216" i="4" a="1"/>
  <c r="C287" i="4" a="1"/>
  <c r="M266" i="4" a="1"/>
  <c r="E88" i="4" a="1"/>
  <c r="H134" i="4" a="1"/>
  <c r="G141" i="4" a="1"/>
  <c r="J215" i="4" a="1"/>
  <c r="H215" i="4" a="1"/>
  <c r="L216" i="4" a="1"/>
  <c r="I148" i="4" a="1"/>
  <c r="I206" i="4" a="1"/>
  <c r="I203" i="4" a="1"/>
  <c r="C260" i="4" a="1"/>
  <c r="M290" i="4" a="1"/>
  <c r="J182" i="4" a="1"/>
  <c r="J201" i="4" a="1"/>
  <c r="H39" i="4" a="1"/>
  <c r="C145" i="4" a="1"/>
  <c r="G220" i="4" a="1"/>
  <c r="K154" i="4" a="1"/>
  <c r="G196" i="4" a="1"/>
  <c r="C211" i="4" a="1"/>
  <c r="M329" i="4" a="1"/>
  <c r="M292" i="4" a="1"/>
  <c r="H219" i="4" a="1"/>
  <c r="N149" i="4" a="1"/>
  <c r="E73" i="4" a="1"/>
  <c r="F159" i="4" a="1"/>
  <c r="E120" i="4" a="1"/>
  <c r="K89" i="4" a="1"/>
  <c r="F197" i="4" a="1"/>
  <c r="K130" i="4" a="1"/>
  <c r="F63" i="4" a="1"/>
  <c r="C230" i="4" a="1"/>
  <c r="C316" i="4" a="1"/>
  <c r="J117" i="4" a="1"/>
  <c r="L67" i="4" a="1"/>
  <c r="D208" i="4" a="1"/>
  <c r="J109" i="4" a="1"/>
  <c r="E168" i="4" a="1"/>
  <c r="D174" i="4" a="1"/>
  <c r="L62" i="4" a="1"/>
  <c r="L200" i="4" a="1"/>
  <c r="M152" i="4" a="1"/>
  <c r="C334" i="4" a="1"/>
  <c r="H214" i="4" a="1"/>
  <c r="D117" i="4" a="1"/>
  <c r="K185" i="4" a="1"/>
  <c r="M137" i="4" a="1"/>
  <c r="K201" i="4" a="1"/>
  <c r="C243" i="4" a="1"/>
  <c r="G103" i="4" a="1"/>
  <c r="L86" i="4" a="1"/>
  <c r="G96" i="4" a="1"/>
  <c r="E198" i="4" a="1"/>
  <c r="H71" i="4" a="1"/>
  <c r="C190" i="4" a="1"/>
  <c r="E133" i="4" a="1"/>
  <c r="K66" i="4" a="1"/>
  <c r="E207" i="4" a="1"/>
  <c r="K191" i="4" a="1"/>
  <c r="J66" i="4" a="1"/>
  <c r="D78" i="4" a="1"/>
  <c r="M265" i="4" a="1"/>
  <c r="C335" i="4" a="1"/>
  <c r="I121" i="4" a="1"/>
  <c r="I141" i="4" a="1"/>
  <c r="F154" i="4" a="1"/>
  <c r="H50" i="4" a="1"/>
  <c r="F216" i="4" a="1"/>
  <c r="H53" i="4" a="1"/>
  <c r="D49" i="4" a="1"/>
  <c r="J149" i="4" a="1"/>
  <c r="J86" i="4" a="1"/>
  <c r="C253" i="4" a="1"/>
  <c r="M363" i="4" a="1"/>
  <c r="J160" i="4" a="1"/>
  <c r="H109" i="4" a="1"/>
  <c r="G155" i="4" a="1"/>
  <c r="L158" i="4" a="1"/>
  <c r="J58" i="4" a="1"/>
  <c r="K195" i="4" a="1"/>
  <c r="H157" i="4" a="1"/>
  <c r="N124" i="4" a="1"/>
  <c r="M286" i="4" a="1"/>
  <c r="C360" i="4" a="1"/>
  <c r="F66" i="4" a="1"/>
  <c r="H194" i="4" a="1"/>
  <c r="H89" i="4" a="1"/>
  <c r="N138" i="4" a="1"/>
  <c r="K45" i="4" a="1"/>
  <c r="C157" i="4" a="1"/>
  <c r="L117" i="4" a="1"/>
  <c r="K74" i="4" a="1"/>
  <c r="K165" i="4" a="1"/>
  <c r="C346" i="4" a="1"/>
  <c r="M239" i="4" a="1"/>
  <c r="E173" i="4" a="1"/>
  <c r="N102" i="4" a="1"/>
  <c r="K215" i="4" a="1"/>
  <c r="D25" i="4" a="1"/>
  <c r="N176" i="4" a="1"/>
  <c r="G104" i="4" a="1"/>
  <c r="G205" i="4" a="1"/>
  <c r="E143" i="4" a="1"/>
  <c r="C341" i="4" a="1"/>
  <c r="M319" i="4" a="1"/>
  <c r="M305" i="4" a="1"/>
  <c r="C118" i="4" a="1"/>
  <c r="N217" i="4" a="1"/>
  <c r="F72" i="4" a="1"/>
  <c r="I57" i="4" a="1"/>
  <c r="I214" i="4" a="1"/>
  <c r="F127" i="4" a="1"/>
  <c r="I177" i="4" a="1"/>
  <c r="J209" i="4" a="1"/>
  <c r="M247" i="4" a="1"/>
  <c r="M269" i="4" a="1"/>
  <c r="H137" i="4" a="1"/>
  <c r="L218" i="4" a="1"/>
  <c r="L84" i="4" a="1"/>
  <c r="J25" i="4" a="1"/>
  <c r="D52" i="4" a="1"/>
  <c r="J212" i="4" a="1"/>
  <c r="J105" i="4" a="1"/>
  <c r="J42" i="4" a="1"/>
  <c r="M151" i="4" a="1"/>
  <c r="C242" i="4" a="1"/>
  <c r="C293" i="4" a="1"/>
  <c r="J119" i="4" a="1"/>
  <c r="E112" i="4" a="1"/>
  <c r="K156" i="4" a="1"/>
  <c r="K144" i="4" a="1"/>
  <c r="I124" i="4" a="1"/>
  <c r="N175" i="4" a="1"/>
  <c r="D60" i="4" a="1"/>
  <c r="M47" i="4" a="1"/>
  <c r="C283" i="4" a="1"/>
  <c r="C261" i="4" a="1"/>
  <c r="L112" i="4" a="1"/>
  <c r="M50" i="4" a="1"/>
  <c r="C26" i="4" a="1"/>
  <c r="L148" i="4" a="1"/>
  <c r="N58" i="4" a="1"/>
  <c r="L73" i="4" a="1"/>
  <c r="D31" i="4" a="1"/>
  <c r="J170" i="4" a="1"/>
  <c r="E158" i="4" a="1"/>
  <c r="C268" i="4" a="1"/>
  <c r="M285" i="4" a="1"/>
  <c r="L214" i="4" a="1"/>
  <c r="N41" i="4" a="1"/>
  <c r="K36" i="4" a="1"/>
  <c r="L114" i="4" a="1"/>
  <c r="H180" i="4" a="1"/>
  <c r="G152" i="4" a="1"/>
  <c r="K46" i="4" a="1"/>
  <c r="D188" i="4" a="1"/>
  <c r="F61" i="4" a="1"/>
  <c r="N148" i="4" a="1"/>
  <c r="D193" i="4" a="1"/>
  <c r="L137" i="4" a="1"/>
  <c r="E94" i="4" a="1"/>
  <c r="K210" i="4" a="1"/>
  <c r="N131" i="4" a="1"/>
  <c r="C111" i="4" a="1"/>
  <c r="G222" i="4" a="1"/>
  <c r="H216" i="4" a="1"/>
  <c r="D27" i="4" a="1"/>
  <c r="D187" i="4" a="1"/>
  <c r="M24" i="4" a="1"/>
  <c r="I40" i="4" a="1"/>
  <c r="J34" i="4" a="1"/>
  <c r="F139" i="4" a="1"/>
  <c r="F96" i="4" a="1"/>
  <c r="K192" i="4" a="1"/>
  <c r="I170" i="4" a="1"/>
  <c r="N49" i="4" a="1"/>
  <c r="H131" i="4" a="1"/>
  <c r="M356" i="4" a="1"/>
  <c r="M263" i="4" a="1"/>
  <c r="F99" i="4" a="1"/>
  <c r="M181" i="4" a="1"/>
  <c r="G214" i="4" a="1"/>
  <c r="I172" i="4" a="1"/>
  <c r="N30" i="4" a="1"/>
  <c r="E103" i="4" a="1"/>
  <c r="L139" i="4" a="1"/>
  <c r="I154" i="4" a="1"/>
  <c r="M108" i="4" a="1"/>
  <c r="M358" i="4" a="1"/>
  <c r="C298" i="4" a="1"/>
  <c r="I82" i="4" a="1"/>
  <c r="K121" i="4" a="1"/>
  <c r="M177" i="4" a="1"/>
  <c r="G138" i="4" a="1"/>
  <c r="C31" i="4" a="1"/>
  <c r="G88" i="4" a="1"/>
  <c r="K67" i="4" a="1"/>
  <c r="K164" i="4" a="1"/>
  <c r="C353" i="4" a="1"/>
  <c r="C331" i="4" a="1"/>
  <c r="M194" i="4" a="1"/>
  <c r="H69" i="4" a="1"/>
  <c r="N113" i="4" a="1"/>
  <c r="D161" i="4" a="1"/>
  <c r="L219" i="4" a="1"/>
  <c r="G61" i="4" a="1"/>
  <c r="I149" i="4" a="1"/>
  <c r="J173" i="4" a="1"/>
  <c r="H148" i="4" a="1"/>
  <c r="M321" i="4" a="1"/>
  <c r="M351" i="4" a="1"/>
  <c r="F77" i="4" a="1"/>
  <c r="J38" i="4" a="1"/>
  <c r="G111" i="4" a="1"/>
  <c r="H130" i="4" a="1"/>
  <c r="N25" i="4" a="1"/>
  <c r="D114" i="4" a="1"/>
  <c r="I97" i="4" a="1"/>
  <c r="I174" i="4" a="1"/>
  <c r="C322" i="4" a="1"/>
  <c r="M288" i="4" a="1"/>
  <c r="K82" i="4" a="1"/>
  <c r="I164" i="4" a="1"/>
  <c r="C112" i="4" a="1"/>
  <c r="J23" i="4" a="1"/>
  <c r="D204" i="4" a="1"/>
  <c r="H115" i="4" a="1"/>
  <c r="C182" i="4" a="1"/>
  <c r="C94" i="4" a="1"/>
  <c r="H170" i="4" a="1"/>
  <c r="M342" i="4" a="1"/>
  <c r="M250" i="4" a="1"/>
  <c r="C172" i="4" a="1"/>
  <c r="F191" i="4" a="1"/>
  <c r="M141" i="4" a="1"/>
  <c r="M173" i="4" a="1"/>
  <c r="N159" i="4" a="1"/>
  <c r="I48" i="4" a="1"/>
  <c r="L174" i="4" a="1"/>
  <c r="E85" i="4" a="1"/>
  <c r="H191" i="4" a="1"/>
  <c r="C338" i="4" a="1"/>
  <c r="M274" i="4" a="1"/>
  <c r="E126" i="4" a="1"/>
  <c r="D112" i="4" a="1"/>
  <c r="E151" i="4" a="1"/>
  <c r="J50" i="4" a="1"/>
  <c r="F93" i="4" a="1"/>
  <c r="J74" i="4" a="1"/>
  <c r="H221" i="4" a="1"/>
  <c r="F90" i="4" a="1"/>
  <c r="C252" i="4" a="1"/>
  <c r="C291" i="4" a="1"/>
  <c r="D172" i="4" a="1"/>
  <c r="J159" i="4" a="1"/>
  <c r="E157" i="4" a="1"/>
  <c r="H113" i="4" a="1"/>
  <c r="I155" i="4" a="1"/>
  <c r="H173" i="4" a="1"/>
  <c r="K155" i="4" a="1"/>
  <c r="I64" i="4" a="1"/>
  <c r="K205" i="4" a="1"/>
  <c r="C237" i="4" a="1"/>
  <c r="C340" i="4" a="1"/>
  <c r="D67" i="4" a="1"/>
  <c r="F107" i="4" a="1"/>
  <c r="G135" i="4" a="1"/>
  <c r="C125" i="4" a="1"/>
  <c r="E33" i="4" a="1"/>
  <c r="H51" i="4" a="1"/>
  <c r="N156" i="4" a="1"/>
  <c r="J169" i="4" a="1"/>
  <c r="C104" i="4" a="1"/>
  <c r="D221" i="4" a="1"/>
  <c r="E216" i="4" a="1"/>
  <c r="F210" i="4" a="1"/>
  <c r="K100" i="4" a="1"/>
  <c r="I90" i="4" a="1"/>
  <c r="C207" i="4" a="1"/>
  <c r="J60" i="4" a="1"/>
  <c r="L161" i="4" a="1"/>
  <c r="L222" i="4" a="1"/>
  <c r="D109" i="4" a="1"/>
  <c r="L82" i="4" a="1"/>
  <c r="E174" i="4" a="1"/>
  <c r="K63" i="4" a="1"/>
  <c r="M270" i="4" a="1"/>
  <c r="I103" i="4" a="1"/>
  <c r="D82" i="4" a="1"/>
  <c r="F138" i="4" a="1"/>
  <c r="G146" i="4" a="1"/>
  <c r="G129" i="4" a="1"/>
  <c r="G145" i="4" a="1"/>
  <c r="J125" i="4" a="1"/>
  <c r="E197" i="4" a="1"/>
  <c r="C229" i="4" a="1"/>
  <c r="D95" i="4" a="1"/>
  <c r="J183" i="4" a="1"/>
  <c r="M300" i="4" a="1"/>
  <c r="J134" i="4" a="1"/>
  <c r="K102" i="4" a="1"/>
  <c r="K51" i="4" a="1"/>
  <c r="L133" i="4" a="1"/>
  <c r="M326" i="4" a="1"/>
  <c r="C270" i="4" a="1"/>
  <c r="I42" i="4" a="1"/>
  <c r="C141" i="4" a="1"/>
  <c r="L72" i="4" a="1"/>
  <c r="N37" i="4" a="1"/>
  <c r="G212" i="4" a="1"/>
  <c r="D111" i="4" a="1"/>
  <c r="M125" i="4" a="1"/>
  <c r="J91" i="4" a="1"/>
  <c r="F124" i="4" a="1"/>
  <c r="K90" i="4" a="1"/>
  <c r="M204" i="4" a="1"/>
  <c r="H95" i="4" a="1"/>
  <c r="M337" i="4" a="1"/>
  <c r="M278" i="4" a="1"/>
  <c r="I209" i="4" a="1"/>
  <c r="L68" i="4" a="1"/>
  <c r="J63" i="4" a="1"/>
  <c r="I76" i="4" a="1"/>
  <c r="H162" i="4" a="1"/>
  <c r="L140" i="4" a="1"/>
  <c r="J114" i="4" a="1"/>
  <c r="I218" i="4" a="1"/>
  <c r="M232" i="4" a="1"/>
  <c r="C339" i="4" a="1"/>
  <c r="M336" i="4" a="1"/>
  <c r="J129" i="4" a="1"/>
  <c r="L77" i="4" a="1"/>
  <c r="G183" i="4" a="1"/>
  <c r="N80" i="4" a="1"/>
  <c r="K112" i="4" a="1"/>
  <c r="D102" i="4" a="1"/>
  <c r="D72" i="4" a="1"/>
  <c r="H107" i="4" a="1"/>
  <c r="M348" i="4" a="1"/>
  <c r="C304" i="4" a="1"/>
  <c r="C32" i="4" a="1"/>
  <c r="K127" i="4" a="1"/>
  <c r="G66" i="4" a="1"/>
  <c r="I96" i="4" a="1"/>
  <c r="K68" i="4" a="1"/>
  <c r="H172" i="4" a="1"/>
  <c r="I217" i="4" a="1"/>
  <c r="M188" i="4" a="1"/>
  <c r="J59" i="4" a="1"/>
  <c r="M311" i="4" a="1"/>
  <c r="M259" i="4" a="1"/>
  <c r="F70" i="4" a="1"/>
  <c r="N140" i="4" a="1"/>
  <c r="K25" i="4" a="1"/>
  <c r="C174" i="4" a="1"/>
  <c r="H205" i="4" a="1"/>
  <c r="G75" i="4" a="1"/>
  <c r="G100" i="4" a="1"/>
  <c r="F84" i="4" a="1"/>
  <c r="C330" i="4" a="1"/>
  <c r="M284" i="4" a="1"/>
  <c r="J35" i="4" a="1"/>
  <c r="I152" i="4" a="1"/>
  <c r="I137" i="4" a="1"/>
  <c r="F201" i="4" a="1"/>
  <c r="G70" i="4" a="1"/>
  <c r="L64" i="4" a="1"/>
  <c r="H154" i="4" a="1"/>
  <c r="M59" i="4" a="1"/>
  <c r="C86" i="4" a="1"/>
  <c r="M364" i="4" a="1"/>
  <c r="C355" i="4" a="1"/>
  <c r="I150" i="4" a="1"/>
  <c r="M79" i="4" a="1"/>
  <c r="L110" i="4" a="1"/>
  <c r="G163" i="4" a="1"/>
  <c r="K159" i="4" a="1"/>
  <c r="D118" i="4" a="1"/>
  <c r="I143" i="4" a="1"/>
  <c r="F31" i="4" a="1"/>
  <c r="M275" i="4" a="1"/>
  <c r="C254" i="4" a="1"/>
  <c r="G180" i="4" a="1"/>
  <c r="D75" i="4" a="1"/>
  <c r="F222" i="4" a="1"/>
  <c r="M112" i="4" a="1"/>
  <c r="F83" i="4" a="1"/>
  <c r="J45" i="4" a="1"/>
  <c r="J190" i="4" a="1"/>
  <c r="J40" i="4" a="1"/>
  <c r="H30" i="4" a="1"/>
  <c r="C295" i="4" a="1"/>
  <c r="M361" i="4" a="1"/>
  <c r="M102" i="4" a="1"/>
  <c r="K171" i="4" a="1"/>
  <c r="I173" i="4" a="1"/>
  <c r="C28" i="4" a="1"/>
  <c r="H120" i="4" a="1"/>
  <c r="G159" i="4" a="1"/>
  <c r="G178" i="4" a="1"/>
  <c r="G148" i="4" a="1"/>
  <c r="C27" i="4" a="1"/>
  <c r="C280" i="4" a="1"/>
  <c r="M227" i="4" a="1"/>
  <c r="F123" i="4" a="1"/>
  <c r="D145" i="4" a="1"/>
  <c r="E214" i="4" a="1"/>
  <c r="G126" i="4" a="1"/>
  <c r="L146" i="4" a="1"/>
  <c r="H25" i="4" a="1"/>
  <c r="I179" i="4" a="1"/>
  <c r="H123" i="4" a="1"/>
  <c r="C249" i="4" a="1"/>
  <c r="M327" i="4" a="1"/>
  <c r="D173" i="4" a="1"/>
  <c r="G153" i="4" a="1"/>
  <c r="G177" i="4" a="1"/>
  <c r="D115" i="4" a="1"/>
  <c r="E90" i="4" a="1"/>
  <c r="D135" i="4" a="1"/>
  <c r="F40" i="4" a="1"/>
  <c r="E27" i="4" a="1"/>
  <c r="M367" i="4" a="1"/>
  <c r="M359" i="4" a="1"/>
  <c r="D196" i="4" a="1"/>
  <c r="D148" i="4" a="1"/>
  <c r="H178" i="4" a="1"/>
  <c r="I191" i="4" a="1"/>
  <c r="M168" i="4" a="1"/>
  <c r="N51" i="4" a="1"/>
  <c r="N94" i="4" a="1"/>
  <c r="I146" i="4" a="1"/>
  <c r="L135" i="4" a="1"/>
  <c r="C80" i="4" a="1"/>
  <c r="E96" i="4" a="1"/>
  <c r="G38" i="4" a="1"/>
  <c r="M237" i="4" a="1"/>
  <c r="C315" i="4" a="1"/>
  <c r="K26" i="4" a="1"/>
  <c r="D76" i="4" a="1"/>
  <c r="D59" i="4" a="1"/>
  <c r="C332" i="4" a="1"/>
  <c r="C258" i="4" a="1"/>
  <c r="I105" i="4" a="1"/>
  <c r="H65" i="4" a="1"/>
  <c r="M88" i="4" a="1"/>
  <c r="G57" i="4" a="1"/>
  <c r="D94" i="4" a="1"/>
  <c r="N97" i="4" a="1"/>
  <c r="H211" i="4" a="1"/>
  <c r="F221" i="4" a="1"/>
  <c r="M289" i="4" a="1"/>
  <c r="C370" i="4" a="1"/>
  <c r="E176" i="4" a="1"/>
  <c r="E136" i="4" a="1"/>
  <c r="E152" i="4" a="1"/>
  <c r="K80" i="4" a="1"/>
  <c r="I132" i="4" a="1"/>
  <c r="F182" i="4" a="1"/>
  <c r="E109" i="4" a="1"/>
  <c r="G154" i="4" a="1"/>
  <c r="M34" i="4" a="1"/>
  <c r="M365" i="4" a="1"/>
  <c r="C273" i="4" a="1"/>
  <c r="G198" i="4" a="1"/>
  <c r="G179" i="4" a="1"/>
  <c r="C212" i="4" a="1"/>
  <c r="M189" i="4" a="1"/>
  <c r="J51" i="4" a="1"/>
  <c r="D219" i="4" a="1"/>
  <c r="K72" i="4" a="1"/>
  <c r="K99" i="4" a="1"/>
  <c r="C106" i="4" a="1"/>
  <c r="C301" i="4" a="1"/>
  <c r="C320" i="4" a="1"/>
  <c r="J71" i="4" a="1"/>
  <c r="I118" i="4" a="1"/>
  <c r="H190" i="4" a="1"/>
  <c r="N91" i="4" a="1"/>
  <c r="L70" i="4" a="1"/>
  <c r="K118" i="4" a="1"/>
  <c r="J77" i="4" a="1"/>
  <c r="H82" i="4" a="1"/>
  <c r="M287" i="4" a="1"/>
  <c r="C266" i="4" a="1"/>
  <c r="J106" i="4" a="1"/>
  <c r="D142" i="4" a="1"/>
  <c r="L90" i="4" a="1"/>
  <c r="I161" i="4" a="1"/>
  <c r="F167" i="4" a="1"/>
  <c r="M27" i="4" a="1"/>
  <c r="D51" i="4" a="1"/>
  <c r="N134" i="4" a="1"/>
  <c r="N214" i="4" a="1"/>
  <c r="M307" i="4" a="1"/>
  <c r="M324" i="4" a="1"/>
  <c r="D175" i="4" a="1"/>
  <c r="N123" i="4" a="1"/>
  <c r="E98" i="4" a="1"/>
  <c r="J79" i="4" a="1"/>
  <c r="D158" i="4" a="1"/>
  <c r="M84" i="4" a="1"/>
  <c r="F142" i="4" a="1"/>
  <c r="G188" i="4" a="1"/>
  <c r="C329" i="4" a="1"/>
  <c r="C292" i="4" a="1"/>
  <c r="E179" i="4" a="1"/>
  <c r="K161" i="4" a="1"/>
  <c r="M167" i="4" a="1"/>
  <c r="G166" i="4" a="1"/>
  <c r="C58" i="4" a="1"/>
  <c r="J205" i="4" a="1"/>
  <c r="F87" i="4" a="1"/>
  <c r="I183" i="4" a="1"/>
  <c r="C139" i="4" a="1"/>
  <c r="C264" i="4" a="1"/>
  <c r="M279" i="4" a="1"/>
  <c r="E218" i="4" a="1"/>
  <c r="L207" i="4" a="1"/>
  <c r="J43" i="4" a="1"/>
  <c r="N106" i="4" a="1"/>
  <c r="L160" i="4" a="1"/>
  <c r="G73" i="4" a="1"/>
  <c r="E40" i="4" a="1"/>
  <c r="M198" i="4" a="1"/>
  <c r="C271" i="4" a="1"/>
  <c r="F43" i="4" a="1"/>
  <c r="G69" i="4" a="1"/>
  <c r="L172" i="4" a="1"/>
  <c r="D207" i="4" a="1"/>
  <c r="D108" i="4" a="1"/>
  <c r="K61" i="4" a="1"/>
  <c r="I186" i="4" a="1"/>
  <c r="C256" i="4" a="1"/>
  <c r="C314" i="4" a="1"/>
  <c r="J214" i="4" a="1"/>
  <c r="F217" i="4" a="1"/>
  <c r="L123" i="4" a="1"/>
  <c r="M253" i="4" a="1"/>
  <c r="C363" i="4" a="1"/>
  <c r="E59" i="4" a="1"/>
  <c r="E155" i="4" a="1"/>
  <c r="D143" i="4" a="1"/>
  <c r="K157" i="4" a="1"/>
  <c r="D37" i="4" a="1"/>
  <c r="G35" i="4" a="1"/>
  <c r="J130" i="4" a="1"/>
  <c r="M200" i="4" a="1"/>
  <c r="M350" i="4" a="1"/>
  <c r="C352" i="4" a="1"/>
  <c r="L171" i="4" a="1"/>
  <c r="G81" i="4" a="1"/>
  <c r="M26" i="4" a="1"/>
  <c r="N120" i="4" a="1"/>
  <c r="H206" i="4" a="1"/>
  <c r="C183" i="4" a="1"/>
  <c r="C54" i="4" a="1"/>
  <c r="D197" i="4" a="1"/>
  <c r="E204" i="4" a="1"/>
  <c r="M346" i="4" a="1"/>
  <c r="C239" i="4" a="1"/>
  <c r="L194" i="4" a="1"/>
  <c r="K138" i="4" a="1"/>
  <c r="K147" i="4" a="1"/>
  <c r="D190" i="4" a="1"/>
  <c r="M109" i="4" a="1"/>
  <c r="G197" i="4" a="1"/>
  <c r="D209" i="4" a="1"/>
  <c r="K23" i="4" a="1"/>
  <c r="M357" i="4" a="1"/>
  <c r="C366" i="4" a="1"/>
  <c r="M302" i="4" a="1"/>
  <c r="N121" i="4" a="1"/>
  <c r="J81" i="4" a="1"/>
  <c r="K176" i="4" a="1"/>
  <c r="M201" i="4" a="1"/>
  <c r="E177" i="4" a="1"/>
  <c r="M176" i="4" a="1"/>
  <c r="J27" i="4" a="1"/>
  <c r="H181" i="4" a="1"/>
  <c r="C247" i="4" a="1"/>
  <c r="C269" i="4" a="1"/>
  <c r="K60" i="4" a="1"/>
  <c r="I169" i="4" a="1"/>
  <c r="L58" i="4" a="1"/>
  <c r="I43" i="4" a="1"/>
  <c r="H117" i="4" a="1"/>
  <c r="I184" i="4" a="1"/>
  <c r="H210" i="4" a="1"/>
  <c r="K197" i="4" a="1"/>
  <c r="N194" i="4" a="1"/>
  <c r="C276" i="4" a="1"/>
  <c r="M328" i="4" a="1"/>
  <c r="G65" i="4" a="1"/>
  <c r="H86" i="4" a="1"/>
  <c r="I205" i="4" a="1"/>
  <c r="L157" i="4" a="1"/>
  <c r="G158" i="4" a="1"/>
  <c r="H159" i="4" a="1"/>
  <c r="F46" i="4" a="1"/>
  <c r="C102" i="4" a="1"/>
  <c r="M283" i="4" a="1"/>
  <c r="M261" i="4" a="1"/>
  <c r="J143" i="4" a="1"/>
  <c r="K119" i="4" a="1"/>
  <c r="G86" i="4" a="1"/>
  <c r="N202" i="4" a="1"/>
  <c r="M87" i="4" a="1"/>
  <c r="K186" i="4" a="1"/>
  <c r="E82" i="4" a="1"/>
  <c r="M69" i="4" a="1"/>
  <c r="F42" i="4" a="1"/>
  <c r="M228" i="4" a="1"/>
  <c r="C308" i="4" a="1"/>
  <c r="H167" i="4" a="1"/>
  <c r="E127" i="4" a="1"/>
  <c r="J65" i="4" a="1"/>
  <c r="N66" i="4" a="1"/>
  <c r="J101" i="4" a="1"/>
  <c r="N34" i="4" a="1"/>
  <c r="L156" i="4" a="1"/>
  <c r="N38" i="4" a="1"/>
  <c r="C240" i="4" a="1"/>
  <c r="C255" i="4" a="1"/>
  <c r="N126" i="4" a="1"/>
  <c r="C95" i="4" a="1"/>
  <c r="G108" i="4" a="1"/>
  <c r="K40" i="4" a="1"/>
  <c r="L180" i="4" a="1"/>
  <c r="F110" i="4" a="1"/>
  <c r="K129" i="4" a="1"/>
  <c r="G173" i="4" a="1"/>
  <c r="E196" i="4" a="1"/>
  <c r="D213" i="4" a="1"/>
  <c r="F44" i="4" a="1"/>
  <c r="D191" i="4" a="1"/>
  <c r="E221" i="4" a="1"/>
  <c r="C294" i="4" a="1"/>
  <c r="J175" i="4" a="1"/>
  <c r="C318" i="4" a="1"/>
  <c r="M246" i="4" a="1"/>
  <c r="N67" i="4" a="1"/>
  <c r="N48" i="4" a="1"/>
  <c r="M179" i="4" a="1"/>
  <c r="F166" i="4" a="1"/>
  <c r="D169" i="4" a="1"/>
  <c r="C98" i="4" a="1"/>
  <c r="K200" i="4" a="1"/>
  <c r="N125" i="4" a="1"/>
  <c r="C343" i="4" a="1"/>
  <c r="I113" i="4" a="1"/>
  <c r="I131" i="4" a="1"/>
  <c r="F81" i="4" a="1"/>
  <c r="K122" i="4" a="1"/>
  <c r="C358" i="4" a="1"/>
  <c r="M298" i="4" a="1"/>
  <c r="L162" i="4" a="1"/>
  <c r="M196" i="4" a="1"/>
  <c r="M202" i="4" a="1"/>
  <c r="D201" i="4" a="1"/>
  <c r="C25" i="4" a="1"/>
  <c r="K128" i="4" a="1"/>
  <c r="M80" i="4" a="1"/>
  <c r="F113" i="4" a="1"/>
  <c r="M325" i="4" a="1"/>
  <c r="C369" i="4" a="1"/>
  <c r="K214" i="4" a="1"/>
  <c r="H183" i="4" a="1"/>
  <c r="M208" i="4" a="1"/>
  <c r="K213" i="4" a="1"/>
  <c r="K111" i="4" a="1"/>
  <c r="C60" i="4" a="1"/>
  <c r="G41" i="4" a="1"/>
  <c r="K182" i="4" a="1"/>
  <c r="D183" i="4" a="1"/>
  <c r="C321" i="4" a="1"/>
  <c r="C351" i="4" a="1"/>
  <c r="M41" i="4" a="1"/>
  <c r="G170" i="4" a="1"/>
  <c r="H122" i="4" a="1"/>
  <c r="N54" i="4" a="1"/>
  <c r="H34" i="4" a="1"/>
  <c r="D180" i="4" a="1"/>
  <c r="E193" i="4" a="1"/>
  <c r="D74" i="4" a="1"/>
  <c r="C345" i="4" a="1"/>
  <c r="C323" i="4" a="1"/>
  <c r="I138" i="4" a="1"/>
  <c r="G156" i="4" a="1"/>
  <c r="G128" i="4" a="1"/>
  <c r="F193" i="4" a="1"/>
  <c r="C222" i="4" a="1"/>
  <c r="K212" i="4" a="1"/>
  <c r="E205" i="4" a="1"/>
  <c r="I78" i="4" a="1"/>
  <c r="C37" i="4" a="1"/>
  <c r="C342" i="4" a="1"/>
  <c r="C250" i="4" a="1"/>
  <c r="C93" i="4" a="1"/>
  <c r="H135" i="4" a="1"/>
  <c r="C178" i="4" a="1"/>
  <c r="G204" i="4" a="1"/>
  <c r="L23" i="4" a="1"/>
  <c r="H198" i="4" a="1"/>
  <c r="H114" i="4" a="1"/>
  <c r="N200" i="4" a="1"/>
  <c r="N222" i="4" a="1"/>
  <c r="M306" i="4" a="1"/>
  <c r="C297" i="4" a="1"/>
  <c r="I104" i="4" a="1"/>
  <c r="E153" i="4" a="1"/>
  <c r="L143" i="4" a="1"/>
  <c r="L76" i="4" a="1"/>
  <c r="J164" i="4" a="1"/>
  <c r="D121" i="4" a="1"/>
  <c r="K32" i="4" a="1"/>
  <c r="N147" i="4" a="1"/>
  <c r="M252" i="4" a="1"/>
  <c r="M291" i="4" a="1"/>
  <c r="G211" i="4" a="1"/>
  <c r="F92" i="4" a="1"/>
  <c r="J154" i="4" a="1"/>
  <c r="F162" i="4" a="1"/>
  <c r="K27" i="4" a="1"/>
  <c r="D146" i="4" a="1"/>
  <c r="L193" i="4" a="1"/>
  <c r="J194" i="4" a="1"/>
  <c r="M260" i="4" a="1"/>
  <c r="C290" i="4" a="1"/>
  <c r="M139" i="4" a="1"/>
  <c r="H44" i="4" a="1"/>
  <c r="I55" i="4" a="1"/>
  <c r="M54" i="4" a="1"/>
  <c r="L185" i="4" a="1"/>
  <c r="L138" i="4" a="1"/>
  <c r="M222" i="4" a="1"/>
  <c r="J54" i="4" a="1"/>
  <c r="C372" i="4" a="1"/>
  <c r="M257" i="4" a="1"/>
  <c r="H27" i="4" a="1"/>
  <c r="M190" i="4" a="1"/>
  <c r="E101" i="4" a="1"/>
  <c r="E58" i="4" a="1"/>
  <c r="N192" i="4" a="1"/>
  <c r="F200" i="4" a="1"/>
  <c r="M142" i="4" a="1"/>
  <c r="D194" i="4" a="1"/>
  <c r="M216" i="4" a="1"/>
  <c r="E118" i="4" a="1"/>
  <c r="L59" i="4" a="1"/>
  <c r="C48" i="4" a="1"/>
  <c r="M217" i="4" a="1"/>
  <c r="C167" i="4" a="1"/>
  <c r="L159" i="4" a="1"/>
  <c r="C368" i="4" a="1"/>
  <c r="M344" i="4" a="1"/>
  <c r="M272" i="4" a="1"/>
  <c r="H100" i="4" a="1"/>
  <c r="J132" i="4" a="1"/>
  <c r="M39" i="4" a="1"/>
  <c r="N64" i="4" a="1"/>
  <c r="L209" i="4" a="1"/>
  <c r="G194" i="4" a="1"/>
  <c r="F60" i="4" a="1"/>
  <c r="D185" i="4" a="1"/>
  <c r="F39" i="4" a="1"/>
  <c r="N160" i="4" a="1"/>
  <c r="C91" i="4" a="1"/>
  <c r="L30" i="4" a="1"/>
  <c r="J94" i="4" a="1"/>
  <c r="I222" i="4" a="1"/>
  <c r="M229" i="4" a="1"/>
  <c r="C367" i="4" a="1"/>
  <c r="N221" i="4" a="1"/>
  <c r="K24" i="4" a="1"/>
  <c r="K77" i="4" a="1"/>
  <c r="K222" i="4" a="1"/>
  <c r="K217" i="4" a="1"/>
  <c r="K175" i="4" a="1"/>
  <c r="M124" i="4" a="1"/>
  <c r="I26" i="4" a="1"/>
  <c r="C265" i="4" a="1"/>
  <c r="M335" i="4" a="1"/>
  <c r="D106" i="4" a="1"/>
  <c r="L202" i="4" a="1"/>
  <c r="D199" i="4" a="1"/>
  <c r="M145" i="4" a="1"/>
  <c r="E191" i="4" a="1"/>
  <c r="C130" i="4" a="1"/>
  <c r="F119" i="4" a="1"/>
  <c r="M96" i="4" a="1"/>
  <c r="I200" i="4" a="1"/>
  <c r="M354" i="4" a="1"/>
  <c r="C359" i="4" a="1"/>
  <c r="I111" i="4" a="1"/>
  <c r="E110" i="4" a="1"/>
  <c r="K124" i="4" a="1"/>
  <c r="I47" i="4" a="1"/>
  <c r="E69" i="4" a="1"/>
  <c r="K105" i="4" a="1"/>
  <c r="M118" i="4" a="1"/>
  <c r="C109" i="4" a="1"/>
  <c r="C286" i="4" a="1"/>
  <c r="M360" i="4" a="1"/>
  <c r="I151" i="4" a="1"/>
  <c r="I165" i="4" a="1"/>
  <c r="J46" i="4" a="1"/>
  <c r="D42" i="4" a="1"/>
  <c r="G60" i="4" a="1"/>
  <c r="E209" i="4" a="1"/>
  <c r="N173" i="4" a="1"/>
  <c r="C120" i="4" a="1"/>
  <c r="L24" i="4" a="1"/>
  <c r="M299" i="4" a="1"/>
  <c r="C344" i="4" a="1"/>
  <c r="H171" i="4" a="1"/>
  <c r="F82" i="4" a="1"/>
  <c r="K208" i="4" a="1"/>
  <c r="E71" i="4" a="1"/>
  <c r="D155" i="4" a="1"/>
  <c r="M68" i="4" a="1"/>
  <c r="I187" i="4" a="1"/>
  <c r="H45" i="4" a="1"/>
  <c r="M341" i="4" a="1"/>
  <c r="C319" i="4" a="1"/>
  <c r="C305" i="4" a="1"/>
  <c r="J90" i="4" a="1"/>
  <c r="I168" i="4" a="1"/>
  <c r="L115" i="4" a="1"/>
  <c r="J147" i="4" a="1"/>
  <c r="F181" i="4" a="1"/>
  <c r="D129" i="4" a="1"/>
  <c r="C70" i="4" a="1"/>
  <c r="E36" i="4" a="1"/>
  <c r="C326" i="4" a="1"/>
  <c r="C246" i="4" a="1"/>
  <c r="K178" i="4" a="1"/>
  <c r="F157" i="4" a="1"/>
  <c r="E172" i="4" a="1"/>
  <c r="C134" i="4" a="1"/>
  <c r="K65" i="4" a="1"/>
  <c r="I51" i="4" a="1"/>
  <c r="N114" i="4" a="1"/>
  <c r="G150" i="4" a="1"/>
  <c r="M187" i="4" a="1"/>
  <c r="M242" i="4" a="1"/>
  <c r="M293" i="4" a="1"/>
  <c r="L33" i="4" a="1"/>
  <c r="I157" i="4" a="1"/>
  <c r="D163" i="4" a="1"/>
  <c r="I39" i="4" a="1"/>
  <c r="C194" i="4" a="1"/>
  <c r="L29" i="4" a="1"/>
  <c r="J88" i="4" a="1"/>
  <c r="C83" i="4" a="1"/>
  <c r="M236" i="4" a="1"/>
  <c r="C238" i="4" a="1"/>
  <c r="H153" i="4" a="1"/>
  <c r="I182" i="4" a="1"/>
  <c r="K76" i="4" a="1"/>
  <c r="D107" i="4" a="1"/>
  <c r="G33" i="4" a="1"/>
  <c r="F198" i="4" a="1"/>
  <c r="C163" i="4" a="1"/>
  <c r="D156" i="4" a="1"/>
  <c r="F143" i="4" a="1"/>
  <c r="I204" i="4" a="1"/>
  <c r="I194" i="4" a="1"/>
  <c r="C267" i="4" a="1"/>
  <c r="N185" i="4" a="1"/>
  <c r="E182" i="4" a="1"/>
  <c r="M219" i="4" a="1"/>
  <c r="C354" i="4" a="1"/>
  <c r="C84" i="4" a="1"/>
  <c r="K37" i="4" a="1"/>
  <c r="I95" i="4" a="1"/>
  <c r="E219" i="4" a="1"/>
  <c r="D58" i="4" a="1"/>
  <c r="E54" i="4" a="1"/>
  <c r="K187" i="4" a="1"/>
  <c r="N96" i="4" a="1"/>
  <c r="C150" i="4" a="1"/>
  <c r="K35" i="4" a="1"/>
  <c r="L94" i="4" a="1"/>
  <c r="H56" i="4" a="1"/>
  <c r="J84" i="4" a="1"/>
  <c r="F219" i="4" a="1"/>
  <c r="L177" i="4" a="1"/>
  <c r="H199" i="4" a="1"/>
  <c r="D45" i="4" a="1"/>
  <c r="C232" i="4" a="1"/>
  <c r="M339" i="4" a="1"/>
  <c r="C336" i="4" a="1"/>
  <c r="J52" i="4" a="1"/>
  <c r="L221" i="4" a="1"/>
  <c r="L149" i="4" a="1"/>
  <c r="M48" i="4" a="1"/>
  <c r="F180" i="4" a="1"/>
  <c r="K188" i="4" a="1"/>
  <c r="E139" i="4" a="1"/>
  <c r="G58" i="4" a="1"/>
  <c r="C356" i="4" a="1"/>
  <c r="C263" i="4" a="1"/>
  <c r="D87" i="4" a="1"/>
  <c r="M218" i="4" a="1"/>
  <c r="C127" i="4" a="1"/>
  <c r="G28" i="4" a="1"/>
  <c r="N189" i="4" a="1"/>
  <c r="N69" i="4" a="1"/>
  <c r="G101" i="4" a="1"/>
  <c r="F78" i="4" a="1"/>
  <c r="L217" i="4" a="1"/>
  <c r="C311" i="4" a="1"/>
  <c r="C259" i="4" a="1"/>
  <c r="L203" i="4" a="1"/>
  <c r="G26" i="4" a="1"/>
  <c r="C171" i="4" a="1"/>
  <c r="L144" i="4" a="1"/>
  <c r="G164" i="4" a="1"/>
  <c r="J210" i="4" a="1"/>
  <c r="I219" i="4" a="1"/>
  <c r="L183" i="4" a="1"/>
  <c r="M353" i="4" a="1"/>
  <c r="M331" i="4" a="1"/>
  <c r="D162" i="4" a="1"/>
  <c r="G191" i="4" a="1"/>
  <c r="L25" i="4" a="1"/>
  <c r="I102" i="4" a="1"/>
  <c r="N142" i="4" a="1"/>
  <c r="D198" i="4" a="1"/>
  <c r="C193" i="4" a="1"/>
  <c r="N109" i="4" a="1"/>
  <c r="F97" i="4" a="1"/>
  <c r="C364" i="4" a="1"/>
  <c r="M355" i="4" a="1"/>
  <c r="D44" i="4" a="1"/>
  <c r="F192" i="4" a="1"/>
  <c r="F169" i="4" a="1"/>
  <c r="E180" i="4" a="1"/>
  <c r="N56" i="4" a="1"/>
  <c r="G76" i="4" a="1"/>
  <c r="H207" i="4" a="1"/>
  <c r="I65" i="4" a="1"/>
  <c r="M322" i="4" a="1"/>
  <c r="C288" i="4" a="1"/>
  <c r="F114" i="4" a="1"/>
  <c r="K83" i="4" a="1"/>
  <c r="G132" i="4" a="1"/>
  <c r="F172" i="4" a="1"/>
  <c r="C131" i="4" a="1"/>
  <c r="E49" i="4" a="1"/>
  <c r="G31" i="4" a="1"/>
  <c r="I107" i="4" a="1"/>
  <c r="D139" i="4" a="1"/>
  <c r="M295" i="4" a="1"/>
  <c r="C361" i="4" a="1"/>
  <c r="L80" i="4" a="1"/>
  <c r="C69" i="4" a="1"/>
  <c r="K172" i="4" a="1"/>
  <c r="F205" i="4" a="1"/>
  <c r="F178" i="4" a="1"/>
  <c r="E26" i="4" a="1"/>
  <c r="H35" i="4" a="1"/>
  <c r="J221" i="4" a="1"/>
  <c r="J198" i="4" a="1"/>
  <c r="M338" i="4" a="1"/>
  <c r="C274" i="4" a="1"/>
  <c r="D152" i="4" a="1"/>
  <c r="L188" i="4" a="1"/>
  <c r="N89" i="4" a="1"/>
  <c r="J87" i="4" a="1"/>
  <c r="D23" i="4" a="1"/>
  <c r="L96" i="4" a="1"/>
  <c r="G83" i="4" a="1"/>
  <c r="D35" i="4" a="1"/>
  <c r="M349" i="4" a="1"/>
  <c r="C282" i="4" a="1"/>
  <c r="L27" i="4" a="1"/>
  <c r="G72" i="4" a="1"/>
  <c r="D205" i="4" a="1"/>
  <c r="J186" i="4" a="1"/>
  <c r="I46" i="4" a="1"/>
  <c r="E170" i="4" a="1"/>
  <c r="M185" i="4" a="1"/>
  <c r="K150" i="4" a="1"/>
  <c r="C296" i="4" a="1"/>
  <c r="F133" i="4" a="1"/>
  <c r="E159" i="4" a="1"/>
  <c r="H142" i="4" a="1"/>
  <c r="L125" i="4" a="1"/>
  <c r="C299" i="4" a="1"/>
  <c r="K94" i="4" a="1"/>
  <c r="K220" i="4" a="1"/>
  <c r="M212" i="4" a="1"/>
  <c r="G181" i="4" a="1"/>
  <c r="G181" i="4" l="1"/>
  <c r="M212" i="4"/>
  <c r="P212" i="4" s="1"/>
  <c r="K220" i="4"/>
  <c r="K94" i="4"/>
  <c r="C299" i="4"/>
  <c r="L125" i="4"/>
  <c r="H142" i="4"/>
  <c r="E159" i="4"/>
  <c r="F133" i="4"/>
  <c r="C296" i="4"/>
  <c r="K150" i="4"/>
  <c r="M185" i="4"/>
  <c r="P185" i="4" s="1"/>
  <c r="E170" i="4"/>
  <c r="I46" i="4"/>
  <c r="J186" i="4"/>
  <c r="D205" i="4"/>
  <c r="G72" i="4"/>
  <c r="L27" i="4"/>
  <c r="C282" i="4"/>
  <c r="M349" i="4"/>
  <c r="D35" i="4"/>
  <c r="G83" i="4"/>
  <c r="L96" i="4"/>
  <c r="D23" i="4"/>
  <c r="J87" i="4"/>
  <c r="N89" i="4"/>
  <c r="L188" i="4"/>
  <c r="D152" i="4"/>
  <c r="C274" i="4"/>
  <c r="M338" i="4"/>
  <c r="J198" i="4"/>
  <c r="J221" i="4"/>
  <c r="H35" i="4"/>
  <c r="E26" i="4"/>
  <c r="F178" i="4"/>
  <c r="F205" i="4"/>
  <c r="K172" i="4"/>
  <c r="C69" i="4"/>
  <c r="L80" i="4"/>
  <c r="C361" i="4"/>
  <c r="M295" i="4"/>
  <c r="D139" i="4"/>
  <c r="I107" i="4"/>
  <c r="G31" i="4"/>
  <c r="E49" i="4"/>
  <c r="C131" i="4"/>
  <c r="F172" i="4"/>
  <c r="G132" i="4"/>
  <c r="K83" i="4"/>
  <c r="F114" i="4"/>
  <c r="C288" i="4"/>
  <c r="M322" i="4"/>
  <c r="I65" i="4"/>
  <c r="H207" i="4"/>
  <c r="G76" i="4"/>
  <c r="N56" i="4"/>
  <c r="E180" i="4"/>
  <c r="F169" i="4"/>
  <c r="F192" i="4"/>
  <c r="D44" i="4"/>
  <c r="M355" i="4"/>
  <c r="C364" i="4"/>
  <c r="F97" i="4"/>
  <c r="N109" i="4"/>
  <c r="C193" i="4"/>
  <c r="D198" i="4"/>
  <c r="N142" i="4"/>
  <c r="I102" i="4"/>
  <c r="L25" i="4"/>
  <c r="G191" i="4"/>
  <c r="D162" i="4"/>
  <c r="M331" i="4"/>
  <c r="M353" i="4"/>
  <c r="L183" i="4"/>
  <c r="I219" i="4"/>
  <c r="J210" i="4"/>
  <c r="G164" i="4"/>
  <c r="L144" i="4"/>
  <c r="C171" i="4"/>
  <c r="G26" i="4"/>
  <c r="L203" i="4"/>
  <c r="C259" i="4"/>
  <c r="C311" i="4"/>
  <c r="L217" i="4"/>
  <c r="F78" i="4"/>
  <c r="G101" i="4"/>
  <c r="N69" i="4"/>
  <c r="N189" i="4"/>
  <c r="G28" i="4"/>
  <c r="C127" i="4"/>
  <c r="M218" i="4"/>
  <c r="P218" i="4" s="1"/>
  <c r="D87" i="4"/>
  <c r="C263" i="4"/>
  <c r="C356" i="4"/>
  <c r="G58" i="4"/>
  <c r="E139" i="4"/>
  <c r="K188" i="4"/>
  <c r="F180" i="4"/>
  <c r="M48" i="4"/>
  <c r="P48" i="4" s="1"/>
  <c r="L149" i="4"/>
  <c r="L221" i="4"/>
  <c r="J52" i="4"/>
  <c r="C336" i="4"/>
  <c r="M339" i="4"/>
  <c r="C232" i="4"/>
  <c r="D45" i="4"/>
  <c r="H199" i="4"/>
  <c r="L177" i="4"/>
  <c r="F219" i="4"/>
  <c r="J84" i="4"/>
  <c r="H56" i="4"/>
  <c r="L94" i="4"/>
  <c r="K35" i="4"/>
  <c r="C150" i="4"/>
  <c r="N96" i="4"/>
  <c r="K187" i="4"/>
  <c r="E54" i="4"/>
  <c r="D58" i="4"/>
  <c r="E219" i="4"/>
  <c r="I95" i="4"/>
  <c r="K37" i="4"/>
  <c r="C84" i="4"/>
  <c r="C354" i="4"/>
  <c r="M219" i="4"/>
  <c r="P219" i="4" s="1"/>
  <c r="E182" i="4"/>
  <c r="N185" i="4"/>
  <c r="C267" i="4"/>
  <c r="I194" i="4"/>
  <c r="I204" i="4"/>
  <c r="F143" i="4"/>
  <c r="D156" i="4"/>
  <c r="C163" i="4"/>
  <c r="F198" i="4"/>
  <c r="G33" i="4"/>
  <c r="D107" i="4"/>
  <c r="K76" i="4"/>
  <c r="I182" i="4"/>
  <c r="H153" i="4"/>
  <c r="C238" i="4"/>
  <c r="M236" i="4"/>
  <c r="C83" i="4"/>
  <c r="J88" i="4"/>
  <c r="L29" i="4"/>
  <c r="C194" i="4"/>
  <c r="I39" i="4"/>
  <c r="D163" i="4"/>
  <c r="I157" i="4"/>
  <c r="L33" i="4"/>
  <c r="M293" i="4"/>
  <c r="M242" i="4"/>
  <c r="M187" i="4"/>
  <c r="P187" i="4" s="1"/>
  <c r="G150" i="4"/>
  <c r="N114" i="4"/>
  <c r="I51" i="4"/>
  <c r="K65" i="4"/>
  <c r="C134" i="4"/>
  <c r="E172" i="4"/>
  <c r="F157" i="4"/>
  <c r="K178" i="4"/>
  <c r="C246" i="4"/>
  <c r="C326" i="4"/>
  <c r="E36" i="4"/>
  <c r="C70" i="4"/>
  <c r="D129" i="4"/>
  <c r="F181" i="4"/>
  <c r="J147" i="4"/>
  <c r="L115" i="4"/>
  <c r="I168" i="4"/>
  <c r="J90" i="4"/>
  <c r="C305" i="4"/>
  <c r="C319" i="4"/>
  <c r="M341" i="4"/>
  <c r="H45" i="4"/>
  <c r="I187" i="4"/>
  <c r="M68" i="4"/>
  <c r="P68" i="4" s="1"/>
  <c r="D155" i="4"/>
  <c r="E71" i="4"/>
  <c r="K208" i="4"/>
  <c r="F82" i="4"/>
  <c r="H171" i="4"/>
  <c r="C344" i="4"/>
  <c r="M299" i="4"/>
  <c r="L24" i="4"/>
  <c r="C120" i="4"/>
  <c r="N173" i="4"/>
  <c r="E209" i="4"/>
  <c r="G60" i="4"/>
  <c r="D42" i="4"/>
  <c r="J46" i="4"/>
  <c r="I165" i="4"/>
  <c r="I151" i="4"/>
  <c r="M360" i="4"/>
  <c r="C286" i="4"/>
  <c r="C109" i="4"/>
  <c r="M118" i="4"/>
  <c r="P118" i="4" s="1"/>
  <c r="K105" i="4"/>
  <c r="E69" i="4"/>
  <c r="I47" i="4"/>
  <c r="K124" i="4"/>
  <c r="E110" i="4"/>
  <c r="I111" i="4"/>
  <c r="C359" i="4"/>
  <c r="M354" i="4"/>
  <c r="I200" i="4"/>
  <c r="M96" i="4"/>
  <c r="P96" i="4" s="1"/>
  <c r="F119" i="4"/>
  <c r="C130" i="4"/>
  <c r="E191" i="4"/>
  <c r="M145" i="4"/>
  <c r="P145" i="4" s="1"/>
  <c r="D199" i="4"/>
  <c r="L202" i="4"/>
  <c r="D106" i="4"/>
  <c r="M335" i="4"/>
  <c r="C265" i="4"/>
  <c r="I26" i="4"/>
  <c r="M124" i="4"/>
  <c r="P124" i="4" s="1"/>
  <c r="K175" i="4"/>
  <c r="K217" i="4"/>
  <c r="K222" i="4"/>
  <c r="K77" i="4"/>
  <c r="K24" i="4"/>
  <c r="N221" i="4"/>
  <c r="C367" i="4"/>
  <c r="M229" i="4"/>
  <c r="I222" i="4"/>
  <c r="J94" i="4"/>
  <c r="L30" i="4"/>
  <c r="C91" i="4"/>
  <c r="N160" i="4"/>
  <c r="F39" i="4"/>
  <c r="D185" i="4"/>
  <c r="F60" i="4"/>
  <c r="G194" i="4"/>
  <c r="L209" i="4"/>
  <c r="N64" i="4"/>
  <c r="M39" i="4"/>
  <c r="P39" i="4" s="1"/>
  <c r="J132" i="4"/>
  <c r="H100" i="4"/>
  <c r="M272" i="4"/>
  <c r="M344" i="4"/>
  <c r="C368" i="4"/>
  <c r="L159" i="4"/>
  <c r="C167" i="4"/>
  <c r="M217" i="4"/>
  <c r="P217" i="4" s="1"/>
  <c r="C48" i="4"/>
  <c r="L59" i="4"/>
  <c r="E118" i="4"/>
  <c r="M216" i="4"/>
  <c r="P216" i="4" s="1"/>
  <c r="D194" i="4"/>
  <c r="M142" i="4"/>
  <c r="P142" i="4" s="1"/>
  <c r="F200" i="4"/>
  <c r="N192" i="4"/>
  <c r="E58" i="4"/>
  <c r="E101" i="4"/>
  <c r="M190" i="4"/>
  <c r="P190" i="4" s="1"/>
  <c r="H27" i="4"/>
  <c r="M257" i="4"/>
  <c r="C372" i="4"/>
  <c r="J54" i="4"/>
  <c r="M222" i="4"/>
  <c r="P222" i="4" s="1"/>
  <c r="L138" i="4"/>
  <c r="L185" i="4"/>
  <c r="M54" i="4"/>
  <c r="P54" i="4" s="1"/>
  <c r="I55" i="4"/>
  <c r="H44" i="4"/>
  <c r="M139" i="4"/>
  <c r="P139" i="4" s="1"/>
  <c r="C290" i="4"/>
  <c r="M260" i="4"/>
  <c r="J194" i="4"/>
  <c r="L193" i="4"/>
  <c r="D146" i="4"/>
  <c r="K27" i="4"/>
  <c r="F162" i="4"/>
  <c r="J154" i="4"/>
  <c r="F92" i="4"/>
  <c r="G211" i="4"/>
  <c r="M291" i="4"/>
  <c r="M252" i="4"/>
  <c r="N147" i="4"/>
  <c r="K32" i="4"/>
  <c r="D121" i="4"/>
  <c r="J164" i="4"/>
  <c r="L76" i="4"/>
  <c r="L143" i="4"/>
  <c r="E153" i="4"/>
  <c r="I104" i="4"/>
  <c r="C297" i="4"/>
  <c r="M306" i="4"/>
  <c r="N222" i="4"/>
  <c r="N200" i="4"/>
  <c r="H114" i="4"/>
  <c r="H198" i="4"/>
  <c r="L23" i="4"/>
  <c r="G204" i="4"/>
  <c r="C178" i="4"/>
  <c r="H135" i="4"/>
  <c r="C93" i="4"/>
  <c r="C250" i="4"/>
  <c r="C342" i="4"/>
  <c r="C37" i="4"/>
  <c r="I78" i="4"/>
  <c r="E205" i="4"/>
  <c r="K212" i="4"/>
  <c r="C222" i="4"/>
  <c r="F193" i="4"/>
  <c r="G128" i="4"/>
  <c r="G156" i="4"/>
  <c r="I138" i="4"/>
  <c r="C323" i="4"/>
  <c r="C345" i="4"/>
  <c r="D74" i="4"/>
  <c r="E193" i="4"/>
  <c r="D180" i="4"/>
  <c r="H34" i="4"/>
  <c r="N54" i="4"/>
  <c r="H122" i="4"/>
  <c r="G170" i="4"/>
  <c r="M41" i="4"/>
  <c r="P41" i="4" s="1"/>
  <c r="C351" i="4"/>
  <c r="C321" i="4"/>
  <c r="D183" i="4"/>
  <c r="K182" i="4"/>
  <c r="G41" i="4"/>
  <c r="C60" i="4"/>
  <c r="K111" i="4"/>
  <c r="K213" i="4"/>
  <c r="M208" i="4"/>
  <c r="P208" i="4" s="1"/>
  <c r="H183" i="4"/>
  <c r="K214" i="4"/>
  <c r="C369" i="4"/>
  <c r="M325" i="4"/>
  <c r="F113" i="4"/>
  <c r="M80" i="4"/>
  <c r="P80" i="4" s="1"/>
  <c r="K128" i="4"/>
  <c r="C25" i="4"/>
  <c r="D201" i="4"/>
  <c r="M202" i="4"/>
  <c r="P202" i="4" s="1"/>
  <c r="M196" i="4"/>
  <c r="P196" i="4" s="1"/>
  <c r="L162" i="4"/>
  <c r="M298" i="4"/>
  <c r="C358" i="4"/>
  <c r="K122" i="4"/>
  <c r="F81" i="4"/>
  <c r="I131" i="4"/>
  <c r="I113" i="4"/>
  <c r="C343" i="4"/>
  <c r="N125" i="4"/>
  <c r="K200" i="4"/>
  <c r="C98" i="4"/>
  <c r="D169" i="4"/>
  <c r="F166" i="4"/>
  <c r="M179" i="4"/>
  <c r="P179" i="4" s="1"/>
  <c r="N48" i="4"/>
  <c r="N67" i="4"/>
  <c r="M246" i="4"/>
  <c r="C318" i="4"/>
  <c r="J175" i="4"/>
  <c r="C294" i="4"/>
  <c r="E221" i="4"/>
  <c r="D191" i="4"/>
  <c r="F44" i="4"/>
  <c r="D213" i="4"/>
  <c r="E196" i="4"/>
  <c r="G173" i="4"/>
  <c r="K129" i="4"/>
  <c r="F110" i="4"/>
  <c r="L180" i="4"/>
  <c r="K40" i="4"/>
  <c r="G108" i="4"/>
  <c r="C95" i="4"/>
  <c r="N126" i="4"/>
  <c r="C255" i="4"/>
  <c r="C240" i="4"/>
  <c r="N38" i="4"/>
  <c r="L156" i="4"/>
  <c r="N34" i="4"/>
  <c r="J101" i="4"/>
  <c r="N66" i="4"/>
  <c r="J65" i="4"/>
  <c r="E127" i="4"/>
  <c r="H167" i="4"/>
  <c r="C308" i="4"/>
  <c r="M228" i="4"/>
  <c r="F42" i="4"/>
  <c r="M69" i="4"/>
  <c r="P69" i="4" s="1"/>
  <c r="E82" i="4"/>
  <c r="K186" i="4"/>
  <c r="M87" i="4"/>
  <c r="P87" i="4" s="1"/>
  <c r="N202" i="4"/>
  <c r="G86" i="4"/>
  <c r="K119" i="4"/>
  <c r="J143" i="4"/>
  <c r="M261" i="4"/>
  <c r="M283" i="4"/>
  <c r="C102" i="4"/>
  <c r="F46" i="4"/>
  <c r="H159" i="4"/>
  <c r="G158" i="4"/>
  <c r="L157" i="4"/>
  <c r="I205" i="4"/>
  <c r="H86" i="4"/>
  <c r="G65" i="4"/>
  <c r="M328" i="4"/>
  <c r="C276" i="4"/>
  <c r="N194" i="4"/>
  <c r="K197" i="4"/>
  <c r="H210" i="4"/>
  <c r="I184" i="4"/>
  <c r="H117" i="4"/>
  <c r="I43" i="4"/>
  <c r="L58" i="4"/>
  <c r="I169" i="4"/>
  <c r="K60" i="4"/>
  <c r="C269" i="4"/>
  <c r="C247" i="4"/>
  <c r="H181" i="4"/>
  <c r="J27" i="4"/>
  <c r="M176" i="4"/>
  <c r="P176" i="4" s="1"/>
  <c r="E177" i="4"/>
  <c r="M201" i="4"/>
  <c r="P201" i="4" s="1"/>
  <c r="K176" i="4"/>
  <c r="J81" i="4"/>
  <c r="N121" i="4"/>
  <c r="M302" i="4"/>
  <c r="C366" i="4"/>
  <c r="M357" i="4"/>
  <c r="K23" i="4"/>
  <c r="D209" i="4"/>
  <c r="G197" i="4"/>
  <c r="M109" i="4"/>
  <c r="P109" i="4" s="1"/>
  <c r="D190" i="4"/>
  <c r="K147" i="4"/>
  <c r="K138" i="4"/>
  <c r="L194" i="4"/>
  <c r="C239" i="4"/>
  <c r="M346" i="4"/>
  <c r="E204" i="4"/>
  <c r="D197" i="4"/>
  <c r="C54" i="4"/>
  <c r="C183" i="4"/>
  <c r="H206" i="4"/>
  <c r="N120" i="4"/>
  <c r="M26" i="4"/>
  <c r="P26" i="4" s="1"/>
  <c r="G81" i="4"/>
  <c r="L171" i="4"/>
  <c r="C352" i="4"/>
  <c r="M350" i="4"/>
  <c r="M200" i="4"/>
  <c r="P200" i="4" s="1"/>
  <c r="J130" i="4"/>
  <c r="G35" i="4"/>
  <c r="D37" i="4"/>
  <c r="K157" i="4"/>
  <c r="D143" i="4"/>
  <c r="E155" i="4"/>
  <c r="E59" i="4"/>
  <c r="C363" i="4"/>
  <c r="M253" i="4"/>
  <c r="L123" i="4"/>
  <c r="F217" i="4"/>
  <c r="J214" i="4"/>
  <c r="C314" i="4"/>
  <c r="C256" i="4"/>
  <c r="I186" i="4"/>
  <c r="K61" i="4"/>
  <c r="D108" i="4"/>
  <c r="D207" i="4"/>
  <c r="L172" i="4"/>
  <c r="G69" i="4"/>
  <c r="F43" i="4"/>
  <c r="C271" i="4"/>
  <c r="M198" i="4"/>
  <c r="P198" i="4" s="1"/>
  <c r="E40" i="4"/>
  <c r="G73" i="4"/>
  <c r="L160" i="4"/>
  <c r="N106" i="4"/>
  <c r="J43" i="4"/>
  <c r="L207" i="4"/>
  <c r="E218" i="4"/>
  <c r="M279" i="4"/>
  <c r="C264" i="4"/>
  <c r="C139" i="4"/>
  <c r="I183" i="4"/>
  <c r="F87" i="4"/>
  <c r="J205" i="4"/>
  <c r="C58" i="4"/>
  <c r="G166" i="4"/>
  <c r="M167" i="4"/>
  <c r="P167" i="4" s="1"/>
  <c r="K161" i="4"/>
  <c r="E179" i="4"/>
  <c r="C292" i="4"/>
  <c r="C329" i="4"/>
  <c r="G188" i="4"/>
  <c r="F142" i="4"/>
  <c r="M84" i="4"/>
  <c r="P84" i="4" s="1"/>
  <c r="D158" i="4"/>
  <c r="J79" i="4"/>
  <c r="E98" i="4"/>
  <c r="N123" i="4"/>
  <c r="D175" i="4"/>
  <c r="M324" i="4"/>
  <c r="M307" i="4"/>
  <c r="N214" i="4"/>
  <c r="N134" i="4"/>
  <c r="D51" i="4"/>
  <c r="M27" i="4"/>
  <c r="P27" i="4" s="1"/>
  <c r="F167" i="4"/>
  <c r="I161" i="4"/>
  <c r="L90" i="4"/>
  <c r="D142" i="4"/>
  <c r="J106" i="4"/>
  <c r="C266" i="4"/>
  <c r="M287" i="4"/>
  <c r="H82" i="4"/>
  <c r="J77" i="4"/>
  <c r="K118" i="4"/>
  <c r="L70" i="4"/>
  <c r="N91" i="4"/>
  <c r="H190" i="4"/>
  <c r="I118" i="4"/>
  <c r="J71" i="4"/>
  <c r="C320" i="4"/>
  <c r="C301" i="4"/>
  <c r="C106" i="4"/>
  <c r="K99" i="4"/>
  <c r="K72" i="4"/>
  <c r="D219" i="4"/>
  <c r="J51" i="4"/>
  <c r="M189" i="4"/>
  <c r="P189" i="4" s="1"/>
  <c r="C212" i="4"/>
  <c r="G179" i="4"/>
  <c r="G198" i="4"/>
  <c r="C273" i="4"/>
  <c r="M365" i="4"/>
  <c r="M34" i="4"/>
  <c r="P34" i="4" s="1"/>
  <c r="G154" i="4"/>
  <c r="E109" i="4"/>
  <c r="F182" i="4"/>
  <c r="I132" i="4"/>
  <c r="K80" i="4"/>
  <c r="E152" i="4"/>
  <c r="E136" i="4"/>
  <c r="E176" i="4"/>
  <c r="C370" i="4"/>
  <c r="M289" i="4"/>
  <c r="F221" i="4"/>
  <c r="H211" i="4"/>
  <c r="N97" i="4"/>
  <c r="D94" i="4"/>
  <c r="G57" i="4"/>
  <c r="M88" i="4"/>
  <c r="P88" i="4" s="1"/>
  <c r="H65" i="4"/>
  <c r="I105" i="4"/>
  <c r="C258" i="4"/>
  <c r="C332" i="4"/>
  <c r="D59" i="4"/>
  <c r="D76" i="4"/>
  <c r="K26" i="4"/>
  <c r="C315" i="4"/>
  <c r="M237" i="4"/>
  <c r="G38" i="4"/>
  <c r="E96" i="4"/>
  <c r="C80" i="4"/>
  <c r="L135" i="4"/>
  <c r="I146" i="4"/>
  <c r="N94" i="4"/>
  <c r="N51" i="4"/>
  <c r="M168" i="4"/>
  <c r="P168" i="4" s="1"/>
  <c r="I191" i="4"/>
  <c r="H178" i="4"/>
  <c r="D148" i="4"/>
  <c r="D196" i="4"/>
  <c r="M359" i="4"/>
  <c r="M367" i="4"/>
  <c r="E27" i="4"/>
  <c r="F40" i="4"/>
  <c r="D135" i="4"/>
  <c r="E90" i="4"/>
  <c r="D115" i="4"/>
  <c r="G177" i="4"/>
  <c r="G153" i="4"/>
  <c r="D173" i="4"/>
  <c r="M327" i="4"/>
  <c r="C249" i="4"/>
  <c r="H123" i="4"/>
  <c r="I179" i="4"/>
  <c r="H25" i="4"/>
  <c r="L146" i="4"/>
  <c r="G126" i="4"/>
  <c r="E214" i="4"/>
  <c r="D145" i="4"/>
  <c r="F123" i="4"/>
  <c r="M227" i="4"/>
  <c r="C280" i="4"/>
  <c r="C27" i="4"/>
  <c r="G148" i="4"/>
  <c r="G178" i="4"/>
  <c r="G159" i="4"/>
  <c r="H120" i="4"/>
  <c r="C28" i="4"/>
  <c r="I173" i="4"/>
  <c r="K171" i="4"/>
  <c r="M102" i="4"/>
  <c r="P102" i="4" s="1"/>
  <c r="M361" i="4"/>
  <c r="C295" i="4"/>
  <c r="H30" i="4"/>
  <c r="J40" i="4"/>
  <c r="J190" i="4"/>
  <c r="J45" i="4"/>
  <c r="F83" i="4"/>
  <c r="M112" i="4"/>
  <c r="P112" i="4" s="1"/>
  <c r="F222" i="4"/>
  <c r="D75" i="4"/>
  <c r="G180" i="4"/>
  <c r="C254" i="4"/>
  <c r="M275" i="4"/>
  <c r="F31" i="4"/>
  <c r="I143" i="4"/>
  <c r="D118" i="4"/>
  <c r="K159" i="4"/>
  <c r="G163" i="4"/>
  <c r="L110" i="4"/>
  <c r="M79" i="4"/>
  <c r="P79" i="4" s="1"/>
  <c r="I150" i="4"/>
  <c r="C355" i="4"/>
  <c r="M364" i="4"/>
  <c r="C86" i="4"/>
  <c r="M59" i="4"/>
  <c r="P59" i="4" s="1"/>
  <c r="H154" i="4"/>
  <c r="L64" i="4"/>
  <c r="G70" i="4"/>
  <c r="F201" i="4"/>
  <c r="I137" i="4"/>
  <c r="I152" i="4"/>
  <c r="J35" i="4"/>
  <c r="M284" i="4"/>
  <c r="C330" i="4"/>
  <c r="F84" i="4"/>
  <c r="G100" i="4"/>
  <c r="G75" i="4"/>
  <c r="H205" i="4"/>
  <c r="C174" i="4"/>
  <c r="K25" i="4"/>
  <c r="N140" i="4"/>
  <c r="F70" i="4"/>
  <c r="M259" i="4"/>
  <c r="M311" i="4"/>
  <c r="J59" i="4"/>
  <c r="M188" i="4"/>
  <c r="P188" i="4" s="1"/>
  <c r="I217" i="4"/>
  <c r="H172" i="4"/>
  <c r="K68" i="4"/>
  <c r="I96" i="4"/>
  <c r="G66" i="4"/>
  <c r="K127" i="4"/>
  <c r="C32" i="4"/>
  <c r="C304" i="4"/>
  <c r="M348" i="4"/>
  <c r="H107" i="4"/>
  <c r="D72" i="4"/>
  <c r="D102" i="4"/>
  <c r="K112" i="4"/>
  <c r="N80" i="4"/>
  <c r="G183" i="4"/>
  <c r="L77" i="4"/>
  <c r="J129" i="4"/>
  <c r="M336" i="4"/>
  <c r="C339" i="4"/>
  <c r="M232" i="4"/>
  <c r="I218" i="4"/>
  <c r="J114" i="4"/>
  <c r="L140" i="4"/>
  <c r="H162" i="4"/>
  <c r="I76" i="4"/>
  <c r="J63" i="4"/>
  <c r="L68" i="4"/>
  <c r="I209" i="4"/>
  <c r="M278" i="4"/>
  <c r="M337" i="4"/>
  <c r="H95" i="4"/>
  <c r="M204" i="4"/>
  <c r="P204" i="4" s="1"/>
  <c r="K90" i="4"/>
  <c r="F124" i="4"/>
  <c r="J91" i="4"/>
  <c r="M125" i="4"/>
  <c r="P125" i="4" s="1"/>
  <c r="D111" i="4"/>
  <c r="G212" i="4"/>
  <c r="N37" i="4"/>
  <c r="L72" i="4"/>
  <c r="C141" i="4"/>
  <c r="I42" i="4"/>
  <c r="C270" i="4"/>
  <c r="M326" i="4"/>
  <c r="L133" i="4"/>
  <c r="K51" i="4"/>
  <c r="K102" i="4"/>
  <c r="J134" i="4"/>
  <c r="M300" i="4"/>
  <c r="J183" i="4"/>
  <c r="D95" i="4"/>
  <c r="C229" i="4"/>
  <c r="E197" i="4"/>
  <c r="J125" i="4"/>
  <c r="G145" i="4"/>
  <c r="G129" i="4"/>
  <c r="G146" i="4"/>
  <c r="F138" i="4"/>
  <c r="D82" i="4"/>
  <c r="I103" i="4"/>
  <c r="M270" i="4"/>
  <c r="K63" i="4"/>
  <c r="E174" i="4"/>
  <c r="L82" i="4"/>
  <c r="D109" i="4"/>
  <c r="L222" i="4"/>
  <c r="L161" i="4"/>
  <c r="J60" i="4"/>
  <c r="C207" i="4"/>
  <c r="I90" i="4"/>
  <c r="K100" i="4"/>
  <c r="F210" i="4"/>
  <c r="E216" i="4"/>
  <c r="D221" i="4"/>
  <c r="C104" i="4"/>
  <c r="J169" i="4"/>
  <c r="N156" i="4"/>
  <c r="H51" i="4"/>
  <c r="E33" i="4"/>
  <c r="C125" i="4"/>
  <c r="G135" i="4"/>
  <c r="F107" i="4"/>
  <c r="D67" i="4"/>
  <c r="C340" i="4"/>
  <c r="C237" i="4"/>
  <c r="K205" i="4"/>
  <c r="I64" i="4"/>
  <c r="K155" i="4"/>
  <c r="H173" i="4"/>
  <c r="I155" i="4"/>
  <c r="H113" i="4"/>
  <c r="E157" i="4"/>
  <c r="J159" i="4"/>
  <c r="D172" i="4"/>
  <c r="C291" i="4"/>
  <c r="C252" i="4"/>
  <c r="F90" i="4"/>
  <c r="H221" i="4"/>
  <c r="J74" i="4"/>
  <c r="F93" i="4"/>
  <c r="J50" i="4"/>
  <c r="E151" i="4"/>
  <c r="D112" i="4"/>
  <c r="E126" i="4"/>
  <c r="M274" i="4"/>
  <c r="C338" i="4"/>
  <c r="H191" i="4"/>
  <c r="E85" i="4"/>
  <c r="L174" i="4"/>
  <c r="I48" i="4"/>
  <c r="N159" i="4"/>
  <c r="M173" i="4"/>
  <c r="P173" i="4" s="1"/>
  <c r="M141" i="4"/>
  <c r="P141" i="4" s="1"/>
  <c r="F191" i="4"/>
  <c r="C172" i="4"/>
  <c r="M250" i="4"/>
  <c r="M342" i="4"/>
  <c r="H170" i="4"/>
  <c r="C94" i="4"/>
  <c r="C182" i="4"/>
  <c r="H115" i="4"/>
  <c r="D204" i="4"/>
  <c r="J23" i="4"/>
  <c r="C112" i="4"/>
  <c r="I164" i="4"/>
  <c r="K82" i="4"/>
  <c r="M288" i="4"/>
  <c r="C322" i="4"/>
  <c r="I174" i="4"/>
  <c r="I97" i="4"/>
  <c r="D114" i="4"/>
  <c r="N25" i="4"/>
  <c r="H130" i="4"/>
  <c r="G111" i="4"/>
  <c r="J38" i="4"/>
  <c r="F77" i="4"/>
  <c r="M351" i="4"/>
  <c r="M321" i="4"/>
  <c r="H148" i="4"/>
  <c r="J173" i="4"/>
  <c r="I149" i="4"/>
  <c r="G61" i="4"/>
  <c r="L219" i="4"/>
  <c r="D161" i="4"/>
  <c r="N113" i="4"/>
  <c r="H69" i="4"/>
  <c r="M194" i="4"/>
  <c r="P194" i="4" s="1"/>
  <c r="C331" i="4"/>
  <c r="C353" i="4"/>
  <c r="K164" i="4"/>
  <c r="K67" i="4"/>
  <c r="G88" i="4"/>
  <c r="C31" i="4"/>
  <c r="G138" i="4"/>
  <c r="M177" i="4"/>
  <c r="P177" i="4" s="1"/>
  <c r="K121" i="4"/>
  <c r="I82" i="4"/>
  <c r="C298" i="4"/>
  <c r="M358" i="4"/>
  <c r="M108" i="4"/>
  <c r="P108" i="4" s="1"/>
  <c r="I154" i="4"/>
  <c r="L139" i="4"/>
  <c r="E103" i="4"/>
  <c r="N30" i="4"/>
  <c r="I172" i="4"/>
  <c r="G214" i="4"/>
  <c r="M181" i="4"/>
  <c r="P181" i="4" s="1"/>
  <c r="F99" i="4"/>
  <c r="M263" i="4"/>
  <c r="M356" i="4"/>
  <c r="H131" i="4"/>
  <c r="N49" i="4"/>
  <c r="I170" i="4"/>
  <c r="K192" i="4"/>
  <c r="F96" i="4"/>
  <c r="F139" i="4"/>
  <c r="J34" i="4"/>
  <c r="I40" i="4"/>
  <c r="M24" i="4"/>
  <c r="P24" i="4" s="1"/>
  <c r="D187" i="4"/>
  <c r="D27" i="4"/>
  <c r="H216" i="4"/>
  <c r="G222" i="4"/>
  <c r="C111" i="4"/>
  <c r="N131" i="4"/>
  <c r="K210" i="4"/>
  <c r="E94" i="4"/>
  <c r="L137" i="4"/>
  <c r="D193" i="4"/>
  <c r="N148" i="4"/>
  <c r="F61" i="4"/>
  <c r="D188" i="4"/>
  <c r="K46" i="4"/>
  <c r="G152" i="4"/>
  <c r="H180" i="4"/>
  <c r="L114" i="4"/>
  <c r="K36" i="4"/>
  <c r="N41" i="4"/>
  <c r="L214" i="4"/>
  <c r="M285" i="4"/>
  <c r="C268" i="4"/>
  <c r="E158" i="4"/>
  <c r="J170" i="4"/>
  <c r="D31" i="4"/>
  <c r="L73" i="4"/>
  <c r="N58" i="4"/>
  <c r="L148" i="4"/>
  <c r="C26" i="4"/>
  <c r="M50" i="4"/>
  <c r="P50" i="4" s="1"/>
  <c r="L112" i="4"/>
  <c r="C261" i="4"/>
  <c r="C283" i="4"/>
  <c r="M47" i="4"/>
  <c r="P47" i="4" s="1"/>
  <c r="D60" i="4"/>
  <c r="N175" i="4"/>
  <c r="I124" i="4"/>
  <c r="K144" i="4"/>
  <c r="K156" i="4"/>
  <c r="E112" i="4"/>
  <c r="J119" i="4"/>
  <c r="C293" i="4"/>
  <c r="C242" i="4"/>
  <c r="M151" i="4"/>
  <c r="P151" i="4" s="1"/>
  <c r="J42" i="4"/>
  <c r="J105" i="4"/>
  <c r="J212" i="4"/>
  <c r="D52" i="4"/>
  <c r="J25" i="4"/>
  <c r="L84" i="4"/>
  <c r="L218" i="4"/>
  <c r="H137" i="4"/>
  <c r="M269" i="4"/>
  <c r="M247" i="4"/>
  <c r="J209" i="4"/>
  <c r="I177" i="4"/>
  <c r="F127" i="4"/>
  <c r="I214" i="4"/>
  <c r="I57" i="4"/>
  <c r="F72" i="4"/>
  <c r="N217" i="4"/>
  <c r="C118" i="4"/>
  <c r="M305" i="4"/>
  <c r="M319" i="4"/>
  <c r="C341" i="4"/>
  <c r="E143" i="4"/>
  <c r="G205" i="4"/>
  <c r="G104" i="4"/>
  <c r="N176" i="4"/>
  <c r="D25" i="4"/>
  <c r="K215" i="4"/>
  <c r="N102" i="4"/>
  <c r="E173" i="4"/>
  <c r="M239" i="4"/>
  <c r="C346" i="4"/>
  <c r="K165" i="4"/>
  <c r="K74" i="4"/>
  <c r="L117" i="4"/>
  <c r="C157" i="4"/>
  <c r="K45" i="4"/>
  <c r="N138" i="4"/>
  <c r="H89" i="4"/>
  <c r="H194" i="4"/>
  <c r="F66" i="4"/>
  <c r="C360" i="4"/>
  <c r="M286" i="4"/>
  <c r="N124" i="4"/>
  <c r="H157" i="4"/>
  <c r="K195" i="4"/>
  <c r="J58" i="4"/>
  <c r="L158" i="4"/>
  <c r="G155" i="4"/>
  <c r="H109" i="4"/>
  <c r="J160" i="4"/>
  <c r="M363" i="4"/>
  <c r="C253" i="4"/>
  <c r="J86" i="4"/>
  <c r="J149" i="4"/>
  <c r="D49" i="4"/>
  <c r="H53" i="4"/>
  <c r="F216" i="4"/>
  <c r="H50" i="4"/>
  <c r="F154" i="4"/>
  <c r="I141" i="4"/>
  <c r="I121" i="4"/>
  <c r="C335" i="4"/>
  <c r="M265" i="4"/>
  <c r="D78" i="4"/>
  <c r="J66" i="4"/>
  <c r="K191" i="4"/>
  <c r="E207" i="4"/>
  <c r="K66" i="4"/>
  <c r="E133" i="4"/>
  <c r="C190" i="4"/>
  <c r="H71" i="4"/>
  <c r="E198" i="4"/>
  <c r="G96" i="4"/>
  <c r="L86" i="4"/>
  <c r="G103" i="4"/>
  <c r="C243" i="4"/>
  <c r="K201" i="4"/>
  <c r="M137" i="4"/>
  <c r="P137" i="4" s="1"/>
  <c r="K185" i="4"/>
  <c r="D117" i="4"/>
  <c r="H214" i="4"/>
  <c r="C334" i="4"/>
  <c r="M152" i="4"/>
  <c r="P152" i="4" s="1"/>
  <c r="L200" i="4"/>
  <c r="L62" i="4"/>
  <c r="D174" i="4"/>
  <c r="E168" i="4"/>
  <c r="J109" i="4"/>
  <c r="D208" i="4"/>
  <c r="L67" i="4"/>
  <c r="J117" i="4"/>
  <c r="C316" i="4"/>
  <c r="C230" i="4"/>
  <c r="F63" i="4"/>
  <c r="K130" i="4"/>
  <c r="F197" i="4"/>
  <c r="K89" i="4"/>
  <c r="E120" i="4"/>
  <c r="F159" i="4"/>
  <c r="E73" i="4"/>
  <c r="N149" i="4"/>
  <c r="H219" i="4"/>
  <c r="M292" i="4"/>
  <c r="M329" i="4"/>
  <c r="C211" i="4"/>
  <c r="G196" i="4"/>
  <c r="K154" i="4"/>
  <c r="G220" i="4"/>
  <c r="C145" i="4"/>
  <c r="H39" i="4"/>
  <c r="J201" i="4"/>
  <c r="J182" i="4"/>
  <c r="M290" i="4"/>
  <c r="C260" i="4"/>
  <c r="I203" i="4"/>
  <c r="I206" i="4"/>
  <c r="I148" i="4"/>
  <c r="L216" i="4"/>
  <c r="H215" i="4"/>
  <c r="J215" i="4"/>
  <c r="G141" i="4"/>
  <c r="H134" i="4"/>
  <c r="E88" i="4"/>
  <c r="M266" i="4"/>
  <c r="C287" i="4"/>
  <c r="C216" i="4"/>
  <c r="D202" i="4"/>
  <c r="I108" i="4"/>
  <c r="H201" i="4"/>
  <c r="H85" i="4"/>
  <c r="J161" i="4"/>
  <c r="J146" i="4"/>
  <c r="G56" i="4"/>
  <c r="M297" i="4"/>
  <c r="C306" i="4"/>
  <c r="C149" i="4"/>
  <c r="K160" i="4"/>
  <c r="C72" i="4"/>
  <c r="C164" i="4"/>
  <c r="L128" i="4"/>
  <c r="N63" i="4"/>
  <c r="M91" i="4"/>
  <c r="P91" i="4" s="1"/>
  <c r="N103" i="4"/>
  <c r="N65" i="4"/>
  <c r="M273" i="4"/>
  <c r="C365" i="4"/>
  <c r="L191" i="4"/>
  <c r="F164" i="4"/>
  <c r="G162" i="4"/>
  <c r="E201" i="4"/>
  <c r="L121" i="4"/>
  <c r="L184" i="4"/>
  <c r="I106" i="4"/>
  <c r="D168" i="4"/>
  <c r="I119" i="4"/>
  <c r="M323" i="4"/>
  <c r="M345" i="4"/>
  <c r="N75" i="4"/>
  <c r="N81" i="4"/>
  <c r="N24" i="4"/>
  <c r="H209" i="4"/>
  <c r="E95" i="4"/>
  <c r="C142" i="4"/>
  <c r="F73" i="4"/>
  <c r="C152" i="4"/>
  <c r="M258" i="4"/>
  <c r="M332" i="4"/>
  <c r="J142" i="4"/>
  <c r="M78" i="4"/>
  <c r="P78" i="4" s="1"/>
  <c r="F151" i="4"/>
  <c r="G97" i="4"/>
  <c r="L66" i="4"/>
  <c r="H59" i="4"/>
  <c r="K194" i="4"/>
  <c r="G184" i="4"/>
  <c r="H133" i="4"/>
  <c r="M369" i="4"/>
  <c r="C325" i="4"/>
  <c r="E39" i="4"/>
  <c r="F64" i="4"/>
  <c r="I207" i="4"/>
  <c r="J196" i="4"/>
  <c r="J107" i="4"/>
  <c r="G91" i="4"/>
  <c r="C214" i="4"/>
  <c r="E213" i="4"/>
  <c r="D159" i="4"/>
  <c r="F202" i="4"/>
  <c r="F140" i="4"/>
  <c r="H116" i="4"/>
  <c r="K117" i="4"/>
  <c r="N153" i="4"/>
  <c r="C317" i="4"/>
  <c r="K221" i="4"/>
  <c r="N127" i="4"/>
  <c r="E131" i="4"/>
  <c r="D131" i="4"/>
  <c r="K47" i="4"/>
  <c r="J124" i="4"/>
  <c r="F109" i="4"/>
  <c r="G137" i="4"/>
  <c r="H185" i="4"/>
  <c r="J144" i="4"/>
  <c r="L142" i="4"/>
  <c r="C347" i="4"/>
  <c r="C248" i="4"/>
  <c r="L28" i="4"/>
  <c r="I140" i="4"/>
  <c r="I192" i="4"/>
  <c r="G125" i="4"/>
  <c r="F88" i="4"/>
  <c r="D134" i="4"/>
  <c r="H147" i="4"/>
  <c r="I158" i="4"/>
  <c r="D127" i="4"/>
  <c r="M254" i="4"/>
  <c r="C275" i="4"/>
  <c r="M170" i="4"/>
  <c r="P170" i="4" s="1"/>
  <c r="J195" i="4"/>
  <c r="K106" i="4"/>
  <c r="L208" i="4"/>
  <c r="H126" i="4"/>
  <c r="M71" i="4"/>
  <c r="P71" i="4" s="1"/>
  <c r="L97" i="4"/>
  <c r="H140" i="4"/>
  <c r="M308" i="4"/>
  <c r="C228" i="4"/>
  <c r="J126" i="4"/>
  <c r="N60" i="4"/>
  <c r="J218" i="4"/>
  <c r="M209" i="4"/>
  <c r="P209" i="4" s="1"/>
  <c r="G123" i="4"/>
  <c r="J137" i="4"/>
  <c r="K148" i="4"/>
  <c r="L65" i="4"/>
  <c r="F85" i="4"/>
  <c r="C284" i="4"/>
  <c r="M330" i="4"/>
  <c r="K113" i="4"/>
  <c r="C185" i="4"/>
  <c r="E217" i="4"/>
  <c r="C105" i="4"/>
  <c r="N168" i="4"/>
  <c r="D157" i="4"/>
  <c r="I197" i="4"/>
  <c r="E50" i="4"/>
  <c r="C328" i="4"/>
  <c r="M276" i="4"/>
  <c r="M116" i="4"/>
  <c r="P116" i="4" s="1"/>
  <c r="H187" i="4"/>
  <c r="L195" i="4"/>
  <c r="G130" i="4"/>
  <c r="L147" i="4"/>
  <c r="K190" i="4"/>
  <c r="E210" i="4"/>
  <c r="E128" i="4"/>
  <c r="E171" i="4"/>
  <c r="M304" i="4"/>
  <c r="C348" i="4"/>
  <c r="N182" i="4"/>
  <c r="E123" i="4"/>
  <c r="E208" i="4"/>
  <c r="K146" i="4"/>
  <c r="H79" i="4"/>
  <c r="I136" i="4"/>
  <c r="C42" i="4"/>
  <c r="C177" i="4"/>
  <c r="C302" i="4"/>
  <c r="M366" i="4"/>
  <c r="C357" i="4"/>
  <c r="J163" i="4"/>
  <c r="H81" i="4"/>
  <c r="E188" i="4"/>
  <c r="K169" i="4"/>
  <c r="C63" i="4"/>
  <c r="K143" i="4"/>
  <c r="D55" i="4"/>
  <c r="J216" i="4"/>
  <c r="C278" i="4"/>
  <c r="C337" i="4"/>
  <c r="N46" i="4"/>
  <c r="I201" i="4"/>
  <c r="I91" i="4"/>
  <c r="F103" i="4"/>
  <c r="C180" i="4"/>
  <c r="L130" i="4"/>
  <c r="F132" i="4"/>
  <c r="G124" i="4"/>
  <c r="I178" i="4"/>
  <c r="M352" i="4"/>
  <c r="C350" i="4"/>
  <c r="G161" i="4"/>
  <c r="I68" i="4"/>
  <c r="K133" i="4"/>
  <c r="N118" i="4"/>
  <c r="M206" i="4"/>
  <c r="P206" i="4" s="1"/>
  <c r="L39" i="4"/>
  <c r="G24" i="4"/>
  <c r="E34" i="4"/>
  <c r="E121" i="4"/>
  <c r="C206" i="4"/>
  <c r="I216" i="4"/>
  <c r="D70" i="4"/>
  <c r="M101" i="4"/>
  <c r="P101" i="4" s="1"/>
  <c r="D132" i="4"/>
  <c r="F67" i="4"/>
  <c r="L182" i="4"/>
  <c r="M23" i="4"/>
  <c r="P23" i="4" s="1"/>
  <c r="L199" i="4"/>
  <c r="C161" i="4"/>
  <c r="C50" i="4"/>
  <c r="G29" i="4"/>
  <c r="N129" i="4"/>
  <c r="K204" i="4"/>
  <c r="G189" i="4"/>
  <c r="C313" i="4"/>
  <c r="M310" i="4"/>
  <c r="J188" i="4"/>
  <c r="D92" i="4"/>
  <c r="I69" i="4"/>
  <c r="K149" i="4"/>
  <c r="K79" i="4"/>
  <c r="D33" i="4"/>
  <c r="L127" i="4"/>
  <c r="J202" i="4"/>
  <c r="M317" i="4"/>
  <c r="C272" i="4"/>
  <c r="M318" i="4"/>
  <c r="K84" i="4"/>
  <c r="E108" i="4"/>
  <c r="H179" i="4"/>
  <c r="I134" i="4"/>
  <c r="K211" i="4"/>
  <c r="D62" i="4"/>
  <c r="C129" i="4"/>
  <c r="E93" i="4"/>
  <c r="C279" i="4"/>
  <c r="M264" i="4"/>
  <c r="C51" i="4"/>
  <c r="G203" i="4"/>
  <c r="L163" i="4"/>
  <c r="I195" i="4"/>
  <c r="K140" i="4"/>
  <c r="M131" i="4"/>
  <c r="P131" i="4" s="1"/>
  <c r="N193" i="4"/>
  <c r="H182" i="4"/>
  <c r="H80" i="4"/>
  <c r="M368" i="4"/>
  <c r="M294" i="4"/>
  <c r="H76" i="4"/>
  <c r="E97" i="4"/>
  <c r="H84" i="4"/>
  <c r="K183" i="4"/>
  <c r="D123" i="4"/>
  <c r="J127" i="4"/>
  <c r="C43" i="4"/>
  <c r="D38" i="4"/>
  <c r="C324" i="4"/>
  <c r="C307" i="4"/>
  <c r="H177" i="4"/>
  <c r="M36" i="4"/>
  <c r="P36" i="4" s="1"/>
  <c r="D73" i="4"/>
  <c r="D54" i="4"/>
  <c r="H143" i="4"/>
  <c r="H97" i="4"/>
  <c r="L190" i="4"/>
  <c r="I38" i="4"/>
  <c r="I185" i="4"/>
  <c r="C300" i="4"/>
  <c r="M334" i="4"/>
  <c r="D218" i="4"/>
  <c r="C55" i="4"/>
  <c r="M154" i="4"/>
  <c r="P154" i="4" s="1"/>
  <c r="F152" i="4"/>
  <c r="K53" i="4"/>
  <c r="M140" i="4"/>
  <c r="P140" i="4" s="1"/>
  <c r="K126" i="4"/>
  <c r="I67" i="4"/>
  <c r="M320" i="4"/>
  <c r="M301" i="4"/>
  <c r="E190" i="4"/>
  <c r="L173" i="4"/>
  <c r="J219" i="4"/>
  <c r="M106" i="4"/>
  <c r="P106" i="4" s="1"/>
  <c r="L212" i="4"/>
  <c r="J150" i="4"/>
  <c r="M161" i="4"/>
  <c r="P161" i="4" s="1"/>
  <c r="H208" i="4"/>
  <c r="F155" i="4"/>
  <c r="M296" i="4"/>
  <c r="M267" i="4"/>
  <c r="K179" i="4"/>
  <c r="I63" i="4"/>
  <c r="J213" i="4"/>
  <c r="F148" i="4"/>
  <c r="I88" i="4"/>
  <c r="C123" i="4"/>
  <c r="I208" i="4"/>
  <c r="J135" i="4"/>
  <c r="L37" i="4"/>
  <c r="M370" i="4"/>
  <c r="C289" i="4"/>
  <c r="I127" i="4"/>
  <c r="E189" i="4"/>
  <c r="K153" i="4"/>
  <c r="L49" i="4"/>
  <c r="G221" i="4"/>
  <c r="E163" i="4"/>
  <c r="E122" i="4"/>
  <c r="G142" i="4"/>
  <c r="L134" i="4"/>
  <c r="M38" i="4"/>
  <c r="P38" i="4" s="1"/>
  <c r="M76" i="4"/>
  <c r="P76" i="4" s="1"/>
  <c r="M56" i="4"/>
  <c r="P56" i="4" s="1"/>
  <c r="M73" i="4"/>
  <c r="P73" i="4" s="1"/>
  <c r="C166" i="4"/>
  <c r="M60" i="4"/>
  <c r="P60" i="4" s="1"/>
  <c r="C132" i="4"/>
  <c r="H175" i="4"/>
  <c r="E178" i="4"/>
  <c r="C312" i="4"/>
  <c r="C225" i="4"/>
  <c r="M62" i="4"/>
  <c r="P62" i="4" s="1"/>
  <c r="N101" i="4"/>
  <c r="M214" i="4"/>
  <c r="P214" i="4" s="1"/>
  <c r="L205" i="4"/>
  <c r="F121" i="4"/>
  <c r="E142" i="4"/>
  <c r="L131" i="4"/>
  <c r="E206" i="4"/>
  <c r="I126" i="4"/>
  <c r="C234" i="4"/>
  <c r="M244" i="4"/>
  <c r="M248" i="4"/>
  <c r="N141" i="4"/>
  <c r="F95" i="4"/>
  <c r="E150" i="4"/>
  <c r="G78" i="4"/>
  <c r="J78" i="4"/>
  <c r="N154" i="4"/>
  <c r="N73" i="4"/>
  <c r="N72" i="4"/>
  <c r="I133" i="4"/>
  <c r="E169" i="4"/>
  <c r="N190" i="4"/>
  <c r="J204" i="4"/>
  <c r="D103" i="4"/>
  <c r="J148" i="4"/>
  <c r="D137" i="4"/>
  <c r="K162" i="4"/>
  <c r="K198" i="4"/>
  <c r="F183" i="4"/>
  <c r="H125" i="4"/>
  <c r="I49" i="4"/>
  <c r="E37" i="4"/>
  <c r="M130" i="4"/>
  <c r="P130" i="4" s="1"/>
  <c r="K193" i="4"/>
  <c r="M95" i="4"/>
  <c r="P95" i="4" s="1"/>
  <c r="E167" i="4"/>
  <c r="J162" i="4"/>
  <c r="J41" i="4"/>
  <c r="E144" i="4"/>
  <c r="N116" i="4"/>
  <c r="G34" i="4"/>
  <c r="F56" i="4"/>
  <c r="F58" i="4"/>
  <c r="E135" i="4"/>
  <c r="F86" i="4"/>
  <c r="I125" i="4"/>
  <c r="J108" i="4"/>
  <c r="E181" i="4"/>
  <c r="J121" i="4"/>
  <c r="N163" i="4"/>
  <c r="N205" i="4"/>
  <c r="M146" i="4"/>
  <c r="P146" i="4" s="1"/>
  <c r="N183" i="4"/>
  <c r="J172" i="4"/>
  <c r="C219" i="4"/>
  <c r="H163" i="4"/>
  <c r="M55" i="4"/>
  <c r="P55" i="4" s="1"/>
  <c r="I167" i="4"/>
  <c r="N164" i="4"/>
  <c r="M158" i="4"/>
  <c r="P158" i="4" s="1"/>
  <c r="J191" i="4"/>
  <c r="H78" i="4"/>
  <c r="L61" i="4"/>
  <c r="C133" i="4"/>
  <c r="L153" i="4"/>
  <c r="M162" i="4"/>
  <c r="P162" i="4" s="1"/>
  <c r="M316" i="4"/>
  <c r="F47" i="4"/>
  <c r="H101" i="4"/>
  <c r="H164" i="4"/>
  <c r="J67" i="4"/>
  <c r="M164" i="4"/>
  <c r="P164" i="4" s="1"/>
  <c r="L165" i="4"/>
  <c r="N218" i="4"/>
  <c r="M184" i="4"/>
  <c r="P184" i="4" s="1"/>
  <c r="F160" i="4"/>
  <c r="C75" i="4"/>
  <c r="H77" i="4"/>
  <c r="K177" i="4"/>
  <c r="N172" i="4"/>
  <c r="H139" i="4"/>
  <c r="L60" i="4"/>
  <c r="C74" i="4"/>
  <c r="I66" i="4"/>
  <c r="D69" i="4"/>
  <c r="L181" i="4"/>
  <c r="C40" i="4"/>
  <c r="M313" i="4"/>
  <c r="L43" i="4"/>
  <c r="J113" i="4"/>
  <c r="D171" i="4"/>
  <c r="I93" i="4"/>
  <c r="C33" i="4"/>
  <c r="I94" i="4"/>
  <c r="L100" i="4"/>
  <c r="C38" i="4"/>
  <c r="G114" i="4"/>
  <c r="C124" i="4"/>
  <c r="C179" i="4"/>
  <c r="E67" i="4"/>
  <c r="K142" i="4"/>
  <c r="D200" i="4"/>
  <c r="J96" i="4"/>
  <c r="E138" i="4"/>
  <c r="C52" i="4"/>
  <c r="F75" i="4"/>
  <c r="J120" i="4"/>
  <c r="H160" i="4"/>
  <c r="G120" i="4"/>
  <c r="G52" i="4"/>
  <c r="F112" i="4"/>
  <c r="D86" i="4"/>
  <c r="F62" i="4"/>
  <c r="G32" i="4"/>
  <c r="E42" i="4"/>
  <c r="N86" i="4"/>
  <c r="H200" i="4"/>
  <c r="N23" i="4"/>
  <c r="C85" i="4"/>
  <c r="F203" i="4"/>
  <c r="L211" i="4"/>
  <c r="D104" i="4"/>
  <c r="I160" i="4"/>
  <c r="L107" i="4"/>
  <c r="M343" i="4"/>
  <c r="M256" i="4"/>
  <c r="L52" i="4"/>
  <c r="J207" i="4"/>
  <c r="D206" i="4"/>
  <c r="H174" i="4"/>
  <c r="J187" i="4"/>
  <c r="I221" i="4"/>
  <c r="H203" i="4"/>
  <c r="G210" i="4"/>
  <c r="G40" i="4"/>
  <c r="M309" i="4"/>
  <c r="C241" i="4"/>
  <c r="C310" i="4"/>
  <c r="L34" i="4"/>
  <c r="G113" i="4"/>
  <c r="E66" i="4"/>
  <c r="N204" i="4"/>
  <c r="L93" i="4"/>
  <c r="I33" i="4"/>
  <c r="M93" i="4"/>
  <c r="P93" i="4" s="1"/>
  <c r="F33" i="4"/>
  <c r="E106" i="4"/>
  <c r="F185" i="4"/>
  <c r="G193" i="4"/>
  <c r="I159" i="4"/>
  <c r="I123" i="4"/>
  <c r="L220" i="4"/>
  <c r="K70" i="4"/>
  <c r="D65" i="4"/>
  <c r="M114" i="4"/>
  <c r="P114" i="4" s="1"/>
  <c r="F126" i="4"/>
  <c r="H110" i="4"/>
  <c r="M143" i="4"/>
  <c r="P143" i="4" s="1"/>
  <c r="K29" i="4"/>
  <c r="L196" i="4"/>
  <c r="N79" i="4"/>
  <c r="I128" i="4"/>
  <c r="G74" i="4"/>
  <c r="F128" i="4"/>
  <c r="F163" i="4"/>
  <c r="D128" i="4"/>
  <c r="K108" i="4"/>
  <c r="L56" i="4"/>
  <c r="F206" i="4"/>
  <c r="L108" i="4"/>
  <c r="M147" i="4"/>
  <c r="P147" i="4" s="1"/>
  <c r="K168" i="4"/>
  <c r="I181" i="4"/>
  <c r="M83" i="4"/>
  <c r="P83" i="4" s="1"/>
  <c r="H195" i="4"/>
  <c r="M45" i="4"/>
  <c r="P45" i="4" s="1"/>
  <c r="I163" i="4"/>
  <c r="L51" i="4"/>
  <c r="D178" i="4"/>
  <c r="M65" i="4"/>
  <c r="P65" i="4" s="1"/>
  <c r="J103" i="4"/>
  <c r="D170" i="4"/>
  <c r="K91" i="4"/>
  <c r="I198" i="4"/>
  <c r="C89" i="4"/>
  <c r="N110" i="4"/>
  <c r="F137" i="4"/>
  <c r="G209" i="4"/>
  <c r="D212" i="4"/>
  <c r="E147" i="4"/>
  <c r="E53" i="4"/>
  <c r="N111" i="4"/>
  <c r="G43" i="4"/>
  <c r="G157" i="4"/>
  <c r="M197" i="4"/>
  <c r="P197" i="4" s="1"/>
  <c r="F71" i="4"/>
  <c r="L122" i="4"/>
  <c r="I110" i="4"/>
  <c r="E134" i="4"/>
  <c r="C115" i="4"/>
  <c r="D71" i="4"/>
  <c r="M74" i="4"/>
  <c r="P74" i="4" s="1"/>
  <c r="I24" i="4"/>
  <c r="M165" i="4"/>
  <c r="P165" i="4" s="1"/>
  <c r="M192" i="4"/>
  <c r="P192" i="4" s="1"/>
  <c r="M195" i="4"/>
  <c r="P195" i="4" s="1"/>
  <c r="I114" i="4"/>
  <c r="F53" i="4"/>
  <c r="E185" i="4"/>
  <c r="J112" i="4"/>
  <c r="K139" i="4"/>
  <c r="M115" i="4"/>
  <c r="P115" i="4" s="1"/>
  <c r="G37" i="4"/>
  <c r="D48" i="4"/>
  <c r="H31" i="4"/>
  <c r="E44" i="4"/>
  <c r="I83" i="4"/>
  <c r="N187" i="4"/>
  <c r="I199" i="4"/>
  <c r="I36" i="4"/>
  <c r="H88" i="4"/>
  <c r="H28" i="4"/>
  <c r="D90" i="4"/>
  <c r="M53" i="4"/>
  <c r="P53" i="4" s="1"/>
  <c r="L145" i="4"/>
  <c r="J47" i="4"/>
  <c r="L111" i="4"/>
  <c r="N107" i="4"/>
  <c r="H54" i="4"/>
  <c r="K120" i="4"/>
  <c r="F153" i="4"/>
  <c r="L126" i="4"/>
  <c r="M29" i="4"/>
  <c r="P29" i="4" s="1"/>
  <c r="L198" i="4"/>
  <c r="K98" i="4"/>
  <c r="F120" i="4"/>
  <c r="N77" i="4"/>
  <c r="J193" i="4"/>
  <c r="M160" i="4"/>
  <c r="P160" i="4" s="1"/>
  <c r="G119" i="4"/>
  <c r="M28" i="4"/>
  <c r="P28" i="4" s="1"/>
  <c r="E35" i="4"/>
  <c r="N211" i="4"/>
  <c r="C187" i="4"/>
  <c r="F149" i="4"/>
  <c r="E114" i="4"/>
  <c r="F57" i="4"/>
  <c r="C136" i="4"/>
  <c r="J53" i="4"/>
  <c r="M75" i="4"/>
  <c r="P75" i="4" s="1"/>
  <c r="M251" i="4"/>
  <c r="M362" i="4"/>
  <c r="I176" i="4"/>
  <c r="G67" i="4"/>
  <c r="F136" i="4"/>
  <c r="L54" i="4"/>
  <c r="M30" i="4"/>
  <c r="P30" i="4" s="1"/>
  <c r="H146" i="4"/>
  <c r="J49" i="4"/>
  <c r="K219" i="4"/>
  <c r="C333" i="4"/>
  <c r="C226" i="4"/>
  <c r="C224" i="4"/>
  <c r="C349" i="4"/>
  <c r="D181" i="4"/>
  <c r="H62" i="4"/>
  <c r="D147" i="4"/>
  <c r="N135" i="4"/>
  <c r="N112" i="4"/>
  <c r="F134" i="4"/>
  <c r="M135" i="4"/>
  <c r="P135" i="4" s="1"/>
  <c r="E187" i="4"/>
  <c r="D101" i="4"/>
  <c r="C144" i="4"/>
  <c r="E186" i="4"/>
  <c r="I79" i="4"/>
  <c r="H121" i="4"/>
  <c r="F129" i="4"/>
  <c r="C103" i="4"/>
  <c r="D160" i="4"/>
  <c r="H197" i="4"/>
  <c r="M153" i="4"/>
  <c r="P153" i="4" s="1"/>
  <c r="C148" i="4"/>
  <c r="F105" i="4"/>
  <c r="F51" i="4"/>
  <c r="N70" i="4"/>
  <c r="J192" i="4"/>
  <c r="C169" i="4"/>
  <c r="J30" i="4"/>
  <c r="G109" i="4"/>
  <c r="K170" i="4"/>
  <c r="N105" i="4"/>
  <c r="G99" i="4"/>
  <c r="M61" i="4"/>
  <c r="P61" i="4" s="1"/>
  <c r="J128" i="4"/>
  <c r="J145" i="4"/>
  <c r="C221" i="4"/>
  <c r="L44" i="4"/>
  <c r="G206" i="4"/>
  <c r="M183" i="4"/>
  <c r="P183" i="4" s="1"/>
  <c r="J95" i="4"/>
  <c r="E29" i="4"/>
  <c r="F115" i="4"/>
  <c r="E130" i="4"/>
  <c r="J181" i="4"/>
  <c r="E202" i="4"/>
  <c r="N209" i="4"/>
  <c r="N169" i="4"/>
  <c r="N197" i="4"/>
  <c r="E156" i="4"/>
  <c r="I147" i="4"/>
  <c r="L155" i="4"/>
  <c r="D126" i="4"/>
  <c r="J165" i="4"/>
  <c r="E102" i="4"/>
  <c r="N174" i="4"/>
  <c r="I117" i="4"/>
  <c r="I41" i="4"/>
  <c r="C117" i="4"/>
  <c r="C202" i="4"/>
  <c r="G107" i="4"/>
  <c r="L85" i="4"/>
  <c r="G47" i="4"/>
  <c r="N165" i="4"/>
  <c r="H104" i="4"/>
  <c r="N199" i="4"/>
  <c r="G87" i="4"/>
  <c r="N90" i="4"/>
  <c r="I112" i="4"/>
  <c r="E32" i="4"/>
  <c r="G169" i="4"/>
  <c r="C215" i="4"/>
  <c r="K31" i="4"/>
  <c r="J73" i="4"/>
  <c r="H111" i="4"/>
  <c r="N50" i="4"/>
  <c r="K43" i="4"/>
  <c r="C205" i="4"/>
  <c r="E149" i="4"/>
  <c r="F158" i="4"/>
  <c r="G89" i="4"/>
  <c r="M70" i="4"/>
  <c r="P70" i="4" s="1"/>
  <c r="E194" i="4"/>
  <c r="M85" i="4"/>
  <c r="P85" i="4" s="1"/>
  <c r="E56" i="4"/>
  <c r="G112" i="4"/>
  <c r="G151" i="4"/>
  <c r="C146" i="4"/>
  <c r="H165" i="4"/>
  <c r="G190" i="4"/>
  <c r="N171" i="4"/>
  <c r="L26" i="4"/>
  <c r="F135" i="4"/>
  <c r="N68" i="4"/>
  <c r="I116" i="4"/>
  <c r="M132" i="4"/>
  <c r="P132" i="4" s="1"/>
  <c r="I81" i="4"/>
  <c r="J75" i="4"/>
  <c r="G117" i="4"/>
  <c r="L109" i="4"/>
  <c r="M99" i="4"/>
  <c r="P99" i="4" s="1"/>
  <c r="N53" i="4"/>
  <c r="C107" i="4"/>
  <c r="F36" i="4"/>
  <c r="I62" i="4"/>
  <c r="M94" i="4"/>
  <c r="P94" i="4" s="1"/>
  <c r="L102" i="4"/>
  <c r="G44" i="4"/>
  <c r="M169" i="4"/>
  <c r="P169" i="4" s="1"/>
  <c r="L45" i="4"/>
  <c r="G174" i="4"/>
  <c r="I210" i="4"/>
  <c r="G102" i="4"/>
  <c r="L169" i="4"/>
  <c r="K216" i="4"/>
  <c r="L105" i="4"/>
  <c r="I129" i="4"/>
  <c r="C277" i="4"/>
  <c r="C303" i="4"/>
  <c r="K114" i="4"/>
  <c r="N93" i="4"/>
  <c r="E154" i="4"/>
  <c r="C66" i="4"/>
  <c r="M157" i="4"/>
  <c r="P157" i="4" s="1"/>
  <c r="I188" i="4"/>
  <c r="H220" i="4"/>
  <c r="J203" i="4"/>
  <c r="C371" i="4"/>
  <c r="M245" i="4"/>
  <c r="M238" i="4"/>
  <c r="C236" i="4"/>
  <c r="I54" i="4"/>
  <c r="H40" i="4"/>
  <c r="D66" i="4"/>
  <c r="C46" i="4"/>
  <c r="N213" i="4"/>
  <c r="G49" i="4"/>
  <c r="D64" i="4"/>
  <c r="L170" i="4"/>
  <c r="I25" i="4"/>
  <c r="J166" i="4"/>
  <c r="M163" i="4"/>
  <c r="P163" i="4" s="1"/>
  <c r="F214" i="4"/>
  <c r="E160" i="4"/>
  <c r="E100" i="4"/>
  <c r="D186" i="4"/>
  <c r="N145" i="4"/>
  <c r="D46" i="4"/>
  <c r="E129" i="4"/>
  <c r="G55" i="4"/>
  <c r="L47" i="4"/>
  <c r="K49" i="4"/>
  <c r="C201" i="4"/>
  <c r="E183" i="4"/>
  <c r="L164" i="4"/>
  <c r="L136" i="4"/>
  <c r="N44" i="4"/>
  <c r="G25" i="4"/>
  <c r="I28" i="4"/>
  <c r="M129" i="4"/>
  <c r="P129" i="4" s="1"/>
  <c r="N45" i="4"/>
  <c r="N40" i="4"/>
  <c r="E84" i="4"/>
  <c r="F165" i="4"/>
  <c r="K145" i="4"/>
  <c r="C165" i="4"/>
  <c r="M136" i="4"/>
  <c r="P136" i="4" s="1"/>
  <c r="I215" i="4"/>
  <c r="C155" i="4"/>
  <c r="E199" i="4"/>
  <c r="L69" i="4"/>
  <c r="I50" i="4"/>
  <c r="J39" i="4"/>
  <c r="C188" i="4"/>
  <c r="K115" i="4"/>
  <c r="G36" i="4"/>
  <c r="C59" i="4"/>
  <c r="D136" i="4"/>
  <c r="H106" i="4"/>
  <c r="C119" i="4"/>
  <c r="J80" i="4"/>
  <c r="L95" i="4"/>
  <c r="I175" i="4"/>
  <c r="L79" i="4"/>
  <c r="D36" i="4"/>
  <c r="G215" i="4"/>
  <c r="I99" i="4"/>
  <c r="H57" i="4"/>
  <c r="D96" i="4"/>
  <c r="G53" i="4"/>
  <c r="N191" i="4"/>
  <c r="N117" i="4"/>
  <c r="M81" i="4"/>
  <c r="P81" i="4" s="1"/>
  <c r="C192" i="4"/>
  <c r="C199" i="4"/>
  <c r="G30" i="4"/>
  <c r="I23" i="4"/>
  <c r="K88" i="4"/>
  <c r="D125" i="4"/>
  <c r="M25" i="4"/>
  <c r="P25" i="4" s="1"/>
  <c r="J93" i="4"/>
  <c r="D63" i="4"/>
  <c r="D100" i="4"/>
  <c r="J29" i="4"/>
  <c r="N87" i="4"/>
  <c r="M156" i="4"/>
  <c r="P156" i="4" s="1"/>
  <c r="D215" i="4"/>
  <c r="M215" i="4"/>
  <c r="P215" i="4" s="1"/>
  <c r="G62" i="4"/>
  <c r="C41" i="4"/>
  <c r="H105" i="4"/>
  <c r="G185" i="4"/>
  <c r="M63" i="4"/>
  <c r="P63" i="4" s="1"/>
  <c r="F211" i="4"/>
  <c r="C198" i="4"/>
  <c r="N100" i="4"/>
  <c r="C76" i="4"/>
  <c r="K58" i="4"/>
  <c r="J131" i="4"/>
  <c r="M98" i="4"/>
  <c r="P98" i="4" s="1"/>
  <c r="F91" i="4"/>
  <c r="N161" i="4"/>
  <c r="K59" i="4"/>
  <c r="F80" i="4"/>
  <c r="D184" i="4"/>
  <c r="G202" i="4"/>
  <c r="E184" i="4"/>
  <c r="L116" i="4"/>
  <c r="D30" i="4"/>
  <c r="G84" i="4"/>
  <c r="J32" i="4"/>
  <c r="I61" i="4"/>
  <c r="I189" i="4"/>
  <c r="K54" i="4"/>
  <c r="C53" i="4"/>
  <c r="G59" i="4"/>
  <c r="J185" i="4"/>
  <c r="M186" i="4"/>
  <c r="P186" i="4" s="1"/>
  <c r="D41" i="4"/>
  <c r="J197" i="4"/>
  <c r="E61" i="4"/>
  <c r="N88" i="4"/>
  <c r="J156" i="4"/>
  <c r="M134" i="4"/>
  <c r="P134" i="4" s="1"/>
  <c r="M234" i="4"/>
  <c r="C244" i="4"/>
  <c r="G160" i="4"/>
  <c r="K203" i="4"/>
  <c r="C135" i="4"/>
  <c r="J157" i="4"/>
  <c r="L215" i="4"/>
  <c r="M120" i="4"/>
  <c r="P120" i="4" s="1"/>
  <c r="E25" i="4"/>
  <c r="J92" i="4"/>
  <c r="M223" i="4"/>
  <c r="M235" i="4"/>
  <c r="C257" i="4"/>
  <c r="M372" i="4"/>
  <c r="C44" i="4"/>
  <c r="N179" i="4"/>
  <c r="H169" i="4"/>
  <c r="N108" i="4"/>
  <c r="D203" i="4"/>
  <c r="I32" i="4"/>
  <c r="I156" i="4"/>
  <c r="L74" i="4"/>
  <c r="N195" i="4"/>
  <c r="J104" i="4"/>
  <c r="M123" i="4"/>
  <c r="P123" i="4" s="1"/>
  <c r="L50" i="4"/>
  <c r="I87" i="4"/>
  <c r="C218" i="4"/>
  <c r="K69" i="4"/>
  <c r="F179" i="4"/>
  <c r="E104" i="4"/>
  <c r="D29" i="4"/>
  <c r="C114" i="4"/>
  <c r="C126" i="4"/>
  <c r="N47" i="4"/>
  <c r="K218" i="4"/>
  <c r="N62" i="4"/>
  <c r="I35" i="4"/>
  <c r="M66" i="4"/>
  <c r="P66" i="4" s="1"/>
  <c r="G82" i="4"/>
  <c r="L186" i="4"/>
  <c r="I58" i="4"/>
  <c r="J222" i="4"/>
  <c r="I44" i="4"/>
  <c r="K167" i="4"/>
  <c r="K181" i="4"/>
  <c r="D119" i="4"/>
  <c r="D165" i="4"/>
  <c r="L32" i="4"/>
  <c r="G80" i="4"/>
  <c r="I70" i="4"/>
  <c r="N220" i="4"/>
  <c r="J55" i="4"/>
  <c r="G42" i="4"/>
  <c r="J82" i="4"/>
  <c r="I120" i="4"/>
  <c r="M207" i="4"/>
  <c r="P207" i="4" s="1"/>
  <c r="G92" i="4"/>
  <c r="N188" i="4"/>
  <c r="H55" i="4"/>
  <c r="M32" i="4"/>
  <c r="P32" i="4" s="1"/>
  <c r="H112" i="4"/>
  <c r="K109" i="4"/>
  <c r="I89" i="4"/>
  <c r="G98" i="4"/>
  <c r="N119" i="4"/>
  <c r="D166" i="4"/>
  <c r="G218" i="4"/>
  <c r="L189" i="4"/>
  <c r="K141" i="4"/>
  <c r="L104" i="4"/>
  <c r="F117" i="4"/>
  <c r="H32" i="4"/>
  <c r="H37" i="4"/>
  <c r="N33" i="4"/>
  <c r="C208" i="4"/>
  <c r="F213" i="4"/>
  <c r="I86" i="4"/>
  <c r="E111" i="4"/>
  <c r="E141" i="4"/>
  <c r="H94" i="4"/>
  <c r="I139" i="4"/>
  <c r="J72" i="4"/>
  <c r="E164" i="4"/>
  <c r="I98" i="4"/>
  <c r="J110" i="4"/>
  <c r="M46" i="4"/>
  <c r="P46" i="4" s="1"/>
  <c r="D113" i="4"/>
  <c r="F131" i="4"/>
  <c r="D217" i="4"/>
  <c r="M174" i="4"/>
  <c r="P174" i="4" s="1"/>
  <c r="F218" i="4"/>
  <c r="M175" i="4"/>
  <c r="P175" i="4" s="1"/>
  <c r="M127" i="4"/>
  <c r="P127" i="4" s="1"/>
  <c r="N186" i="4"/>
  <c r="J220" i="4"/>
  <c r="H145" i="4"/>
  <c r="E92" i="4"/>
  <c r="H43" i="4"/>
  <c r="F65" i="4"/>
  <c r="E55" i="4"/>
  <c r="F59" i="4"/>
  <c r="C100" i="4"/>
  <c r="D141" i="4"/>
  <c r="L89" i="4"/>
  <c r="C108" i="4"/>
  <c r="N42" i="4"/>
  <c r="J115" i="4"/>
  <c r="L83" i="4"/>
  <c r="F48" i="4"/>
  <c r="L124" i="4"/>
  <c r="K135" i="4"/>
  <c r="C88" i="4"/>
  <c r="H41" i="4"/>
  <c r="D124" i="4"/>
  <c r="N146" i="4"/>
  <c r="I59" i="4"/>
  <c r="E162" i="4"/>
  <c r="M171" i="4"/>
  <c r="P171" i="4" s="1"/>
  <c r="C176" i="4"/>
  <c r="K39" i="4"/>
  <c r="H144" i="4"/>
  <c r="K34" i="4"/>
  <c r="J155" i="4"/>
  <c r="K125" i="4"/>
  <c r="M121" i="4"/>
  <c r="P121" i="4" s="1"/>
  <c r="M193" i="4"/>
  <c r="P193" i="4" s="1"/>
  <c r="C309" i="4"/>
  <c r="M241" i="4"/>
  <c r="J153" i="4"/>
  <c r="I100" i="4"/>
  <c r="L36" i="4"/>
  <c r="L151" i="4"/>
  <c r="C71" i="4"/>
  <c r="J102" i="4"/>
  <c r="N198" i="4"/>
  <c r="M149" i="4"/>
  <c r="P149" i="4" s="1"/>
  <c r="M314" i="4"/>
  <c r="M315" i="4"/>
  <c r="M255" i="4"/>
  <c r="M240" i="4"/>
  <c r="E77" i="4"/>
  <c r="L106" i="4"/>
  <c r="G182" i="4"/>
  <c r="I162" i="4"/>
  <c r="L176" i="4"/>
  <c r="J61" i="4"/>
  <c r="K163" i="4"/>
  <c r="H132" i="4"/>
  <c r="E31" i="4"/>
  <c r="G115" i="4"/>
  <c r="J33" i="4"/>
  <c r="K207" i="4"/>
  <c r="H60" i="4"/>
  <c r="M133" i="4"/>
  <c r="P133" i="4" s="1"/>
  <c r="N151" i="4"/>
  <c r="N157" i="4"/>
  <c r="K55" i="4"/>
  <c r="E86" i="4"/>
  <c r="G50" i="4"/>
  <c r="I77" i="4"/>
  <c r="K81" i="4"/>
  <c r="N196" i="4"/>
  <c r="C128" i="4"/>
  <c r="G45" i="4"/>
  <c r="J199" i="4"/>
  <c r="E63" i="4"/>
  <c r="L187" i="4"/>
  <c r="H24" i="4"/>
  <c r="E132" i="4"/>
  <c r="D176" i="4"/>
  <c r="D85" i="4"/>
  <c r="K85" i="4"/>
  <c r="C39" i="4"/>
  <c r="J85" i="4"/>
  <c r="N78" i="4"/>
  <c r="C121" i="4"/>
  <c r="E41" i="4"/>
  <c r="M52" i="4"/>
  <c r="P52" i="4" s="1"/>
  <c r="L88" i="4"/>
  <c r="C197" i="4"/>
  <c r="K48" i="4"/>
  <c r="F37" i="4"/>
  <c r="D153" i="4"/>
  <c r="G105" i="4"/>
  <c r="H58" i="4"/>
  <c r="E47" i="4"/>
  <c r="D84" i="4"/>
  <c r="G216" i="4"/>
  <c r="I60" i="4"/>
  <c r="G63" i="4"/>
  <c r="G168" i="4"/>
  <c r="D50" i="4"/>
  <c r="C158" i="4"/>
  <c r="H222" i="4"/>
  <c r="F111" i="4"/>
  <c r="C153" i="4"/>
  <c r="K96" i="4"/>
  <c r="K75" i="4"/>
  <c r="M182" i="4"/>
  <c r="P182" i="4" s="1"/>
  <c r="F104" i="4"/>
  <c r="G176" i="4"/>
  <c r="D97" i="4"/>
  <c r="N139" i="4"/>
  <c r="G122" i="4"/>
  <c r="D105" i="4"/>
  <c r="H75" i="4"/>
  <c r="M97" i="4"/>
  <c r="P97" i="4" s="1"/>
  <c r="C87" i="4"/>
  <c r="J208" i="4"/>
  <c r="D34" i="4"/>
  <c r="M104" i="4"/>
  <c r="P104" i="4" s="1"/>
  <c r="F199" i="4"/>
  <c r="E203" i="4"/>
  <c r="L210" i="4"/>
  <c r="I171" i="4"/>
  <c r="H136" i="4"/>
  <c r="I72" i="4"/>
  <c r="H151" i="4"/>
  <c r="M40" i="4"/>
  <c r="P40" i="4" s="1"/>
  <c r="K42" i="4"/>
  <c r="K62" i="4"/>
  <c r="H212" i="4"/>
  <c r="E62" i="4"/>
  <c r="L179" i="4"/>
  <c r="F147" i="4"/>
  <c r="G147" i="4"/>
  <c r="C73" i="4"/>
  <c r="D167" i="4"/>
  <c r="E140" i="4"/>
  <c r="E146" i="4"/>
  <c r="I109" i="4"/>
  <c r="M172" i="4"/>
  <c r="P172" i="4" s="1"/>
  <c r="F106" i="4"/>
  <c r="E24" i="4"/>
  <c r="F174" i="4"/>
  <c r="D177" i="4"/>
  <c r="E78" i="4"/>
  <c r="E79" i="4"/>
  <c r="D53" i="4"/>
  <c r="M122" i="4"/>
  <c r="P122" i="4" s="1"/>
  <c r="N43" i="4"/>
  <c r="I53" i="4"/>
  <c r="N28" i="4"/>
  <c r="J200" i="4"/>
  <c r="M37" i="4"/>
  <c r="P37" i="4" s="1"/>
  <c r="H52" i="4"/>
  <c r="H103" i="4"/>
  <c r="C97" i="4"/>
  <c r="H61" i="4"/>
  <c r="E91" i="4"/>
  <c r="M77" i="4"/>
  <c r="P77" i="4" s="1"/>
  <c r="F177" i="4"/>
  <c r="M333" i="4"/>
  <c r="M226" i="4"/>
  <c r="M224" i="4"/>
  <c r="F45" i="4"/>
  <c r="H91" i="4"/>
  <c r="F34" i="4"/>
  <c r="K87" i="4"/>
  <c r="H166" i="4"/>
  <c r="C175" i="4"/>
  <c r="C181" i="4"/>
  <c r="M113" i="4"/>
  <c r="P113" i="4" s="1"/>
  <c r="C262" i="4"/>
  <c r="M233" i="4"/>
  <c r="M249" i="4"/>
  <c r="M271" i="4"/>
  <c r="N158" i="4"/>
  <c r="L113" i="4"/>
  <c r="H38" i="4"/>
  <c r="E81" i="4"/>
  <c r="N162" i="4"/>
  <c r="E70" i="4"/>
  <c r="N155" i="4"/>
  <c r="F170" i="4"/>
  <c r="J56" i="4"/>
  <c r="M191" i="4"/>
  <c r="P191" i="4" s="1"/>
  <c r="M67" i="4"/>
  <c r="P67" i="4" s="1"/>
  <c r="H67" i="4"/>
  <c r="F101" i="4"/>
  <c r="M100" i="4"/>
  <c r="P100" i="4" s="1"/>
  <c r="H184" i="4"/>
  <c r="K158" i="4"/>
  <c r="D56" i="4"/>
  <c r="F24" i="4"/>
  <c r="H29" i="4"/>
  <c r="N181" i="4"/>
  <c r="G79" i="4"/>
  <c r="C217" i="4"/>
  <c r="K189" i="4"/>
  <c r="C213" i="4"/>
  <c r="L167" i="4"/>
  <c r="K206" i="4"/>
  <c r="H74" i="4"/>
  <c r="E115" i="4"/>
  <c r="G54" i="4"/>
  <c r="J62" i="4"/>
  <c r="C30" i="4"/>
  <c r="C204" i="4"/>
  <c r="F98" i="4"/>
  <c r="N178" i="4"/>
  <c r="H129" i="4"/>
  <c r="G143" i="4"/>
  <c r="D133" i="4"/>
  <c r="F212" i="4"/>
  <c r="G94" i="4"/>
  <c r="D81" i="4"/>
  <c r="J167" i="4"/>
  <c r="F55" i="4"/>
  <c r="F69" i="4"/>
  <c r="H83" i="4"/>
  <c r="C285" i="4"/>
  <c r="F196" i="4"/>
  <c r="G71" i="4"/>
  <c r="F50" i="4"/>
  <c r="H192" i="4"/>
  <c r="E64" i="4"/>
  <c r="N74" i="4"/>
  <c r="D149" i="4"/>
  <c r="G110" i="4"/>
  <c r="G219" i="4"/>
  <c r="I30" i="4"/>
  <c r="E75" i="4"/>
  <c r="N210" i="4"/>
  <c r="C138" i="4"/>
  <c r="I37" i="4"/>
  <c r="K71" i="4"/>
  <c r="E46" i="4"/>
  <c r="E52" i="4"/>
  <c r="M43" i="4"/>
  <c r="P43" i="4" s="1"/>
  <c r="F220" i="4"/>
  <c r="I153" i="4"/>
  <c r="F150" i="4"/>
  <c r="I92" i="4"/>
  <c r="M221" i="4"/>
  <c r="P221" i="4" s="1"/>
  <c r="N39" i="4"/>
  <c r="L101" i="4"/>
  <c r="L53" i="4"/>
  <c r="J168" i="4"/>
  <c r="M155" i="4"/>
  <c r="P155" i="4" s="1"/>
  <c r="K78" i="4"/>
  <c r="D214" i="4"/>
  <c r="M148" i="4"/>
  <c r="P148" i="4" s="1"/>
  <c r="N27" i="4"/>
  <c r="I31" i="4"/>
  <c r="J189" i="4"/>
  <c r="I142" i="4"/>
  <c r="F194" i="4"/>
  <c r="I196" i="4"/>
  <c r="K104" i="4"/>
  <c r="E166" i="4"/>
  <c r="L197" i="4"/>
  <c r="E99" i="4"/>
  <c r="C156" i="4"/>
  <c r="C90" i="4"/>
  <c r="L87" i="4"/>
  <c r="I80" i="4"/>
  <c r="C168" i="4"/>
  <c r="J111" i="4"/>
  <c r="H158" i="4"/>
  <c r="K137" i="4"/>
  <c r="M111" i="4"/>
  <c r="P111" i="4" s="1"/>
  <c r="J97" i="4"/>
  <c r="L40" i="4"/>
  <c r="I75" i="4"/>
  <c r="M49" i="4"/>
  <c r="P49" i="4" s="1"/>
  <c r="J139" i="4"/>
  <c r="E45" i="4"/>
  <c r="N52" i="4"/>
  <c r="G95" i="4"/>
  <c r="G64" i="4"/>
  <c r="K136" i="4"/>
  <c r="C29" i="4"/>
  <c r="M144" i="4"/>
  <c r="P144" i="4" s="1"/>
  <c r="K38" i="4"/>
  <c r="G172" i="4"/>
  <c r="M35" i="4"/>
  <c r="P35" i="4" s="1"/>
  <c r="J179" i="4"/>
  <c r="D47" i="4"/>
  <c r="M371" i="4"/>
  <c r="C245" i="4"/>
  <c r="C23" i="4"/>
  <c r="G187" i="4"/>
  <c r="G134" i="4"/>
  <c r="K151" i="4"/>
  <c r="I190" i="4"/>
  <c r="G27" i="4"/>
  <c r="N115" i="4"/>
  <c r="M44" i="4"/>
  <c r="P44" i="4" s="1"/>
  <c r="H189" i="4"/>
  <c r="C281" i="4"/>
  <c r="M231" i="4"/>
  <c r="M280" i="4"/>
  <c r="E105" i="4"/>
  <c r="C189" i="4"/>
  <c r="N92" i="4"/>
  <c r="K134" i="4"/>
  <c r="D138" i="4"/>
  <c r="D40" i="4"/>
  <c r="L57" i="4"/>
  <c r="F186" i="4"/>
  <c r="C113" i="4"/>
  <c r="I180" i="4"/>
  <c r="I29" i="4"/>
  <c r="N133" i="4"/>
  <c r="L48" i="4"/>
  <c r="C173" i="4"/>
  <c r="J176" i="4"/>
  <c r="C227" i="4"/>
  <c r="K33" i="4"/>
  <c r="C184" i="4"/>
  <c r="K57" i="4"/>
  <c r="J48" i="4"/>
  <c r="N203" i="4"/>
  <c r="E83" i="4"/>
  <c r="C140" i="4"/>
  <c r="C64" i="4"/>
  <c r="K41" i="4"/>
  <c r="G195" i="4"/>
  <c r="K123" i="4"/>
  <c r="D179" i="4"/>
  <c r="G144" i="4"/>
  <c r="F189" i="4"/>
  <c r="G149" i="4"/>
  <c r="F122" i="4"/>
  <c r="J70" i="4"/>
  <c r="N208" i="4"/>
  <c r="G140" i="4"/>
  <c r="I166" i="4"/>
  <c r="K64" i="4"/>
  <c r="J136" i="4"/>
  <c r="F28" i="4"/>
  <c r="F102" i="4"/>
  <c r="C65" i="4"/>
  <c r="F175" i="4"/>
  <c r="F188" i="4"/>
  <c r="C147" i="4"/>
  <c r="L150" i="4"/>
  <c r="F184" i="4"/>
  <c r="C61" i="4"/>
  <c r="K180" i="4"/>
  <c r="N212" i="4"/>
  <c r="C162" i="4"/>
  <c r="K92" i="4"/>
  <c r="D192" i="4"/>
  <c r="H161" i="4"/>
  <c r="N76" i="4"/>
  <c r="I84" i="4"/>
  <c r="G192" i="4"/>
  <c r="E116" i="4"/>
  <c r="C327" i="4"/>
  <c r="E57" i="4"/>
  <c r="C151" i="4"/>
  <c r="M211" i="4"/>
  <c r="P211" i="4" s="1"/>
  <c r="E113" i="4"/>
  <c r="I45" i="4"/>
  <c r="M205" i="4"/>
  <c r="P205" i="4" s="1"/>
  <c r="G165" i="4"/>
  <c r="N83" i="4"/>
  <c r="M347" i="4"/>
  <c r="D144" i="4"/>
  <c r="C96" i="4"/>
  <c r="J37" i="4"/>
  <c r="N216" i="4"/>
  <c r="H204" i="4"/>
  <c r="N177" i="4"/>
  <c r="N143" i="4"/>
  <c r="K95" i="4"/>
  <c r="J116" i="4"/>
  <c r="I56" i="4"/>
  <c r="F32" i="4"/>
  <c r="K202" i="4"/>
  <c r="J118" i="4"/>
  <c r="F74" i="4"/>
  <c r="K28" i="4"/>
  <c r="D220" i="4"/>
  <c r="H46" i="4"/>
  <c r="N207" i="4"/>
  <c r="I101" i="4"/>
  <c r="J133" i="4"/>
  <c r="K199" i="4"/>
  <c r="D116" i="4"/>
  <c r="M89" i="4"/>
  <c r="P89" i="4" s="1"/>
  <c r="L129" i="4"/>
  <c r="K44" i="4"/>
  <c r="N180" i="4"/>
  <c r="J24" i="4"/>
  <c r="L120" i="4"/>
  <c r="E211" i="4"/>
  <c r="L46" i="4"/>
  <c r="G213" i="4"/>
  <c r="N82" i="4"/>
  <c r="L201" i="4"/>
  <c r="F190" i="4"/>
  <c r="E125" i="4"/>
  <c r="K152" i="4"/>
  <c r="M103" i="4"/>
  <c r="P103" i="4" s="1"/>
  <c r="I135" i="4"/>
  <c r="D93" i="4"/>
  <c r="J141" i="4"/>
  <c r="H188" i="4"/>
  <c r="D28" i="4"/>
  <c r="M138" i="4"/>
  <c r="P138" i="4" s="1"/>
  <c r="N98" i="4"/>
  <c r="H152" i="4"/>
  <c r="H33" i="4"/>
  <c r="C223" i="4"/>
  <c r="C235" i="4"/>
  <c r="F94" i="4"/>
  <c r="F156" i="4"/>
  <c r="N215" i="4"/>
  <c r="C195" i="4"/>
  <c r="I211" i="4"/>
  <c r="H23" i="4"/>
  <c r="C154" i="4"/>
  <c r="K30" i="4"/>
  <c r="J174" i="4"/>
  <c r="M312" i="4"/>
  <c r="M225" i="4"/>
  <c r="M243" i="4"/>
  <c r="D61" i="4"/>
  <c r="I74" i="4"/>
  <c r="L31" i="4"/>
  <c r="K209" i="4"/>
  <c r="D154" i="4"/>
  <c r="C116" i="4"/>
  <c r="M57" i="4"/>
  <c r="P57" i="4" s="1"/>
  <c r="F30" i="4"/>
  <c r="L192" i="4"/>
  <c r="N55" i="4"/>
  <c r="K93" i="4"/>
  <c r="H124" i="4"/>
  <c r="N122" i="4"/>
  <c r="J89" i="4"/>
  <c r="K131" i="4"/>
  <c r="C210" i="4"/>
  <c r="E38" i="4"/>
  <c r="G133" i="4"/>
  <c r="C56" i="4"/>
  <c r="I71" i="4"/>
  <c r="F171" i="4"/>
  <c r="G77" i="4"/>
  <c r="H213" i="4"/>
  <c r="G106" i="4"/>
  <c r="J68" i="4"/>
  <c r="D43" i="4"/>
  <c r="M199" i="4"/>
  <c r="P199" i="4" s="1"/>
  <c r="C143" i="4"/>
  <c r="K97" i="4"/>
  <c r="J28" i="4"/>
  <c r="N71" i="4"/>
  <c r="C47" i="4"/>
  <c r="N219" i="4"/>
  <c r="D211" i="4"/>
  <c r="N32" i="4"/>
  <c r="M340" i="4"/>
  <c r="M213" i="4"/>
  <c r="P213" i="4" s="1"/>
  <c r="C79" i="4"/>
  <c r="H47" i="4"/>
  <c r="H155" i="4"/>
  <c r="J83" i="4"/>
  <c r="F195" i="4"/>
  <c r="D57" i="4"/>
  <c r="C137" i="4"/>
  <c r="F49" i="4"/>
  <c r="L178" i="4"/>
  <c r="H68" i="4"/>
  <c r="N85" i="4"/>
  <c r="E51" i="4"/>
  <c r="D189" i="4"/>
  <c r="J158" i="4"/>
  <c r="J57" i="4"/>
  <c r="G131" i="4"/>
  <c r="M82" i="4"/>
  <c r="P82" i="4" s="1"/>
  <c r="C170" i="4"/>
  <c r="E215" i="4"/>
  <c r="N31" i="4"/>
  <c r="C186" i="4"/>
  <c r="J69" i="4"/>
  <c r="J98" i="4"/>
  <c r="E119" i="4"/>
  <c r="J36" i="4"/>
  <c r="H193" i="4"/>
  <c r="L92" i="4"/>
  <c r="G186" i="4"/>
  <c r="J138" i="4"/>
  <c r="J31" i="4"/>
  <c r="C45" i="4"/>
  <c r="F38" i="4"/>
  <c r="F108" i="4"/>
  <c r="N61" i="4"/>
  <c r="N130" i="4"/>
  <c r="E175" i="4"/>
  <c r="N57" i="4"/>
  <c r="H196" i="4"/>
  <c r="J211" i="4"/>
  <c r="M90" i="4"/>
  <c r="P90" i="4" s="1"/>
  <c r="H118" i="4"/>
  <c r="F76" i="4"/>
  <c r="D26" i="4"/>
  <c r="H98" i="4"/>
  <c r="C67" i="4"/>
  <c r="I52" i="4"/>
  <c r="G207" i="4"/>
  <c r="H73" i="4"/>
  <c r="G175" i="4"/>
  <c r="H127" i="4"/>
  <c r="F79" i="4"/>
  <c r="G171" i="4"/>
  <c r="E212" i="4"/>
  <c r="D89" i="4"/>
  <c r="L42" i="4"/>
  <c r="E222" i="4"/>
  <c r="N150" i="4"/>
  <c r="J152" i="4"/>
  <c r="J177" i="4"/>
  <c r="H176" i="4"/>
  <c r="D68" i="4"/>
  <c r="F52" i="4"/>
  <c r="C35" i="4"/>
  <c r="J76" i="4"/>
  <c r="F141" i="4"/>
  <c r="G139" i="4"/>
  <c r="E220" i="4"/>
  <c r="D195" i="4"/>
  <c r="H72" i="4"/>
  <c r="M64" i="4"/>
  <c r="P64" i="4" s="1"/>
  <c r="F41" i="4"/>
  <c r="C34" i="4"/>
  <c r="D151" i="4"/>
  <c r="M119" i="4"/>
  <c r="P119" i="4" s="1"/>
  <c r="L81" i="4"/>
  <c r="F168" i="4"/>
  <c r="L132" i="4"/>
  <c r="M42" i="4"/>
  <c r="P42" i="4" s="1"/>
  <c r="H92" i="4"/>
  <c r="N104" i="4"/>
  <c r="L119" i="4"/>
  <c r="F125" i="4"/>
  <c r="I145" i="4"/>
  <c r="F207" i="4"/>
  <c r="C191" i="4"/>
  <c r="E200" i="4"/>
  <c r="M92" i="4"/>
  <c r="P92" i="4" s="1"/>
  <c r="G23" i="4"/>
  <c r="C82" i="4"/>
  <c r="C68" i="4"/>
  <c r="C196" i="4"/>
  <c r="J123" i="4"/>
  <c r="F145" i="4"/>
  <c r="E74" i="4"/>
  <c r="M262" i="4"/>
  <c r="C233" i="4"/>
  <c r="L154" i="4"/>
  <c r="H128" i="4"/>
  <c r="M166" i="4"/>
  <c r="P166" i="4" s="1"/>
  <c r="H149" i="4"/>
  <c r="H90" i="4"/>
  <c r="E117" i="4"/>
  <c r="M107" i="4"/>
  <c r="P107" i="4" s="1"/>
  <c r="J184" i="4"/>
  <c r="L98" i="4"/>
  <c r="C251" i="4"/>
  <c r="C362" i="4"/>
  <c r="M268" i="4"/>
  <c r="M58" i="4"/>
  <c r="P58" i="4" s="1"/>
  <c r="I73" i="4"/>
  <c r="K73" i="4"/>
  <c r="M33" i="4"/>
  <c r="P33" i="4" s="1"/>
  <c r="E161" i="4"/>
  <c r="L78" i="4"/>
  <c r="I27" i="4"/>
  <c r="H48" i="4"/>
  <c r="E80" i="4"/>
  <c r="H26" i="4"/>
  <c r="G217" i="4"/>
  <c r="M105" i="4"/>
  <c r="P105" i="4" s="1"/>
  <c r="M220" i="4"/>
  <c r="P220" i="4" s="1"/>
  <c r="D91" i="4"/>
  <c r="G93" i="4"/>
  <c r="K110" i="4"/>
  <c r="D182" i="4"/>
  <c r="D99" i="4"/>
  <c r="N132" i="4"/>
  <c r="I34" i="4"/>
  <c r="K50" i="4"/>
  <c r="M51" i="4"/>
  <c r="P51" i="4" s="1"/>
  <c r="E76" i="4"/>
  <c r="D222" i="4"/>
  <c r="F208" i="4"/>
  <c r="G51" i="4"/>
  <c r="E65" i="4"/>
  <c r="H66" i="4"/>
  <c r="N137" i="4"/>
  <c r="D164" i="4"/>
  <c r="K86" i="4"/>
  <c r="L141" i="4"/>
  <c r="H93" i="4"/>
  <c r="I193" i="4"/>
  <c r="J44" i="4"/>
  <c r="J180" i="4"/>
  <c r="D110" i="4"/>
  <c r="E165" i="4"/>
  <c r="E30" i="4"/>
  <c r="N152" i="4"/>
  <c r="C57" i="4"/>
  <c r="I122" i="4"/>
  <c r="M86" i="4"/>
  <c r="P86" i="4" s="1"/>
  <c r="H141" i="4"/>
  <c r="H87" i="4"/>
  <c r="K107" i="4"/>
  <c r="L103" i="4"/>
  <c r="M210" i="4"/>
  <c r="P210" i="4" s="1"/>
  <c r="I130" i="4"/>
  <c r="I144" i="4"/>
  <c r="L71" i="4"/>
  <c r="D79" i="4"/>
  <c r="H49" i="4"/>
  <c r="F89" i="4"/>
  <c r="I220" i="4"/>
  <c r="H217" i="4"/>
  <c r="M180" i="4"/>
  <c r="P180" i="4" s="1"/>
  <c r="N166" i="4"/>
  <c r="D88" i="4"/>
  <c r="E60" i="4"/>
  <c r="D150" i="4"/>
  <c r="K52" i="4"/>
  <c r="D77" i="4"/>
  <c r="E107" i="4"/>
  <c r="G127" i="4"/>
  <c r="L175" i="4"/>
  <c r="D32" i="4"/>
  <c r="G46" i="4"/>
  <c r="J64" i="4"/>
  <c r="E72" i="4"/>
  <c r="C77" i="4"/>
  <c r="M31" i="4"/>
  <c r="P31" i="4" s="1"/>
  <c r="K196" i="4"/>
  <c r="F26" i="4"/>
  <c r="L213" i="4"/>
  <c r="E148" i="4"/>
  <c r="D130" i="4"/>
  <c r="L118" i="4"/>
  <c r="H42" i="4"/>
  <c r="D216" i="4"/>
  <c r="C209" i="4"/>
  <c r="M159" i="4"/>
  <c r="P159" i="4" s="1"/>
  <c r="C159" i="4"/>
  <c r="C81" i="4"/>
  <c r="N99" i="4"/>
  <c r="G48" i="4"/>
  <c r="D210" i="4"/>
  <c r="M150" i="4"/>
  <c r="P150" i="4" s="1"/>
  <c r="F54" i="4"/>
  <c r="F215" i="4"/>
  <c r="H156" i="4"/>
  <c r="F187" i="4"/>
  <c r="F176" i="4"/>
  <c r="L91" i="4"/>
  <c r="J151" i="4"/>
  <c r="F146" i="4"/>
  <c r="N201" i="4"/>
  <c r="N35" i="4"/>
  <c r="G39" i="4"/>
  <c r="C78" i="4"/>
  <c r="M126" i="4"/>
  <c r="P126" i="4" s="1"/>
  <c r="M178" i="4"/>
  <c r="P178" i="4" s="1"/>
  <c r="L63" i="4"/>
  <c r="D80" i="4"/>
  <c r="H70" i="4"/>
  <c r="H36" i="4"/>
  <c r="N29" i="4"/>
  <c r="D122" i="4"/>
  <c r="N95" i="4"/>
  <c r="L168" i="4"/>
  <c r="N59" i="4"/>
  <c r="G116" i="4"/>
  <c r="E137" i="4"/>
  <c r="M281" i="4"/>
  <c r="C231" i="4"/>
  <c r="I213" i="4"/>
  <c r="K132" i="4"/>
  <c r="H138" i="4"/>
  <c r="F25" i="4"/>
  <c r="E195" i="4"/>
  <c r="G208" i="4"/>
  <c r="E23" i="4"/>
  <c r="F173" i="4"/>
  <c r="G201" i="4"/>
  <c r="M277" i="4"/>
  <c r="M303" i="4"/>
  <c r="M230" i="4"/>
  <c r="N167" i="4"/>
  <c r="H99" i="4"/>
  <c r="N144" i="4"/>
  <c r="J99" i="4"/>
  <c r="F68" i="4"/>
  <c r="C160" i="4"/>
  <c r="F27" i="4"/>
  <c r="G200" i="4"/>
  <c r="E43" i="4"/>
  <c r="N136" i="4"/>
  <c r="J122" i="4"/>
  <c r="M72" i="4"/>
  <c r="P72" i="4" s="1"/>
  <c r="J217" i="4"/>
  <c r="F116" i="4"/>
  <c r="C220" i="4"/>
  <c r="H202" i="4"/>
  <c r="C49" i="4"/>
  <c r="K56" i="4"/>
  <c r="F29" i="4"/>
  <c r="F100" i="4"/>
  <c r="F130" i="4"/>
  <c r="C110" i="4"/>
  <c r="C36" i="4"/>
  <c r="H64" i="4"/>
  <c r="J140" i="4"/>
  <c r="C101" i="4"/>
  <c r="J206" i="4"/>
  <c r="D83" i="4"/>
  <c r="H186" i="4"/>
  <c r="E145" i="4"/>
  <c r="L166" i="4"/>
  <c r="L55" i="4"/>
  <c r="J171" i="4"/>
  <c r="D120" i="4"/>
  <c r="M117" i="4"/>
  <c r="P117" i="4" s="1"/>
  <c r="J100" i="4"/>
  <c r="I85" i="4"/>
  <c r="H96" i="4"/>
  <c r="F161" i="4"/>
  <c r="D98" i="4"/>
  <c r="H63" i="4"/>
  <c r="K101" i="4"/>
  <c r="N36" i="4"/>
  <c r="I212" i="4"/>
  <c r="K174" i="4"/>
  <c r="F35" i="4"/>
  <c r="L35" i="4"/>
  <c r="K103" i="4"/>
  <c r="G121" i="4"/>
  <c r="D140" i="4"/>
  <c r="E48" i="4"/>
  <c r="H102" i="4"/>
  <c r="H108" i="4"/>
  <c r="L152" i="4"/>
  <c r="K173" i="4"/>
  <c r="G199" i="4"/>
  <c r="G90" i="4"/>
  <c r="N128" i="4"/>
  <c r="E89" i="4"/>
  <c r="M110" i="4"/>
  <c r="P110" i="4" s="1"/>
  <c r="C200" i="4"/>
  <c r="F144" i="4"/>
  <c r="N170" i="4"/>
  <c r="E28" i="4"/>
  <c r="J26" i="4"/>
  <c r="M203" i="4"/>
  <c r="P203" i="4" s="1"/>
  <c r="F23" i="4"/>
  <c r="D39" i="4"/>
  <c r="L206" i="4"/>
  <c r="G85" i="4"/>
  <c r="N184" i="4"/>
  <c r="L204" i="4"/>
  <c r="K166" i="4"/>
  <c r="F118" i="4"/>
  <c r="M128" i="4"/>
  <c r="P128" i="4" s="1"/>
  <c r="C203" i="4"/>
  <c r="K184" i="4"/>
  <c r="G136" i="4"/>
  <c r="I202" i="4"/>
  <c r="E68" i="4"/>
  <c r="N26" i="4"/>
  <c r="F204" i="4"/>
  <c r="C99" i="4"/>
  <c r="E124" i="4"/>
  <c r="H119" i="4"/>
  <c r="J178" i="4"/>
  <c r="M282" i="4"/>
  <c r="N84" i="4"/>
  <c r="C62" i="4"/>
  <c r="C92" i="4"/>
  <c r="C122" i="4"/>
  <c r="N206" i="4"/>
  <c r="H218" i="4"/>
  <c r="L41" i="4"/>
  <c r="K116" i="4"/>
  <c r="H168" i="4"/>
  <c r="E87" i="4"/>
  <c r="I115" i="4"/>
  <c r="L75" i="4"/>
  <c r="H150" i="4"/>
  <c r="E192" i="4"/>
  <c r="G68" i="4"/>
  <c r="L38" i="4"/>
  <c r="F209" i="4"/>
  <c r="G118" i="4"/>
  <c r="L99" i="4"/>
  <c r="G16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<sst xmlns="http://schemas.openxmlformats.org/spreadsheetml/2006/main" count="90" uniqueCount="88">
  <si>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</si>
  <si>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</si>
  <si>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</si>
  <si>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</si>
  <si>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</si>
  <si>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</si>
  <si>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</si>
  <si>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</si>
  <si>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</si>
  <si>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</si>
  <si>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</si>
  <si>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</si>
  <si>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</si>
  <si>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</si>
  <si>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</si>
  <si>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</si>
  <si>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</si>
  <si>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</si>
  <si>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</si>
  <si>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</si>
  <si>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</si>
  <si>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</si>
  <si>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</si>
  <si>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</si>
  <si>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</si>
  <si>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</si>
  <si>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</si>
  <si>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</si>
  <si>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</si>
  <si>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</si>
  <si>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</si>
  <si>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</si>
  <si>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</si>
  <si>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</si>
  <si>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</si>
  <si>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</si>
  <si>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</si>
  <si>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</si>
  <si>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</si>
  <si>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</si>
  <si>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</si>
  <si>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</si>
  <si>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</si>
  <si>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</si>
  <si>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</si>
  <si>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</si>
  <si>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</si>
  <si>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</si>
  <si>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</si>
  <si>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</si>
  <si>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</si>
  <si>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</si>
  <si>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</si>
  <si>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</si>
  <si>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</si>
  <si>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</si>
  <si>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</si>
  <si>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</si>
  <si>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</si>
  <si>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</si>
  <si>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</si>
  <si>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</si>
  <si>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</si>
  <si>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</si>
  <si>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</si>
  <si>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</si>
  <si>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</si>
  <si>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</si>
  <si>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</si>
  <si>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</si>
  <si>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</si>
  <si>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</si>
  <si>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</si>
  <si>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</si>
  <si>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</si>
  <si>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</si>
  <si>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</si>
  <si>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</si>
  <si>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</si>
  <si>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</si>
  <si>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</si>
  <si>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</si>
  <si>
    <t>St_REFPROP</t>
  </si>
  <si>
    <t>Ht_REFPROP</t>
  </si>
  <si>
    <t>Delta S</t>
  </si>
  <si>
    <t>Delta H</t>
  </si>
  <si>
    <t>H at Triple Point</t>
  </si>
  <si>
    <t>Melting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</si>
</sst>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Border="1"/>
    <xf numFmtId="0" fontId="0" fillId="0" borderId="0" xfId="0" applyBorder="1"/>
    <xf numFmtId="0" fontId="0" fillId="0" borderId="2" xfId="0" applyFill="1" applyBorder="1"/>
    <xf numFmtId="0" fontId="3" fillId="3" borderId="1" xfId="2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Sweep!$C$23:$C$372</c:f>
              <c:numCache>
                <c:formatCode>General</c:formatCode>
                <c:ptCount val="350"/>
                <c:pt idx="0">
                  <c:v>0</c:v>
                </c:pt>
                <c:pt idx="1">
                  <c:v>27.130001957470594</c:v>
                </c:pt>
                <c:pt idx="2">
                  <c:v>27.130025999715915</c:v>
                </c:pt>
                <c:pt idx="3">
                  <c:v>27.130123464345996</c:v>
                </c:pt>
                <c:pt idx="4">
                  <c:v>27.130377783817451</c:v>
                </c:pt>
                <c:pt idx="5">
                  <c:v>27.130903986761947</c:v>
                </c:pt>
                <c:pt idx="6">
                  <c:v>27.131844459226869</c:v>
                </c:pt>
                <c:pt idx="7">
                  <c:v>27.133356056384816</c:v>
                </c:pt>
                <c:pt idx="8">
                  <c:v>27.135590261544955</c:v>
                </c:pt>
                <c:pt idx="9">
                  <c:v>27.138674774311632</c:v>
                </c:pt>
                <c:pt idx="10">
                  <c:v>27.142702836020113</c:v>
                </c:pt>
                <c:pt idx="11">
                  <c:v>27.147730988985579</c:v>
                </c:pt>
                <c:pt idx="12">
                  <c:v>27.153782679268698</c:v>
                </c:pt>
                <c:pt idx="13">
                  <c:v>27.16085464812479</c:v>
                </c:pt>
                <c:pt idx="14">
                  <c:v>27.168923889668473</c:v>
                </c:pt>
                <c:pt idx="15">
                  <c:v>27.177953949160333</c:v>
                </c:pt>
                <c:pt idx="16">
                  <c:v>27.187900069005849</c:v>
                </c:pt>
                <c:pt idx="17">
                  <c:v>27.198713115516966</c:v>
                </c:pt>
                <c:pt idx="18">
                  <c:v>27.210342421553406</c:v>
                </c:pt>
                <c:pt idx="19">
                  <c:v>27.222737749197773</c:v>
                </c:pt>
                <c:pt idx="20">
                  <c:v>27.23585057789408</c:v>
                </c:pt>
                <c:pt idx="21">
                  <c:v>27.249634896098058</c:v>
                </c:pt>
                <c:pt idx="22">
                  <c:v>27.264047639164168</c:v>
                </c:pt>
                <c:pt idx="23">
                  <c:v>27.27904888247172</c:v>
                </c:pt>
                <c:pt idx="24">
                  <c:v>27.294601870352381</c:v>
                </c:pt>
                <c:pt idx="25">
                  <c:v>27.31067293889031</c:v>
                </c:pt>
                <c:pt idx="26">
                  <c:v>27.327231373606708</c:v>
                </c:pt>
                <c:pt idx="27">
                  <c:v>27.344249230445058</c:v>
                </c:pt>
                <c:pt idx="28">
                  <c:v>27.361701139352704</c:v>
                </c:pt>
                <c:pt idx="29">
                  <c:v>27.379564103258883</c:v>
                </c:pt>
                <c:pt idx="30">
                  <c:v>27.397817300680966</c:v>
                </c:pt>
                <c:pt idx="31">
                  <c:v>27.416441897019492</c:v>
                </c:pt>
                <c:pt idx="32">
                  <c:v>27.435420867432306</c:v>
                </c:pt>
                <c:pt idx="33">
                  <c:v>27.45473883271292</c:v>
                </c:pt>
                <c:pt idx="34">
                  <c:v>27.474381908633259</c:v>
                </c:pt>
                <c:pt idx="35">
                  <c:v>27.494337568588534</c:v>
                </c:pt>
                <c:pt idx="36">
                  <c:v>27.514594518999683</c:v>
                </c:pt>
                <c:pt idx="37">
                  <c:v>27.535142586708353</c:v>
                </c:pt>
                <c:pt idx="38">
                  <c:v>27.555972617488024</c:v>
                </c:pt>
                <c:pt idx="39">
                  <c:v>27.577076384756289</c:v>
                </c:pt>
                <c:pt idx="40">
                  <c:v>27.598446507578391</c:v>
                </c:pt>
                <c:pt idx="41">
                  <c:v>27.620076377092623</c:v>
                </c:pt>
                <c:pt idx="42">
                  <c:v>27.641960090535253</c:v>
                </c:pt>
                <c:pt idx="43">
                  <c:v>27.664092392107463</c:v>
                </c:pt>
                <c:pt idx="44">
                  <c:v>27.68646861998959</c:v>
                </c:pt>
                <c:pt idx="45">
                  <c:v>27.709084658872218</c:v>
                </c:pt>
                <c:pt idx="46">
                  <c:v>27.731936897435226</c:v>
                </c:pt>
                <c:pt idx="47">
                  <c:v>27.75502219026373</c:v>
                </c:pt>
                <c:pt idx="48">
                  <c:v>27.778337823743684</c:v>
                </c:pt>
                <c:pt idx="49">
                  <c:v>27.80188148552876</c:v>
                </c:pt>
                <c:pt idx="50">
                  <c:v>27.825651237214903</c:v>
                </c:pt>
                <c:pt idx="51">
                  <c:v>27.849645489898982</c:v>
                </c:pt>
                <c:pt idx="52">
                  <c:v>27.87386298233417</c:v>
                </c:pt>
                <c:pt idx="53">
                  <c:v>27.898302761426876</c:v>
                </c:pt>
                <c:pt idx="54">
                  <c:v>27.922964164848974</c:v>
                </c:pt>
                <c:pt idx="55">
                  <c:v>27.947846805564687</c:v>
                </c:pt>
                <c:pt idx="56">
                  <c:v>27.972950558094404</c:v>
                </c:pt>
                <c:pt idx="57">
                  <c:v>27.998275546357991</c:v>
                </c:pt>
                <c:pt idx="58">
                  <c:v>28.023822132958365</c:v>
                </c:pt>
                <c:pt idx="59">
                  <c:v>28.049590909782097</c:v>
                </c:pt>
                <c:pt idx="60">
                  <c:v>28.075582689807643</c:v>
                </c:pt>
                <c:pt idx="61">
                  <c:v>28.1017985000274</c:v>
                </c:pt>
                <c:pt idx="62">
                  <c:v>28.128239575396289</c:v>
                </c:pt>
                <c:pt idx="63">
                  <c:v>28.154907353738359</c:v>
                </c:pt>
                <c:pt idx="64">
                  <c:v>28.181803471529044</c:v>
                </c:pt>
                <c:pt idx="65">
                  <c:v>28.208929760522739</c:v>
                </c:pt>
                <c:pt idx="66">
                  <c:v>28.236288245160193</c:v>
                </c:pt>
                <c:pt idx="67">
                  <c:v>28.263881140714361</c:v>
                </c:pt>
                <c:pt idx="68">
                  <c:v>28.291710852142831</c:v>
                </c:pt>
                <c:pt idx="69">
                  <c:v>28.319779973615908</c:v>
                </c:pt>
                <c:pt idx="70">
                  <c:v>28.348091288696288</c:v>
                </c:pt>
                <c:pt idx="71">
                  <c:v>28.376647771151461</c:v>
                </c:pt>
                <c:pt idx="72">
                  <c:v>28.405452586385049</c:v>
                </c:pt>
                <c:pt idx="73">
                  <c:v>28.434509093478145</c:v>
                </c:pt>
                <c:pt idx="74">
                  <c:v>28.463820847836526</c:v>
                </c:pt>
                <c:pt idx="75">
                  <c:v>28.493391604444302</c:v>
                </c:pt>
                <c:pt idx="76">
                  <c:v>28.523225321729363</c:v>
                </c:pt>
                <c:pt idx="77">
                  <c:v>28.553326166050677</c:v>
                </c:pt>
                <c:pt idx="78">
                  <c:v>28.583698516822611</c:v>
                </c:pt>
                <c:pt idx="79">
                  <c:v>28.614346972296261</c:v>
                </c:pt>
                <c:pt idx="80">
                  <c:v>28.645276356023352</c:v>
                </c:pt>
                <c:pt idx="81">
                  <c:v>28.676491724033678</c:v>
                </c:pt>
                <c:pt idx="82">
                  <c:v>28.70799837276309</c:v>
                </c:pt>
                <c:pt idx="83">
                  <c:v>28.739801847775261</c:v>
                </c:pt>
                <c:pt idx="84">
                  <c:v>28.771907953327453</c:v>
                </c:pt>
                <c:pt idx="85">
                  <c:v>28.804322762837621</c:v>
                </c:pt>
                <c:pt idx="86">
                  <c:v>28.83705263031851</c:v>
                </c:pt>
                <c:pt idx="87">
                  <c:v>28.870104202852978</c:v>
                </c:pt>
                <c:pt idx="88">
                  <c:v>28.903484434194432</c:v>
                </c:pt>
                <c:pt idx="89">
                  <c:v>28.937200599587158</c:v>
                </c:pt>
                <c:pt idx="90">
                  <c:v>28.971260311912907</c:v>
                </c:pt>
                <c:pt idx="91">
                  <c:v>29.005671539283547</c:v>
                </c:pt>
                <c:pt idx="92">
                  <c:v>29.040442624214304</c:v>
                </c:pt>
                <c:pt idx="93">
                  <c:v>29.075582304528933</c:v>
                </c:pt>
                <c:pt idx="94">
                  <c:v>29.111099736166903</c:v>
                </c:pt>
                <c:pt idx="95">
                  <c:v>29.147004518084401</c:v>
                </c:pt>
                <c:pt idx="96">
                  <c:v>29.183306719465168</c:v>
                </c:pt>
                <c:pt idx="97">
                  <c:v>29.220016909454756</c:v>
                </c:pt>
                <c:pt idx="98">
                  <c:v>29.257146189813607</c:v>
                </c:pt>
                <c:pt idx="99">
                  <c:v>29.294706230741006</c:v>
                </c:pt>
                <c:pt idx="100">
                  <c:v>29.33270930983679</c:v>
                </c:pt>
                <c:pt idx="101">
                  <c:v>29.371168355501581</c:v>
                </c:pt>
                <c:pt idx="102">
                  <c:v>29.410096994408097</c:v>
                </c:pt>
                <c:pt idx="103">
                  <c:v>29.44950960396827</c:v>
                </c:pt>
                <c:pt idx="104">
                  <c:v>29.489421370358198</c:v>
                </c:pt>
                <c:pt idx="105">
                  <c:v>29.529848352840716</c:v>
                </c:pt>
                <c:pt idx="106">
                  <c:v>29.570807555261513</c:v>
                </c:pt>
                <c:pt idx="107">
                  <c:v>29.612317005770628</c:v>
                </c:pt>
                <c:pt idx="108">
                  <c:v>29.654395846058417</c:v>
                </c:pt>
                <c:pt idx="109">
                  <c:v>29.697064431732663</c:v>
                </c:pt>
                <c:pt idx="110">
                  <c:v>29.74034444598373</c:v>
                </c:pt>
                <c:pt idx="111">
                  <c:v>29.784259029576404</c:v>
                </c:pt>
                <c:pt idx="112">
                  <c:v>29.828832931969128</c:v>
                </c:pt>
                <c:pt idx="113">
                  <c:v>29.874092692564769</c:v>
                </c:pt>
                <c:pt idx="114">
                  <c:v>29.920066874103934</c:v>
                </c:pt>
                <c:pt idx="115">
                  <c:v>29.966786432080706</c:v>
                </c:pt>
                <c:pt idx="116">
                  <c:v>29.991282842695998</c:v>
                </c:pt>
                <c:pt idx="117">
                  <c:v>29.963880518874369</c:v>
                </c:pt>
                <c:pt idx="118">
                  <c:v>29.937029401696027</c:v>
                </c:pt>
                <c:pt idx="119">
                  <c:v>29.910412790575474</c:v>
                </c:pt>
                <c:pt idx="120">
                  <c:v>29.883938737682861</c:v>
                </c:pt>
                <c:pt idx="121">
                  <c:v>29.857566027103971</c:v>
                </c:pt>
                <c:pt idx="122">
                  <c:v>29.831272896743705</c:v>
                </c:pt>
                <c:pt idx="123">
                  <c:v>29.805046848493259</c:v>
                </c:pt>
                <c:pt idx="124">
                  <c:v>29.778880375352717</c:v>
                </c:pt>
                <c:pt idx="125">
                  <c:v>29.752768881239028</c:v>
                </c:pt>
                <c:pt idx="126">
                  <c:v>29.726709561809454</c:v>
                </c:pt>
                <c:pt idx="127">
                  <c:v>29.700700757587615</c:v>
                </c:pt>
                <c:pt idx="128">
                  <c:v>29.674741559482133</c:v>
                </c:pt>
                <c:pt idx="129">
                  <c:v>29.648831558097704</c:v>
                </c:pt>
                <c:pt idx="130">
                  <c:v>29.622970679209772</c:v>
                </c:pt>
                <c:pt idx="131">
                  <c:v>29.59715907301657</c:v>
                </c:pt>
                <c:pt idx="132">
                  <c:v>29.571397038095405</c:v>
                </c:pt>
                <c:pt idx="133">
                  <c:v>29.545684968384453</c:v>
                </c:pt>
                <c:pt idx="134">
                  <c:v>29.520023315799968</c:v>
                </c:pt>
                <c:pt idx="135">
                  <c:v>29.494412563679951</c:v>
                </c:pt>
                <c:pt idx="136">
                  <c:v>29.468853207848287</c:v>
                </c:pt>
                <c:pt idx="137">
                  <c:v>29.443345743117096</c:v>
                </c:pt>
                <c:pt idx="138">
                  <c:v>29.417890653714458</c:v>
                </c:pt>
                <c:pt idx="139">
                  <c:v>29.392488406571946</c:v>
                </c:pt>
                <c:pt idx="140">
                  <c:v>29.367139446710929</c:v>
                </c:pt>
                <c:pt idx="141">
                  <c:v>29.341844194177408</c:v>
                </c:pt>
                <c:pt idx="142">
                  <c:v>29.316603042123297</c:v>
                </c:pt>
                <c:pt idx="143">
                  <c:v>29.291416355737621</c:v>
                </c:pt>
                <c:pt idx="144">
                  <c:v>29.266284471807108</c:v>
                </c:pt>
                <c:pt idx="145">
                  <c:v>29.241207698741249</c:v>
                </c:pt>
                <c:pt idx="146">
                  <c:v>29.216186316937453</c:v>
                </c:pt>
                <c:pt idx="147">
                  <c:v>29.191220579392532</c:v>
                </c:pt>
                <c:pt idx="148">
                  <c:v>29.16631071248915</c:v>
                </c:pt>
                <c:pt idx="149">
                  <c:v>29.141456916903142</c:v>
                </c:pt>
                <c:pt idx="150">
                  <c:v>29.116659368590398</c:v>
                </c:pt>
                <c:pt idx="151">
                  <c:v>29.091918219822038</c:v>
                </c:pt>
                <c:pt idx="152">
                  <c:v>29.067233600244084</c:v>
                </c:pt>
                <c:pt idx="153">
                  <c:v>29.042605617943593</c:v>
                </c:pt>
                <c:pt idx="154">
                  <c:v>29.018034360507848</c:v>
                </c:pt>
                <c:pt idx="155">
                  <c:v>28.993519896066552</c:v>
                </c:pt>
                <c:pt idx="156">
                  <c:v>28.969062274309678</c:v>
                </c:pt>
                <c:pt idx="157">
                  <c:v>28.944661527475805</c:v>
                </c:pt>
                <c:pt idx="158">
                  <c:v>28.920317671307185</c:v>
                </c:pt>
                <c:pt idx="159">
                  <c:v>28.896030705969292</c:v>
                </c:pt>
                <c:pt idx="160">
                  <c:v>28.871800616933367</c:v>
                </c:pt>
                <c:pt idx="161">
                  <c:v>28.847627375821286</c:v>
                </c:pt>
                <c:pt idx="162">
                  <c:v>28.823510941212703</c:v>
                </c:pt>
                <c:pt idx="163">
                  <c:v>28.799451259414717</c:v>
                </c:pt>
                <c:pt idx="164">
                  <c:v>28.775448265194793</c:v>
                </c:pt>
                <c:pt idx="165">
                  <c:v>28.751501882477779</c:v>
                </c:pt>
                <c:pt idx="166">
                  <c:v>28.727612025008124</c:v>
                </c:pt>
                <c:pt idx="167">
                  <c:v>28.703778596978403</c:v>
                </c:pt>
                <c:pt idx="168">
                  <c:v>28.680001493625507</c:v>
                </c:pt>
                <c:pt idx="169">
                  <c:v>28.656280601795739</c:v>
                </c:pt>
                <c:pt idx="170">
                  <c:v>28.63261580048016</c:v>
                </c:pt>
                <c:pt idx="171">
                  <c:v>28.609006961321501</c:v>
                </c:pt>
                <c:pt idx="172">
                  <c:v>28.585453949094045</c:v>
                </c:pt>
                <c:pt idx="173">
                  <c:v>28.561956622157595</c:v>
                </c:pt>
                <c:pt idx="174">
                  <c:v>28.538514832887</c:v>
                </c:pt>
                <c:pt idx="175">
                  <c:v>28.515128428078309</c:v>
                </c:pt>
                <c:pt idx="176">
                  <c:v>28.491797249332805</c:v>
                </c:pt>
                <c:pt idx="177">
                  <c:v>28.468521133420051</c:v>
                </c:pt>
                <c:pt idx="178">
                  <c:v>28.445299912621003</c:v>
                </c:pt>
                <c:pt idx="179">
                  <c:v>28.422133415052318</c:v>
                </c:pt>
                <c:pt idx="180">
                  <c:v>28.399021464972751</c:v>
                </c:pt>
                <c:pt idx="181">
                  <c:v>28.37596388307265</c:v>
                </c:pt>
                <c:pt idx="182">
                  <c:v>28.352960486747477</c:v>
                </c:pt>
                <c:pt idx="183">
                  <c:v>28.330011090356159</c:v>
                </c:pt>
                <c:pt idx="184">
                  <c:v>28.307115505465095</c:v>
                </c:pt>
                <c:pt idx="185">
                  <c:v>28.284273541078658</c:v>
                </c:pt>
                <c:pt idx="186">
                  <c:v>28.261485003225872</c:v>
                </c:pt>
                <c:pt idx="187">
                  <c:v>28.238749697698577</c:v>
                </c:pt>
                <c:pt idx="188">
                  <c:v>28.216067426433142</c:v>
                </c:pt>
                <c:pt idx="189">
                  <c:v>28.193437990244348</c:v>
                </c:pt>
                <c:pt idx="190">
                  <c:v>28.170861188358352</c:v>
                </c:pt>
                <c:pt idx="191">
                  <c:v>28.148336818575988</c:v>
                </c:pt>
                <c:pt idx="192">
                  <c:v>28.125864677426868</c:v>
                </c:pt>
                <c:pt idx="193">
                  <c:v>28.103444560314816</c:v>
                </c:pt>
                <c:pt idx="194">
                  <c:v>28.081076261655092</c:v>
                </c:pt>
                <c:pt idx="195">
                  <c:v>28.058759575003869</c:v>
                </c:pt>
                <c:pt idx="196">
                  <c:v>28.036494293180386</c:v>
                </c:pt>
                <c:pt idx="197">
                  <c:v>28.014280208382136</c:v>
                </c:pt>
                <c:pt idx="198">
                  <c:v>27.992117112293514</c:v>
                </c:pt>
                <c:pt idx="199">
                  <c:v>27.970004796188235</c:v>
                </c:pt>
                <c:pt idx="200">
                  <c:v>27.947943051025895</c:v>
                </c:pt>
                <c:pt idx="201">
                  <c:v>27.925931667542969</c:v>
                </c:pt>
                <c:pt idx="202">
                  <c:v>27.903970436338529</c:v>
                </c:pt>
                <c:pt idx="203">
                  <c:v>27.882059147955019</c:v>
                </c:pt>
                <c:pt idx="204">
                  <c:v>27.860197592954297</c:v>
                </c:pt>
                <c:pt idx="205">
                  <c:v>27.838385561989213</c:v>
                </c:pt>
                <c:pt idx="206">
                  <c:v>27.816622845870977</c:v>
                </c:pt>
                <c:pt idx="207">
                  <c:v>27.794909235632552</c:v>
                </c:pt>
                <c:pt idx="208">
                  <c:v>27.773244522588218</c:v>
                </c:pt>
                <c:pt idx="209">
                  <c:v>27.751628498389593</c:v>
                </c:pt>
                <c:pt idx="210">
                  <c:v>27.730060955078248</c:v>
                </c:pt>
                <c:pt idx="211">
                  <c:v>27.708541685135121</c:v>
                </c:pt>
                <c:pt idx="212">
                  <c:v>27.687070481526874</c:v>
                </c:pt>
                <c:pt idx="213">
                  <c:v>27.665647137749392</c:v>
                </c:pt>
                <c:pt idx="214">
                  <c:v>27.644271447868547</c:v>
                </c:pt>
                <c:pt idx="215">
                  <c:v>27.622943206558368</c:v>
                </c:pt>
                <c:pt idx="216">
                  <c:v>27.601662209136784</c:v>
                </c:pt>
                <c:pt idx="217">
                  <c:v>27.580428251599031</c:v>
                </c:pt>
                <c:pt idx="218">
                  <c:v>27.559241130648896</c:v>
                </c:pt>
                <c:pt idx="219">
                  <c:v>27.538100643727834</c:v>
                </c:pt>
                <c:pt idx="220">
                  <c:v>27.517006589042172</c:v>
                </c:pt>
                <c:pt idx="221">
                  <c:v>27.495958765588391</c:v>
                </c:pt>
                <c:pt idx="222">
                  <c:v>27.474956973176685</c:v>
                </c:pt>
                <c:pt idx="223">
                  <c:v>27.454001012452842</c:v>
                </c:pt>
                <c:pt idx="224">
                  <c:v>27.433090684918504</c:v>
                </c:pt>
                <c:pt idx="225">
                  <c:v>27.412225792949958</c:v>
                </c:pt>
                <c:pt idx="226">
                  <c:v>27.391406139815508</c:v>
                </c:pt>
                <c:pt idx="227">
                  <c:v>27.370631529691472</c:v>
                </c:pt>
                <c:pt idx="228">
                  <c:v>27.349901767676922</c:v>
                </c:pt>
                <c:pt idx="229">
                  <c:v>27.329216659807216</c:v>
                </c:pt>
                <c:pt idx="230">
                  <c:v>27.308576013066372</c:v>
                </c:pt>
                <c:pt idx="231">
                  <c:v>27.287979635398372</c:v>
                </c:pt>
                <c:pt idx="232">
                  <c:v>27.267427335717436</c:v>
                </c:pt>
                <c:pt idx="233">
                  <c:v>27.24691892391731</c:v>
                </c:pt>
                <c:pt idx="234">
                  <c:v>27.226454210879659</c:v>
                </c:pt>
                <c:pt idx="235">
                  <c:v>27.206033008481562</c:v>
                </c:pt>
                <c:pt idx="236">
                  <c:v>27.185655129602203</c:v>
                </c:pt>
                <c:pt idx="237">
                  <c:v>27.165320388128784</c:v>
                </c:pt>
                <c:pt idx="238">
                  <c:v>27.145028598961659</c:v>
                </c:pt>
                <c:pt idx="239">
                  <c:v>27.124779578018838</c:v>
                </c:pt>
                <c:pt idx="240">
                  <c:v>27.104573142239772</c:v>
                </c:pt>
                <c:pt idx="241">
                  <c:v>27.084409109588542</c:v>
                </c:pt>
                <c:pt idx="242">
                  <c:v>27.064287299056435</c:v>
                </c:pt>
                <c:pt idx="243">
                  <c:v>27.044207530663989</c:v>
                </c:pt>
                <c:pt idx="244">
                  <c:v>27.024169625462516</c:v>
                </c:pt>
                <c:pt idx="245">
                  <c:v>27.004173405535052</c:v>
                </c:pt>
                <c:pt idx="246">
                  <c:v>26.984218693996976</c:v>
                </c:pt>
                <c:pt idx="247">
                  <c:v>26.964305314996025</c:v>
                </c:pt>
                <c:pt idx="248">
                  <c:v>26.944433093711993</c:v>
                </c:pt>
                <c:pt idx="249">
                  <c:v>26.924601856356045</c:v>
                </c:pt>
                <c:pt idx="250">
                  <c:v>26.904811430169545</c:v>
                </c:pt>
                <c:pt idx="251">
                  <c:v>26.885061643422691</c:v>
                </c:pt>
                <c:pt idx="252">
                  <c:v>26.865352325412658</c:v>
                </c:pt>
                <c:pt idx="253">
                  <c:v>26.845683306461574</c:v>
                </c:pt>
                <c:pt idx="254">
                  <c:v>26.826054417914097</c:v>
                </c:pt>
                <c:pt idx="255">
                  <c:v>26.806465492134759</c:v>
                </c:pt>
                <c:pt idx="256">
                  <c:v>26.786916362505046</c:v>
                </c:pt>
                <c:pt idx="257">
                  <c:v>26.767406863420245</c:v>
                </c:pt>
                <c:pt idx="258">
                  <c:v>26.747936830286051</c:v>
                </c:pt>
                <c:pt idx="259">
                  <c:v>26.728506099514938</c:v>
                </c:pt>
                <c:pt idx="260">
                  <c:v>26.709114508522372</c:v>
                </c:pt>
                <c:pt idx="261">
                  <c:v>26.689761895722814</c:v>
                </c:pt>
                <c:pt idx="262">
                  <c:v>26.670448100525526</c:v>
                </c:pt>
                <c:pt idx="263">
                  <c:v>26.651172963330271</c:v>
                </c:pt>
                <c:pt idx="264">
                  <c:v>26.63193632552278</c:v>
                </c:pt>
                <c:pt idx="265">
                  <c:v>26.612738029470147</c:v>
                </c:pt>
                <c:pt idx="266">
                  <c:v>26.593577918516047</c:v>
                </c:pt>
                <c:pt idx="267">
                  <c:v>26.574455836975879</c:v>
                </c:pt>
                <c:pt idx="268">
                  <c:v>26.555371630131695</c:v>
                </c:pt>
                <c:pt idx="269">
                  <c:v>26.53632514422717</c:v>
                </c:pt>
                <c:pt idx="270">
                  <c:v>26.517316226462324</c:v>
                </c:pt>
                <c:pt idx="271">
                  <c:v>26.498344724988264</c:v>
                </c:pt>
                <c:pt idx="272">
                  <c:v>26.479410488901785</c:v>
                </c:pt>
                <c:pt idx="273">
                  <c:v>26.460513368239916</c:v>
                </c:pt>
                <c:pt idx="274">
                  <c:v>26.441653213974394</c:v>
                </c:pt>
                <c:pt idx="275">
                  <c:v>26.422829878006066</c:v>
                </c:pt>
                <c:pt idx="276">
                  <c:v>26.404043213159252</c:v>
                </c:pt>
                <c:pt idx="277">
                  <c:v>26.385293073176022</c:v>
                </c:pt>
                <c:pt idx="278">
                  <c:v>26.366579312710481</c:v>
                </c:pt>
                <c:pt idx="279">
                  <c:v>26.347901787322943</c:v>
                </c:pt>
                <c:pt idx="280">
                  <c:v>26.32926035347414</c:v>
                </c:pt>
                <c:pt idx="281">
                  <c:v>26.310654868519361</c:v>
                </c:pt>
                <c:pt idx="282">
                  <c:v>26.292085190702522</c:v>
                </c:pt>
                <c:pt idx="283">
                  <c:v>26.273551179150331</c:v>
                </c:pt>
                <c:pt idx="284">
                  <c:v>26.25505269386629</c:v>
                </c:pt>
                <c:pt idx="285">
                  <c:v>26.236589595724801</c:v>
                </c:pt>
                <c:pt idx="286">
                  <c:v>26.218161746465185</c:v>
                </c:pt>
                <c:pt idx="287">
                  <c:v>26.19976900868571</c:v>
                </c:pt>
                <c:pt idx="288">
                  <c:v>26.181411245837637</c:v>
                </c:pt>
                <c:pt idx="289">
                  <c:v>26.163088322219227</c:v>
                </c:pt>
                <c:pt idx="290">
                  <c:v>26.144800102969782</c:v>
                </c:pt>
                <c:pt idx="291">
                  <c:v>26.126546454063654</c:v>
                </c:pt>
                <c:pt idx="292">
                  <c:v>26.108327242304288</c:v>
                </c:pt>
                <c:pt idx="293">
                  <c:v>26.090142335318237</c:v>
                </c:pt>
                <c:pt idx="294">
                  <c:v>26.071991601549236</c:v>
                </c:pt>
                <c:pt idx="295">
                  <c:v>26.053874910252244</c:v>
                </c:pt>
                <c:pt idx="296">
                  <c:v>26.035792131487518</c:v>
                </c:pt>
                <c:pt idx="297">
                  <c:v>26.017743136114699</c:v>
                </c:pt>
                <c:pt idx="298">
                  <c:v>25.99972779578691</c:v>
                </c:pt>
                <c:pt idx="299">
                  <c:v>25.981745982944894</c:v>
                </c:pt>
                <c:pt idx="300">
                  <c:v>25.963797570811114</c:v>
                </c:pt>
                <c:pt idx="301">
                  <c:v>25.945882433383971</c:v>
                </c:pt>
                <c:pt idx="302">
                  <c:v>25.928000445431959</c:v>
                </c:pt>
                <c:pt idx="303">
                  <c:v>25.910151482487851</c:v>
                </c:pt>
                <c:pt idx="304">
                  <c:v>25.892335420842997</c:v>
                </c:pt>
                <c:pt idx="305">
                  <c:v>25.874552137541524</c:v>
                </c:pt>
                <c:pt idx="306">
                  <c:v>25.856801510374652</c:v>
                </c:pt>
                <c:pt idx="307">
                  <c:v>25.839083417875024</c:v>
                </c:pt>
                <c:pt idx="308">
                  <c:v>25.821397739311024</c:v>
                </c:pt>
                <c:pt idx="309">
                  <c:v>25.803744354681168</c:v>
                </c:pt>
                <c:pt idx="310">
                  <c:v>25.786123144708526</c:v>
                </c:pt>
                <c:pt idx="311">
                  <c:v>25.768533990835131</c:v>
                </c:pt>
                <c:pt idx="312">
                  <c:v>25.750976775216479</c:v>
                </c:pt>
                <c:pt idx="313">
                  <c:v>25.733451380716023</c:v>
                </c:pt>
                <c:pt idx="314">
                  <c:v>25.71595769089971</c:v>
                </c:pt>
                <c:pt idx="315">
                  <c:v>25.698495590030571</c:v>
                </c:pt>
                <c:pt idx="316">
                  <c:v>25.681064963063303</c:v>
                </c:pt>
                <c:pt idx="317">
                  <c:v>25.66366569563893</c:v>
                </c:pt>
                <c:pt idx="318">
                  <c:v>25.646297674079484</c:v>
                </c:pt>
                <c:pt idx="319">
                  <c:v>25.628960785382706</c:v>
                </c:pt>
                <c:pt idx="320">
                  <c:v>25.611654917216825</c:v>
                </c:pt>
                <c:pt idx="321">
                  <c:v>25.594379957915294</c:v>
                </c:pt>
                <c:pt idx="322">
                  <c:v>25.57713579647168</c:v>
                </c:pt>
                <c:pt idx="323">
                  <c:v>25.559922322534483</c:v>
                </c:pt>
                <c:pt idx="324">
                  <c:v>25.542739426402036</c:v>
                </c:pt>
                <c:pt idx="325">
                  <c:v>25.525586999017467</c:v>
                </c:pt>
                <c:pt idx="326">
                  <c:v>25.508464931963648</c:v>
                </c:pt>
                <c:pt idx="327">
                  <c:v>25.491373117458231</c:v>
                </c:pt>
                <c:pt idx="328">
                  <c:v>25.474311448348665</c:v>
                </c:pt>
                <c:pt idx="329">
                  <c:v>25.45727981810731</c:v>
                </c:pt>
                <c:pt idx="330">
                  <c:v>25.440278120826573</c:v>
                </c:pt>
                <c:pt idx="331">
                  <c:v>25.423306251214029</c:v>
                </c:pt>
                <c:pt idx="332">
                  <c:v>25.406364104587666</c:v>
                </c:pt>
                <c:pt idx="333">
                  <c:v>25.3894515768711</c:v>
                </c:pt>
                <c:pt idx="334">
                  <c:v>25.372568564588867</c:v>
                </c:pt>
                <c:pt idx="335">
                  <c:v>25.355714964861729</c:v>
                </c:pt>
                <c:pt idx="336">
                  <c:v>25.33889067540203</c:v>
                </c:pt>
                <c:pt idx="337">
                  <c:v>25.322095594509094</c:v>
                </c:pt>
                <c:pt idx="338">
                  <c:v>25.305329621064651</c:v>
                </c:pt>
                <c:pt idx="339">
                  <c:v>25.288592654528294</c:v>
                </c:pt>
                <c:pt idx="340">
                  <c:v>25.271884594933006</c:v>
                </c:pt>
                <c:pt idx="341">
                  <c:v>25.255205342880682</c:v>
                </c:pt>
                <c:pt idx="342">
                  <c:v>25.238554799537717</c:v>
                </c:pt>
                <c:pt idx="343">
                  <c:v>25.221932866630617</c:v>
                </c:pt>
                <c:pt idx="344">
                  <c:v>25.20533944644168</c:v>
                </c:pt>
                <c:pt idx="345">
                  <c:v>25.188774441804636</c:v>
                </c:pt>
                <c:pt idx="346">
                  <c:v>25.172237756100422</c:v>
                </c:pt>
                <c:pt idx="347">
                  <c:v>25.155729293252922</c:v>
                </c:pt>
                <c:pt idx="348">
                  <c:v>25.139248957724778</c:v>
                </c:pt>
                <c:pt idx="349">
                  <c:v>25.122796654513216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Vm (cm3/mol)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Sweep!$G$23:$G$222</c:f>
              <c:numCache>
                <c:formatCode>General</c:formatCode>
                <c:ptCount val="200"/>
                <c:pt idx="0">
                  <c:v>0</c:v>
                </c:pt>
                <c:pt idx="1">
                  <c:v>8.3243263721722183E-3</c:v>
                </c:pt>
                <c:pt idx="2">
                  <c:v>5.7917273977087881E-2</c:v>
                </c:pt>
                <c:pt idx="3">
                  <c:v>0.18631710992124051</c:v>
                </c:pt>
                <c:pt idx="4">
                  <c:v>0.43100603703987334</c:v>
                </c:pt>
                <c:pt idx="5">
                  <c:v>0.82770453629002105</c:v>
                </c:pt>
                <c:pt idx="6">
                  <c:v>1.4026980656884962</c:v>
                </c:pt>
                <c:pt idx="7">
                  <c:v>2.161753365371915</c:v>
                </c:pt>
                <c:pt idx="8">
                  <c:v>3.0864177675387725</c:v>
                </c:pt>
                <c:pt idx="9">
                  <c:v>4.1404796682191902</c:v>
                </c:pt>
                <c:pt idx="10">
                  <c:v>5.2804358409210153</c:v>
                </c:pt>
                <c:pt idx="11">
                  <c:v>6.4642027779876736</c:v>
                </c:pt>
                <c:pt idx="12">
                  <c:v>7.6561135486313505</c:v>
                </c:pt>
                <c:pt idx="13">
                  <c:v>8.8287037882821267</c:v>
                </c:pt>
                <c:pt idx="14">
                  <c:v>9.9624968356742567</c:v>
                </c:pt>
                <c:pt idx="15">
                  <c:v>11.044834909933879</c:v>
                </c:pt>
                <c:pt idx="16">
                  <c:v>12.06842751474051</c:v>
                </c:pt>
                <c:pt idx="17">
                  <c:v>13.029969240578488</c:v>
                </c:pt>
                <c:pt idx="18">
                  <c:v>13.928973019717692</c:v>
                </c:pt>
                <c:pt idx="19">
                  <c:v>14.766851988366881</c:v>
                </c:pt>
                <c:pt idx="20">
                  <c:v>15.54623015676208</c:v>
                </c:pt>
                <c:pt idx="21">
                  <c:v>16.270442934699869</c:v>
                </c:pt>
                <c:pt idx="22">
                  <c:v>16.943185939888565</c:v>
                </c:pt>
                <c:pt idx="23">
                  <c:v>17.568275255888334</c:v>
                </c:pt>
                <c:pt idx="24">
                  <c:v>18.14948908542269</c:v>
                </c:pt>
                <c:pt idx="25">
                  <c:v>18.690467555138287</c:v>
                </c:pt>
                <c:pt idx="26">
                  <c:v>19.194653295363842</c:v>
                </c:pt>
                <c:pt idx="27">
                  <c:v>19.665260016832249</c:v>
                </c:pt>
                <c:pt idx="28">
                  <c:v>20.105259964184562</c:v>
                </c:pt>
                <c:pt idx="29">
                  <c:v>20.517383714152654</c:v>
                </c:pt>
                <c:pt idx="30">
                  <c:v>20.904127812611421</c:v>
                </c:pt>
                <c:pt idx="31">
                  <c:v>21.26776703517363</c:v>
                </c:pt>
                <c:pt idx="32">
                  <c:v>21.610369260853151</c:v>
                </c:pt>
                <c:pt idx="33">
                  <c:v>21.933811353742584</c:v>
                </c:pt>
                <c:pt idx="34">
                  <c:v>22.239795261843348</c:v>
                </c:pt>
                <c:pt idx="35">
                  <c:v>22.529863682483217</c:v>
                </c:pt>
                <c:pt idx="36">
                  <c:v>22.805414896491634</c:v>
                </c:pt>
                <c:pt idx="37">
                  <c:v>23.06771667737905</c:v>
                </c:pt>
                <c:pt idx="38">
                  <c:v>23.317919056115187</c:v>
                </c:pt>
                <c:pt idx="39">
                  <c:v>23.557066048001584</c:v>
                </c:pt>
                <c:pt idx="40">
                  <c:v>23.786106279875266</c:v>
                </c:pt>
                <c:pt idx="41">
                  <c:v>24.005902608202142</c:v>
                </c:pt>
                <c:pt idx="42">
                  <c:v>24.217240775564726</c:v>
                </c:pt>
                <c:pt idx="43">
                  <c:v>24.420837222304126</c:v>
                </c:pt>
                <c:pt idx="44">
                  <c:v>24.617346052427983</c:v>
                </c:pt>
                <c:pt idx="45">
                  <c:v>24.807365330199644</c:v>
                </c:pt>
                <c:pt idx="46">
                  <c:v>24.991442667111638</c:v>
                </c:pt>
                <c:pt idx="47">
                  <c:v>25.170080270836781</c:v>
                </c:pt>
                <c:pt idx="48">
                  <c:v>25.343739446471936</c:v>
                </c:pt>
                <c:pt idx="49">
                  <c:v>25.512844616130955</c:v>
                </c:pt>
                <c:pt idx="50">
                  <c:v>25.677786944744071</c:v>
                </c:pt>
                <c:pt idx="51">
                  <c:v>25.838927600698874</c:v>
                </c:pt>
                <c:pt idx="52">
                  <c:v>25.996600630684508</c:v>
                </c:pt>
                <c:pt idx="53">
                  <c:v>26.15111560619502</c:v>
                </c:pt>
                <c:pt idx="54">
                  <c:v>26.302759969668443</c:v>
                </c:pt>
                <c:pt idx="55">
                  <c:v>26.45180113376151</c:v>
                </c:pt>
                <c:pt idx="56">
                  <c:v>26.598488421404024</c:v>
                </c:pt>
                <c:pt idx="57">
                  <c:v>26.743054782084727</c:v>
                </c:pt>
                <c:pt idx="58">
                  <c:v>26.885718336342567</c:v>
                </c:pt>
                <c:pt idx="59">
                  <c:v>27.026683816333758</c:v>
                </c:pt>
                <c:pt idx="60">
                  <c:v>27.166143835651212</c:v>
                </c:pt>
                <c:pt idx="61">
                  <c:v>27.304280054448991</c:v>
                </c:pt>
                <c:pt idx="62">
                  <c:v>27.441264253649887</c:v>
                </c:pt>
                <c:pt idx="63">
                  <c:v>27.57725929518605</c:v>
                </c:pt>
                <c:pt idx="64">
                  <c:v>27.71242003406028</c:v>
                </c:pt>
                <c:pt idx="65">
                  <c:v>27.846894101400924</c:v>
                </c:pt>
                <c:pt idx="66">
                  <c:v>27.980822695408488</c:v>
                </c:pt>
                <c:pt idx="67">
                  <c:v>28.114341243186139</c:v>
                </c:pt>
                <c:pt idx="68">
                  <c:v>28.247580074491626</c:v>
                </c:pt>
                <c:pt idx="69">
                  <c:v>28.380664985923147</c:v>
                </c:pt>
                <c:pt idx="70">
                  <c:v>28.513717840430132</c:v>
                </c:pt>
                <c:pt idx="71">
                  <c:v>28.646857056694031</c:v>
                </c:pt>
                <c:pt idx="72">
                  <c:v>28.780198125456714</c:v>
                </c:pt>
                <c:pt idx="73">
                  <c:v>28.913854074273907</c:v>
                </c:pt>
                <c:pt idx="74">
                  <c:v>29.047935903309391</c:v>
                </c:pt>
                <c:pt idx="75">
                  <c:v>29.182553019503491</c:v>
                </c:pt>
                <c:pt idx="76">
                  <c:v>29.317813648651889</c:v>
                </c:pt>
                <c:pt idx="77">
                  <c:v>29.453825250441188</c:v>
                </c:pt>
                <c:pt idx="78">
                  <c:v>29.590694858663078</c:v>
                </c:pt>
                <c:pt idx="79">
                  <c:v>29.728529516573495</c:v>
                </c:pt>
                <c:pt idx="80">
                  <c:v>29.867436630880185</c:v>
                </c:pt>
                <c:pt idx="81">
                  <c:v>30.007524354515827</c:v>
                </c:pt>
                <c:pt idx="82">
                  <c:v>30.148901967297856</c:v>
                </c:pt>
                <c:pt idx="83">
                  <c:v>30.291680252664779</c:v>
                </c:pt>
                <c:pt idx="84">
                  <c:v>30.435971894317113</c:v>
                </c:pt>
                <c:pt idx="85">
                  <c:v>30.581891888915628</c:v>
                </c:pt>
                <c:pt idx="86">
                  <c:v>30.729557930375979</c:v>
                </c:pt>
                <c:pt idx="87">
                  <c:v>30.879090880231775</c:v>
                </c:pt>
                <c:pt idx="88">
                  <c:v>31.030615181950807</c:v>
                </c:pt>
                <c:pt idx="89">
                  <c:v>31.18425936316315</c:v>
                </c:pt>
                <c:pt idx="90">
                  <c:v>31.340156517891248</c:v>
                </c:pt>
                <c:pt idx="91">
                  <c:v>31.49844486352853</c:v>
                </c:pt>
                <c:pt idx="92">
                  <c:v>31.659268286151484</c:v>
                </c:pt>
                <c:pt idx="93">
                  <c:v>31.822776970343789</c:v>
                </c:pt>
                <c:pt idx="94">
                  <c:v>31.989128067307835</c:v>
                </c:pt>
                <c:pt idx="95">
                  <c:v>32.158486401324936</c:v>
                </c:pt>
                <c:pt idx="96">
                  <c:v>32.331025246370032</c:v>
                </c:pt>
                <c:pt idx="97">
                  <c:v>32.506927204570658</c:v>
                </c:pt>
                <c:pt idx="98">
                  <c:v>32.686385108285599</c:v>
                </c:pt>
                <c:pt idx="99">
                  <c:v>32.869603071101963</c:v>
                </c:pt>
                <c:pt idx="100">
                  <c:v>33.05679760734121</c:v>
                </c:pt>
                <c:pt idx="101">
                  <c:v>33.248198906653528</c:v>
                </c:pt>
                <c:pt idx="102">
                  <c:v>33.444052198003064</c:v>
                </c:pt>
                <c:pt idx="103">
                  <c:v>33.644619326151144</c:v>
                </c:pt>
                <c:pt idx="104">
                  <c:v>33.85018048306042</c:v>
                </c:pt>
                <c:pt idx="105">
                  <c:v>34.061036149416026</c:v>
                </c:pt>
                <c:pt idx="106">
                  <c:v>34.27750926496946</c:v>
                </c:pt>
                <c:pt idx="107">
                  <c:v>34.499947723256383</c:v>
                </c:pt>
                <c:pt idx="108">
                  <c:v>34.728727146225872</c:v>
                </c:pt>
                <c:pt idx="109">
                  <c:v>34.964254074096381</c:v>
                </c:pt>
                <c:pt idx="110">
                  <c:v>35.206969575615091</c:v>
                </c:pt>
                <c:pt idx="111">
                  <c:v>35.457353407157029</c:v>
                </c:pt>
                <c:pt idx="112">
                  <c:v>35.7159288129901</c:v>
                </c:pt>
                <c:pt idx="113">
                  <c:v>35.983268077222938</c:v>
                </c:pt>
                <c:pt idx="114">
                  <c:v>36.259999108346967</c:v>
                </c:pt>
                <c:pt idx="115">
                  <c:v>36.546813557261331</c:v>
                </c:pt>
                <c:pt idx="116">
                  <c:v>36.745256556264899</c:v>
                </c:pt>
                <c:pt idx="117">
                  <c:v>36.722740477712669</c:v>
                </c:pt>
                <c:pt idx="118">
                  <c:v>36.702796903130256</c:v>
                </c:pt>
                <c:pt idx="119">
                  <c:v>36.684031975042316</c:v>
                </c:pt>
                <c:pt idx="120">
                  <c:v>36.666032952520702</c:v>
                </c:pt>
                <c:pt idx="121">
                  <c:v>36.648610186680024</c:v>
                </c:pt>
                <c:pt idx="122">
                  <c:v>36.631659965752391</c:v>
                </c:pt>
                <c:pt idx="123">
                  <c:v>36.615119578391486</c:v>
                </c:pt>
                <c:pt idx="124">
                  <c:v>36.598948437853373</c:v>
                </c:pt>
                <c:pt idx="125">
                  <c:v>36.583118900540732</c:v>
                </c:pt>
                <c:pt idx="126">
                  <c:v>36.567611279789844</c:v>
                </c:pt>
                <c:pt idx="127">
                  <c:v>36.552411027450191</c:v>
                </c:pt>
                <c:pt idx="128">
                  <c:v>36.537506959625134</c:v>
                </c:pt>
                <c:pt idx="129">
                  <c:v>36.522890159738438</c:v>
                </c:pt>
                <c:pt idx="130">
                  <c:v>36.508553312624798</c:v>
                </c:pt>
                <c:pt idx="131">
                  <c:v>36.494490152225666</c:v>
                </c:pt>
                <c:pt idx="132">
                  <c:v>36.480695191563775</c:v>
                </c:pt>
                <c:pt idx="133">
                  <c:v>36.467163462448305</c:v>
                </c:pt>
                <c:pt idx="134">
                  <c:v>36.45389039551192</c:v>
                </c:pt>
                <c:pt idx="135">
                  <c:v>36.440871662238621</c:v>
                </c:pt>
                <c:pt idx="136">
                  <c:v>36.428103140708629</c:v>
                </c:pt>
                <c:pt idx="137">
                  <c:v>36.415580836126999</c:v>
                </c:pt>
                <c:pt idx="138">
                  <c:v>36.403300846715162</c:v>
                </c:pt>
                <c:pt idx="139">
                  <c:v>36.391259352755768</c:v>
                </c:pt>
                <c:pt idx="140">
                  <c:v>36.379452566593116</c:v>
                </c:pt>
                <c:pt idx="141">
                  <c:v>36.367876758398175</c:v>
                </c:pt>
                <c:pt idx="142">
                  <c:v>36.356528217872849</c:v>
                </c:pt>
                <c:pt idx="143">
                  <c:v>36.345403262700678</c:v>
                </c:pt>
                <c:pt idx="144">
                  <c:v>36.334498244237857</c:v>
                </c:pt>
                <c:pt idx="145">
                  <c:v>36.323809524939314</c:v>
                </c:pt>
                <c:pt idx="146">
                  <c:v>36.313333498381169</c:v>
                </c:pt>
                <c:pt idx="147">
                  <c:v>36.303066582381</c:v>
                </c:pt>
                <c:pt idx="148">
                  <c:v>36.293005221841526</c:v>
                </c:pt>
                <c:pt idx="149">
                  <c:v>36.283145888521588</c:v>
                </c:pt>
                <c:pt idx="150">
                  <c:v>36.273485093245121</c:v>
                </c:pt>
                <c:pt idx="151">
                  <c:v>36.264019364757772</c:v>
                </c:pt>
                <c:pt idx="152">
                  <c:v>36.254745283090294</c:v>
                </c:pt>
                <c:pt idx="153">
                  <c:v>36.245659454013271</c:v>
                </c:pt>
                <c:pt idx="154">
                  <c:v>36.236758522274783</c:v>
                </c:pt>
                <c:pt idx="155">
                  <c:v>36.228039175730387</c:v>
                </c:pt>
                <c:pt idx="156">
                  <c:v>36.219498152506254</c:v>
                </c:pt>
                <c:pt idx="157">
                  <c:v>36.211132217855713</c:v>
                </c:pt>
                <c:pt idx="158">
                  <c:v>36.202938195980977</c:v>
                </c:pt>
                <c:pt idx="159">
                  <c:v>36.194912946703504</c:v>
                </c:pt>
                <c:pt idx="160">
                  <c:v>36.18705338178944</c:v>
                </c:pt>
                <c:pt idx="161">
                  <c:v>36.179356454419249</c:v>
                </c:pt>
                <c:pt idx="162">
                  <c:v>36.171819167698786</c:v>
                </c:pt>
                <c:pt idx="163">
                  <c:v>36.16443857971646</c:v>
                </c:pt>
                <c:pt idx="164">
                  <c:v>36.157211789689505</c:v>
                </c:pt>
                <c:pt idx="165">
                  <c:v>36.150135946095496</c:v>
                </c:pt>
                <c:pt idx="166">
                  <c:v>36.143208246275577</c:v>
                </c:pt>
                <c:pt idx="167">
                  <c:v>36.136425938021105</c:v>
                </c:pt>
                <c:pt idx="168">
                  <c:v>36.129786314926541</c:v>
                </c:pt>
                <c:pt idx="169">
                  <c:v>36.123286727035158</c:v>
                </c:pt>
                <c:pt idx="170">
                  <c:v>36.116924558777733</c:v>
                </c:pt>
                <c:pt idx="171">
                  <c:v>36.110697253755681</c:v>
                </c:pt>
                <c:pt idx="172">
                  <c:v>36.104602300725354</c:v>
                </c:pt>
                <c:pt idx="173">
                  <c:v>36.098637235870569</c:v>
                </c:pt>
                <c:pt idx="174">
                  <c:v>36.092799636016586</c:v>
                </c:pt>
                <c:pt idx="175">
                  <c:v>36.087087127830316</c:v>
                </c:pt>
                <c:pt idx="176">
                  <c:v>36.081497386888877</c:v>
                </c:pt>
                <c:pt idx="177">
                  <c:v>36.07602813870578</c:v>
                </c:pt>
                <c:pt idx="178">
                  <c:v>36.07067713422655</c:v>
                </c:pt>
                <c:pt idx="179">
                  <c:v>36.065442189313252</c:v>
                </c:pt>
                <c:pt idx="180">
                  <c:v>36.060321143557658</c:v>
                </c:pt>
                <c:pt idx="181">
                  <c:v>36.055311899451205</c:v>
                </c:pt>
                <c:pt idx="182">
                  <c:v>36.050412387298373</c:v>
                </c:pt>
                <c:pt idx="183">
                  <c:v>36.045620581863616</c:v>
                </c:pt>
                <c:pt idx="184">
                  <c:v>36.040934498512804</c:v>
                </c:pt>
                <c:pt idx="185">
                  <c:v>36.036352196108837</c:v>
                </c:pt>
                <c:pt idx="186">
                  <c:v>36.031871784694737</c:v>
                </c:pt>
                <c:pt idx="187">
                  <c:v>36.027491352940132</c:v>
                </c:pt>
                <c:pt idx="188">
                  <c:v>36.023209103746503</c:v>
                </c:pt>
                <c:pt idx="189">
                  <c:v>36.019023243589558</c:v>
                </c:pt>
                <c:pt idx="190">
                  <c:v>36.014932002876314</c:v>
                </c:pt>
                <c:pt idx="191">
                  <c:v>36.010933677342635</c:v>
                </c:pt>
                <c:pt idx="192">
                  <c:v>36.007026565198217</c:v>
                </c:pt>
                <c:pt idx="193">
                  <c:v>36.003209029024028</c:v>
                </c:pt>
                <c:pt idx="194">
                  <c:v>35.999479440757518</c:v>
                </c:pt>
                <c:pt idx="195">
                  <c:v>35.995836225532088</c:v>
                </c:pt>
                <c:pt idx="196">
                  <c:v>35.992277821000705</c:v>
                </c:pt>
                <c:pt idx="197">
                  <c:v>35.988802706172876</c:v>
                </c:pt>
                <c:pt idx="198">
                  <c:v>35.98540939498551</c:v>
                </c:pt>
                <c:pt idx="199">
                  <c:v>35.982096428180988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Sweep!$F$23:$F$222</c:f>
              <c:numCache>
                <c:formatCode>General</c:formatCode>
                <c:ptCount val="200"/>
                <c:pt idx="0">
                  <c:v>0</c:v>
                </c:pt>
                <c:pt idx="1">
                  <c:v>2.6235752102256049E-7</c:v>
                </c:pt>
                <c:pt idx="2">
                  <c:v>1.8253802188922335E-6</c:v>
                </c:pt>
                <c:pt idx="3">
                  <c:v>5.8722054527835243E-6</c:v>
                </c:pt>
                <c:pt idx="4">
                  <c:v>1.3584398210536881E-5</c:v>
                </c:pt>
                <c:pt idx="5">
                  <c:v>2.6088557904261168E-5</c:v>
                </c:pt>
                <c:pt idx="6">
                  <c:v>4.4215094148568115E-5</c:v>
                </c:pt>
                <c:pt idx="7">
                  <c:v>6.81496036957026E-5</c:v>
                </c:pt>
                <c:pt idx="8">
                  <c:v>9.7316632748466417E-5</c:v>
                </c:pt>
                <c:pt idx="9">
                  <c:v>1.3058306914492644E-4</c:v>
                </c:pt>
                <c:pt idx="10">
                  <c:v>1.665872387102726E-4</c:v>
                </c:pt>
                <c:pt idx="11">
                  <c:v>2.0401240414698774E-4</c:v>
                </c:pt>
                <c:pt idx="12">
                  <c:v>2.4174329245807248E-4</c:v>
                </c:pt>
                <c:pt idx="13">
                  <c:v>2.7892172954912826E-4</c:v>
                </c:pt>
                <c:pt idx="14">
                  <c:v>3.1493955890008336E-4</c:v>
                </c:pt>
                <c:pt idx="15">
                  <c:v>3.4940177700341939E-4</c:v>
                </c:pt>
                <c:pt idx="16">
                  <c:v>3.8208094208216621E-4</c:v>
                </c:pt>
                <c:pt idx="17">
                  <c:v>4.1287386532882825E-4</c:v>
                </c:pt>
                <c:pt idx="18">
                  <c:v>4.4176512159545126E-4</c:v>
                </c:pt>
                <c:pt idx="19">
                  <c:v>4.6879838331187961E-4</c:v>
                </c:pt>
                <c:pt idx="20">
                  <c:v>4.9405493233797284E-4</c:v>
                </c:pt>
                <c:pt idx="21">
                  <c:v>5.1763811423835538E-4</c:v>
                </c:pt>
                <c:pt idx="22">
                  <c:v>5.3966242482310887E-4</c:v>
                </c:pt>
                <c:pt idx="23">
                  <c:v>5.6024607227025665E-4</c:v>
                </c:pt>
                <c:pt idx="24">
                  <c:v>5.7950607340190243E-4</c:v>
                </c:pt>
                <c:pt idx="25">
                  <c:v>5.9755515753692106E-4</c:v>
                </c:pt>
                <c:pt idx="26">
                  <c:v>6.1449993577712995E-4</c:v>
                </c:pt>
                <c:pt idx="27">
                  <c:v>6.304399376857306E-4</c:v>
                </c:pt>
                <c:pt idx="28">
                  <c:v>6.4546723177795679E-4</c:v>
                </c:pt>
                <c:pt idx="29">
                  <c:v>6.5966642698069803E-4</c:v>
                </c:pt>
                <c:pt idx="30">
                  <c:v>6.7311491543223928E-4</c:v>
                </c:pt>
                <c:pt idx="31">
                  <c:v>6.8588325703053345E-4</c:v>
                </c:pt>
                <c:pt idx="32">
                  <c:v>6.9803564378949096E-4</c:v>
                </c:pt>
                <c:pt idx="33">
                  <c:v>7.0963039428696283E-4</c:v>
                </c:pt>
                <c:pt idx="34">
                  <c:v>7.2072045409064713E-4</c:v>
                </c:pt>
                <c:pt idx="35">
                  <c:v>7.313538821333474E-4</c:v>
                </c:pt>
                <c:pt idx="36">
                  <c:v>7.4157431081390288E-4</c:v>
                </c:pt>
                <c:pt idx="37">
                  <c:v>7.5142137720340583E-4</c:v>
                </c:pt>
                <c:pt idx="38">
                  <c:v>7.6093111847993144E-4</c:v>
                </c:pt>
                <c:pt idx="39">
                  <c:v>7.7013633516706678E-4</c:v>
                </c:pt>
                <c:pt idx="40">
                  <c:v>7.7906692020127317E-4</c:v>
                </c:pt>
                <c:pt idx="41">
                  <c:v>7.8775015674556698E-4</c:v>
                </c:pt>
                <c:pt idx="42">
                  <c:v>7.9621098622824392E-4</c:v>
                </c:pt>
                <c:pt idx="43">
                  <c:v>8.0447225033333976E-4</c:v>
                </c:pt>
                <c:pt idx="44">
                  <c:v>8.1255490679640592E-4</c:v>
                </c:pt>
                <c:pt idx="45">
                  <c:v>8.2047822468046241E-4</c:v>
                </c:pt>
                <c:pt idx="46">
                  <c:v>8.2825995768146931E-4</c:v>
                </c:pt>
                <c:pt idx="47">
                  <c:v>8.3591650099710971E-4</c:v>
                </c:pt>
                <c:pt idx="48">
                  <c:v>8.4346303132625899E-4</c:v>
                </c:pt>
                <c:pt idx="49">
                  <c:v>8.509136320649335E-4</c:v>
                </c:pt>
                <c:pt idx="50">
                  <c:v>8.5828140651010793E-4</c:v>
                </c:pt>
                <c:pt idx="51">
                  <c:v>8.6557857993268465E-4</c:v>
                </c:pt>
                <c:pt idx="52">
                  <c:v>8.7281658972915288E-4</c:v>
                </c:pt>
                <c:pt idx="53">
                  <c:v>8.8000616882882062E-4</c:v>
                </c:pt>
                <c:pt idx="54">
                  <c:v>8.8715741987793197E-4</c:v>
                </c:pt>
                <c:pt idx="55">
                  <c:v>8.9427988191242405E-4</c:v>
                </c:pt>
                <c:pt idx="56">
                  <c:v>9.0138259241252664E-4</c:v>
                </c:pt>
                <c:pt idx="57">
                  <c:v>9.0847414251171699E-4</c:v>
                </c:pt>
                <c:pt idx="58">
                  <c:v>9.1556272705282341E-4</c:v>
                </c:pt>
                <c:pt idx="59">
                  <c:v>9.2265619175481504E-4</c:v>
                </c:pt>
                <c:pt idx="60">
                  <c:v>9.2976207518549736E-4</c:v>
                </c:pt>
                <c:pt idx="61">
                  <c:v>9.3688764774553328E-4</c:v>
                </c:pt>
                <c:pt idx="62">
                  <c:v>9.4403994811235212E-4</c:v>
                </c:pt>
                <c:pt idx="63">
                  <c:v>9.5122581633041742E-4</c:v>
                </c:pt>
                <c:pt idx="64">
                  <c:v>9.5845192578567851E-4</c:v>
                </c:pt>
                <c:pt idx="65">
                  <c:v>9.6572481126801994E-4</c:v>
                </c:pt>
                <c:pt idx="66">
                  <c:v>9.7305089783114617E-4</c:v>
                </c:pt>
                <c:pt idx="67">
                  <c:v>9.8043652571190403E-4</c:v>
                </c:pt>
                <c:pt idx="68">
                  <c:v>9.8788797618918809E-4</c:v>
                </c:pt>
                <c:pt idx="69">
                  <c:v>9.9541149416460862E-4</c:v>
                </c:pt>
                <c:pt idx="70">
                  <c:v>1.0030133125206093E-3</c:v>
                </c:pt>
                <c:pt idx="71">
                  <c:v>1.0106996731865199E-3</c:v>
                </c:pt>
                <c:pt idx="72">
                  <c:v>1.0184768497218735E-3</c:v>
                </c:pt>
                <c:pt idx="73">
                  <c:v>1.0263511686896092E-3</c:v>
                </c:pt>
                <c:pt idx="74">
                  <c:v>1.034329030628302E-3</c:v>
                </c:pt>
                <c:pt idx="75">
                  <c:v>1.0424169316222494E-3</c:v>
                </c:pt>
                <c:pt idx="76">
                  <c:v>1.0506214847827025E-3</c:v>
                </c:pt>
                <c:pt idx="77">
                  <c:v>1.0589494425748555E-3</c:v>
                </c:pt>
                <c:pt idx="78">
                  <c:v>1.0674077172432379E-3</c:v>
                </c:pt>
                <c:pt idx="79">
                  <c:v>1.0760034054847973E-3</c:v>
                </c:pt>
                <c:pt idx="80">
                  <c:v>1.0847438111047754E-3</c:v>
                </c:pt>
                <c:pt idx="81">
                  <c:v>1.0936364696722332E-3</c:v>
                </c:pt>
                <c:pt idx="82">
                  <c:v>1.1026891741483056E-3</c:v>
                </c:pt>
                <c:pt idx="83">
                  <c:v>1.1119100015052515E-3</c:v>
                </c:pt>
                <c:pt idx="84">
                  <c:v>1.1213073413055108E-3</c:v>
                </c:pt>
                <c:pt idx="85">
                  <c:v>1.130889926222239E-3</c:v>
                </c:pt>
                <c:pt idx="86">
                  <c:v>1.1406668629834525E-3</c:v>
                </c:pt>
                <c:pt idx="87">
                  <c:v>1.1506476681068236E-3</c:v>
                </c:pt>
                <c:pt idx="88">
                  <c:v>1.160842303339198E-3</c:v>
                </c:pt>
                <c:pt idx="89">
                  <c:v>1.1712612163125287E-3</c:v>
                </c:pt>
                <c:pt idx="90">
                  <c:v>1.1819153826186431E-3</c:v>
                </c:pt>
                <c:pt idx="91">
                  <c:v>1.1928163530730393E-3</c:v>
                </c:pt>
                <c:pt idx="92">
                  <c:v>1.2039763031912864E-3</c:v>
                </c:pt>
                <c:pt idx="93">
                  <c:v>1.2154080887962506E-3</c:v>
                </c:pt>
                <c:pt idx="94">
                  <c:v>1.2271253063701497E-3</c:v>
                </c:pt>
                <c:pt idx="95">
                  <c:v>1.239142358530421E-3</c:v>
                </c:pt>
                <c:pt idx="96">
                  <c:v>1.2514745262780539E-3</c:v>
                </c:pt>
                <c:pt idx="97">
                  <c:v>1.264138049767171E-3</c:v>
                </c:pt>
                <c:pt idx="98">
                  <c:v>1.2771502151646124E-3</c:v>
                </c:pt>
                <c:pt idx="99">
                  <c:v>1.2905294531083784E-3</c:v>
                </c:pt>
                <c:pt idx="100">
                  <c:v>1.3042954463621627E-3</c:v>
                </c:pt>
                <c:pt idx="101">
                  <c:v>1.3184692510806314E-3</c:v>
                </c:pt>
                <c:pt idx="102">
                  <c:v>1.3330734300031199E-3</c:v>
                </c:pt>
                <c:pt idx="103">
                  <c:v>1.3481322036922945E-3</c:v>
                </c:pt>
                <c:pt idx="104">
                  <c:v>1.3636716189561868E-3</c:v>
                </c:pt>
                <c:pt idx="105">
                  <c:v>1.3797197382800985E-3</c:v>
                </c:pt>
                <c:pt idx="106">
                  <c:v>1.3963068529497607E-3</c:v>
                </c:pt>
                <c:pt idx="107">
                  <c:v>1.4134657260301037E-3</c:v>
                </c:pt>
                <c:pt idx="108">
                  <c:v>1.4312318661475901E-3</c:v>
                </c:pt>
                <c:pt idx="109">
                  <c:v>1.449643840868811E-3</c:v>
                </c:pt>
                <c:pt idx="110">
                  <c:v>1.4687436339253599E-3</c:v>
                </c:pt>
                <c:pt idx="111">
                  <c:v>1.4885770565868748E-3</c:v>
                </c:pt>
                <c:pt idx="112">
                  <c:v>1.5091942235554545E-3</c:v>
                </c:pt>
                <c:pt idx="113">
                  <c:v>1.5306501071773767E-3</c:v>
                </c:pt>
                <c:pt idx="114">
                  <c:v>1.5530051973963537E-3</c:v>
                </c:pt>
                <c:pt idx="115">
                  <c:v>1.5763263302130037E-3</c:v>
                </c:pt>
                <c:pt idx="116">
                  <c:v>1.5878034867827019E-3</c:v>
                </c:pt>
                <c:pt idx="117">
                  <c:v>1.5706589018802649E-3</c:v>
                </c:pt>
                <c:pt idx="118">
                  <c:v>1.5541484118904378E-3</c:v>
                </c:pt>
                <c:pt idx="119">
                  <c:v>1.5380790741200338E-3</c:v>
                </c:pt>
                <c:pt idx="120">
                  <c:v>1.5223875697057551E-3</c:v>
                </c:pt>
                <c:pt idx="121">
                  <c:v>1.5070404724821683E-3</c:v>
                </c:pt>
                <c:pt idx="122">
                  <c:v>1.4920160815107316E-3</c:v>
                </c:pt>
                <c:pt idx="123">
                  <c:v>1.4772984420653255E-3</c:v>
                </c:pt>
                <c:pt idx="124">
                  <c:v>1.462874818958046E-3</c:v>
                </c:pt>
                <c:pt idx="125">
                  <c:v>1.4487344583190359E-3</c:v>
                </c:pt>
                <c:pt idx="126">
                  <c:v>1.4348679147291096E-3</c:v>
                </c:pt>
                <c:pt idx="127">
                  <c:v>1.421266661541603E-3</c:v>
                </c:pt>
                <c:pt idx="128">
                  <c:v>1.4079228484519437E-3</c:v>
                </c:pt>
                <c:pt idx="129">
                  <c:v>1.3948291464357986E-3</c:v>
                </c:pt>
                <c:pt idx="130">
                  <c:v>1.3819786460104644E-3</c:v>
                </c:pt>
                <c:pt idx="131">
                  <c:v>1.369364782869881E-3</c:v>
                </c:pt>
                <c:pt idx="132">
                  <c:v>1.3569812891838064E-3</c:v>
                </c:pt>
                <c:pt idx="133">
                  <c:v>1.3448221553324607E-3</c:v>
                </c:pt>
                <c:pt idx="134">
                  <c:v>1.3328816033617607E-3</c:v>
                </c:pt>
                <c:pt idx="135">
                  <c:v>1.321154064110378E-3</c:v>
                </c:pt>
                <c:pt idx="136">
                  <c:v>1.3096341620877198E-3</c:v>
                </c:pt>
                <c:pt idx="137">
                  <c:v>1.2983167011543682E-3</c:v>
                </c:pt>
                <c:pt idx="138">
                  <c:v>1.287196653658145E-3</c:v>
                </c:pt>
                <c:pt idx="139">
                  <c:v>1.276269151724823E-3</c:v>
                </c:pt>
                <c:pt idx="140">
                  <c:v>1.2655294781896301E-3</c:v>
                </c:pt>
                <c:pt idx="141">
                  <c:v>1.2549730609893949E-3</c:v>
                </c:pt>
                <c:pt idx="142">
                  <c:v>1.244595465919669E-3</c:v>
                </c:pt>
                <c:pt idx="143">
                  <c:v>1.2343923915266476E-3</c:v>
                </c:pt>
                <c:pt idx="144">
                  <c:v>1.2243596642877593E-3</c:v>
                </c:pt>
                <c:pt idx="145">
                  <c:v>1.2144932331680856E-3</c:v>
                </c:pt>
                <c:pt idx="146">
                  <c:v>1.2047891659049262E-3</c:v>
                </c:pt>
                <c:pt idx="147">
                  <c:v>1.195243644616115E-3</c:v>
                </c:pt>
                <c:pt idx="148">
                  <c:v>1.1858529619475314E-3</c:v>
                </c:pt>
                <c:pt idx="149">
                  <c:v>1.1766135173038688E-3</c:v>
                </c:pt>
                <c:pt idx="150">
                  <c:v>1.1675218136485382E-3</c:v>
                </c:pt>
                <c:pt idx="151">
                  <c:v>1.1585744533738596E-3</c:v>
                </c:pt>
                <c:pt idx="152">
                  <c:v>1.1497681360711958E-3</c:v>
                </c:pt>
                <c:pt idx="153">
                  <c:v>1.1410996545304015E-3</c:v>
                </c:pt>
                <c:pt idx="154">
                  <c:v>1.1325658921096601E-3</c:v>
                </c:pt>
                <c:pt idx="155">
                  <c:v>1.124163819919513E-3</c:v>
                </c:pt>
                <c:pt idx="156">
                  <c:v>1.1158904942038448E-3</c:v>
                </c:pt>
                <c:pt idx="157">
                  <c:v>1.1077430528879779E-3</c:v>
                </c:pt>
                <c:pt idx="158">
                  <c:v>1.099718713925213E-3</c:v>
                </c:pt>
                <c:pt idx="159">
                  <c:v>1.0918147720327459E-3</c:v>
                </c:pt>
                <c:pt idx="160">
                  <c:v>1.084028596735537E-3</c:v>
                </c:pt>
                <c:pt idx="161">
                  <c:v>1.0763576296771052E-3</c:v>
                </c:pt>
                <c:pt idx="162">
                  <c:v>1.0687993825890401E-3</c:v>
                </c:pt>
                <c:pt idx="163">
                  <c:v>1.0613514352285575E-3</c:v>
                </c:pt>
                <c:pt idx="164">
                  <c:v>1.0540114328356938E-3</c:v>
                </c:pt>
                <c:pt idx="165">
                  <c:v>1.046777084317517E-3</c:v>
                </c:pt>
                <c:pt idx="166">
                  <c:v>1.0396461602485676E-3</c:v>
                </c:pt>
                <c:pt idx="167">
                  <c:v>1.032616490997084E-3</c:v>
                </c:pt>
                <c:pt idx="168">
                  <c:v>1.0256859647385763E-3</c:v>
                </c:pt>
                <c:pt idx="169">
                  <c:v>1.0188525259696712E-3</c:v>
                </c:pt>
                <c:pt idx="170">
                  <c:v>1.0121141731550935E-3</c:v>
                </c:pt>
                <c:pt idx="171">
                  <c:v>1.0054689577622116E-3</c:v>
                </c:pt>
                <c:pt idx="172">
                  <c:v>9.9891498225238668E-4</c:v>
                </c:pt>
                <c:pt idx="173">
                  <c:v>9.9245039859022677E-4</c:v>
                </c:pt>
                <c:pt idx="174">
                  <c:v>9.8607340655593135E-4</c:v>
                </c:pt>
                <c:pt idx="175">
                  <c:v>9.7978225254972636E-4</c:v>
                </c:pt>
                <c:pt idx="176">
                  <c:v>9.7357522816270213E-4</c:v>
                </c:pt>
                <c:pt idx="177">
                  <c:v>9.6745066884868717E-4</c:v>
                </c:pt>
                <c:pt idx="178">
                  <c:v>9.614069519605032E-4</c:v>
                </c:pt>
                <c:pt idx="179">
                  <c:v>9.5544249654938649E-4</c:v>
                </c:pt>
                <c:pt idx="180">
                  <c:v>9.4955576104429251E-4</c:v>
                </c:pt>
                <c:pt idx="181">
                  <c:v>9.4374524311502937E-4</c:v>
                </c:pt>
                <c:pt idx="182">
                  <c:v>9.3800947760561886E-4</c:v>
                </c:pt>
                <c:pt idx="183">
                  <c:v>9.3234703587674887E-4</c:v>
                </c:pt>
                <c:pt idx="184">
                  <c:v>9.2675652464203233E-4</c:v>
                </c:pt>
                <c:pt idx="185">
                  <c:v>9.2123658501580379E-4</c:v>
                </c:pt>
                <c:pt idx="186">
                  <c:v>9.1578589167671588E-4</c:v>
                </c:pt>
                <c:pt idx="187">
                  <c:v>9.1040315021774856E-4</c:v>
                </c:pt>
                <c:pt idx="188">
                  <c:v>9.0508709944305823E-4</c:v>
                </c:pt>
                <c:pt idx="189">
                  <c:v>8.9983650780570243E-4</c:v>
                </c:pt>
                <c:pt idx="190">
                  <c:v>8.9465017303350949E-4</c:v>
                </c:pt>
                <c:pt idx="191">
                  <c:v>8.8952692232359073E-4</c:v>
                </c:pt>
                <c:pt idx="192">
                  <c:v>8.8446560996871819E-4</c:v>
                </c:pt>
                <c:pt idx="193">
                  <c:v>8.7946511810945089E-4</c:v>
                </c:pt>
                <c:pt idx="194">
                  <c:v>8.745243546206563E-4</c:v>
                </c:pt>
                <c:pt idx="195">
                  <c:v>8.6964225345534038E-4</c:v>
                </c:pt>
                <c:pt idx="196">
                  <c:v>8.6481777294606635E-4</c:v>
                </c:pt>
                <c:pt idx="197">
                  <c:v>8.6004989582247229E-4</c:v>
                </c:pt>
                <c:pt idx="198">
                  <c:v>8.553376283896699E-4</c:v>
                </c:pt>
                <c:pt idx="199">
                  <c:v>8.5067999969281975E-4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Sweep!$D$23:$D$222</c:f>
              <c:numCache>
                <c:formatCode>General</c:formatCode>
                <c:ptCount val="200"/>
                <c:pt idx="0">
                  <c:v>0</c:v>
                </c:pt>
                <c:pt idx="1">
                  <c:v>3.2388486083176463E-4</c:v>
                </c:pt>
                <c:pt idx="2">
                  <c:v>3.238887813699834E-4</c:v>
                </c:pt>
                <c:pt idx="3">
                  <c:v>3.2390467562511496E-4</c:v>
                </c:pt>
                <c:pt idx="4">
                  <c:v>3.2394614628822636E-4</c:v>
                </c:pt>
                <c:pt idx="5">
                  <c:v>3.2403177320307135E-4</c:v>
                </c:pt>
                <c:pt idx="6">
                  <c:v>3.2418347464097558E-4</c:v>
                </c:pt>
                <c:pt idx="7">
                  <c:v>3.2442266684861739E-4</c:v>
                </c:pt>
                <c:pt idx="8">
                  <c:v>3.2476599158832775E-4</c:v>
                </c:pt>
                <c:pt idx="9">
                  <c:v>3.2522298356933471E-4</c:v>
                </c:pt>
                <c:pt idx="10">
                  <c:v>3.2579614233766265E-4</c:v>
                </c:pt>
                <c:pt idx="11">
                  <c:v>3.264824639287658E-4</c:v>
                </c:pt>
                <c:pt idx="12">
                  <c:v>3.2727537154035775E-4</c:v>
                </c:pt>
                <c:pt idx="13">
                  <c:v>3.2816641718672442E-4</c:v>
                </c:pt>
                <c:pt idx="14">
                  <c:v>3.2914653306915739E-4</c:v>
                </c:pt>
                <c:pt idx="15">
                  <c:v>3.3020684011621649E-4</c:v>
                </c:pt>
                <c:pt idx="16">
                  <c:v>3.3133910840830002E-4</c:v>
                </c:pt>
                <c:pt idx="17">
                  <c:v>3.3253597593189515E-4</c:v>
                </c:pt>
                <c:pt idx="18">
                  <c:v>3.33791014085369E-4</c:v>
                </c:pt>
                <c:pt idx="19">
                  <c:v>3.3509870399706093E-4</c:v>
                </c:pt>
                <c:pt idx="20">
                  <c:v>3.3645436626555985E-4</c:v>
                </c:pt>
                <c:pt idx="21">
                  <c:v>3.3785407075204778E-4</c:v>
                </c:pt>
                <c:pt idx="22">
                  <c:v>3.3929454201246217E-4</c:v>
                </c:pt>
                <c:pt idx="23">
                  <c:v>3.4077306890699556E-4</c:v>
                </c:pt>
                <c:pt idx="24">
                  <c:v>3.4228742250355513E-4</c:v>
                </c:pt>
                <c:pt idx="25">
                  <c:v>3.4383578381619296E-4</c:v>
                </c:pt>
                <c:pt idx="26">
                  <c:v>3.4541668149822729E-4</c:v>
                </c:pt>
                <c:pt idx="27">
                  <c:v>3.4702893881915988E-4</c:v>
                </c:pt>
                <c:pt idx="28">
                  <c:v>3.4867162897710618E-4</c:v>
                </c:pt>
                <c:pt idx="29">
                  <c:v>3.5034403764744657E-4</c:v>
                </c:pt>
                <c:pt idx="30">
                  <c:v>3.5204563175404279E-4</c:v>
                </c:pt>
                <c:pt idx="31">
                  <c:v>3.5377603344782289E-4</c:v>
                </c:pt>
                <c:pt idx="32">
                  <c:v>3.5553499855946159E-4</c:v>
                </c:pt>
                <c:pt idx="33">
                  <c:v>3.5732239865612334E-4</c:v>
                </c:pt>
                <c:pt idx="34">
                  <c:v>3.591382062123321E-4</c:v>
                </c:pt>
                <c:pt idx="35">
                  <c:v>3.6098248233502661E-4</c:v>
                </c:pt>
                <c:pt idx="36">
                  <c:v>3.6285536657165875E-4</c:v>
                </c:pt>
                <c:pt idx="37">
                  <c:v>3.6475706854834539E-4</c:v>
                </c:pt>
                <c:pt idx="38">
                  <c:v>3.6668786101410738E-4</c:v>
                </c:pt>
                <c:pt idx="39">
                  <c:v>3.6864807417820743E-4</c:v>
                </c:pt>
                <c:pt idx="40">
                  <c:v>3.7063809105178689E-4</c:v>
                </c:pt>
                <c:pt idx="41">
                  <c:v>3.7265834366975351E-4</c:v>
                </c:pt>
                <c:pt idx="42">
                  <c:v>3.7470931003508482E-4</c:v>
                </c:pt>
                <c:pt idx="43">
                  <c:v>3.7679151172665445E-4</c:v>
                </c:pt>
                <c:pt idx="44">
                  <c:v>3.7890551198452906E-4</c:v>
                </c:pt>
                <c:pt idx="45">
                  <c:v>3.8105191432500051E-4</c:v>
                </c:pt>
                <c:pt idx="46">
                  <c:v>3.8323136148136534E-4</c:v>
                </c:pt>
                <c:pt idx="47">
                  <c:v>3.8544453475686735E-4</c:v>
                </c:pt>
                <c:pt idx="48">
                  <c:v>3.8769215365615689E-4</c:v>
                </c:pt>
                <c:pt idx="49">
                  <c:v>3.8997497577118528E-4</c:v>
                </c:pt>
                <c:pt idx="50">
                  <c:v>3.9229379694886594E-4</c:v>
                </c:pt>
                <c:pt idx="51">
                  <c:v>3.9464945169831532E-4</c:v>
                </c:pt>
                <c:pt idx="52">
                  <c:v>3.9704281372193278E-4</c:v>
                </c:pt>
                <c:pt idx="53">
                  <c:v>3.9947479674468914E-4</c:v>
                </c:pt>
                <c:pt idx="54">
                  <c:v>4.0194635547061375E-4</c:v>
                </c:pt>
                <c:pt idx="55">
                  <c:v>4.0445848669175982E-4</c:v>
                </c:pt>
                <c:pt idx="56">
                  <c:v>4.0701223065244305E-4</c:v>
                </c:pt>
                <c:pt idx="57">
                  <c:v>4.0960867251918867E-4</c:v>
                </c:pt>
                <c:pt idx="58">
                  <c:v>4.1224894400414177E-4</c:v>
                </c:pt>
                <c:pt idx="59">
                  <c:v>4.1493422523708842E-4</c:v>
                </c:pt>
                <c:pt idx="60">
                  <c:v>4.1766574673820605E-4</c:v>
                </c:pt>
                <c:pt idx="61">
                  <c:v>4.2044479158846954E-4</c:v>
                </c:pt>
                <c:pt idx="62">
                  <c:v>4.2327269780928798E-4</c:v>
                </c:pt>
                <c:pt idx="63">
                  <c:v>4.2615086089064293E-4</c:v>
                </c:pt>
                <c:pt idx="64">
                  <c:v>4.2908073658894498E-4</c:v>
                </c:pt>
                <c:pt idx="65">
                  <c:v>4.3206384381948304E-4</c:v>
                </c:pt>
                <c:pt idx="66">
                  <c:v>4.3510176792663945E-4</c:v>
                </c:pt>
                <c:pt idx="67">
                  <c:v>4.3819616403751753E-4</c:v>
                </c:pt>
                <c:pt idx="68">
                  <c:v>4.4134876080725936E-4</c:v>
                </c:pt>
                <c:pt idx="69">
                  <c:v>4.4456136428860319E-4</c:v>
                </c:pt>
                <c:pt idx="70">
                  <c:v>4.4783586226544361E-4</c:v>
                </c:pt>
                <c:pt idx="71">
                  <c:v>4.5117422872149583E-4</c:v>
                </c:pt>
                <c:pt idx="72">
                  <c:v>4.545785287808645E-4</c:v>
                </c:pt>
                <c:pt idx="73">
                  <c:v>4.5805092395197417E-4</c:v>
                </c:pt>
                <c:pt idx="74">
                  <c:v>4.6159367774545985E-4</c:v>
                </c:pt>
                <c:pt idx="75">
                  <c:v>4.6520916176125436E-4</c:v>
                </c:pt>
                <c:pt idx="76">
                  <c:v>4.6889986222172679E-4</c:v>
                </c:pt>
                <c:pt idx="77">
                  <c:v>4.72668387051175E-4</c:v>
                </c:pt>
                <c:pt idx="78">
                  <c:v>4.7651747331827941E-4</c:v>
                </c:pt>
                <c:pt idx="79">
                  <c:v>4.8044999555959167E-4</c:v>
                </c:pt>
                <c:pt idx="80">
                  <c:v>4.8446897453926948E-4</c:v>
                </c:pt>
                <c:pt idx="81">
                  <c:v>4.8857758680570539E-4</c:v>
                </c:pt>
                <c:pt idx="82">
                  <c:v>4.9277917502028076E-4</c:v>
                </c:pt>
                <c:pt idx="83">
                  <c:v>4.9707725911843587E-4</c:v>
                </c:pt>
                <c:pt idx="84">
                  <c:v>5.0147554845363096E-4</c:v>
                </c:pt>
                <c:pt idx="85">
                  <c:v>5.0597795500290056E-4</c:v>
                </c:pt>
                <c:pt idx="86">
                  <c:v>5.1058860758153974E-4</c:v>
                </c:pt>
                <c:pt idx="87">
                  <c:v>5.1531186755526966E-4</c:v>
                </c:pt>
                <c:pt idx="88">
                  <c:v>5.2015234570040576E-4</c:v>
                </c:pt>
                <c:pt idx="89">
                  <c:v>5.2511492083627358E-4</c:v>
                </c:pt>
                <c:pt idx="90">
                  <c:v>5.3020476001842812E-4</c:v>
                </c:pt>
                <c:pt idx="91">
                  <c:v>5.3542734080401922E-4</c:v>
                </c:pt>
                <c:pt idx="92">
                  <c:v>5.407884754783861E-4</c:v>
                </c:pt>
                <c:pt idx="93">
                  <c:v>5.4629433782363485E-4</c:v>
                </c:pt>
                <c:pt idx="94">
                  <c:v>5.519514925248388E-4</c:v>
                </c:pt>
                <c:pt idx="95">
                  <c:v>5.5776692750372119E-4</c:v>
                </c:pt>
                <c:pt idx="96">
                  <c:v>5.6374808963771141E-4</c:v>
                </c:pt>
                <c:pt idx="97">
                  <c:v>5.6990292439032053E-4</c:v>
                </c:pt>
                <c:pt idx="98">
                  <c:v>5.762399194770122E-4</c:v>
                </c:pt>
                <c:pt idx="99">
                  <c:v>5.8276815359612681E-4</c:v>
                </c:pt>
                <c:pt idx="100">
                  <c:v>5.8949735043095446E-4</c:v>
                </c:pt>
                <c:pt idx="101">
                  <c:v>5.9643793907835393E-4</c:v>
                </c:pt>
                <c:pt idx="102">
                  <c:v>6.0360112130427646E-4</c:v>
                </c:pt>
                <c:pt idx="103">
                  <c:v>6.1099894714517964E-4</c:v>
                </c:pt>
                <c:pt idx="104">
                  <c:v>6.1864439966380119E-4</c:v>
                </c:pt>
                <c:pt idx="105">
                  <c:v>6.2655149036861446E-4</c:v>
                </c:pt>
                <c:pt idx="106">
                  <c:v>6.3473536686415634E-4</c:v>
                </c:pt>
                <c:pt idx="107">
                  <c:v>6.4321243497003383E-4</c:v>
                </c:pt>
                <c:pt idx="108">
                  <c:v>6.5200049717700802E-4</c:v>
                </c:pt>
                <c:pt idx="109">
                  <c:v>6.6111891065026248E-4</c:v>
                </c:pt>
                <c:pt idx="110">
                  <c:v>6.7058876787711309E-4</c:v>
                </c:pt>
                <c:pt idx="111">
                  <c:v>6.804331044604657E-4</c:v>
                </c:pt>
                <c:pt idx="112">
                  <c:v>6.9067713949661706E-4</c:v>
                </c:pt>
                <c:pt idx="113">
                  <c:v>7.0134855599817943E-4</c:v>
                </c:pt>
                <c:pt idx="114">
                  <c:v>7.1247783434090755E-4</c:v>
                </c:pt>
                <c:pt idx="115">
                  <c:v>7.2409867084115233E-4</c:v>
                </c:pt>
                <c:pt idx="116">
                  <c:v>7.2979454293608463E-4</c:v>
                </c:pt>
                <c:pt idx="117">
                  <c:v>7.2115904989823352E-4</c:v>
                </c:pt>
                <c:pt idx="118">
                  <c:v>7.1284556687147547E-4</c:v>
                </c:pt>
                <c:pt idx="119">
                  <c:v>7.0475721699667538E-4</c:v>
                </c:pt>
                <c:pt idx="120">
                  <c:v>6.9686207728780454E-4</c:v>
                </c:pt>
                <c:pt idx="121">
                  <c:v>6.8914321345242189E-4</c:v>
                </c:pt>
                <c:pt idx="122">
                  <c:v>6.8158957590193131E-4</c:v>
                </c:pt>
                <c:pt idx="123">
                  <c:v>6.7419300378338421E-4</c:v>
                </c:pt>
                <c:pt idx="124">
                  <c:v>6.6694695823742015E-4</c:v>
                </c:pt>
                <c:pt idx="125">
                  <c:v>6.5984590107741185E-4</c:v>
                </c:pt>
                <c:pt idx="126">
                  <c:v>6.5288495762504952E-4</c:v>
                </c:pt>
                <c:pt idx="127">
                  <c:v>6.4605972045280499E-4</c:v>
                </c:pt>
                <c:pt idx="128">
                  <c:v>6.3936612801250711E-4</c:v>
                </c:pt>
                <c:pt idx="129">
                  <c:v>6.3280038651842001E-4</c:v>
                </c:pt>
                <c:pt idx="130">
                  <c:v>6.2635891791898879E-4</c:v>
                </c:pt>
                <c:pt idx="131">
                  <c:v>6.2003832329904937E-4</c:v>
                </c:pt>
                <c:pt idx="132">
                  <c:v>6.138353574014116E-4</c:v>
                </c:pt>
                <c:pt idx="133">
                  <c:v>6.0774690964541134E-4</c:v>
                </c:pt>
                <c:pt idx="134">
                  <c:v>6.0176999004143798E-4</c:v>
                </c:pt>
                <c:pt idx="135">
                  <c:v>5.9590171811369755E-4</c:v>
                </c:pt>
                <c:pt idx="136">
                  <c:v>5.9013931450656808E-4</c:v>
                </c:pt>
                <c:pt idx="137">
                  <c:v>5.8448009390517461E-4</c:v>
                </c:pt>
                <c:pt idx="138">
                  <c:v>5.789214593195463E-4</c:v>
                </c:pt>
                <c:pt idx="139">
                  <c:v>5.7346089731993225E-4</c:v>
                </c:pt>
                <c:pt idx="140">
                  <c:v>5.6809597370373192E-4</c:v>
                </c:pt>
                <c:pt idx="141">
                  <c:v>5.6282433002844128E-4</c:v>
                </c:pt>
                <c:pt idx="142">
                  <c:v>5.5764368019630296E-4</c:v>
                </c:pt>
                <c:pt idx="143">
                  <c:v>5.5255180757060574E-4</c:v>
                </c:pt>
                <c:pt idx="144">
                  <c:v>5.4754656231331136E-4</c:v>
                </c:pt>
                <c:pt idx="145">
                  <c:v>5.4262585878105628E-4</c:v>
                </c:pt>
                <c:pt idx="146">
                  <c:v>5.3778767328894268E-4</c:v>
                </c:pt>
                <c:pt idx="147">
                  <c:v>5.3303004188038565E-4</c:v>
                </c:pt>
                <c:pt idx="148">
                  <c:v>5.2835105826136875E-4</c:v>
                </c:pt>
                <c:pt idx="149">
                  <c:v>5.2374887182284307E-4</c:v>
                </c:pt>
                <c:pt idx="150">
                  <c:v>5.192216858108693E-4</c:v>
                </c:pt>
                <c:pt idx="151">
                  <c:v>5.1476775542630589E-4</c:v>
                </c:pt>
                <c:pt idx="152">
                  <c:v>5.1038538624691165E-4</c:v>
                </c:pt>
                <c:pt idx="153">
                  <c:v>5.0607293245068122E-4</c:v>
                </c:pt>
                <c:pt idx="154">
                  <c:v>5.018287952787264E-4</c:v>
                </c:pt>
                <c:pt idx="155">
                  <c:v>4.9765142151548581E-4</c:v>
                </c:pt>
                <c:pt idx="156">
                  <c:v>4.9353930203748658E-4</c:v>
                </c:pt>
                <c:pt idx="157">
                  <c:v>4.8949097028504348E-4</c:v>
                </c:pt>
                <c:pt idx="158">
                  <c:v>4.8550500102184847E-4</c:v>
                </c:pt>
                <c:pt idx="159">
                  <c:v>4.8158000890543027E-4</c:v>
                </c:pt>
                <c:pt idx="160">
                  <c:v>4.7771464727363298E-4</c:v>
                </c:pt>
                <c:pt idx="161">
                  <c:v>4.7390760686174388E-4</c:v>
                </c:pt>
                <c:pt idx="162">
                  <c:v>4.701576146423333E-4</c:v>
                </c:pt>
                <c:pt idx="163">
                  <c:v>4.664634326905973E-4</c:v>
                </c:pt>
                <c:pt idx="164">
                  <c:v>4.6282385701253473E-4</c:v>
                </c:pt>
                <c:pt idx="165">
                  <c:v>4.5923771650166462E-4</c:v>
                </c:pt>
                <c:pt idx="166">
                  <c:v>4.5570387189735863E-4</c:v>
                </c:pt>
                <c:pt idx="167">
                  <c:v>4.5222121478664089E-4</c:v>
                </c:pt>
                <c:pt idx="168">
                  <c:v>4.4878866661582394E-4</c:v>
                </c:pt>
                <c:pt idx="169">
                  <c:v>4.4540517779514217E-4</c:v>
                </c:pt>
                <c:pt idx="170">
                  <c:v>4.4206972670834558E-4</c:v>
                </c:pt>
                <c:pt idx="171">
                  <c:v>4.387813189349684E-4</c:v>
                </c:pt>
                <c:pt idx="172">
                  <c:v>4.3553898635186457E-4</c:v>
                </c:pt>
                <c:pt idx="173">
                  <c:v>4.3234178632690722E-4</c:v>
                </c:pt>
                <c:pt idx="174">
                  <c:v>4.2918880090647216E-4</c:v>
                </c:pt>
                <c:pt idx="175">
                  <c:v>4.2607913608972353E-4</c:v>
                </c:pt>
                <c:pt idx="176">
                  <c:v>4.2301192109019798E-4</c:v>
                </c:pt>
                <c:pt idx="177">
                  <c:v>4.1998630762963451E-4</c:v>
                </c:pt>
                <c:pt idx="178">
                  <c:v>4.1700146916386435E-4</c:v>
                </c:pt>
                <c:pt idx="179">
                  <c:v>4.1405660036444722E-4</c:v>
                </c:pt>
                <c:pt idx="180">
                  <c:v>4.1115091633035626E-4</c:v>
                </c:pt>
                <c:pt idx="181">
                  <c:v>4.0828365211065926E-4</c:v>
                </c:pt>
                <c:pt idx="182">
                  <c:v>4.054540619824363E-4</c:v>
                </c:pt>
                <c:pt idx="183">
                  <c:v>4.0266141893371439E-4</c:v>
                </c:pt>
                <c:pt idx="184">
                  <c:v>3.9990501409260175E-4</c:v>
                </c:pt>
                <c:pt idx="185">
                  <c:v>3.9718415619880966E-4</c:v>
                </c:pt>
                <c:pt idx="186">
                  <c:v>3.9449817107917396E-4</c:v>
                </c:pt>
                <c:pt idx="187">
                  <c:v>3.9184640101903439E-4</c:v>
                </c:pt>
                <c:pt idx="188">
                  <c:v>3.8922820455580083E-4</c:v>
                </c:pt>
                <c:pt idx="189">
                  <c:v>3.8664295575421294E-4</c:v>
                </c:pt>
                <c:pt idx="190">
                  <c:v>3.8409004379271096E-4</c:v>
                </c:pt>
                <c:pt idx="191">
                  <c:v>3.8156887266174917E-4</c:v>
                </c:pt>
                <c:pt idx="192">
                  <c:v>3.7907886053116681E-4</c:v>
                </c:pt>
                <c:pt idx="193">
                  <c:v>3.7661943954386649E-4</c:v>
                </c:pt>
                <c:pt idx="194">
                  <c:v>3.7419005523874819E-4</c:v>
                </c:pt>
                <c:pt idx="195">
                  <c:v>3.7179016630963939E-4</c:v>
                </c:pt>
                <c:pt idx="196">
                  <c:v>3.6941924410283924E-4</c:v>
                </c:pt>
                <c:pt idx="197">
                  <c:v>3.6707677235108915E-4</c:v>
                </c:pt>
                <c:pt idx="198">
                  <c:v>3.6476224680505846E-4</c:v>
                </c:pt>
                <c:pt idx="199">
                  <c:v>3.6247517487160896E-4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Sweep!$E$23:$E$222</c:f>
              <c:numCache>
                <c:formatCode>General</c:formatCode>
                <c:ptCount val="200"/>
                <c:pt idx="0">
                  <c:v>0</c:v>
                </c:pt>
                <c:pt idx="1">
                  <c:v>3.2388461406853352E-4</c:v>
                </c:pt>
                <c:pt idx="2">
                  <c:v>3.2388550367850515E-4</c:v>
                </c:pt>
                <c:pt idx="3">
                  <c:v>3.2388911012034123E-4</c:v>
                </c:pt>
                <c:pt idx="4">
                  <c:v>3.238985210509412E-4</c:v>
                </c:pt>
                <c:pt idx="5">
                  <c:v>3.2391799495253064E-4</c:v>
                </c:pt>
                <c:pt idx="6">
                  <c:v>3.2395280732416403E-4</c:v>
                </c:pt>
                <c:pt idx="7">
                  <c:v>3.240087792743841E-4</c:v>
                </c:pt>
                <c:pt idx="8">
                  <c:v>3.2409155095366457E-4</c:v>
                </c:pt>
                <c:pt idx="9">
                  <c:v>3.2420590824925542E-4</c:v>
                </c:pt>
                <c:pt idx="10">
                  <c:v>3.2435539390872684E-4</c:v>
                </c:pt>
                <c:pt idx="11">
                  <c:v>3.2454222733287544E-4</c:v>
                </c:pt>
                <c:pt idx="12">
                  <c:v>3.2476743693630816E-4</c:v>
                </c:pt>
                <c:pt idx="13">
                  <c:v>3.2503109280264067E-4</c:v>
                </c:pt>
                <c:pt idx="14">
                  <c:v>3.2533255858605177E-4</c:v>
                </c:pt>
                <c:pt idx="15">
                  <c:v>3.2567071843679721E-4</c:v>
                </c:pt>
                <c:pt idx="16">
                  <c:v>3.2604416154018764E-4</c:v>
                </c:pt>
                <c:pt idx="17">
                  <c:v>3.2645132228108459E-4</c:v>
                </c:pt>
                <c:pt idx="18">
                  <c:v>3.2689058124470654E-4</c:v>
                </c:pt>
                <c:pt idx="19">
                  <c:v>3.2736033463308969E-4</c:v>
                </c:pt>
                <c:pt idx="20">
                  <c:v>3.2785903961300245E-4</c:v>
                </c:pt>
                <c:pt idx="21">
                  <c:v>3.283852420518034E-4</c:v>
                </c:pt>
                <c:pt idx="22">
                  <c:v>3.2893759177673966E-4</c:v>
                </c:pt>
                <c:pt idx="23">
                  <c:v>3.2951484925437742E-4</c:v>
                </c:pt>
                <c:pt idx="24">
                  <c:v>3.3011588655241131E-4</c:v>
                </c:pt>
                <c:pt idx="25">
                  <c:v>3.3073968463477062E-4</c:v>
                </c:pt>
                <c:pt idx="26">
                  <c:v>3.3138532842988145E-4</c:v>
                </c:pt>
                <c:pt idx="27">
                  <c:v>3.3205200066369593E-4</c:v>
                </c:pt>
                <c:pt idx="28">
                  <c:v>3.327389751264689E-4</c:v>
                </c:pt>
                <c:pt idx="29">
                  <c:v>3.3344560981386377E-4</c:v>
                </c:pt>
                <c:pt idx="30">
                  <c:v>3.3417134022329059E-4</c:v>
                </c:pt>
                <c:pt idx="31">
                  <c:v>3.349156729762087E-4</c:v>
                </c:pt>
                <c:pt idx="32">
                  <c:v>3.3567817986223574E-4</c:v>
                </c:pt>
                <c:pt idx="33">
                  <c:v>3.3645849235069194E-4</c:v>
                </c:pt>
                <c:pt idx="34">
                  <c:v>3.372562965824574E-4</c:v>
                </c:pt>
                <c:pt idx="35">
                  <c:v>3.3807132883408378E-4</c:v>
                </c:pt>
                <c:pt idx="36">
                  <c:v>3.389033714334788E-4</c:v>
                </c:pt>
                <c:pt idx="37">
                  <c:v>3.3975224909934333E-4</c:v>
                </c:pt>
                <c:pt idx="38">
                  <c:v>3.4061782567315087E-4</c:v>
                </c:pt>
                <c:pt idx="39">
                  <c:v>3.4150000121147076E-4</c:v>
                </c:pt>
                <c:pt idx="40">
                  <c:v>3.4239870940691277E-4</c:v>
                </c:pt>
                <c:pt idx="41">
                  <c:v>3.4331391530766569E-4</c:v>
                </c:pt>
                <c:pt idx="42">
                  <c:v>3.4424561330736997E-4</c:v>
                </c:pt>
                <c:pt idx="43">
                  <c:v>3.4519382537952773E-4</c:v>
                </c:pt>
                <c:pt idx="44">
                  <c:v>3.4615859953294055E-4</c:v>
                </c:pt>
                <c:pt idx="45">
                  <c:v>3.4714000846701101E-4</c:v>
                </c:pt>
                <c:pt idx="46">
                  <c:v>3.4813814840797472E-4</c:v>
                </c:pt>
                <c:pt idx="47">
                  <c:v>3.4915313810922018E-4</c:v>
                </c:pt>
                <c:pt idx="48">
                  <c:v>3.5018511800078144E-4</c:v>
                </c:pt>
                <c:pt idx="49">
                  <c:v>3.5123424947487849E-4</c:v>
                </c:pt>
                <c:pt idx="50">
                  <c:v>3.523007142959645E-4</c:v>
                </c:pt>
                <c:pt idx="51">
                  <c:v>3.5338471412523257E-4</c:v>
                </c:pt>
                <c:pt idx="52">
                  <c:v>3.5448647015081828E-4</c:v>
                </c:pt>
                <c:pt idx="53">
                  <c:v>3.5560622281615605E-4</c:v>
                </c:pt>
                <c:pt idx="54">
                  <c:v>3.5674423163999813E-4</c:v>
                </c:pt>
                <c:pt idx="55">
                  <c:v>3.5790077512258463E-4</c:v>
                </c:pt>
                <c:pt idx="56">
                  <c:v>3.5907615073332947E-4</c:v>
                </c:pt>
                <c:pt idx="57">
                  <c:v>3.6027067497618664E-4</c:v>
                </c:pt>
                <c:pt idx="58">
                  <c:v>3.6148468352958181E-4</c:v>
                </c:pt>
                <c:pt idx="59">
                  <c:v>3.6271853145847227E-4</c:v>
                </c:pt>
                <c:pt idx="60">
                  <c:v>3.6397259349667748E-4</c:v>
                </c:pt>
                <c:pt idx="61">
                  <c:v>3.6524726439833978E-4</c:v>
                </c:pt>
                <c:pt idx="62">
                  <c:v>3.6654295935767579E-4</c:v>
                </c:pt>
                <c:pt idx="63">
                  <c:v>3.6786011449710799E-4</c:v>
                </c:pt>
                <c:pt idx="64">
                  <c:v>3.6919918742322875E-4</c:v>
                </c:pt>
                <c:pt idx="65">
                  <c:v>3.7056065785267162E-4</c:v>
                </c:pt>
                <c:pt idx="66">
                  <c:v>3.7194502830835999E-4</c:v>
                </c:pt>
                <c:pt idx="67">
                  <c:v>3.7335282488790692E-4</c:v>
                </c:pt>
                <c:pt idx="68">
                  <c:v>3.747845981065849E-4</c:v>
                </c:pt>
                <c:pt idx="69">
                  <c:v>3.7624092381754011E-4</c:v>
                </c:pt>
                <c:pt idx="70">
                  <c:v>3.777224042125027E-4</c:v>
                </c:pt>
                <c:pt idx="71">
                  <c:v>3.792296689067899E-4</c:v>
                </c:pt>
                <c:pt idx="72">
                  <c:v>3.8076337611296933E-4</c:v>
                </c:pt>
                <c:pt idx="73">
                  <c:v>3.8232421390817673E-4</c:v>
                </c:pt>
                <c:pt idx="74">
                  <c:v>3.8391290160073481E-4</c:v>
                </c:pt>
                <c:pt idx="75">
                  <c:v>3.8553019120245104E-4</c:v>
                </c:pt>
                <c:pt idx="76">
                  <c:v>3.8717686901373595E-4</c:v>
                </c:pt>
                <c:pt idx="77">
                  <c:v>3.8885375732957106E-4</c:v>
                </c:pt>
                <c:pt idx="78">
                  <c:v>3.9056171627525188E-4</c:v>
                </c:pt>
                <c:pt idx="79">
                  <c:v>3.9230164578192019E-4</c:v>
                </c:pt>
                <c:pt idx="80">
                  <c:v>3.9407448771299668E-4</c:v>
                </c:pt>
                <c:pt idx="81">
                  <c:v>3.9588122815393026E-4</c:v>
                </c:pt>
                <c:pt idx="82">
                  <c:v>3.9772289987906724E-4</c:v>
                </c:pt>
                <c:pt idx="83">
                  <c:v>3.9960058501103219E-4</c:v>
                </c:pt>
                <c:pt idx="84">
                  <c:v>4.0151541788975114E-4</c:v>
                </c:pt>
                <c:pt idx="85">
                  <c:v>4.0346858817021954E-4</c:v>
                </c:pt>
                <c:pt idx="86">
                  <c:v>4.0546134417031792E-4</c:v>
                </c:pt>
                <c:pt idx="87">
                  <c:v>4.0749499649242964E-4</c:v>
                </c:pt>
                <c:pt idx="88">
                  <c:v>4.0957092194543655E-4</c:v>
                </c:pt>
                <c:pt idx="89">
                  <c:v>4.1169056779677258E-4</c:v>
                </c:pt>
                <c:pt idx="90">
                  <c:v>4.138554563877958E-4</c:v>
                </c:pt>
                <c:pt idx="91">
                  <c:v>4.1606719014976296E-4</c:v>
                </c:pt>
                <c:pt idx="92">
                  <c:v>4.1832745706229011E-4</c:v>
                </c:pt>
                <c:pt idx="93">
                  <c:v>4.2063803660140103E-4</c:v>
                </c:pt>
                <c:pt idx="94">
                  <c:v>4.2300080623025718E-4</c:v>
                </c:pt>
                <c:pt idx="95">
                  <c:v>4.2541774849274899E-4</c:v>
                </c:pt>
                <c:pt idx="96">
                  <c:v>4.2789095877653581E-4</c:v>
                </c:pt>
                <c:pt idx="97">
                  <c:v>4.3042265382326589E-4</c:v>
                </c:pt>
                <c:pt idx="98">
                  <c:v>4.3301518107795604E-4</c:v>
                </c:pt>
                <c:pt idx="99">
                  <c:v>4.3567102897596355E-4</c:v>
                </c:pt>
                <c:pt idx="100">
                  <c:v>4.383928382525724E-4</c:v>
                </c:pt>
                <c:pt idx="101">
                  <c:v>4.4118341446883078E-4</c:v>
                </c:pt>
                <c:pt idx="102">
                  <c:v>4.4404574184554355E-4</c:v>
                </c:pt>
                <c:pt idx="103">
                  <c:v>4.4698299860581578E-4</c:v>
                </c:pt>
                <c:pt idx="104">
                  <c:v>4.4999857402310998E-4</c:v>
                </c:pt>
                <c:pt idx="105">
                  <c:v>4.530960874101626E-4</c:v>
                </c:pt>
                <c:pt idx="106">
                  <c:v>4.5627940932512883E-4</c:v>
                </c:pt>
                <c:pt idx="107">
                  <c:v>4.5955268532211726E-4</c:v>
                </c:pt>
                <c:pt idx="108">
                  <c:v>4.6292036263786648E-4</c:v>
                </c:pt>
                <c:pt idx="109">
                  <c:v>4.6638722029129288E-4</c:v>
                </c:pt>
                <c:pt idx="110">
                  <c:v>4.6995840319097358E-4</c:v>
                </c:pt>
                <c:pt idx="111">
                  <c:v>4.7363946102522915E-4</c:v>
                </c:pt>
                <c:pt idx="112">
                  <c:v>4.7743639302136998E-4</c:v>
                </c:pt>
                <c:pt idx="113">
                  <c:v>4.8135570032210878E-4</c:v>
                </c:pt>
                <c:pt idx="114">
                  <c:v>4.8540444960381337E-4</c:v>
                </c:pt>
                <c:pt idx="115">
                  <c:v>4.8959036004133478E-4</c:v>
                </c:pt>
                <c:pt idx="116">
                  <c:v>4.9089271045838271E-4</c:v>
                </c:pt>
                <c:pt idx="117">
                  <c:v>4.8544599938766462E-4</c:v>
                </c:pt>
                <c:pt idx="118">
                  <c:v>4.8017340831991577E-4</c:v>
                </c:pt>
                <c:pt idx="119">
                  <c:v>4.7502895234989416E-4</c:v>
                </c:pt>
                <c:pt idx="120">
                  <c:v>4.6999714024612195E-4</c:v>
                </c:pt>
                <c:pt idx="121">
                  <c:v>4.6506952336366298E-4</c:v>
                </c:pt>
                <c:pt idx="122">
                  <c:v>4.6024042614769016E-4</c:v>
                </c:pt>
                <c:pt idx="123">
                  <c:v>4.555055416703533E-4</c:v>
                </c:pt>
                <c:pt idx="124">
                  <c:v>4.5086133760636766E-4</c:v>
                </c:pt>
                <c:pt idx="125">
                  <c:v>4.4630476457784869E-4</c:v>
                </c:pt>
                <c:pt idx="126">
                  <c:v>4.4183309777458615E-4</c:v>
                </c:pt>
                <c:pt idx="127">
                  <c:v>4.3744384437999597E-4</c:v>
                </c:pt>
                <c:pt idx="128">
                  <c:v>4.331346862951101E-4</c:v>
                </c:pt>
                <c:pt idx="129">
                  <c:v>4.2890344303265311E-4</c:v>
                </c:pt>
                <c:pt idx="130">
                  <c:v>4.2474804672675047E-4</c:v>
                </c:pt>
                <c:pt idx="131">
                  <c:v>4.2066652472048753E-4</c:v>
                </c:pt>
                <c:pt idx="132">
                  <c:v>4.1665698704526562E-4</c:v>
                </c:pt>
                <c:pt idx="133">
                  <c:v>4.1271761720891429E-4</c:v>
                </c:pt>
                <c:pt idx="134">
                  <c:v>4.0884666510610418E-4</c:v>
                </c:pt>
                <c:pt idx="135">
                  <c:v>4.05042441582285E-4</c:v>
                </c:pt>
                <c:pt idx="136">
                  <c:v>4.0130331404119701E-4</c:v>
                </c:pt>
                <c:pt idx="137">
                  <c:v>3.9762770285824524E-4</c:v>
                </c:pt>
                <c:pt idx="138">
                  <c:v>3.9401407837725741E-4</c:v>
                </c:pt>
                <c:pt idx="139">
                  <c:v>3.9046095834265737E-4</c:v>
                </c:pt>
                <c:pt idx="140">
                  <c:v>3.8696690566174995E-4</c:v>
                </c:pt>
                <c:pt idx="141">
                  <c:v>3.8353052642120538E-4</c:v>
                </c:pt>
                <c:pt idx="142">
                  <c:v>3.8015046810243008E-4</c:v>
                </c:pt>
                <c:pt idx="143">
                  <c:v>3.7682541795507068E-4</c:v>
                </c:pt>
                <c:pt idx="144">
                  <c:v>3.7355410149834934E-4</c:v>
                </c:pt>
                <c:pt idx="145">
                  <c:v>3.7033528112747645E-4</c:v>
                </c:pt>
                <c:pt idx="146">
                  <c:v>3.6716775480791507E-4</c:v>
                </c:pt>
                <c:pt idx="147">
                  <c:v>3.6405035484430676E-4</c:v>
                </c:pt>
                <c:pt idx="148">
                  <c:v>3.6098194671391155E-4</c:v>
                </c:pt>
                <c:pt idx="149">
                  <c:v>3.5796142795662815E-4</c:v>
                </c:pt>
                <c:pt idx="150">
                  <c:v>3.5498772711536902E-4</c:v>
                </c:pt>
                <c:pt idx="151">
                  <c:v>3.5205980272183231E-4</c:v>
                </c:pt>
                <c:pt idx="152">
                  <c:v>3.4917664232367318E-4</c:v>
                </c:pt>
                <c:pt idx="153">
                  <c:v>3.4633726154982564E-4</c:v>
                </c:pt>
                <c:pt idx="154">
                  <c:v>3.4354070321128774E-4</c:v>
                </c:pt>
                <c:pt idx="155">
                  <c:v>3.4078603643511142E-4</c:v>
                </c:pt>
                <c:pt idx="156">
                  <c:v>3.3807235582968974E-4</c:v>
                </c:pt>
                <c:pt idx="157">
                  <c:v>3.3539878067968636E-4</c:v>
                </c:pt>
                <c:pt idx="158">
                  <c:v>3.3276445416916185E-4</c:v>
                </c:pt>
                <c:pt idx="159">
                  <c:v>3.3016854263161644E-4</c:v>
                </c:pt>
                <c:pt idx="160">
                  <c:v>3.2761023482579313E-4</c:v>
                </c:pt>
                <c:pt idx="161">
                  <c:v>3.2508874123619581E-4</c:v>
                </c:pt>
                <c:pt idx="162">
                  <c:v>3.22603293397348E-4</c:v>
                </c:pt>
                <c:pt idx="163">
                  <c:v>3.2015314324090568E-4</c:v>
                </c:pt>
                <c:pt idx="164">
                  <c:v>3.177375624647742E-4</c:v>
                </c:pt>
                <c:pt idx="165">
                  <c:v>3.1535584192344428E-4</c:v>
                </c:pt>
                <c:pt idx="166">
                  <c:v>3.1300729103878874E-4</c:v>
                </c:pt>
                <c:pt idx="167">
                  <c:v>3.1069123723061187E-4</c:v>
                </c:pt>
                <c:pt idx="168">
                  <c:v>3.0840702536625593E-4</c:v>
                </c:pt>
                <c:pt idx="169">
                  <c:v>3.0615401722861886E-4</c:v>
                </c:pt>
                <c:pt idx="170">
                  <c:v>3.039315910019406E-4</c:v>
                </c:pt>
                <c:pt idx="171">
                  <c:v>3.0173914077475858E-4</c:v>
                </c:pt>
                <c:pt idx="172">
                  <c:v>2.995760760594353E-4</c:v>
                </c:pt>
                <c:pt idx="173">
                  <c:v>2.9744182132769955E-4</c:v>
                </c:pt>
                <c:pt idx="174">
                  <c:v>2.9533581556164516E-4</c:v>
                </c:pt>
                <c:pt idx="175">
                  <c:v>2.9325751181966581E-4</c:v>
                </c:pt>
                <c:pt idx="176">
                  <c:v>2.9120637681680271E-4</c:v>
                </c:pt>
                <c:pt idx="177">
                  <c:v>2.8918189051901894E-4</c:v>
                </c:pt>
                <c:pt idx="178">
                  <c:v>2.871835457509164E-4</c:v>
                </c:pt>
                <c:pt idx="179">
                  <c:v>2.8521084781642735E-4</c:v>
                </c:pt>
                <c:pt idx="180">
                  <c:v>2.8326331413204298E-4</c:v>
                </c:pt>
                <c:pt idx="181">
                  <c:v>2.8134047387213211E-4</c:v>
                </c:pt>
                <c:pt idx="182">
                  <c:v>2.7944186762593926E-4</c:v>
                </c:pt>
                <c:pt idx="183">
                  <c:v>2.7756704706585278E-4</c:v>
                </c:pt>
                <c:pt idx="184">
                  <c:v>2.7571557462655218E-4</c:v>
                </c:pt>
                <c:pt idx="185">
                  <c:v>2.7388702319465518E-4</c:v>
                </c:pt>
                <c:pt idx="186">
                  <c:v>2.7208097579133262E-4</c:v>
                </c:pt>
                <c:pt idx="187">
                  <c:v>2.7029702535100625E-4</c:v>
                </c:pt>
                <c:pt idx="188">
                  <c:v>2.6853477433592352E-4</c:v>
                </c:pt>
                <c:pt idx="189">
                  <c:v>2.6679383453437913E-4</c:v>
                </c:pt>
                <c:pt idx="190">
                  <c:v>2.650738267799647E-4</c:v>
                </c:pt>
                <c:pt idx="191">
                  <c:v>2.6337438069695625E-4</c:v>
                </c:pt>
                <c:pt idx="192">
                  <c:v>2.6169513445389137E-4</c:v>
                </c:pt>
                <c:pt idx="193">
                  <c:v>2.6003573452504754E-4</c:v>
                </c:pt>
                <c:pt idx="194">
                  <c:v>2.5839583545955302E-4</c:v>
                </c:pt>
                <c:pt idx="195">
                  <c:v>2.5677509965785358E-4</c:v>
                </c:pt>
                <c:pt idx="196">
                  <c:v>2.5517319715528822E-4</c:v>
                </c:pt>
                <c:pt idx="197">
                  <c:v>2.5358980541252425E-4</c:v>
                </c:pt>
                <c:pt idx="198">
                  <c:v>2.5202460911260871E-4</c:v>
                </c:pt>
                <c:pt idx="199">
                  <c:v>2.5047729996441489E-4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Ks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Sweep!$B$22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Sweep!$B$23:$B$222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4.6636206969047877E-254</c:v>
                </c:pt>
                <c:pt idx="3">
                  <c:v>3.631863777502235E-172</c:v>
                </c:pt>
                <c:pt idx="4">
                  <c:v>3.4755729876686504E-130</c:v>
                </c:pt>
                <c:pt idx="5">
                  <c:v>1.222811547807035E-104</c:v>
                </c:pt>
                <c:pt idx="6">
                  <c:v>1.9099583791904849E-87</c:v>
                </c:pt>
                <c:pt idx="7">
                  <c:v>4.4744998688128992E-75</c:v>
                </c:pt>
                <c:pt idx="8">
                  <c:v>9.6089285080213043E-66</c:v>
                </c:pt>
                <c:pt idx="9">
                  <c:v>1.8960697271628059E-58</c:v>
                </c:pt>
                <c:pt idx="10">
                  <c:v>1.3831760238809219E-52</c:v>
                </c:pt>
                <c:pt idx="11">
                  <c:v>9.0881105611916576E-48</c:v>
                </c:pt>
                <c:pt idx="12">
                  <c:v>9.7618768364008772E-44</c:v>
                </c:pt>
                <c:pt idx="13">
                  <c:v>2.5935933347040762E-40</c:v>
                </c:pt>
                <c:pt idx="14">
                  <c:v>2.2930283904546229E-37</c:v>
                </c:pt>
                <c:pt idx="15">
                  <c:v>8.3900278409986383E-35</c:v>
                </c:pt>
                <c:pt idx="16">
                  <c:v>1.496737248362902E-32</c:v>
                </c:pt>
                <c:pt idx="17">
                  <c:v>1.4760152875505275E-30</c:v>
                </c:pt>
                <c:pt idx="18">
                  <c:v>8.8733148264967226E-29</c:v>
                </c:pt>
                <c:pt idx="19">
                  <c:v>3.5133624747090725E-27</c:v>
                </c:pt>
                <c:pt idx="20">
                  <c:v>9.7479321469378841E-26</c:v>
                </c:pt>
                <c:pt idx="21">
                  <c:v>1.992812517338756E-24</c:v>
                </c:pt>
                <c:pt idx="22">
                  <c:v>3.1278916493759658E-23</c:v>
                </c:pt>
                <c:pt idx="23">
                  <c:v>3.8998151738932483E-22</c:v>
                </c:pt>
                <c:pt idx="24">
                  <c:v>3.9734641861544843E-21</c:v>
                </c:pt>
                <c:pt idx="25">
                  <c:v>3.3883756523597376E-20</c:v>
                </c:pt>
                <c:pt idx="26">
                  <c:v>2.46767936998887E-19</c:v>
                </c:pt>
                <c:pt idx="27">
                  <c:v>1.5615120501902452E-18</c:v>
                </c:pt>
                <c:pt idx="28">
                  <c:v>8.7132978107873615E-18</c:v>
                </c:pt>
                <c:pt idx="29">
                  <c:v>4.3425108559581904E-17</c:v>
                </c:pt>
                <c:pt idx="30">
                  <c:v>1.9544589322082614E-16</c:v>
                </c:pt>
                <c:pt idx="31">
                  <c:v>8.0210140006579228E-16</c:v>
                </c:pt>
                <c:pt idx="32">
                  <c:v>3.0270426390988277E-15</c:v>
                </c:pt>
                <c:pt idx="33">
                  <c:v>1.058332220626068E-14</c:v>
                </c:pt>
                <c:pt idx="34">
                  <c:v>3.4505662701596772E-14</c:v>
                </c:pt>
                <c:pt idx="35">
                  <c:v>1.0552392322484549E-13</c:v>
                </c:pt>
                <c:pt idx="36">
                  <c:v>3.04265315236623E-13</c:v>
                </c:pt>
                <c:pt idx="37">
                  <c:v>8.3100310022761125E-13</c:v>
                </c:pt>
                <c:pt idx="38">
                  <c:v>2.1587373468639259E-12</c:v>
                </c:pt>
                <c:pt idx="39">
                  <c:v>5.3537680539677732E-12</c:v>
                </c:pt>
                <c:pt idx="40">
                  <c:v>1.2718549921148789E-11</c:v>
                </c:pt>
                <c:pt idx="41">
                  <c:v>2.9030143972276064E-11</c:v>
                </c:pt>
                <c:pt idx="42">
                  <c:v>6.383895411356214E-11</c:v>
                </c:pt>
                <c:pt idx="43">
                  <c:v>1.3559051196025064E-10</c:v>
                </c:pt>
                <c:pt idx="44">
                  <c:v>2.7878199274851833E-10</c:v>
                </c:pt>
                <c:pt idx="45">
                  <c:v>5.5602025644073119E-10</c:v>
                </c:pt>
                <c:pt idx="46">
                  <c:v>1.0777762585584356E-9</c:v>
                </c:pt>
                <c:pt idx="47">
                  <c:v>2.0339090277720404E-9</c:v>
                </c:pt>
                <c:pt idx="48">
                  <c:v>3.7427470690130934E-9</c:v>
                </c:pt>
                <c:pt idx="49">
                  <c:v>6.7257573819558959E-9</c:v>
                </c:pt>
                <c:pt idx="50">
                  <c:v>1.181869435795745E-8</c:v>
                </c:pt>
                <c:pt idx="51">
                  <c:v>2.0333689523612639E-8</c:v>
                </c:pt>
                <c:pt idx="52">
                  <c:v>3.4291093213085298E-8</c:v>
                </c:pt>
                <c:pt idx="53">
                  <c:v>5.6745065820476016E-8</c:v>
                </c:pt>
                <c:pt idx="54">
                  <c:v>9.2232966763223046E-8</c:v>
                </c:pt>
                <c:pt idx="55">
                  <c:v>1.4738549596229361E-7</c:v>
                </c:pt>
                <c:pt idx="56">
                  <c:v>2.3174225588117738E-7</c:v>
                </c:pt>
                <c:pt idx="57">
                  <c:v>3.5882582504476531E-7</c:v>
                </c:pt>
                <c:pt idx="58">
                  <c:v>5.4753641878296403E-7</c:v>
                </c:pt>
                <c:pt idx="59">
                  <c:v>8.2393856001497572E-7</c:v>
                </c:pt>
                <c:pt idx="60">
                  <c:v>1.2235206418432304E-6</c:v>
                </c:pt>
                <c:pt idx="61">
                  <c:v>1.7940175375376739E-6</c:v>
                </c:pt>
                <c:pt idx="62">
                  <c:v>2.5988951651388092E-6</c:v>
                </c:pt>
                <c:pt idx="63">
                  <c:v>3.721603775482455E-6</c:v>
                </c:pt>
                <c:pt idx="64">
                  <c:v>5.2707133163802473E-6</c:v>
                </c:pt>
                <c:pt idx="65">
                  <c:v>7.3860491376183145E-6</c:v>
                </c:pt>
                <c:pt idx="66">
                  <c:v>1.0245949154150867E-5</c:v>
                </c:pt>
                <c:pt idx="67">
                  <c:v>1.4075764012684491E-5</c:v>
                </c:pt>
                <c:pt idx="68">
                  <c:v>1.91577194797658E-5</c:v>
                </c:pt>
                <c:pt idx="69">
                  <c:v>2.5842254906432914E-5</c:v>
                </c:pt>
                <c:pt idx="70">
                  <c:v>3.4560943005106701E-5</c:v>
                </c:pt>
                <c:pt idx="71">
                  <c:v>4.5841084148739169E-5</c:v>
                </c:pt>
                <c:pt idx="72">
                  <c:v>6.0322052898035842E-5</c:v>
                </c:pt>
                <c:pt idx="73">
                  <c:v>7.877345548965054E-5</c:v>
                </c:pt>
                <c:pt idx="74">
                  <c:v>1.0211513466995444E-4</c:v>
                </c:pt>
                <c:pt idx="75">
                  <c:v>1.3143903271050289E-4</c:v>
                </c:pt>
                <c:pt idx="76">
                  <c:v>1.6803289494494428E-4</c:v>
                </c:pt>
                <c:pt idx="77">
                  <c:v>2.134057650446934E-4</c:v>
                </c:pt>
                <c:pt idx="78">
                  <c:v>2.6931518988323973E-4</c:v>
                </c:pt>
                <c:pt idx="79">
                  <c:v>3.3779601665424419E-4</c:v>
                </c:pt>
                <c:pt idx="80">
                  <c:v>4.2119062836633346E-4</c:v>
                </c:pt>
                <c:pt idx="81">
                  <c:v>5.2218042641333348E-4</c:v>
                </c:pt>
                <c:pt idx="82">
                  <c:v>6.4381833108664887E-4</c:v>
                </c:pt>
                <c:pt idx="83">
                  <c:v>7.8956203311030513E-4</c:v>
                </c:pt>
                <c:pt idx="84">
                  <c:v>9.6330769195335697E-4</c:v>
                </c:pt>
                <c:pt idx="85">
                  <c:v>1.1694237401636976E-3</c:v>
                </c:pt>
                <c:pt idx="86">
                  <c:v>1.4127844175460271E-3</c:v>
                </c:pt>
                <c:pt idx="87">
                  <c:v>1.6988026248462179E-3</c:v>
                </c:pt>
                <c:pt idx="88">
                  <c:v>2.0334616537478569E-3</c:v>
                </c:pt>
                <c:pt idx="89">
                  <c:v>2.4233453183220718E-3</c:v>
                </c:pt>
                <c:pt idx="90">
                  <c:v>2.8756659822963505E-3</c:v>
                </c:pt>
                <c:pt idx="91">
                  <c:v>3.3982899460866093E-3</c:v>
                </c:pt>
                <c:pt idx="92">
                  <c:v>3.9997596266447746E-3</c:v>
                </c:pt>
                <c:pt idx="93">
                  <c:v>4.6893119306204286E-3</c:v>
                </c:pt>
                <c:pt idx="94">
                  <c:v>5.4768921854517934E-3</c:v>
                </c:pt>
                <c:pt idx="95">
                  <c:v>6.3731629514883446E-3</c:v>
                </c:pt>
                <c:pt idx="96">
                  <c:v>7.3895069879355534E-3</c:v>
                </c:pt>
                <c:pt idx="97">
                  <c:v>8.5380235819175407E-3</c:v>
                </c:pt>
                <c:pt idx="98">
                  <c:v>9.8315173671364876E-3</c:v>
                </c:pt>
                <c:pt idx="99">
                  <c:v>1.1283478647737939E-2</c:v>
                </c:pt>
                <c:pt idx="100">
                  <c:v>1.2908054091414038E-2</c:v>
                </c:pt>
                <c:pt idx="101">
                  <c:v>1.472000644472935E-2</c:v>
                </c:pt>
                <c:pt idx="102">
                  <c:v>1.6734661624629634E-2</c:v>
                </c:pt>
                <c:pt idx="103">
                  <c:v>1.8967841108550206E-2</c:v>
                </c:pt>
                <c:pt idx="104">
                  <c:v>2.1435776909717097E-2</c:v>
                </c:pt>
                <c:pt idx="105">
                  <c:v>2.4155005464471465E-2</c:v>
                </c:pt>
                <c:pt idx="106">
                  <c:v>2.7142235267260565E-2</c:v>
                </c:pt>
                <c:pt idx="107">
                  <c:v>3.0414180690106686E-2</c:v>
                </c:pt>
                <c:pt idx="108">
                  <c:v>3.3987350398047914E-2</c:v>
                </c:pt>
                <c:pt idx="109">
                  <c:v>3.7877771658710209E-2</c:v>
                </c:pt>
                <c:pt idx="110">
                  <c:v>4.2100618438173733E-2</c:v>
                </c:pt>
                <c:pt idx="111">
                  <c:v>4.6669683755511455E-2</c:v>
                </c:pt>
                <c:pt idx="112">
                  <c:v>5.159657431967183E-2</c:v>
                </c:pt>
                <c:pt idx="113">
                  <c:v>5.6889340454609978E-2</c:v>
                </c:pt>
                <c:pt idx="114">
                  <c:v>6.2549708908267054E-2</c:v>
                </c:pt>
                <c:pt idx="115">
                  <c:v>6.8565388443607309E-2</c:v>
                </c:pt>
                <c:pt idx="116">
                  <c:v>1.1208273011596057</c:v>
                </c:pt>
                <c:pt idx="117">
                  <c:v>4.5576848760416988</c:v>
                </c:pt>
                <c:pt idx="118">
                  <c:v>7.987177975474566</c:v>
                </c:pt>
                <c:pt idx="119">
                  <c:v>11.423440171558967</c:v>
                </c:pt>
                <c:pt idx="120">
                  <c:v>14.87054957676617</c:v>
                </c:pt>
                <c:pt idx="121">
                  <c:v>18.330331516608819</c:v>
                </c:pt>
                <c:pt idx="122">
                  <c:v>21.80374968731179</c:v>
                </c:pt>
                <c:pt idx="123">
                  <c:v>25.291356935410537</c:v>
                </c:pt>
                <c:pt idx="124">
                  <c:v>28.793483589168769</c:v>
                </c:pt>
                <c:pt idx="125">
                  <c:v>32.310328961557893</c:v>
                </c:pt>
                <c:pt idx="126">
                  <c:v>35.842010569488174</c:v>
                </c:pt>
                <c:pt idx="127">
                  <c:v>39.388592631800044</c:v>
                </c:pt>
                <c:pt idx="128">
                  <c:v>42.950103516686994</c:v>
                </c:pt>
                <c:pt idx="129">
                  <c:v>46.526546900523904</c:v>
                </c:pt>
                <c:pt idx="130">
                  <c:v>50.117909158850196</c:v>
                </c:pt>
                <c:pt idx="131">
                  <c:v>53.724164403298822</c:v>
                </c:pt>
                <c:pt idx="132">
                  <c:v>57.345277995867491</c:v>
                </c:pt>
                <c:pt idx="133">
                  <c:v>60.981209049150564</c:v>
                </c:pt>
                <c:pt idx="134">
                  <c:v>64.631912234287384</c:v>
                </c:pt>
                <c:pt idx="135">
                  <c:v>68.29733910610355</c:v>
                </c:pt>
                <c:pt idx="136">
                  <c:v>71.977439085261679</c:v>
                </c:pt>
                <c:pt idx="137">
                  <c:v>75.672160192802622</c:v>
                </c:pt>
                <c:pt idx="138">
                  <c:v>79.381449603399602</c:v>
                </c:pt>
                <c:pt idx="139">
                  <c:v>83.105254064239219</c:v>
                </c:pt>
                <c:pt idx="140">
                  <c:v>86.843520213217232</c:v>
                </c:pt>
                <c:pt idx="141">
                  <c:v>90.596194820972087</c:v>
                </c:pt>
                <c:pt idx="142">
                  <c:v>94.363224974827261</c:v>
                </c:pt>
                <c:pt idx="143">
                  <c:v>98.144558218102503</c:v>
                </c:pt>
                <c:pt idx="144">
                  <c:v>101.940142654925</c:v>
                </c:pt>
                <c:pt idx="145">
                  <c:v>105.74992702822948</c:v>
                </c:pt>
                <c:pt idx="146">
                  <c:v>109.57386077683286</c:v>
                </c:pt>
                <c:pt idx="147">
                  <c:v>113.41189407612273</c:v>
                </c:pt>
                <c:pt idx="148">
                  <c:v>117.26397786588015</c:v>
                </c:pt>
                <c:pt idx="149">
                  <c:v>121.1300638679876</c:v>
                </c:pt>
                <c:pt idx="150">
                  <c:v>125.01010459618139</c:v>
                </c:pt>
                <c:pt idx="151">
                  <c:v>128.90405335954918</c:v>
                </c:pt>
                <c:pt idx="152">
                  <c:v>132.81186426112416</c:v>
                </c:pt>
                <c:pt idx="153">
                  <c:v>136.73349219264543</c:v>
                </c:pt>
                <c:pt idx="154">
                  <c:v>140.6688928263406</c:v>
                </c:pt>
                <c:pt idx="155">
                  <c:v>144.61802260441493</c:v>
                </c:pt>
                <c:pt idx="156">
                  <c:v>148.58083872679319</c:v>
                </c:pt>
                <c:pt idx="157">
                  <c:v>152.55729913755565</c:v>
                </c:pt>
                <c:pt idx="158">
                  <c:v>156.54736251042027</c:v>
                </c:pt>
                <c:pt idx="159">
                  <c:v>160.55098823355462</c:v>
                </c:pt>
                <c:pt idx="160">
                  <c:v>164.56813639394559</c:v>
                </c:pt>
                <c:pt idx="161">
                  <c:v>168.5987677615102</c:v>
                </c:pt>
                <c:pt idx="162">
                  <c:v>172.64284377309255</c:v>
                </c:pt>
                <c:pt idx="163">
                  <c:v>176.70032651646463</c:v>
                </c:pt>
                <c:pt idx="164">
                  <c:v>180.7711787144228</c:v>
                </c:pt>
                <c:pt idx="165">
                  <c:v>184.85536370905368</c:v>
                </c:pt>
                <c:pt idx="166">
                  <c:v>188.95284544622527</c:v>
                </c:pt>
                <c:pt idx="167">
                  <c:v>193.06358846034917</c:v>
                </c:pt>
                <c:pt idx="168">
                  <c:v>197.18755785944589</c:v>
                </c:pt>
                <c:pt idx="169">
                  <c:v>201.32471931053908</c:v>
                </c:pt>
                <c:pt idx="170">
                  <c:v>205.47503902539546</c:v>
                </c:pt>
                <c:pt idx="171">
                  <c:v>209.63848374662396</c:v>
                </c:pt>
                <c:pt idx="172">
                  <c:v>213.81502073413986</c:v>
                </c:pt>
                <c:pt idx="173">
                  <c:v>218.0046177519996</c:v>
                </c:pt>
                <c:pt idx="174">
                  <c:v>222.20724305560501</c:v>
                </c:pt>
                <c:pt idx="175">
                  <c:v>226.42286537927629</c:v>
                </c:pt>
                <c:pt idx="176">
                  <c:v>230.65145392418998</c:v>
                </c:pt>
                <c:pt idx="177">
                  <c:v>234.89297834667585</c:v>
                </c:pt>
                <c:pt idx="178">
                  <c:v>239.147408746868</c:v>
                </c:pt>
                <c:pt idx="179">
                  <c:v>243.41471565770061</c:v>
                </c:pt>
                <c:pt idx="180">
                  <c:v>247.69487003424194</c:v>
                </c:pt>
                <c:pt idx="181">
                  <c:v>251.98784324335776</c:v>
                </c:pt>
                <c:pt idx="182">
                  <c:v>256.29360705369407</c:v>
                </c:pt>
                <c:pt idx="183">
                  <c:v>260.61213362597226</c:v>
                </c:pt>
                <c:pt idx="184">
                  <c:v>264.94339550358535</c:v>
                </c:pt>
                <c:pt idx="185">
                  <c:v>269.28736560348693</c:v>
                </c:pt>
                <c:pt idx="186">
                  <c:v>273.64401720736373</c:v>
                </c:pt>
                <c:pt idx="187">
                  <c:v>278.01332395308191</c:v>
                </c:pt>
                <c:pt idx="188">
                  <c:v>282.39525982639958</c:v>
                </c:pt>
                <c:pt idx="189">
                  <c:v>286.78979915293428</c:v>
                </c:pt>
                <c:pt idx="190">
                  <c:v>291.19691659037858</c:v>
                </c:pt>
                <c:pt idx="191">
                  <c:v>295.6165871209555</c:v>
                </c:pt>
                <c:pt idx="192">
                  <c:v>300.048786044103</c:v>
                </c:pt>
                <c:pt idx="193">
                  <c:v>304.49348896938352</c:v>
                </c:pt>
                <c:pt idx="194">
                  <c:v>308.95067180960655</c:v>
                </c:pt>
                <c:pt idx="195">
                  <c:v>313.42031077415999</c:v>
                </c:pt>
                <c:pt idx="196">
                  <c:v>317.90238236254083</c:v>
                </c:pt>
                <c:pt idx="197">
                  <c:v>322.39686335807897</c:v>
                </c:pt>
                <c:pt idx="198">
                  <c:v>326.9037308218484</c:v>
                </c:pt>
                <c:pt idx="199">
                  <c:v>331.42296208675623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2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Sweep!$O$22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Sweep!$O$23:$O$372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-253.33127677899088</c:v>
                </c:pt>
                <c:pt idx="3">
                  <c:v>-171.43987044918964</c:v>
                </c:pt>
                <c:pt idx="4">
                  <c:v>-129.458973586795</c:v>
                </c:pt>
                <c:pt idx="5">
                  <c:v>-103.91264046860051</c:v>
                </c:pt>
                <c:pt idx="6">
                  <c:v>-86.718976096566337</c:v>
                </c:pt>
                <c:pt idx="7">
                  <c:v>-74.349255500315266</c:v>
                </c:pt>
                <c:pt idx="8">
                  <c:v>-65.017325037825529</c:v>
                </c:pt>
                <c:pt idx="9">
                  <c:v>-57.722145695708271</c:v>
                </c:pt>
                <c:pt idx="10">
                  <c:v>-51.859122547775243</c:v>
                </c:pt>
                <c:pt idx="11">
                  <c:v>-47.041526398201789</c:v>
                </c:pt>
                <c:pt idx="12">
                  <c:v>-43.01046667604939</c:v>
                </c:pt>
                <c:pt idx="13">
                  <c:v>-39.586098118590932</c:v>
                </c:pt>
                <c:pt idx="14">
                  <c:v>-36.639590568147753</c:v>
                </c:pt>
                <c:pt idx="15">
                  <c:v>-34.076236598030412</c:v>
                </c:pt>
                <c:pt idx="16">
                  <c:v>-31.824854433191778</c:v>
                </c:pt>
                <c:pt idx="17">
                  <c:v>-29.830909144366327</c:v>
                </c:pt>
                <c:pt idx="18">
                  <c:v>-28.051914109376504</c:v>
                </c:pt>
                <c:pt idx="19">
                  <c:v>-26.454277041598488</c:v>
                </c:pt>
                <c:pt idx="20">
                  <c:v>-25.011087502498498</c:v>
                </c:pt>
                <c:pt idx="21">
                  <c:v>-23.70053355755401</c:v>
                </c:pt>
                <c:pt idx="22">
                  <c:v>-22.504748299375979</c:v>
                </c:pt>
                <c:pt idx="23">
                  <c:v>-21.408955975245387</c:v>
                </c:pt>
                <c:pt idx="24">
                  <c:v>-20.400830697036312</c:v>
                </c:pt>
                <c:pt idx="25">
                  <c:v>-19.470008447602503</c:v>
                </c:pt>
                <c:pt idx="26">
                  <c:v>-18.607711269634962</c:v>
                </c:pt>
                <c:pt idx="27">
                  <c:v>-17.806454659969845</c:v>
                </c:pt>
                <c:pt idx="28">
                  <c:v>-17.059817442011916</c:v>
                </c:pt>
                <c:pt idx="29">
                  <c:v>-16.3622590871752</c:v>
                </c:pt>
                <c:pt idx="30">
                  <c:v>-15.708973450687205</c:v>
                </c:pt>
                <c:pt idx="31">
                  <c:v>-15.095770725599435</c:v>
                </c:pt>
                <c:pt idx="32">
                  <c:v>-14.518981461502987</c:v>
                </c:pt>
                <c:pt idx="33">
                  <c:v>-13.975377981699113</c:v>
                </c:pt>
                <c:pt idx="34">
                  <c:v>-13.4621096272963</c:v>
                </c:pt>
                <c:pt idx="35">
                  <c:v>-12.976649070729051</c:v>
                </c:pt>
                <c:pt idx="36">
                  <c:v>-12.51674755227504</c:v>
                </c:pt>
                <c:pt idx="37">
                  <c:v>-12.080397355988172</c:v>
                </c:pt>
                <c:pt idx="38">
                  <c:v>-11.665800194973196</c:v>
                </c:pt>
                <c:pt idx="39">
                  <c:v>-11.271340448065772</c:v>
                </c:pt>
                <c:pt idx="40">
                  <c:v>-10.895562401041575</c:v>
                </c:pt>
                <c:pt idx="41">
                  <c:v>-10.537150810320238</c:v>
                </c:pt>
                <c:pt idx="42">
                  <c:v>-10.194914236732977</c:v>
                </c:pt>
                <c:pt idx="43">
                  <c:v>-9.8677706994621328</c:v>
                </c:pt>
                <c:pt idx="44">
                  <c:v>-9.5547352818743114</c:v>
                </c:pt>
                <c:pt idx="45">
                  <c:v>-9.25490938629531</c:v>
                </c:pt>
                <c:pt idx="46">
                  <c:v>-8.9674713873484801</c:v>
                </c:pt>
                <c:pt idx="47">
                  <c:v>-8.691668476005292</c:v>
                </c:pt>
                <c:pt idx="48">
                  <c:v>-8.4268095210671135</c:v>
                </c:pt>
                <c:pt idx="49">
                  <c:v>-8.1722588030306316</c:v>
                </c:pt>
                <c:pt idx="50">
                  <c:v>-7.927430498450879</c:v>
                </c:pt>
                <c:pt idx="51">
                  <c:v>-7.6917838119981781</c:v>
                </c:pt>
                <c:pt idx="52">
                  <c:v>-7.4648186691911977</c:v>
                </c:pt>
                <c:pt idx="53">
                  <c:v>-7.2460718958987691</c:v>
                </c:pt>
                <c:pt idx="54">
                  <c:v>-7.0351138216324776</c:v>
                </c:pt>
                <c:pt idx="55">
                  <c:v>-6.8315452527963085</c:v>
                </c:pt>
                <c:pt idx="56">
                  <c:v>-6.6349947697369309</c:v>
                </c:pt>
                <c:pt idx="57">
                  <c:v>-6.445116307905467</c:v>
                </c:pt>
                <c:pt idx="58">
                  <c:v>-6.2615869889070961</c:v>
                </c:pt>
                <c:pt idx="59">
                  <c:v>-6.08410517184815</c:v>
                </c:pt>
                <c:pt idx="60">
                  <c:v>-5.9123886993297727</c:v>
                </c:pt>
                <c:pt idx="61">
                  <c:v>-5.7461733157966028</c:v>
                </c:pt>
                <c:pt idx="62">
                  <c:v>-5.5852112388214179</c:v>
                </c:pt>
                <c:pt idx="63">
                  <c:v>-5.4292698663695393</c:v>
                </c:pt>
                <c:pt idx="64">
                  <c:v>-5.2781306052041428</c:v>
                </c:pt>
                <c:pt idx="65">
                  <c:v>-5.131587807418116</c:v>
                </c:pt>
                <c:pt idx="66">
                  <c:v>-4.9894478036545342</c:v>
                </c:pt>
                <c:pt idx="67">
                  <c:v>-4.8515280229428459</c:v>
                </c:pt>
                <c:pt idx="68">
                  <c:v>-4.7176561902627201</c:v>
                </c:pt>
                <c:pt idx="69">
                  <c:v>-4.5876695939782346</c:v>
                </c:pt>
                <c:pt idx="70">
                  <c:v>-4.4614144161836835</c:v>
                </c:pt>
                <c:pt idx="71">
                  <c:v>-4.3387451197874549</c:v>
                </c:pt>
                <c:pt idx="72">
                  <c:v>-4.2195238868478686</c:v>
                </c:pt>
                <c:pt idx="73">
                  <c:v>-4.1036201032780237</c:v>
                </c:pt>
                <c:pt idx="74">
                  <c:v>-3.9909098855670413</c:v>
                </c:pt>
                <c:pt idx="75">
                  <c:v>-3.8812756456323125</c:v>
                </c:pt>
                <c:pt idx="76">
                  <c:v>-3.7746056903299547</c:v>
                </c:pt>
                <c:pt idx="77">
                  <c:v>-3.6707938525156747</c:v>
                </c:pt>
                <c:pt idx="78">
                  <c:v>-3.5697391508720768</c:v>
                </c:pt>
                <c:pt idx="79">
                  <c:v>-3.4713454760062215</c:v>
                </c:pt>
                <c:pt idx="80">
                  <c:v>-3.3755213005778795</c:v>
                </c:pt>
                <c:pt idx="81">
                  <c:v>-3.282179411448348</c:v>
                </c:pt>
                <c:pt idx="82">
                  <c:v>-3.1912366620454939</c:v>
                </c:pt>
                <c:pt idx="83">
                  <c:v>-3.1026137433261649</c:v>
                </c:pt>
                <c:pt idx="84">
                  <c:v>-3.0162349718849542</c:v>
                </c:pt>
                <c:pt idx="85">
                  <c:v>-2.93202809391122</c:v>
                </c:pt>
                <c:pt idx="86">
                  <c:v>-2.8499241038366478</c:v>
                </c:pt>
                <c:pt idx="87">
                  <c:v>-2.7698570766457169</c:v>
                </c:pt>
                <c:pt idx="88">
                  <c:v>-2.6917640129435489</c:v>
                </c:pt>
                <c:pt idx="89">
                  <c:v>-2.6155846959920122</c:v>
                </c:pt>
                <c:pt idx="90">
                  <c:v>-2.5412615600380892</c:v>
                </c:pt>
                <c:pt idx="91">
                  <c:v>-2.4687395693712095</c:v>
                </c:pt>
                <c:pt idx="92">
                  <c:v>-2.3979661076616758</c:v>
                </c:pt>
                <c:pt idx="93">
                  <c:v>-2.3288908772544543</c:v>
                </c:pt>
                <c:pt idx="94">
                  <c:v>-2.2614658082266317</c:v>
                </c:pt>
                <c:pt idx="95">
                  <c:v>-2.1956449771693616</c:v>
                </c:pt>
                <c:pt idx="96">
                  <c:v>-2.1313845358354184</c:v>
                </c:pt>
                <c:pt idx="97">
                  <c:v>-2.068642650014326</c:v>
                </c:pt>
                <c:pt idx="98">
                  <c:v>-2.0073794492768213</c:v>
                </c:pt>
                <c:pt idx="99">
                  <c:v>-1.9475569885961936</c:v>
                </c:pt>
                <c:pt idx="100">
                  <c:v>-1.8891392233461142</c:v>
                </c:pt>
                <c:pt idx="101">
                  <c:v>-1.8320919998551923</c:v>
                </c:pt>
                <c:pt idx="102">
                  <c:v>-1.7763830646651442</c:v>
                </c:pt>
                <c:pt idx="103">
                  <c:v>-1.72198209705016</c:v>
                </c:pt>
                <c:pt idx="104">
                  <c:v>-1.668860771472753</c:v>
                </c:pt>
                <c:pt idx="105">
                  <c:v>-1.6169928599290848</c:v>
                </c:pt>
                <c:pt idx="106">
                  <c:v>-1.5663543893858372</c:v>
                </c:pt>
                <c:pt idx="107">
                  <c:v>-1.5169238782494956</c:v>
                </c:pt>
                <c:pt idx="108">
                  <c:v>-1.4686826910321085</c:v>
                </c:pt>
                <c:pt idx="109">
                  <c:v>-1.4216155783697104</c:v>
                </c:pt>
                <c:pt idx="110">
                  <c:v>-1.3757115245369314</c:v>
                </c:pt>
                <c:pt idx="111">
                  <c:v>-1.3309651419839601</c:v>
                </c:pt>
                <c:pt idx="112">
                  <c:v>-1.2873791317729988</c:v>
                </c:pt>
                <c:pt idx="113">
                  <c:v>-1.2449691011871211</c:v>
                </c:pt>
                <c:pt idx="114">
                  <c:v>-1.203774707070921</c:v>
                </c:pt>
                <c:pt idx="115">
                  <c:v>-1.1638950592387798</c:v>
                </c:pt>
                <c:pt idx="116">
                  <c:v>4.9538700970224989E-2</c:v>
                </c:pt>
                <c:pt idx="117">
                  <c:v>0.65874429422581493</c:v>
                </c:pt>
                <c:pt idx="118">
                  <c:v>0.90239336177131668</c:v>
                </c:pt>
                <c:pt idx="119">
                  <c:v>1.0577969114874037</c:v>
                </c:pt>
                <c:pt idx="120">
                  <c:v>1.1723270192110204</c:v>
                </c:pt>
                <c:pt idx="121">
                  <c:v>1.2631703195466089</c:v>
                </c:pt>
                <c:pt idx="122">
                  <c:v>1.3385311875712507</c:v>
                </c:pt>
                <c:pt idx="123">
                  <c:v>1.4029721307976255</c:v>
                </c:pt>
                <c:pt idx="124">
                  <c:v>1.4592942113188585</c:v>
                </c:pt>
                <c:pt idx="125">
                  <c:v>1.5093413797280144</c:v>
                </c:pt>
                <c:pt idx="126">
                  <c:v>1.554392363566625</c:v>
                </c:pt>
                <c:pt idx="127">
                  <c:v>1.5953704635925252</c:v>
                </c:pt>
                <c:pt idx="128">
                  <c:v>1.6329642148883734</c:v>
                </c:pt>
                <c:pt idx="129">
                  <c:v>1.6677008213340971</c:v>
                </c:pt>
                <c:pt idx="130">
                  <c:v>1.6999929446103275</c:v>
                </c:pt>
                <c:pt idx="131">
                  <c:v>1.7301696694336803</c:v>
                </c:pt>
                <c:pt idx="132">
                  <c:v>1.7584976624331294</c:v>
                </c:pt>
                <c:pt idx="133">
                  <c:v>1.7851960306913675</c:v>
                </c:pt>
                <c:pt idx="134">
                  <c:v>1.8104470053813388</c:v>
                </c:pt>
                <c:pt idx="135">
                  <c:v>1.8344037837101208</c:v>
                </c:pt>
                <c:pt idx="136">
                  <c:v>1.8571963906508075</c:v>
                </c:pt>
                <c:pt idx="137">
                  <c:v>1.878936131832285</c:v>
                </c:pt>
                <c:pt idx="138">
                  <c:v>1.8997190253976644</c:v>
                </c:pt>
                <c:pt idx="139">
                  <c:v>1.9196284815335096</c:v>
                </c:pt>
                <c:pt idx="140">
                  <c:v>1.9387374193216467</c:v>
                </c:pt>
                <c:pt idx="141">
                  <c:v>1.9571099570260493</c:v>
                </c:pt>
                <c:pt idx="142">
                  <c:v>1.9748027749948009</c:v>
                </c:pt>
                <c:pt idx="143">
                  <c:v>1.9918662244518879</c:v>
                </c:pt>
                <c:pt idx="144">
                  <c:v>2.0083452370043413</c:v>
                </c:pt>
                <c:pt idx="145">
                  <c:v>2.0242800763662459</c:v>
                </c:pt>
                <c:pt idx="146">
                  <c:v>2.0397069640542003</c:v>
                </c:pt>
                <c:pt idx="147">
                  <c:v>2.0546586035934866</c:v>
                </c:pt>
                <c:pt idx="148">
                  <c:v>2.0691646223739335</c:v>
                </c:pt>
                <c:pt idx="149">
                  <c:v>2.0832519462111789</c:v>
                </c:pt>
                <c:pt idx="150">
                  <c:v>2.0969451185520738</c:v>
                </c:pt>
                <c:pt idx="151">
                  <c:v>2.110266573862388</c:v>
                </c:pt>
                <c:pt idx="152">
                  <c:v>2.1232368728707613</c:v>
                </c:pt>
                <c:pt idx="153">
                  <c:v>2.1358749058837425</c:v>
                </c:pt>
                <c:pt idx="154">
                  <c:v>2.1481980692364098</c:v>
                </c:pt>
                <c:pt idx="155">
                  <c:v>2.1602224190298167</c:v>
                </c:pt>
                <c:pt idx="156">
                  <c:v>2.1719628055767504</c:v>
                </c:pt>
                <c:pt idx="157">
                  <c:v>2.1834329913906041</c:v>
                </c:pt>
                <c:pt idx="158">
                  <c:v>2.1946457550776888</c:v>
                </c:pt>
                <c:pt idx="159">
                  <c:v>2.2056129831074962</c:v>
                </c:pt>
                <c:pt idx="160">
                  <c:v>2.2163457511200644</c:v>
                </c:pt>
                <c:pt idx="161">
                  <c:v>2.2268543961705021</c:v>
                </c:pt>
                <c:pt idx="162">
                  <c:v>2.2371485810968874</c:v>
                </c:pt>
                <c:pt idx="163">
                  <c:v>2.2472373520204472</c:v>
                </c:pt>
                <c:pt idx="164">
                  <c:v>2.2571291898392691</c:v>
                </c:pt>
                <c:pt idx="165">
                  <c:v>2.2668320564533464</c:v>
                </c:pt>
                <c:pt idx="166">
                  <c:v>2.2763534363551208</c:v>
                </c:pt>
                <c:pt idx="167">
                  <c:v>2.2857003741323676</c:v>
                </c:pt>
                <c:pt idx="168">
                  <c:v>2.2948795083564155</c:v>
                </c:pt>
                <c:pt idx="169">
                  <c:v>2.3038971022660468</c:v>
                </c:pt>
                <c:pt idx="170">
                  <c:v>2.3127590716040576</c:v>
                </c:pt>
                <c:pt idx="171">
                  <c:v>2.3214710099179068</c:v>
                </c:pt>
                <c:pt idx="172">
                  <c:v>2.3300382115968334</c:v>
                </c:pt>
                <c:pt idx="173">
                  <c:v>2.3384656928842942</c:v>
                </c:pt>
                <c:pt idx="174">
                  <c:v>2.3467582110756573</c:v>
                </c:pt>
                <c:pt idx="175">
                  <c:v>2.3549202820861184</c:v>
                </c:pt>
                <c:pt idx="176">
                  <c:v>2.3629561965521879</c:v>
                </c:pt>
                <c:pt idx="177">
                  <c:v>2.3708700346112761</c:v>
                </c:pt>
                <c:pt idx="178">
                  <c:v>2.3786656794875842</c:v>
                </c:pt>
                <c:pt idx="179">
                  <c:v>2.3863468299981996</c:v>
                </c:pt>
                <c:pt idx="180">
                  <c:v>2.3939170120808231</c:v>
                </c:pt>
                <c:pt idx="181">
                  <c:v>2.4013795894336125</c:v>
                </c:pt>
                <c:pt idx="182">
                  <c:v>2.4087377733479944</c:v>
                </c:pt>
                <c:pt idx="183">
                  <c:v>2.4159946318068521</c:v>
                </c:pt>
                <c:pt idx="184">
                  <c:v>2.4231530979130067</c:v>
                </c:pt>
                <c:pt idx="185">
                  <c:v>2.4302159777063261</c:v>
                </c:pt>
                <c:pt idx="186">
                  <c:v>2.4371859574219483</c:v>
                </c:pt>
                <c:pt idx="187">
                  <c:v>2.4440656102369154</c:v>
                </c:pt>
                <c:pt idx="188">
                  <c:v>2.4508574025479124</c:v>
                </c:pt>
                <c:pt idx="189">
                  <c:v>2.4575636998187087</c:v>
                </c:pt>
                <c:pt idx="190">
                  <c:v>2.4641867720322299</c:v>
                </c:pt>
                <c:pt idx="191">
                  <c:v>2.4707287987789357</c:v>
                </c:pt>
                <c:pt idx="192">
                  <c:v>2.4771918740102512</c:v>
                </c:pt>
                <c:pt idx="193">
                  <c:v>2.4835780104831779</c:v>
                </c:pt>
                <c:pt idx="194">
                  <c:v>2.4898891439198731</c:v>
                </c:pt>
                <c:pt idx="195">
                  <c:v>2.4961271369038633</c:v>
                </c:pt>
                <c:pt idx="196">
                  <c:v>2.502293782532667</c:v>
                </c:pt>
                <c:pt idx="197">
                  <c:v>2.5083908078448873</c:v>
                </c:pt>
                <c:pt idx="198">
                  <c:v>2.5144198770382946</c:v>
                </c:pt>
                <c:pt idx="199">
                  <c:v>2.5203825944940177</c:v>
                </c:pt>
                <c:pt idx="200">
                  <c:v>2.526280507620708</c:v>
                </c:pt>
                <c:pt idx="201">
                  <c:v>2.5321151095313921</c:v>
                </c:pt>
                <c:pt idx="202">
                  <c:v>2.5378878415646984</c:v>
                </c:pt>
                <c:pt idx="203">
                  <c:v>2.5436000956611919</c:v>
                </c:pt>
                <c:pt idx="204">
                  <c:v>2.549253216604709</c:v>
                </c:pt>
                <c:pt idx="205">
                  <c:v>2.5548485041377957</c:v>
                </c:pt>
                <c:pt idx="206">
                  <c:v>2.5603872149596492</c:v>
                </c:pt>
                <c:pt idx="207">
                  <c:v>2.5658705646143098</c:v>
                </c:pt>
                <c:pt idx="208">
                  <c:v>2.5712997292762716</c:v>
                </c:pt>
                <c:pt idx="209">
                  <c:v>2.5766758474401259</c:v>
                </c:pt>
                <c:pt idx="210">
                  <c:v>2.5820000215203698</c:v>
                </c:pt>
                <c:pt idx="211">
                  <c:v>2.5872733193670561</c:v>
                </c:pt>
                <c:pt idx="212">
                  <c:v>2.5924967757025419</c:v>
                </c:pt>
                <c:pt idx="213">
                  <c:v>2.597671393484223</c:v>
                </c:pt>
                <c:pt idx="214">
                  <c:v>2.6027981451977835</c:v>
                </c:pt>
                <c:pt idx="215">
                  <c:v>2.6078779740851763</c:v>
                </c:pt>
                <c:pt idx="216">
                  <c:v>2.6129117953112453</c:v>
                </c:pt>
                <c:pt idx="217">
                  <c:v>2.6179004970726414</c:v>
                </c:pt>
                <c:pt idx="218">
                  <c:v>2.6228449416524229</c:v>
                </c:pt>
                <c:pt idx="219">
                  <c:v>2.6277459664235079</c:v>
                </c:pt>
                <c:pt idx="220">
                  <c:v>2.6326043848039244</c:v>
                </c:pt>
                <c:pt idx="221">
                  <c:v>2.637420987166621</c:v>
                </c:pt>
                <c:pt idx="222">
                  <c:v>2.6421965417063999</c:v>
                </c:pt>
                <c:pt idx="223">
                  <c:v>2.6469317952663847</c:v>
                </c:pt>
                <c:pt idx="224">
                  <c:v>2.6516274741262675</c:v>
                </c:pt>
                <c:pt idx="225">
                  <c:v>2.656284284754439</c:v>
                </c:pt>
                <c:pt idx="226">
                  <c:v>2.6609029145259711</c:v>
                </c:pt>
                <c:pt idx="227">
                  <c:v>2.6654840324082985</c:v>
                </c:pt>
                <c:pt idx="228">
                  <c:v>2.6700282896163263</c:v>
                </c:pt>
                <c:pt idx="229">
                  <c:v>2.6745363202385941</c:v>
                </c:pt>
                <c:pt idx="230">
                  <c:v>2.67900874183601</c:v>
                </c:pt>
                <c:pt idx="231">
                  <c:v>2.6834461560145884</c:v>
                </c:pt>
                <c:pt idx="232">
                  <c:v>2.6878491489735419</c:v>
                </c:pt>
                <c:pt idx="233">
                  <c:v>2.692218292029982</c:v>
                </c:pt>
                <c:pt idx="234">
                  <c:v>2.6965541421214199</c:v>
                </c:pt>
                <c:pt idx="235">
                  <c:v>2.7008572422871917</c:v>
                </c:pt>
                <c:pt idx="236">
                  <c:v>2.7051281221298535</c:v>
                </c:pt>
                <c:pt idx="237">
                  <c:v>2.7093672982575421</c:v>
                </c:pt>
                <c:pt idx="238">
                  <c:v>2.7135752747082411</c:v>
                </c:pt>
                <c:pt idx="239">
                  <c:v>2.717752543356827</c:v>
                </c:pt>
                <c:pt idx="240">
                  <c:v>2.7218995843057328</c:v>
                </c:pt>
                <c:pt idx="241">
                  <c:v>2.7260168662600144</c:v>
                </c:pt>
                <c:pt idx="242">
                  <c:v>2.7301048468875622</c:v>
                </c:pt>
                <c:pt idx="243">
                  <c:v>2.734163973165157</c:v>
                </c:pt>
                <c:pt idx="244">
                  <c:v>2.7381946817110343</c:v>
                </c:pt>
                <c:pt idx="245">
                  <c:v>2.7421973991045898</c:v>
                </c:pt>
                <c:pt idx="246">
                  <c:v>2.7461725421938032</c:v>
                </c:pt>
                <c:pt idx="247">
                  <c:v>2.7501205183909647</c:v>
                </c:pt>
                <c:pt idx="248">
                  <c:v>2.754041725957217</c:v>
                </c:pt>
                <c:pt idx="249">
                  <c:v>2.7579365542764238</c:v>
                </c:pt>
                <c:pt idx="250">
                  <c:v>2.7618053841188446</c:v>
                </c:pt>
                <c:pt idx="251">
                  <c:v>2.7656485878950638</c:v>
                </c:pt>
                <c:pt idx="252">
                  <c:v>2.7694665299006078</c:v>
                </c:pt>
                <c:pt idx="253">
                  <c:v>2.7732595665516522</c:v>
                </c:pt>
                <c:pt idx="254">
                  <c:v>2.7770280466122124</c:v>
                </c:pt>
                <c:pt idx="255">
                  <c:v>2.7807723114131813</c:v>
                </c:pt>
                <c:pt idx="256">
                  <c:v>2.784492695063562</c:v>
                </c:pt>
                <c:pt idx="257">
                  <c:v>2.7881895246542294</c:v>
                </c:pt>
                <c:pt idx="258">
                  <c:v>2.7918631204545363</c:v>
                </c:pt>
                <c:pt idx="259">
                  <c:v>2.7955137961020635</c:v>
                </c:pt>
                <c:pt idx="260">
                  <c:v>2.799141858785795</c:v>
                </c:pt>
                <c:pt idx="261">
                  <c:v>2.8027476094229993</c:v>
                </c:pt>
                <c:pt idx="262">
                  <c:v>2.8063313428300654</c:v>
                </c:pt>
                <c:pt idx="263">
                  <c:v>2.8098933478875439</c:v>
                </c:pt>
                <c:pt idx="264">
                  <c:v>2.813433907699634</c:v>
                </c:pt>
                <c:pt idx="265">
                  <c:v>2.8169532997483238</c:v>
                </c:pt>
                <c:pt idx="266">
                  <c:v>2.8204517960424167</c:v>
                </c:pt>
                <c:pt idx="267">
                  <c:v>2.8239296632616324</c:v>
                </c:pt>
                <c:pt idx="268">
                  <c:v>2.8273871628959832</c:v>
                </c:pt>
                <c:pt idx="269">
                  <c:v>2.8308245513806098</c:v>
                </c:pt>
                <c:pt idx="270">
                  <c:v>2.8342420802262507</c:v>
                </c:pt>
                <c:pt idx="271">
                  <c:v>2.8376399961455188</c:v>
                </c:pt>
                <c:pt idx="272">
                  <c:v>2.841018541175139</c:v>
                </c:pt>
                <c:pt idx="273">
                  <c:v>2.8443779527943116</c:v>
                </c:pt>
                <c:pt idx="274">
                  <c:v>2.8477184640393354</c:v>
                </c:pt>
                <c:pt idx="275">
                  <c:v>2.8510403036146412</c:v>
                </c:pt>
                <c:pt idx="276">
                  <c:v>2.8543436960003681</c:v>
                </c:pt>
                <c:pt idx="277">
                  <c:v>2.8576288615566079</c:v>
                </c:pt>
                <c:pt idx="278">
                  <c:v>2.8608960166244413</c:v>
                </c:pt>
                <c:pt idx="279">
                  <c:v>2.8641453736238907</c:v>
                </c:pt>
                <c:pt idx="280">
                  <c:v>2.8673771411488924</c:v>
                </c:pt>
                <c:pt idx="281">
                  <c:v>2.8705915240594018</c:v>
                </c:pt>
                <c:pt idx="282">
                  <c:v>2.8737887235707356</c:v>
                </c:pt>
                <c:pt idx="283">
                  <c:v>2.8769689373402469</c:v>
                </c:pt>
                <c:pt idx="284">
                  <c:v>2.8801323595514305</c:v>
                </c:pt>
                <c:pt idx="285">
                  <c:v>2.88327918099555</c:v>
                </c:pt>
                <c:pt idx="286">
                  <c:v>2.8864095891508708</c:v>
                </c:pt>
                <c:pt idx="287">
                  <c:v>2.8895237682595871</c:v>
                </c:pt>
                <c:pt idx="288">
                  <c:v>2.8926218994025201</c:v>
                </c:pt>
                <c:pt idx="289">
                  <c:v>2.8957041605716656</c:v>
                </c:pt>
                <c:pt idx="290">
                  <c:v>2.8987707267406635</c:v>
                </c:pt>
                <c:pt idx="291">
                  <c:v>2.9018217699332651</c:v>
                </c:pt>
                <c:pt idx="292">
                  <c:v>2.9048574592898606</c:v>
                </c:pt>
                <c:pt idx="293">
                  <c:v>2.9078779611321321</c:v>
                </c:pt>
                <c:pt idx="294">
                  <c:v>2.9108834390259051</c:v>
                </c:pt>
                <c:pt idx="295">
                  <c:v>2.9138740538422438</c:v>
                </c:pt>
                <c:pt idx="296">
                  <c:v>2.9168499638168606</c:v>
                </c:pt>
                <c:pt idx="297">
                  <c:v>2.9198113246078901</c:v>
                </c:pt>
                <c:pt idx="298">
                  <c:v>2.9227582893520818</c:v>
                </c:pt>
                <c:pt idx="299">
                  <c:v>2.9256910087194661</c:v>
                </c:pt>
                <c:pt idx="300">
                  <c:v>2.9286096309665366</c:v>
                </c:pt>
                <c:pt idx="301">
                  <c:v>2.9315143019880074</c:v>
                </c:pt>
                <c:pt idx="302">
                  <c:v>2.9344051653671812</c:v>
                </c:pt>
                <c:pt idx="303">
                  <c:v>2.9372823624249742</c:v>
                </c:pt>
                <c:pt idx="304">
                  <c:v>2.9401460322676498</c:v>
                </c:pt>
                <c:pt idx="305">
                  <c:v>2.942996311833288</c:v>
                </c:pt>
                <c:pt idx="306">
                  <c:v>2.945833335937043</c:v>
                </c:pt>
                <c:pt idx="307">
                  <c:v>2.9486572373152167</c:v>
                </c:pt>
                <c:pt idx="308">
                  <c:v>2.9514681466681929</c:v>
                </c:pt>
                <c:pt idx="309">
                  <c:v>2.954266192702264</c:v>
                </c:pt>
                <c:pt idx="310">
                  <c:v>2.9570515021703812</c:v>
                </c:pt>
                <c:pt idx="311">
                  <c:v>2.9598241999118708</c:v>
                </c:pt>
                <c:pt idx="312">
                  <c:v>2.9625844088911366</c:v>
                </c:pt>
                <c:pt idx="313">
                  <c:v>2.9653322502353876</c:v>
                </c:pt>
                <c:pt idx="314">
                  <c:v>2.9680678432714158</c:v>
                </c:pt>
                <c:pt idx="315">
                  <c:v>2.9707913055614572</c:v>
                </c:pt>
                <c:pt idx="316">
                  <c:v>2.9735027529381561</c:v>
                </c:pt>
                <c:pt idx="317">
                  <c:v>2.9762022995386683</c:v>
                </c:pt>
                <c:pt idx="318">
                  <c:v>2.9788900578379232</c:v>
                </c:pt>
                <c:pt idx="319">
                  <c:v>2.9815661386810675</c:v>
                </c:pt>
                <c:pt idx="320">
                  <c:v>2.9842306513151229</c:v>
                </c:pt>
                <c:pt idx="321">
                  <c:v>2.9868837034198714</c:v>
                </c:pt>
                <c:pt idx="322">
                  <c:v>2.9895254011379961</c:v>
                </c:pt>
                <c:pt idx="323">
                  <c:v>2.9921558491045004</c:v>
                </c:pt>
                <c:pt idx="324">
                  <c:v>2.9947751504754172</c:v>
                </c:pt>
                <c:pt idx="325">
                  <c:v>2.997383406955842</c:v>
                </c:pt>
                <c:pt idx="326">
                  <c:v>2.9999807188272976</c:v>
                </c:pt>
                <c:pt idx="327">
                  <c:v>3.0025671849744553</c:v>
                </c:pt>
                <c:pt idx="328">
                  <c:v>3.0051429029112282</c:v>
                </c:pt>
                <c:pt idx="329">
                  <c:v>3.0077079688062582</c:v>
                </c:pt>
                <c:pt idx="330">
                  <c:v>3.0102624775078057</c:v>
                </c:pt>
                <c:pt idx="331">
                  <c:v>3.0128065225680687</c:v>
                </c:pt>
                <c:pt idx="332">
                  <c:v>3.0153401962669384</c:v>
                </c:pt>
                <c:pt idx="333">
                  <c:v>3.0178635896352128</c:v>
                </c:pt>
                <c:pt idx="334">
                  <c:v>3.02037679247728</c:v>
                </c:pt>
                <c:pt idx="335">
                  <c:v>3.0228798933932852</c:v>
                </c:pt>
                <c:pt idx="336">
                  <c:v>3.0253729798008</c:v>
                </c:pt>
                <c:pt idx="337">
                  <c:v>3.0278561379560003</c:v>
                </c:pt>
                <c:pt idx="338">
                  <c:v>3.0303294529743718</c:v>
                </c:pt>
                <c:pt idx="339">
                  <c:v>3.0327930088509572</c:v>
                </c:pt>
                <c:pt idx="340">
                  <c:v>3.0352468884801462</c:v>
                </c:pt>
                <c:pt idx="341">
                  <c:v>3.0376911736750358</c:v>
                </c:pt>
                <c:pt idx="342">
                  <c:v>3.0401259451863623</c:v>
                </c:pt>
                <c:pt idx="343">
                  <c:v>3.042551282721015</c:v>
                </c:pt>
                <c:pt idx="344">
                  <c:v>3.0449672649601549</c:v>
                </c:pt>
                <c:pt idx="345">
                  <c:v>3.0473739695769302</c:v>
                </c:pt>
                <c:pt idx="346">
                  <c:v>3.0497714732538159</c:v>
                </c:pt>
                <c:pt idx="347">
                  <c:v>3.0521598516995785</c:v>
                </c:pt>
                <c:pt idx="348">
                  <c:v>3.0545391796658756</c:v>
                </c:pt>
                <c:pt idx="349">
                  <c:v>3.0569095309635053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Sublimation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Sweep!$P$24:$P$373</c:f>
              <c:numCache>
                <c:formatCode>General</c:formatCode>
                <c:ptCount val="350"/>
                <c:pt idx="0">
                  <c:v>-4604.805675416419</c:v>
                </c:pt>
                <c:pt idx="1">
                  <c:v>-4604.7775576911408</c:v>
                </c:pt>
                <c:pt idx="2">
                  <c:v>-4604.6635723027066</c:v>
                </c:pt>
                <c:pt idx="3">
                  <c:v>-4604.3661503436706</c:v>
                </c:pt>
                <c:pt idx="4">
                  <c:v>-4603.7507930860565</c:v>
                </c:pt>
                <c:pt idx="5">
                  <c:v>-4602.6510689745082</c:v>
                </c:pt>
                <c:pt idx="6">
                  <c:v>-4600.8837583877594</c:v>
                </c:pt>
                <c:pt idx="7">
                  <c:v>-4598.2721570365002</c:v>
                </c:pt>
                <c:pt idx="8">
                  <c:v>-4594.6677125866772</c:v>
                </c:pt>
                <c:pt idx="9">
                  <c:v>-4589.962587451193</c:v>
                </c:pt>
                <c:pt idx="10">
                  <c:v>-4584.0923129637467</c:v>
                </c:pt>
                <c:pt idx="11">
                  <c:v>-4577.0315610147991</c:v>
                </c:pt>
                <c:pt idx="12">
                  <c:v>-4568.786615973977</c:v>
                </c:pt>
                <c:pt idx="13">
                  <c:v>-4559.3871619098463</c:v>
                </c:pt>
                <c:pt idx="14">
                  <c:v>-4548.8788334643586</c:v>
                </c:pt>
                <c:pt idx="15">
                  <c:v>-4537.317117885179</c:v>
                </c:pt>
                <c:pt idx="16">
                  <c:v>-4524.762693037932</c:v>
                </c:pt>
                <c:pt idx="17">
                  <c:v>-4511.2780461945358</c:v>
                </c:pt>
                <c:pt idx="18">
                  <c:v>-4496.9251351386838</c:v>
                </c:pt>
                <c:pt idx="19">
                  <c:v>-4481.7638501943593</c:v>
                </c:pt>
                <c:pt idx="20">
                  <c:v>-4465.8510671434278</c:v>
                </c:pt>
                <c:pt idx="21">
                  <c:v>-4449.2401221458376</c:v>
                </c:pt>
                <c:pt idx="22">
                  <c:v>-4431.9805793278601</c:v>
                </c:pt>
                <c:pt idx="23">
                  <c:v>-4414.1181952076868</c:v>
                </c:pt>
                <c:pt idx="24">
                  <c:v>-4395.6950107134553</c:v>
                </c:pt>
                <c:pt idx="25">
                  <c:v>-4376.7495217736241</c:v>
                </c:pt>
                <c:pt idx="26">
                  <c:v>-4357.3168944313784</c:v>
                </c:pt>
                <c:pt idx="27">
                  <c:v>-4337.4292013034083</c:v>
                </c:pt>
                <c:pt idx="28">
                  <c:v>-4317.1156639620522</c:v>
                </c:pt>
                <c:pt idx="29">
                  <c:v>-4296.402891290053</c:v>
                </c:pt>
                <c:pt idx="30">
                  <c:v>-4275.3151076631184</c:v>
                </c:pt>
                <c:pt idx="31">
                  <c:v>-4253.8743674274929</c:v>
                </c:pt>
                <c:pt idx="32">
                  <c:v>-4232.1007539075272</c:v>
                </c:pt>
                <c:pt idx="33">
                  <c:v>-4210.0125623467948</c:v>
                </c:pt>
                <c:pt idx="34">
                  <c:v>-4187.6264669428565</c:v>
                </c:pt>
                <c:pt idx="35">
                  <c:v>-4164.9576726029627</c:v>
                </c:pt>
                <c:pt idx="36">
                  <c:v>-4142.0200523198928</c:v>
                </c:pt>
                <c:pt idx="37">
                  <c:v>-4118.8262712066435</c:v>
                </c:pt>
                <c:pt idx="38">
                  <c:v>-4095.3878982797851</c:v>
                </c:pt>
                <c:pt idx="39">
                  <c:v>-4071.7155070788981</c:v>
                </c:pt>
                <c:pt idx="40">
                  <c:v>-4047.818766164065</c:v>
                </c:pt>
                <c:pt idx="41">
                  <c:v>-4023.706520478886</c:v>
                </c:pt>
                <c:pt idx="42">
                  <c:v>-3999.3868644906706</c:v>
                </c:pt>
                <c:pt idx="43">
                  <c:v>-3974.8672079452235</c:v>
                </c:pt>
                <c:pt idx="44">
                  <c:v>-3950.1543349975773</c:v>
                </c:pt>
                <c:pt idx="45">
                  <c:v>-3925.2544574068111</c:v>
                </c:pt>
                <c:pt idx="46">
                  <c:v>-3900.1732624140959</c:v>
                </c:pt>
                <c:pt idx="47">
                  <c:v>-3874.9159558590391</c:v>
                </c:pt>
                <c:pt idx="48">
                  <c:v>-3849.4873010307128</c:v>
                </c:pt>
                <c:pt idx="49">
                  <c:v>-3823.891653696407</c:v>
                </c:pt>
                <c:pt idx="50">
                  <c:v>-3798.1329937029122</c:v>
                </c:pt>
                <c:pt idx="51">
                  <c:v>-3772.214953501883</c:v>
                </c:pt>
                <c:pt idx="52">
                  <c:v>-3746.1408439119505</c:v>
                </c:pt>
                <c:pt idx="53">
                  <c:v>-3719.9136773956388</c:v>
                </c:pt>
                <c:pt idx="54">
                  <c:v>-3693.536189098158</c:v>
                </c:pt>
                <c:pt idx="55">
                  <c:v>-3667.0108558675952</c:v>
                </c:pt>
                <c:pt idx="56">
                  <c:v>-3640.3399134514743</c:v>
                </c:pt>
                <c:pt idx="57">
                  <c:v>-3613.5253720427959</c:v>
                </c:pt>
                <c:pt idx="58">
                  <c:v>-3586.5690303292163</c:v>
                </c:pt>
                <c:pt idx="59">
                  <c:v>-3559.4724881823713</c:v>
                </c:pt>
                <c:pt idx="60">
                  <c:v>-3532.2371581059633</c:v>
                </c:pt>
                <c:pt idx="61">
                  <c:v>-3504.8642755527126</c:v>
                </c:pt>
                <c:pt idx="62">
                  <c:v>-3477.3549081992201</c:v>
                </c:pt>
                <c:pt idx="63">
                  <c:v>-3449.7099642807284</c:v>
                </c:pt>
                <c:pt idx="64">
                  <c:v>-3421.9302000330104</c:v>
                </c:pt>
                <c:pt idx="65">
                  <c:v>-3394.0162263241946</c:v>
                </c:pt>
                <c:pt idx="66">
                  <c:v>-3365.9685145338208</c:v>
                </c:pt>
                <c:pt idx="67">
                  <c:v>-3337.7874017264785</c:v>
                </c:pt>
                <c:pt idx="68">
                  <c:v>-3309.4730951663751</c:v>
                </c:pt>
                <c:pt idx="69">
                  <c:v>-3281.0256762125637</c:v>
                </c:pt>
                <c:pt idx="70">
                  <c:v>-3252.4451036297987</c:v>
                </c:pt>
                <c:pt idx="71">
                  <c:v>-3223.7312163457691</c:v>
                </c:pt>
                <c:pt idx="72">
                  <c:v>-3194.8837356817107</c:v>
                </c:pt>
                <c:pt idx="73">
                  <c:v>-3165.9022670800932</c:v>
                </c:pt>
                <c:pt idx="74">
                  <c:v>-3136.7863013501446</c:v>
                </c:pt>
                <c:pt idx="75">
                  <c:v>-3107.5352154493721</c:v>
                </c:pt>
                <c:pt idx="76">
                  <c:v>-3078.1482728168471</c:v>
                </c:pt>
                <c:pt idx="77">
                  <c:v>-3048.6246232719636</c:v>
                </c:pt>
                <c:pt idx="78">
                  <c:v>-3018.9633024903569</c:v>
                </c:pt>
                <c:pt idx="79">
                  <c:v>-2989.163231066882</c:v>
                </c:pt>
                <c:pt idx="80">
                  <c:v>-2959.2232131737901</c:v>
                </c:pt>
                <c:pt idx="81">
                  <c:v>-2929.1419348205</c:v>
                </c:pt>
                <c:pt idx="82">
                  <c:v>-2898.9179617196537</c:v>
                </c:pt>
                <c:pt idx="83">
                  <c:v>-2868.5497367623302</c:v>
                </c:pt>
                <c:pt idx="84">
                  <c:v>-2838.0355771033942</c:v>
                </c:pt>
                <c:pt idx="85">
                  <c:v>-2807.3736708559095</c:v>
                </c:pt>
                <c:pt idx="86">
                  <c:v>-2776.562073391312</c:v>
                </c:pt>
                <c:pt idx="87">
                  <c:v>-2745.5987032395406</c:v>
                </c:pt>
                <c:pt idx="88">
                  <c:v>-2714.4813375805597</c:v>
                </c:pt>
                <c:pt idx="89">
                  <c:v>-2683.2076073156468</c:v>
                </c:pt>
                <c:pt idx="90">
                  <c:v>-2651.7749917033025</c:v>
                </c:pt>
                <c:pt idx="91">
                  <c:v>-2620.1808125407788</c:v>
                </c:pt>
                <c:pt idx="92">
                  <c:v>-2588.4222278678626</c:v>
                </c:pt>
                <c:pt idx="93">
                  <c:v>-2556.4962251646666</c:v>
                </c:pt>
                <c:pt idx="94">
                  <c:v>-2524.3996140093109</c:v>
                </c:pt>
                <c:pt idx="95">
                  <c:v>-2492.1290181580484</c:v>
                </c:pt>
                <c:pt idx="96">
                  <c:v>-2459.6808670231867</c:v>
                </c:pt>
                <c:pt idx="97">
                  <c:v>-2427.0513863966576</c:v>
                </c:pt>
                <c:pt idx="98">
                  <c:v>-2394.2365884100482</c:v>
                </c:pt>
                <c:pt idx="99">
                  <c:v>-2361.232261001554</c:v>
                </c:pt>
                <c:pt idx="100">
                  <c:v>-2328.0339560311209</c:v>
                </c:pt>
                <c:pt idx="101">
                  <c:v>-2294.6369766899193</c:v>
                </c:pt>
                <c:pt idx="102">
                  <c:v>-2261.0363637720907</c:v>
                </c:pt>
                <c:pt idx="103">
                  <c:v>-2227.2268807659934</c:v>
                </c:pt>
                <c:pt idx="104">
                  <c:v>-2193.2029976586291</c:v>
                </c:pt>
                <c:pt idx="105">
                  <c:v>-2158.9588733525802</c:v>
                </c:pt>
                <c:pt idx="106">
                  <c:v>-2124.4883366168469</c:v>
                </c:pt>
                <c:pt idx="107">
                  <c:v>-2089.7848655474613</c:v>
                </c:pt>
                <c:pt idx="108">
                  <c:v>-2054.8415656344987</c:v>
                </c:pt>
                <c:pt idx="109">
                  <c:v>-2019.651146794286</c:v>
                </c:pt>
                <c:pt idx="110">
                  <c:v>-1984.2059003132335</c:v>
                </c:pt>
                <c:pt idx="111">
                  <c:v>-1948.4976780673719</c:v>
                </c:pt>
                <c:pt idx="112">
                  <c:v>-1912.517880260626</c:v>
                </c:pt>
                <c:pt idx="113">
                  <c:v>-1876.2574710000858</c:v>
                </c:pt>
                <c:pt idx="114">
                  <c:v>-1839.7071063814114</c:v>
                </c:pt>
                <c:pt idx="115">
                  <c:v>-1777.2848208465239</c:v>
                </c:pt>
                <c:pt idx="116">
                  <c:v>-1656.4932236811424</c:v>
                </c:pt>
                <c:pt idx="117">
                  <c:v>-1535.9378413381414</c:v>
                </c:pt>
                <c:pt idx="118">
                  <c:v>-1415.2733224083213</c:v>
                </c:pt>
                <c:pt idx="119">
                  <c:v>-1294.4004531155338</c:v>
                </c:pt>
                <c:pt idx="120">
                  <c:v>-1173.2751765930034</c:v>
                </c:pt>
                <c:pt idx="121">
                  <c:v>-1051.8745323362896</c:v>
                </c:pt>
                <c:pt idx="122">
                  <c:v>-930.18561706965284</c:v>
                </c:pt>
                <c:pt idx="123">
                  <c:v>-808.2009718896461</c:v>
                </c:pt>
                <c:pt idx="124">
                  <c:v>-685.91634075111051</c:v>
                </c:pt>
                <c:pt idx="125">
                  <c:v>-563.32946464857059</c:v>
                </c:pt>
                <c:pt idx="126">
                  <c:v>-440.43938341248941</c:v>
                </c:pt>
                <c:pt idx="127">
                  <c:v>-317.24600824805657</c:v>
                </c:pt>
                <c:pt idx="128">
                  <c:v>-193.74984836323711</c:v>
                </c:pt>
                <c:pt idx="129">
                  <c:v>-69.951829928806546</c:v>
                </c:pt>
                <c:pt idx="130">
                  <c:v>54.146827270376889</c:v>
                </c:pt>
                <c:pt idx="131">
                  <c:v>178.54469584511116</c:v>
                </c:pt>
                <c:pt idx="132">
                  <c:v>303.24020206466503</c:v>
                </c:pt>
                <c:pt idx="133">
                  <c:v>428.23166992767347</c:v>
                </c:pt>
                <c:pt idx="134">
                  <c:v>553.5173536330185</c:v>
                </c:pt>
                <c:pt idx="135">
                  <c:v>679.09546152086659</c:v>
                </c:pt>
                <c:pt idx="136">
                  <c:v>804.96417397075493</c:v>
                </c:pt>
                <c:pt idx="137">
                  <c:v>931.12165685667969</c:v>
                </c:pt>
                <c:pt idx="138">
                  <c:v>1057.5660717092396</c:v>
                </c:pt>
                <c:pt idx="139">
                  <c:v>1184.2955834108207</c:v>
                </c:pt>
                <c:pt idx="140">
                  <c:v>1311.3083660249777</c:v>
                </c:pt>
                <c:pt idx="141">
                  <c:v>1438.6026072031609</c:v>
                </c:pt>
                <c:pt idx="142">
                  <c:v>1566.1765114987666</c:v>
                </c:pt>
                <c:pt idx="143">
                  <c:v>1694.0283028369204</c:v>
                </c:pt>
                <c:pt idx="144">
                  <c:v>1822.1562263285632</c:v>
                </c:pt>
                <c:pt idx="145">
                  <c:v>1950.5585495731166</c:v>
                </c:pt>
                <c:pt idx="146">
                  <c:v>2079.2335635610561</c:v>
                </c:pt>
                <c:pt idx="147">
                  <c:v>2208.179583262694</c:v>
                </c:pt>
                <c:pt idx="148">
                  <c:v>2337.3949479706544</c:v>
                </c:pt>
                <c:pt idx="149">
                  <c:v>2466.8780214489389</c:v>
                </c:pt>
                <c:pt idx="150">
                  <c:v>2596.6271919303017</c:v>
                </c:pt>
                <c:pt idx="151">
                  <c:v>2726.6408719950768</c:v>
                </c:pt>
                <c:pt idx="152">
                  <c:v>2856.9174983576268</c:v>
                </c:pt>
                <c:pt idx="153">
                  <c:v>2987.455531581455</c:v>
                </c:pt>
                <c:pt idx="154">
                  <c:v>3118.2534557396857</c:v>
                </c:pt>
                <c:pt idx="155">
                  <c:v>3249.3097780343123</c:v>
                </c:pt>
                <c:pt idx="156">
                  <c:v>3380.6230283850482</c:v>
                </c:pt>
                <c:pt idx="157">
                  <c:v>3512.191758996335</c:v>
                </c:pt>
                <c:pt idx="158">
                  <c:v>3644.0145439094886</c:v>
                </c:pt>
                <c:pt idx="159">
                  <c:v>3776.0899785455349</c:v>
                </c:pt>
                <c:pt idx="160">
                  <c:v>3908.4166792432152</c:v>
                </c:pt>
                <c:pt idx="161">
                  <c:v>4040.99328279568</c:v>
                </c:pt>
                <c:pt idx="162">
                  <c:v>4173.8184459887489</c:v>
                </c:pt>
                <c:pt idx="163">
                  <c:v>4306.8908451429706</c:v>
                </c:pt>
                <c:pt idx="164">
                  <c:v>4440.2091756612299</c:v>
                </c:pt>
                <c:pt idx="165">
                  <c:v>4573.7721515833036</c:v>
                </c:pt>
                <c:pt idx="166">
                  <c:v>4707.5785051484017</c:v>
                </c:pt>
                <c:pt idx="167">
                  <c:v>4841.6269863664984</c:v>
                </c:pt>
                <c:pt idx="168">
                  <c:v>4975.9163625990568</c:v>
                </c:pt>
                <c:pt idx="169">
                  <c:v>5110.445418149493</c:v>
                </c:pt>
                <c:pt idx="170">
                  <c:v>5245.2129538637419</c:v>
                </c:pt>
                <c:pt idx="171">
                  <c:v>5380.217786741001</c:v>
                </c:pt>
                <c:pt idx="172">
                  <c:v>5515.4587495547821</c:v>
                </c:pt>
                <c:pt idx="173">
                  <c:v>5650.9346904841987</c:v>
                </c:pt>
                <c:pt idx="174">
                  <c:v>5786.6444727554936</c:v>
                </c:pt>
                <c:pt idx="175">
                  <c:v>5922.586974293612</c:v>
                </c:pt>
                <c:pt idx="176">
                  <c:v>6058.7610873837293</c:v>
                </c:pt>
                <c:pt idx="177">
                  <c:v>6195.1657183425323</c:v>
                </c:pt>
                <c:pt idx="178">
                  <c:v>6331.7997871990246</c:v>
                </c:pt>
                <c:pt idx="179">
                  <c:v>6468.6622273846751</c:v>
                </c:pt>
                <c:pt idx="180">
                  <c:v>6605.7519854326547</c:v>
                </c:pt>
                <c:pt idx="181">
                  <c:v>6743.0680206859051</c:v>
                </c:pt>
                <c:pt idx="182">
                  <c:v>6880.6093050138479</c:v>
                </c:pt>
                <c:pt idx="183">
                  <c:v>7018.3748225374129</c:v>
                </c:pt>
                <c:pt idx="184">
                  <c:v>7156.3635693621873</c:v>
                </c:pt>
                <c:pt idx="185">
                  <c:v>7294.5745524410195</c:v>
                </c:pt>
                <c:pt idx="186">
                  <c:v>7433.0067928427889</c:v>
                </c:pt>
                <c:pt idx="187">
                  <c:v>7571.6593202182321</c:v>
                </c:pt>
                <c:pt idx="188">
                  <c:v>7710.5311760965342</c:v>
                </c:pt>
                <c:pt idx="189">
                  <c:v>7849.6214127702515</c:v>
                </c:pt>
                <c:pt idx="190">
                  <c:v>7988.9290930720399</c:v>
                </c:pt>
                <c:pt idx="191">
                  <c:v>8128.4532901577422</c:v>
                </c:pt>
                <c:pt idx="192">
                  <c:v>8268.1930872957764</c:v>
                </c:pt>
                <c:pt idx="193">
                  <c:v>8408.147577662523</c:v>
                </c:pt>
                <c:pt idx="194">
                  <c:v>8548.3158641435239</c:v>
                </c:pt>
                <c:pt idx="195">
                  <c:v>8688.6970591403242</c:v>
                </c:pt>
                <c:pt idx="196">
                  <c:v>8829.2902843827196</c:v>
                </c:pt>
                <c:pt idx="197">
                  <c:v>8970.0946707462917</c:v>
                </c:pt>
                <c:pt idx="198">
                  <c:v>9111.1093580749966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3E-4447-8DE3-9087C8C24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31056"/>
        <c:axId val="344390816"/>
      </c:scatterChart>
      <c:valAx>
        <c:axId val="349531056"/>
        <c:scaling>
          <c:orientation val="minMax"/>
          <c:max val="12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90816"/>
        <c:crosses val="autoZero"/>
        <c:crossBetween val="midCat"/>
      </c:valAx>
      <c:valAx>
        <c:axId val="344390816"/>
        <c:scaling>
          <c:orientation val="minMax"/>
          <c:max val="-2000"/>
          <c:min val="-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 (J/mol)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Melting Enthalpy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Sweep!$M$24:$M$373</c:f>
              <c:numCache>
                <c:formatCode>General</c:formatCode>
                <c:ptCount val="350"/>
                <c:pt idx="0">
                  <c:v>2.2892912617771678E-3</c:v>
                </c:pt>
                <c:pt idx="1">
                  <c:v>3.0407016540541801E-2</c:v>
                </c:pt>
                <c:pt idx="2">
                  <c:v>0.14439240497487746</c:v>
                </c:pt>
                <c:pt idx="3">
                  <c:v>0.44181436401015484</c:v>
                </c:pt>
                <c:pt idx="4">
                  <c:v>1.0571716216247293</c:v>
                </c:pt>
                <c:pt idx="5">
                  <c:v>2.1568957331726835</c:v>
                </c:pt>
                <c:pt idx="6">
                  <c:v>3.9242063199217312</c:v>
                </c:pt>
                <c:pt idx="7">
                  <c:v>6.5358076711808764</c:v>
                </c:pt>
                <c:pt idx="8">
                  <c:v>10.140252121004083</c:v>
                </c:pt>
                <c:pt idx="9">
                  <c:v>14.845377256487845</c:v>
                </c:pt>
                <c:pt idx="10">
                  <c:v>20.715651743934593</c:v>
                </c:pt>
                <c:pt idx="11">
                  <c:v>27.77640369288174</c:v>
                </c:pt>
                <c:pt idx="12">
                  <c:v>36.021348733704258</c:v>
                </c:pt>
                <c:pt idx="13">
                  <c:v>45.420802797834604</c:v>
                </c:pt>
                <c:pt idx="14">
                  <c:v>55.929131243322217</c:v>
                </c:pt>
                <c:pt idx="15">
                  <c:v>67.490846822502405</c:v>
                </c:pt>
                <c:pt idx="16">
                  <c:v>80.04527166974944</c:v>
                </c:pt>
                <c:pt idx="17">
                  <c:v>93.529918513145574</c:v>
                </c:pt>
                <c:pt idx="18">
                  <c:v>107.88282956899721</c:v>
                </c:pt>
                <c:pt idx="19">
                  <c:v>123.04411451332194</c:v>
                </c:pt>
                <c:pt idx="20">
                  <c:v>138.95689756425296</c:v>
                </c:pt>
                <c:pt idx="21">
                  <c:v>155.56784256184309</c:v>
                </c:pt>
                <c:pt idx="22">
                  <c:v>172.8273853798211</c:v>
                </c:pt>
                <c:pt idx="23">
                  <c:v>190.68976949999475</c:v>
                </c:pt>
                <c:pt idx="24">
                  <c:v>209.11295399422553</c:v>
                </c:pt>
                <c:pt idx="25">
                  <c:v>228.05844293405718</c:v>
                </c:pt>
                <c:pt idx="26">
                  <c:v>247.49107027630225</c:v>
                </c:pt>
                <c:pt idx="27">
                  <c:v>267.37876340427266</c:v>
                </c:pt>
                <c:pt idx="28">
                  <c:v>287.69230074562898</c:v>
                </c:pt>
                <c:pt idx="29">
                  <c:v>308.40507341762822</c:v>
                </c:pt>
                <c:pt idx="30">
                  <c:v>329.4928570445623</c:v>
                </c:pt>
                <c:pt idx="31">
                  <c:v>350.93359728018783</c:v>
                </c:pt>
                <c:pt idx="32">
                  <c:v>372.70721080015352</c:v>
                </c:pt>
                <c:pt idx="33">
                  <c:v>394.7954023608861</c:v>
                </c:pt>
                <c:pt idx="34">
                  <c:v>417.18149776482426</c:v>
                </c:pt>
                <c:pt idx="35">
                  <c:v>439.85029210471879</c:v>
                </c:pt>
                <c:pt idx="36">
                  <c:v>462.78791238778842</c:v>
                </c:pt>
                <c:pt idx="37">
                  <c:v>485.98169350103774</c:v>
                </c:pt>
                <c:pt idx="38">
                  <c:v>509.4200664278959</c:v>
                </c:pt>
                <c:pt idx="39">
                  <c:v>533.092457628783</c:v>
                </c:pt>
                <c:pt idx="40">
                  <c:v>556.989198543616</c:v>
                </c:pt>
                <c:pt idx="41">
                  <c:v>581.10144422879534</c:v>
                </c:pt>
                <c:pt idx="42">
                  <c:v>605.42110021701058</c:v>
                </c:pt>
                <c:pt idx="43">
                  <c:v>629.94075676245734</c:v>
                </c:pt>
                <c:pt idx="44">
                  <c:v>654.65362971010404</c:v>
                </c:pt>
                <c:pt idx="45">
                  <c:v>679.55350730087002</c:v>
                </c:pt>
                <c:pt idx="46">
                  <c:v>704.63470229358529</c:v>
                </c:pt>
                <c:pt idx="47">
                  <c:v>729.89200884864215</c:v>
                </c:pt>
                <c:pt idx="48">
                  <c:v>755.32066367696814</c:v>
                </c:pt>
                <c:pt idx="49">
                  <c:v>780.91631101127405</c:v>
                </c:pt>
                <c:pt idx="50">
                  <c:v>806.67497100476862</c:v>
                </c:pt>
                <c:pt idx="51">
                  <c:v>832.59301120579823</c:v>
                </c:pt>
                <c:pt idx="52">
                  <c:v>858.66712079573074</c:v>
                </c:pt>
                <c:pt idx="53">
                  <c:v>884.89428731204225</c:v>
                </c:pt>
                <c:pt idx="54">
                  <c:v>911.27177560952316</c:v>
                </c:pt>
                <c:pt idx="55">
                  <c:v>937.79710884008603</c:v>
                </c:pt>
                <c:pt idx="56">
                  <c:v>964.46805125620676</c:v>
                </c:pt>
                <c:pt idx="57">
                  <c:v>991.2825926648851</c:v>
                </c:pt>
                <c:pt idx="58">
                  <c:v>1018.2389343784649</c:v>
                </c:pt>
                <c:pt idx="59">
                  <c:v>1045.33547652531</c:v>
                </c:pt>
                <c:pt idx="60">
                  <c:v>1072.5708066017178</c:v>
                </c:pt>
                <c:pt idx="61">
                  <c:v>1099.9436891549685</c:v>
                </c:pt>
                <c:pt idx="62">
                  <c:v>1127.453056508461</c:v>
                </c:pt>
                <c:pt idx="63">
                  <c:v>1155.0980004269527</c:v>
                </c:pt>
                <c:pt idx="64">
                  <c:v>1182.8777646746707</c:v>
                </c:pt>
                <c:pt idx="65">
                  <c:v>1210.7917383834867</c:v>
                </c:pt>
                <c:pt idx="66">
                  <c:v>1238.8394501738605</c:v>
                </c:pt>
                <c:pt idx="67">
                  <c:v>1267.0205629812024</c:v>
                </c:pt>
                <c:pt idx="68">
                  <c:v>1295.3348695413058</c:v>
                </c:pt>
                <c:pt idx="69">
                  <c:v>1323.7822884951174</c:v>
                </c:pt>
                <c:pt idx="70">
                  <c:v>1352.3628610778826</c:v>
                </c:pt>
                <c:pt idx="71">
                  <c:v>1381.0767483619118</c:v>
                </c:pt>
                <c:pt idx="72">
                  <c:v>1409.9242290259704</c:v>
                </c:pt>
                <c:pt idx="73">
                  <c:v>1438.9056976275881</c:v>
                </c:pt>
                <c:pt idx="74">
                  <c:v>1468.0216633575365</c:v>
                </c:pt>
                <c:pt idx="75">
                  <c:v>1497.272749258309</c:v>
                </c:pt>
                <c:pt idx="76">
                  <c:v>1526.659691890834</c:v>
                </c:pt>
                <c:pt idx="77">
                  <c:v>1556.1833414357175</c:v>
                </c:pt>
                <c:pt idx="78">
                  <c:v>1585.8446622173244</c:v>
                </c:pt>
                <c:pt idx="79">
                  <c:v>1615.6447336407989</c:v>
                </c:pt>
                <c:pt idx="80">
                  <c:v>1645.584751533891</c:v>
                </c:pt>
                <c:pt idx="81">
                  <c:v>1675.6660298871809</c:v>
                </c:pt>
                <c:pt idx="82">
                  <c:v>1705.8900029880274</c:v>
                </c:pt>
                <c:pt idx="83">
                  <c:v>1736.2582279453509</c:v>
                </c:pt>
                <c:pt idx="84">
                  <c:v>1766.7723876042869</c:v>
                </c:pt>
                <c:pt idx="85">
                  <c:v>1797.4342938517716</c:v>
                </c:pt>
                <c:pt idx="86">
                  <c:v>1828.2458913163689</c:v>
                </c:pt>
                <c:pt idx="87">
                  <c:v>1859.2092614681408</c:v>
                </c:pt>
                <c:pt idx="88">
                  <c:v>1890.3266271271216</c:v>
                </c:pt>
                <c:pt idx="89">
                  <c:v>1921.6003573920343</c:v>
                </c:pt>
                <c:pt idx="90">
                  <c:v>1953.0329730043788</c:v>
                </c:pt>
                <c:pt idx="91">
                  <c:v>1984.6271521669025</c:v>
                </c:pt>
                <c:pt idx="92">
                  <c:v>2016.3857368398185</c:v>
                </c:pt>
                <c:pt idx="93">
                  <c:v>2048.3117395430145</c:v>
                </c:pt>
                <c:pt idx="94">
                  <c:v>2080.4083506983702</c:v>
                </c:pt>
                <c:pt idx="95">
                  <c:v>2112.6789465496327</c:v>
                </c:pt>
                <c:pt idx="96">
                  <c:v>2145.1270976844944</c:v>
                </c:pt>
                <c:pt idx="97">
                  <c:v>2177.7565783110235</c:v>
                </c:pt>
                <c:pt idx="98">
                  <c:v>2210.5713762976329</c:v>
                </c:pt>
                <c:pt idx="99">
                  <c:v>2243.5757037061271</c:v>
                </c:pt>
                <c:pt idx="100">
                  <c:v>2276.7740086765602</c:v>
                </c:pt>
                <c:pt idx="101">
                  <c:v>2310.1709880177618</c:v>
                </c:pt>
                <c:pt idx="102">
                  <c:v>2343.7716009355904</c:v>
                </c:pt>
                <c:pt idx="103">
                  <c:v>2377.5810839416877</c:v>
                </c:pt>
                <c:pt idx="104">
                  <c:v>2411.604967049052</c:v>
                </c:pt>
                <c:pt idx="105">
                  <c:v>2445.8490913551009</c:v>
                </c:pt>
                <c:pt idx="106">
                  <c:v>2480.3196280908342</c:v>
                </c:pt>
                <c:pt idx="107">
                  <c:v>2515.0230991602198</c:v>
                </c:pt>
                <c:pt idx="108">
                  <c:v>2549.9663990731824</c:v>
                </c:pt>
                <c:pt idx="109">
                  <c:v>2585.1568179133951</c:v>
                </c:pt>
                <c:pt idx="110">
                  <c:v>2620.6020643944476</c:v>
                </c:pt>
                <c:pt idx="111">
                  <c:v>2656.3102866403092</c:v>
                </c:pt>
                <c:pt idx="112">
                  <c:v>2692.2900844470551</c:v>
                </c:pt>
                <c:pt idx="113">
                  <c:v>2728.5504937075953</c:v>
                </c:pt>
                <c:pt idx="114">
                  <c:v>2765.1008583262696</c:v>
                </c:pt>
                <c:pt idx="115">
                  <c:v>2827.5231438611572</c:v>
                </c:pt>
                <c:pt idx="116">
                  <c:v>2948.3147410265387</c:v>
                </c:pt>
                <c:pt idx="117">
                  <c:v>3068.8701233695397</c:v>
                </c:pt>
                <c:pt idx="118">
                  <c:v>3189.5346422993598</c:v>
                </c:pt>
                <c:pt idx="119">
                  <c:v>3310.4075115921473</c:v>
                </c:pt>
                <c:pt idx="120">
                  <c:v>3431.5327881146777</c:v>
                </c:pt>
                <c:pt idx="121">
                  <c:v>3552.9334323713915</c:v>
                </c:pt>
                <c:pt idx="122">
                  <c:v>3674.6223476380283</c:v>
                </c:pt>
                <c:pt idx="123">
                  <c:v>3796.606992818035</c:v>
                </c:pt>
                <c:pt idx="124">
                  <c:v>3918.8916239565706</c:v>
                </c:pt>
                <c:pt idx="125">
                  <c:v>4041.4785000591105</c:v>
                </c:pt>
                <c:pt idx="126">
                  <c:v>4164.3685812951917</c:v>
                </c:pt>
                <c:pt idx="127">
                  <c:v>4287.5619564596245</c:v>
                </c:pt>
                <c:pt idx="128">
                  <c:v>4411.058116344444</c:v>
                </c:pt>
                <c:pt idx="129">
                  <c:v>4534.8561347788745</c:v>
                </c:pt>
                <c:pt idx="130">
                  <c:v>4658.954791978058</c:v>
                </c:pt>
                <c:pt idx="131">
                  <c:v>4783.3526605527923</c:v>
                </c:pt>
                <c:pt idx="132">
                  <c:v>4908.0481667723461</c:v>
                </c:pt>
                <c:pt idx="133">
                  <c:v>5033.0396346353546</c:v>
                </c:pt>
                <c:pt idx="134">
                  <c:v>5158.3253183406996</c:v>
                </c:pt>
                <c:pt idx="135">
                  <c:v>5283.9034262285477</c:v>
                </c:pt>
                <c:pt idx="136">
                  <c:v>5409.772138678436</c:v>
                </c:pt>
                <c:pt idx="137">
                  <c:v>5535.9296215643608</c:v>
                </c:pt>
                <c:pt idx="138">
                  <c:v>5662.3740364169207</c:v>
                </c:pt>
                <c:pt idx="139">
                  <c:v>5789.1035481185017</c:v>
                </c:pt>
                <c:pt idx="140">
                  <c:v>5916.1163307326588</c:v>
                </c:pt>
                <c:pt idx="141">
                  <c:v>6043.410571910842</c:v>
                </c:pt>
                <c:pt idx="142">
                  <c:v>6170.9844762064477</c:v>
                </c:pt>
                <c:pt idx="143">
                  <c:v>6298.8362675446015</c:v>
                </c:pt>
                <c:pt idx="144">
                  <c:v>6426.9641910362443</c:v>
                </c:pt>
                <c:pt idx="145">
                  <c:v>6555.3665142807977</c:v>
                </c:pt>
                <c:pt idx="146">
                  <c:v>6684.0415282687372</c:v>
                </c:pt>
                <c:pt idx="147">
                  <c:v>6812.9875479703751</c:v>
                </c:pt>
                <c:pt idx="148">
                  <c:v>6942.2029126783355</c:v>
                </c:pt>
                <c:pt idx="149">
                  <c:v>7071.6859861566199</c:v>
                </c:pt>
                <c:pt idx="150">
                  <c:v>7201.4351566379828</c:v>
                </c:pt>
                <c:pt idx="151">
                  <c:v>7331.4488367027579</c:v>
                </c:pt>
                <c:pt idx="152">
                  <c:v>7461.7254630653078</c:v>
                </c:pt>
                <c:pt idx="153">
                  <c:v>7592.2634962891361</c:v>
                </c:pt>
                <c:pt idx="154">
                  <c:v>7723.0614204473668</c:v>
                </c:pt>
                <c:pt idx="155">
                  <c:v>7854.1177427419934</c:v>
                </c:pt>
                <c:pt idx="156">
                  <c:v>7985.4309930927293</c:v>
                </c:pt>
                <c:pt idx="157">
                  <c:v>8116.9997237040161</c:v>
                </c:pt>
                <c:pt idx="158">
                  <c:v>8248.8225086171697</c:v>
                </c:pt>
                <c:pt idx="159">
                  <c:v>8380.897943253216</c:v>
                </c:pt>
                <c:pt idx="160">
                  <c:v>8513.2246439508963</c:v>
                </c:pt>
                <c:pt idx="161">
                  <c:v>8645.8012475033611</c:v>
                </c:pt>
                <c:pt idx="162">
                  <c:v>8778.62641069643</c:v>
                </c:pt>
                <c:pt idx="163">
                  <c:v>8911.6988098506517</c:v>
                </c:pt>
                <c:pt idx="164">
                  <c:v>9045.017140368911</c:v>
                </c:pt>
                <c:pt idx="165">
                  <c:v>9178.5801162909847</c:v>
                </c:pt>
                <c:pt idx="166">
                  <c:v>9312.3864698560828</c:v>
                </c:pt>
                <c:pt idx="167">
                  <c:v>9446.4349510741795</c:v>
                </c:pt>
                <c:pt idx="168">
                  <c:v>9580.7243273067379</c:v>
                </c:pt>
                <c:pt idx="169">
                  <c:v>9715.2533828571741</c:v>
                </c:pt>
                <c:pt idx="170">
                  <c:v>9850.020918571423</c:v>
                </c:pt>
                <c:pt idx="171">
                  <c:v>9985.0257514486821</c:v>
                </c:pt>
                <c:pt idx="172">
                  <c:v>10120.266714262463</c:v>
                </c:pt>
                <c:pt idx="173">
                  <c:v>10255.74265519188</c:v>
                </c:pt>
                <c:pt idx="174">
                  <c:v>10391.452437463175</c:v>
                </c:pt>
                <c:pt idx="175">
                  <c:v>10527.394939001293</c:v>
                </c:pt>
                <c:pt idx="176">
                  <c:v>10663.56905209141</c:v>
                </c:pt>
                <c:pt idx="177">
                  <c:v>10799.973683050213</c:v>
                </c:pt>
                <c:pt idx="178">
                  <c:v>10936.607751906706</c:v>
                </c:pt>
                <c:pt idx="179">
                  <c:v>11073.470192092356</c:v>
                </c:pt>
                <c:pt idx="180">
                  <c:v>11210.559950140336</c:v>
                </c:pt>
                <c:pt idx="181">
                  <c:v>11347.875985393586</c:v>
                </c:pt>
                <c:pt idx="182">
                  <c:v>11485.417269721529</c:v>
                </c:pt>
                <c:pt idx="183">
                  <c:v>11623.182787245094</c:v>
                </c:pt>
                <c:pt idx="184">
                  <c:v>11761.171534069868</c:v>
                </c:pt>
                <c:pt idx="185">
                  <c:v>11899.382517148701</c:v>
                </c:pt>
                <c:pt idx="186">
                  <c:v>12037.81475755047</c:v>
                </c:pt>
                <c:pt idx="187">
                  <c:v>12176.467284925913</c:v>
                </c:pt>
                <c:pt idx="188">
                  <c:v>12315.339140804215</c:v>
                </c:pt>
                <c:pt idx="189">
                  <c:v>12454.429377477933</c:v>
                </c:pt>
                <c:pt idx="190">
                  <c:v>12593.737057779721</c:v>
                </c:pt>
                <c:pt idx="191">
                  <c:v>12733.261254865423</c:v>
                </c:pt>
                <c:pt idx="192">
                  <c:v>12873.001052003458</c:v>
                </c:pt>
                <c:pt idx="193">
                  <c:v>13012.955542370204</c:v>
                </c:pt>
                <c:pt idx="194">
                  <c:v>13153.123828851205</c:v>
                </c:pt>
                <c:pt idx="195">
                  <c:v>13293.505023848005</c:v>
                </c:pt>
                <c:pt idx="196">
                  <c:v>13434.098249090401</c:v>
                </c:pt>
                <c:pt idx="197">
                  <c:v>13574.902635453973</c:v>
                </c:pt>
                <c:pt idx="198">
                  <c:v>13715.917322782678</c:v>
                </c:pt>
                <c:pt idx="199">
                  <c:v>13857.14145971632</c:v>
                </c:pt>
                <c:pt idx="200">
                  <c:v>13998.574203522798</c:v>
                </c:pt>
                <c:pt idx="201">
                  <c:v>14140.214719934882</c:v>
                </c:pt>
                <c:pt idx="202">
                  <c:v>14282.062182991473</c:v>
                </c:pt>
                <c:pt idx="203">
                  <c:v>14424.115774883074</c:v>
                </c:pt>
                <c:pt idx="204">
                  <c:v>14566.374685801438</c:v>
                </c:pt>
                <c:pt idx="205">
                  <c:v>14708.838113793196</c:v>
                </c:pt>
                <c:pt idx="206">
                  <c:v>14851.505264617341</c:v>
                </c:pt>
                <c:pt idx="207">
                  <c:v>14994.375351606455</c:v>
                </c:pt>
                <c:pt idx="208">
                  <c:v>15137.447595531556</c:v>
                </c:pt>
                <c:pt idx="209">
                  <c:v>15280.72122447041</c:v>
                </c:pt>
                <c:pt idx="210">
                  <c:v>15424.195473679269</c:v>
                </c:pt>
                <c:pt idx="211">
                  <c:v>15567.869585467841</c:v>
                </c:pt>
                <c:pt idx="212">
                  <c:v>15711.742809077423</c:v>
                </c:pt>
                <c:pt idx="213">
                  <c:v>15855.814400562153</c:v>
                </c:pt>
                <c:pt idx="214">
                  <c:v>16000.083622673155</c:v>
                </c:pt>
                <c:pt idx="215">
                  <c:v>16144.549744745607</c:v>
                </c:pt>
                <c:pt idx="216">
                  <c:v>16289.212042588568</c:v>
                </c:pt>
                <c:pt idx="217">
                  <c:v>16434.069798377503</c:v>
                </c:pt>
                <c:pt idx="218">
                  <c:v>16579.122300549421</c:v>
                </c:pt>
                <c:pt idx="219">
                  <c:v>16724.368843700555</c:v>
                </c:pt>
                <c:pt idx="220">
                  <c:v>16869.808728451557</c:v>
                </c:pt>
                <c:pt idx="221">
                  <c:v>17015.441261494834</c:v>
                </c:pt>
                <c:pt idx="222">
                  <c:v>17161.265755273474</c:v>
                </c:pt>
                <c:pt idx="223">
                  <c:v>17307.28152804522</c:v>
                </c:pt>
                <c:pt idx="224">
                  <c:v>17453.487903750625</c:v>
                </c:pt>
                <c:pt idx="225">
                  <c:v>17599.884211924378</c:v>
                </c:pt>
                <c:pt idx="226">
                  <c:v>17746.469787608636</c:v>
                </c:pt>
                <c:pt idx="227">
                  <c:v>17893.243971268286</c:v>
                </c:pt>
                <c:pt idx="228">
                  <c:v>18040.206108708269</c:v>
                </c:pt>
                <c:pt idx="229">
                  <c:v>18187.355550992601</c:v>
                </c:pt>
                <c:pt idx="230">
                  <c:v>18334.691654365299</c:v>
                </c:pt>
                <c:pt idx="231">
                  <c:v>18482.213780173075</c:v>
                </c:pt>
                <c:pt idx="232">
                  <c:v>18629.921294789652</c:v>
                </c:pt>
                <c:pt idx="233">
                  <c:v>18777.813569541828</c:v>
                </c:pt>
                <c:pt idx="234">
                  <c:v>18925.889980637108</c:v>
                </c:pt>
                <c:pt idx="235">
                  <c:v>19074.149909092888</c:v>
                </c:pt>
                <c:pt idx="236">
                  <c:v>19222.592740667191</c:v>
                </c:pt>
                <c:pt idx="237">
                  <c:v>19371.217865790881</c:v>
                </c:pt>
                <c:pt idx="238">
                  <c:v>19520.024679501264</c:v>
                </c:pt>
                <c:pt idx="239">
                  <c:v>19669.012581377177</c:v>
                </c:pt>
                <c:pt idx="240">
                  <c:v>19818.180975475345</c:v>
                </c:pt>
                <c:pt idx="241">
                  <c:v>19967.529270268082</c:v>
                </c:pt>
                <c:pt idx="242">
                  <c:v>20117.056878582371</c:v>
                </c:pt>
                <c:pt idx="243">
                  <c:v>20266.763217540043</c:v>
                </c:pt>
                <c:pt idx="244">
                  <c:v>20416.647708499317</c:v>
                </c:pt>
                <c:pt idx="245">
                  <c:v>20566.709776997413</c:v>
                </c:pt>
                <c:pt idx="246">
                  <c:v>20716.94885269439</c:v>
                </c:pt>
                <c:pt idx="247">
                  <c:v>20867.364369318093</c:v>
                </c:pt>
                <c:pt idx="248">
                  <c:v>21017.955764610186</c:v>
                </c:pt>
                <c:pt idx="249">
                  <c:v>21168.722480273242</c:v>
                </c:pt>
                <c:pt idx="250">
                  <c:v>21319.663961918915</c:v>
                </c:pt>
                <c:pt idx="251">
                  <c:v>21470.779659017044</c:v>
                </c:pt>
                <c:pt idx="252">
                  <c:v>21622.069024845863</c:v>
                </c:pt>
                <c:pt idx="253">
                  <c:v>21773.531516443043</c:v>
                </c:pt>
                <c:pt idx="254">
                  <c:v>21925.16659455777</c:v>
                </c:pt>
                <c:pt idx="255">
                  <c:v>22076.973723603653</c:v>
                </c:pt>
                <c:pt idx="256">
                  <c:v>22228.95237161262</c:v>
                </c:pt>
                <c:pt idx="257">
                  <c:v>22381.102010189592</c:v>
                </c:pt>
                <c:pt idx="258">
                  <c:v>22533.422114468071</c:v>
                </c:pt>
                <c:pt idx="259">
                  <c:v>22685.912163066496</c:v>
                </c:pt>
                <c:pt idx="260">
                  <c:v>22838.571638045447</c:v>
                </c:pt>
                <c:pt idx="261">
                  <c:v>22991.400024865638</c:v>
                </c:pt>
                <c:pt idx="262">
                  <c:v>23144.396812346629</c:v>
                </c:pt>
                <c:pt idx="263">
                  <c:v>23297.561492626366</c:v>
                </c:pt>
                <c:pt idx="264">
                  <c:v>23450.89356112136</c:v>
                </c:pt>
                <c:pt idx="265">
                  <c:v>23604.392516487635</c:v>
                </c:pt>
                <c:pt idx="266">
                  <c:v>23758.057860582423</c:v>
                </c:pt>
                <c:pt idx="267">
                  <c:v>23911.889098426382</c:v>
                </c:pt>
                <c:pt idx="268">
                  <c:v>24065.885738166693</c:v>
                </c:pt>
                <c:pt idx="269">
                  <c:v>24220.04729104057</c:v>
                </c:pt>
                <c:pt idx="270">
                  <c:v>24374.373271339631</c:v>
                </c:pt>
                <c:pt idx="271">
                  <c:v>24528.863196374714</c:v>
                </c:pt>
                <c:pt idx="272">
                  <c:v>24683.516586441394</c:v>
                </c:pt>
                <c:pt idx="273">
                  <c:v>24838.332964786092</c:v>
                </c:pt>
                <c:pt idx="274">
                  <c:v>24993.311857572666</c:v>
                </c:pt>
                <c:pt idx="275">
                  <c:v>25148.452793849709</c:v>
                </c:pt>
                <c:pt idx="276">
                  <c:v>25303.755305518313</c:v>
                </c:pt>
                <c:pt idx="277">
                  <c:v>25459.218927300339</c:v>
                </c:pt>
                <c:pt idx="278">
                  <c:v>25614.843196707319</c:v>
                </c:pt>
                <c:pt idx="279">
                  <c:v>25770.627654009801</c:v>
                </c:pt>
                <c:pt idx="280">
                  <c:v>25926.571842207231</c:v>
                </c:pt>
                <c:pt idx="281">
                  <c:v>26082.675306998291</c:v>
                </c:pt>
                <c:pt idx="282">
                  <c:v>26238.937596751781</c:v>
                </c:pt>
                <c:pt idx="283">
                  <c:v>26395.358262477916</c:v>
                </c:pt>
                <c:pt idx="284">
                  <c:v>26551.936857800109</c:v>
                </c:pt>
                <c:pt idx="285">
                  <c:v>26708.672938927226</c:v>
                </c:pt>
                <c:pt idx="286">
                  <c:v>26865.566064626288</c:v>
                </c:pt>
                <c:pt idx="287">
                  <c:v>27022.615796195492</c:v>
                </c:pt>
                <c:pt idx="288">
                  <c:v>27179.821697437888</c:v>
                </c:pt>
                <c:pt idx="289">
                  <c:v>27337.183334635225</c:v>
                </c:pt>
                <c:pt idx="290">
                  <c:v>27494.700276522362</c:v>
                </c:pt>
                <c:pt idx="291">
                  <c:v>27652.372094262057</c:v>
                </c:pt>
                <c:pt idx="292">
                  <c:v>27810.198361420022</c:v>
                </c:pt>
                <c:pt idx="293">
                  <c:v>27968.178653940598</c:v>
                </c:pt>
                <c:pt idx="294">
                  <c:v>28126.312550122559</c:v>
                </c:pt>
                <c:pt idx="295">
                  <c:v>28284.599630595418</c:v>
                </c:pt>
                <c:pt idx="296">
                  <c:v>28443.039478296112</c:v>
                </c:pt>
                <c:pt idx="297">
                  <c:v>28601.631678445923</c:v>
                </c:pt>
                <c:pt idx="298">
                  <c:v>28760.375818527893</c:v>
                </c:pt>
                <c:pt idx="299">
                  <c:v>28919.271488264389</c:v>
                </c:pt>
                <c:pt idx="300">
                  <c:v>29078.318279595223</c:v>
                </c:pt>
                <c:pt idx="301">
                  <c:v>29237.515786655946</c:v>
                </c:pt>
                <c:pt idx="302">
                  <c:v>29396.863605756462</c:v>
                </c:pt>
                <c:pt idx="303">
                  <c:v>29556.361335360056</c:v>
                </c:pt>
                <c:pt idx="304">
                  <c:v>29716.008576062613</c:v>
                </c:pt>
                <c:pt idx="305">
                  <c:v>29875.804930572198</c:v>
                </c:pt>
                <c:pt idx="306">
                  <c:v>30035.750003688994</c:v>
                </c:pt>
                <c:pt idx="307">
                  <c:v>30195.843402285325</c:v>
                </c:pt>
                <c:pt idx="308">
                  <c:v>30356.08473528624</c:v>
                </c:pt>
                <c:pt idx="309">
                  <c:v>30516.473613650112</c:v>
                </c:pt>
                <c:pt idx="310">
                  <c:v>30677.009650349693</c:v>
                </c:pt>
                <c:pt idx="311">
                  <c:v>30837.692460353388</c:v>
                </c:pt>
                <c:pt idx="312">
                  <c:v>30998.521660606708</c:v>
                </c:pt>
                <c:pt idx="313">
                  <c:v>31159.496870014125</c:v>
                </c:pt>
                <c:pt idx="314">
                  <c:v>31320.617709421051</c:v>
                </c:pt>
                <c:pt idx="315">
                  <c:v>31481.883801596166</c:v>
                </c:pt>
                <c:pt idx="316">
                  <c:v>31643.294771213892</c:v>
                </c:pt>
                <c:pt idx="317">
                  <c:v>31804.850244837202</c:v>
                </c:pt>
                <c:pt idx="318">
                  <c:v>31966.549850900581</c:v>
                </c:pt>
                <c:pt idx="319">
                  <c:v>32128.393219693313</c:v>
                </c:pt>
                <c:pt idx="320">
                  <c:v>32290.379983342886</c:v>
                </c:pt>
                <c:pt idx="321">
                  <c:v>32452.509775798677</c:v>
                </c:pt>
                <c:pt idx="322">
                  <c:v>32614.782232815891</c:v>
                </c:pt>
                <c:pt idx="323">
                  <c:v>32777.196991939629</c:v>
                </c:pt>
                <c:pt idx="324">
                  <c:v>32939.753692489227</c:v>
                </c:pt>
                <c:pt idx="325">
                  <c:v>33102.451975542812</c:v>
                </c:pt>
                <c:pt idx="326">
                  <c:v>33265.291483922003</c:v>
                </c:pt>
                <c:pt idx="327">
                  <c:v>33428.271862176844</c:v>
                </c:pt>
                <c:pt idx="328">
                  <c:v>33591.392756570967</c:v>
                </c:pt>
                <c:pt idx="329">
                  <c:v>33754.653815066893</c:v>
                </c:pt>
                <c:pt idx="330">
                  <c:v>33918.054687396383</c:v>
                </c:pt>
                <c:pt idx="331">
                  <c:v>34081.595024693328</c:v>
                </c:pt>
                <c:pt idx="332">
                  <c:v>34245.274480030916</c:v>
                </c:pt>
                <c:pt idx="333">
                  <c:v>34409.092708024</c:v>
                </c:pt>
                <c:pt idx="334">
                  <c:v>34573.049364915714</c:v>
                </c:pt>
                <c:pt idx="335">
                  <c:v>34737.144108563953</c:v>
                </c:pt>
                <c:pt idx="336">
                  <c:v>34901.376598427873</c:v>
                </c:pt>
                <c:pt idx="337">
                  <c:v>35065.746495554697</c:v>
                </c:pt>
                <c:pt idx="338">
                  <c:v>35230.253462566667</c:v>
                </c:pt>
                <c:pt idx="339">
                  <c:v>35394.89716364802</c:v>
                </c:pt>
                <c:pt idx="340">
                  <c:v>35559.677264532322</c:v>
                </c:pt>
                <c:pt idx="341">
                  <c:v>35724.593432489812</c:v>
                </c:pt>
                <c:pt idx="342">
                  <c:v>35889.645336314941</c:v>
                </c:pt>
                <c:pt idx="343">
                  <c:v>36054.832646314171</c:v>
                </c:pt>
                <c:pt idx="344">
                  <c:v>36220.155034293668</c:v>
                </c:pt>
                <c:pt idx="345">
                  <c:v>36385.612173547466</c:v>
                </c:pt>
                <c:pt idx="346">
                  <c:v>36551.203738845492</c:v>
                </c:pt>
                <c:pt idx="347">
                  <c:v>36716.929406421892</c:v>
                </c:pt>
                <c:pt idx="348">
                  <c:v>36882.788853963502</c:v>
                </c:pt>
                <c:pt idx="349">
                  <c:v>2827.5231438611572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6-4A37-9BE7-D4C9D64EF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531056"/>
        <c:axId val="344390816"/>
      </c:scatterChart>
      <c:valAx>
        <c:axId val="349531056"/>
        <c:scaling>
          <c:orientation val="minMax"/>
          <c:max val="200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390816"/>
        <c:crosses val="autoZero"/>
        <c:crossBetween val="midCat"/>
      </c:valAx>
      <c:valAx>
        <c:axId val="34439081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53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108857</xdr:colOff>
      <xdr:row>21</xdr:row>
      <xdr:rowOff>68036</xdr:rowOff>
    </xdr:from>
    <xdr:to>
      <xdr:col>32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20410</xdr:colOff>
      <xdr:row>54</xdr:row>
      <xdr:rowOff>2720</xdr:rowOff>
    </xdr:from>
    <xdr:to>
      <xdr:col>32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39729</xdr:colOff>
      <xdr:row>86</xdr:row>
      <xdr:rowOff>47472</xdr:rowOff>
    </xdr:from>
    <xdr:to>
      <xdr:col>32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1</xdr:colOff>
      <xdr:row>20</xdr:row>
      <xdr:rowOff>187037</xdr:rowOff>
    </xdr:from>
    <xdr:to>
      <xdr:col>47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23813</xdr:colOff>
      <xdr:row>54</xdr:row>
      <xdr:rowOff>23812</xdr:rowOff>
    </xdr:from>
    <xdr:to>
      <xdr:col>47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476250</xdr:colOff>
      <xdr:row>87</xdr:row>
      <xdr:rowOff>71437</xdr:rowOff>
    </xdr:from>
    <xdr:to>
      <xdr:col>47</xdr:col>
      <xdr:colOff>599514</xdr:colOff>
      <xdr:row>117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61851</xdr:colOff>
      <xdr:row>121</xdr:row>
      <xdr:rowOff>92776</xdr:rowOff>
    </xdr:from>
    <xdr:to>
      <xdr:col>40</xdr:col>
      <xdr:colOff>586345</xdr:colOff>
      <xdr:row>158</xdr:row>
      <xdr:rowOff>144483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13580</xdr:colOff>
      <xdr:row>161</xdr:row>
      <xdr:rowOff>27519</xdr:rowOff>
    </xdr:from>
    <xdr:to>
      <xdr:col>37</xdr:col>
      <xdr:colOff>435890</xdr:colOff>
      <xdr:row>197</xdr:row>
      <xdr:rowOff>48431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0984CAF-316C-763A-B479-9B6B0A270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39</xdr:col>
      <xdr:colOff>548898</xdr:colOff>
      <xdr:row>160</xdr:row>
      <xdr:rowOff>161440</xdr:rowOff>
    </xdr:from>
    <xdr:to>
      <xdr:col>58</xdr:col>
      <xdr:colOff>357733</xdr:colOff>
      <xdr:row>196</xdr:row>
      <xdr:rowOff>182352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59F25A9-6438-4A3B-BC35-1511EB936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zoomScale="96" zoomScaleNormal="96" workbookViewId="0">
      <selection activeCell="C32" sqref="C3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27.13</v>
      </c>
      <c r="D2" s="3">
        <v>13.38</v>
      </c>
    </row>
    <row r="3" spans="1:4" x14ac:dyDescent="0.25">
      <c r="A3" s="2" t="s">
        <v>11</v>
      </c>
      <c r="B3" s="3">
        <v>3087.52</v>
      </c>
      <c r="D3" s="3">
        <v>997.79</v>
      </c>
    </row>
    <row r="4" spans="1:4" x14ac:dyDescent="0.25">
      <c r="A4" s="2" t="s">
        <v>12</v>
      </c>
      <c r="B4" s="3">
        <v>7316.55</v>
      </c>
      <c r="D4" s="3">
        <v>469.13</v>
      </c>
    </row>
    <row r="5" spans="1:4" x14ac:dyDescent="0.25">
      <c r="A5" s="2" t="s">
        <v>13</v>
      </c>
      <c r="B5" s="3">
        <v>123.12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67.739999999999995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2.64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1.93</v>
      </c>
      <c r="D30" s="3">
        <v>0</v>
      </c>
    </row>
    <row r="31" spans="1:4" x14ac:dyDescent="0.25">
      <c r="A31" s="2" t="s">
        <v>39</v>
      </c>
      <c r="B31" s="3">
        <v>7.93</v>
      </c>
      <c r="D31" s="3">
        <v>0</v>
      </c>
    </row>
    <row r="32" spans="1:4" x14ac:dyDescent="0.25">
      <c r="A32" s="2" t="s">
        <v>40</v>
      </c>
      <c r="B32" s="3">
        <v>69.13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27.1413716784717</v>
      </c>
    </row>
    <row r="3" spans="1:2" x14ac:dyDescent="0.25">
      <c r="A3" t="s">
        <v>43</v>
      </c>
      <c r="B3">
        <f>INDEX(ComputeThermoProps(T_in,p_in,ParametersRange),1,2)</f>
        <v>3.2566171920307073E-4</v>
      </c>
    </row>
    <row r="4" spans="1:2" x14ac:dyDescent="0.25">
      <c r="A4" t="s">
        <v>44</v>
      </c>
      <c r="B4">
        <f>INDEX(ComputeThermoProps(T_in,p_in,ParametersRange),1,3)</f>
        <v>3.2426769590307425E-4</v>
      </c>
    </row>
    <row r="5" spans="1:2" x14ac:dyDescent="0.25">
      <c r="A5" t="s">
        <v>45</v>
      </c>
      <c r="B5">
        <f>INDEX(ComputeThermoProps(T_in,p_in,ParametersRange),1,4)</f>
        <v>1.628404973600498E-4</v>
      </c>
    </row>
    <row r="6" spans="1:2" x14ac:dyDescent="0.25">
      <c r="A6" t="s">
        <v>46</v>
      </c>
      <c r="B6">
        <f>INDEX(ComputeThermoProps(T_in,p_in,ParametersRange),1,5)</f>
        <v>5.1628154376731183</v>
      </c>
    </row>
    <row r="7" spans="1:2" x14ac:dyDescent="0.25">
      <c r="A7" t="s">
        <v>47</v>
      </c>
      <c r="B7">
        <f>INDEX(ComputeThermoProps(T_in,p_in,ParametersRange),1,6)</f>
        <v>5.140715557369993</v>
      </c>
    </row>
    <row r="8" spans="1:2" x14ac:dyDescent="0.25">
      <c r="A8" t="s">
        <v>48</v>
      </c>
      <c r="B8">
        <f>INDEX(ComputeThermoProps(T_in,p_in,ParametersRange),1,7)</f>
        <v>2.6399999999999997</v>
      </c>
    </row>
    <row r="9" spans="1:2" x14ac:dyDescent="0.25">
      <c r="A9" t="s">
        <v>49</v>
      </c>
      <c r="B9">
        <f>INDEX(ComputeThermoProps(T_in,p_in,ParametersRange),1,8)</f>
        <v>14.318792099781859</v>
      </c>
    </row>
    <row r="10" spans="1:2" x14ac:dyDescent="0.25">
      <c r="A10" t="s">
        <v>50</v>
      </c>
      <c r="B10">
        <f>INDEX(ComputeThermoProps(T_in,p_in,ParametersRange),1,9)</f>
        <v>1.9369364316232713</v>
      </c>
    </row>
    <row r="11" spans="1:2" x14ac:dyDescent="0.25">
      <c r="A11" t="s">
        <v>51</v>
      </c>
      <c r="B11">
        <f>INDEX(ComputeThermoProps(T_in,p_in,ParametersRange),1,10)</f>
        <v>-5.0505722164508544</v>
      </c>
    </row>
    <row r="12" spans="1:2" x14ac:dyDescent="0.25">
      <c r="A12" t="s">
        <v>52</v>
      </c>
      <c r="B12">
        <f>INDEX(ComputeThermoProps(T_in,p_in,ParametersRange),1,11)</f>
        <v>17.032929267629029</v>
      </c>
    </row>
    <row r="13" spans="1:2" x14ac:dyDescent="0.25">
      <c r="A13" t="s">
        <v>53</v>
      </c>
      <c r="B13">
        <f>INDEX(ComputeThermoProps(T_in,p_in,ParametersRange),1,12)</f>
        <v>-2.336435048603684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27.1413716784717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sheetPr codeName="Sheet4"/>
  <dimension ref="A2:P410"/>
  <sheetViews>
    <sheetView tabSelected="1" zoomScale="205" zoomScaleNormal="205" workbookViewId="0">
      <selection activeCell="B9" sqref="B9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2" x14ac:dyDescent="0.25">
      <c r="A2" s="2" t="s">
        <v>55</v>
      </c>
      <c r="B2" s="3">
        <v>0.1</v>
      </c>
    </row>
    <row r="3" spans="1:2" x14ac:dyDescent="0.25">
      <c r="A3" s="2" t="s">
        <v>56</v>
      </c>
      <c r="B3" s="3">
        <v>350</v>
      </c>
    </row>
    <row r="4" spans="1:2" x14ac:dyDescent="0.25">
      <c r="A4" s="2" t="s">
        <v>57</v>
      </c>
      <c r="B4" s="3">
        <v>1</v>
      </c>
    </row>
    <row r="5" spans="1:2" x14ac:dyDescent="0.25">
      <c r="A5" s="2" t="s">
        <v>70</v>
      </c>
      <c r="B5" s="3">
        <v>115.8</v>
      </c>
    </row>
    <row r="6" spans="1:2" x14ac:dyDescent="0.25">
      <c r="A6" s="2" t="s">
        <v>71</v>
      </c>
      <c r="B6" s="3">
        <v>7.2954000000000005E-2</v>
      </c>
    </row>
    <row r="7" spans="1:2" x14ac:dyDescent="0.25">
      <c r="A7" s="2" t="s">
        <v>82</v>
      </c>
      <c r="B7" s="3">
        <v>76.989999999999995</v>
      </c>
    </row>
    <row r="8" spans="1:2" x14ac:dyDescent="0.25">
      <c r="A8" s="2" t="s">
        <v>83</v>
      </c>
      <c r="B8" s="3">
        <f>8911/1000</f>
        <v>8.9109999999999996</v>
      </c>
    </row>
    <row r="9" spans="1:2" x14ac:dyDescent="0.25">
      <c r="A9" s="2" t="s">
        <v>84</v>
      </c>
      <c r="B9" s="7">
        <f>Parameters!B32-St_REFPROP</f>
        <v>-7.8599999999999994</v>
      </c>
    </row>
    <row r="10" spans="1:2" x14ac:dyDescent="0.25">
      <c r="A10" s="2" t="s">
        <v>86</v>
      </c>
      <c r="B10" s="7">
        <f>INDEX( ComputeThermoProps($B5, $B6, ParametersRange), 1, 12 )</f>
        <v>-3391.5350352923174</v>
      </c>
    </row>
    <row r="11" spans="1:2" x14ac:dyDescent="0.25">
      <c r="A11" s="2" t="s">
        <v>85</v>
      </c>
      <c r="B11" s="7">
        <f>(B10+Tt_REF*Parameters!B32)-Ht_REFPROP</f>
        <v>4604.8079647076811</v>
      </c>
    </row>
    <row r="13" spans="1:2" x14ac:dyDescent="0.25">
      <c r="A13" s="2" t="s">
        <v>72</v>
      </c>
      <c r="B13" s="3">
        <v>-9.9759287734208399</v>
      </c>
    </row>
    <row r="14" spans="1:2" x14ac:dyDescent="0.25">
      <c r="A14" s="2" t="s">
        <v>73</v>
      </c>
      <c r="B14" s="3">
        <v>-2.8993773847096298</v>
      </c>
    </row>
    <row r="15" spans="1:2" x14ac:dyDescent="0.25">
      <c r="A15" s="2" t="s">
        <v>74</v>
      </c>
      <c r="B15" s="3">
        <v>2.28487470771142</v>
      </c>
    </row>
    <row r="17" spans="1:16" x14ac:dyDescent="0.25">
      <c r="A17" s="2" t="s">
        <v>75</v>
      </c>
      <c r="B17" s="3">
        <v>1487.56</v>
      </c>
    </row>
    <row r="18" spans="1:16" x14ac:dyDescent="0.25">
      <c r="A18" s="2" t="s">
        <v>76</v>
      </c>
      <c r="B18" s="3">
        <v>1.819</v>
      </c>
    </row>
    <row r="19" spans="1:16" x14ac:dyDescent="0.25">
      <c r="A19" s="2" t="s">
        <v>77</v>
      </c>
      <c r="B19" s="3">
        <v>5158.09</v>
      </c>
    </row>
    <row r="20" spans="1:16" x14ac:dyDescent="0.25">
      <c r="A20" s="2" t="s">
        <v>78</v>
      </c>
      <c r="B20" s="3">
        <v>0.98821999999999999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O22" s="4" t="s">
        <v>81</v>
      </c>
      <c r="P22" s="6" t="s">
        <v>87</v>
      </c>
    </row>
    <row r="23" spans="1:16" x14ac:dyDescent="0.25">
      <c r="A23" s="2" cm="1">
        <f t="array" ref="A23:A37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O23" s="4" t="e">
        <f>LOG10(B23)</f>
        <v>#NUM!</v>
      </c>
      <c r="P23" s="6" t="e">
        <f>M23-$B$11</f>
        <v>#VALUE!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0</v>
      </c>
      <c r="C24" s="2" cm="1">
        <f t="array" ref="C24">INDEX( ComputeThermoProps($A24, $B24, ParametersRange), 1, COLUMN()-2 )</f>
        <v>27.130001957470594</v>
      </c>
      <c r="D24" s="2" cm="1">
        <f t="array" ref="D24">INDEX( ComputeThermoProps($A24, $B24, ParametersRange), 1, COLUMN()-2 )</f>
        <v>3.2388486083176463E-4</v>
      </c>
      <c r="E24" s="2" cm="1">
        <f t="array" ref="E24">INDEX( ComputeThermoProps($A24, $B24, ParametersRange), 1, COLUMN()-2 )</f>
        <v>3.2388461406853352E-4</v>
      </c>
      <c r="F24" s="2" cm="1">
        <f t="array" ref="F24">INDEX( ComputeThermoProps($A24, $B24, ParametersRange), 1, COLUMN()-2 )</f>
        <v>2.6235752102256049E-7</v>
      </c>
      <c r="G24" s="2" cm="1">
        <f t="array" ref="G24">INDEX( ComputeThermoProps($A24, $B24, ParametersRange), 1, COLUMN()-2 )</f>
        <v>8.3243263721722183E-3</v>
      </c>
      <c r="H24" s="2" cm="1">
        <f t="array" ref="H24">INDEX( ComputeThermoProps($A24, $B24, ParametersRange), 1, COLUMN()-2 )</f>
        <v>8.3243200299873213E-3</v>
      </c>
      <c r="I24" s="2" cm="1">
        <f t="array" ref="I24">INDEX( ComputeThermoProps($A24, $B24, ParametersRange), 1, COLUMN()-2 )</f>
        <v>2.64</v>
      </c>
      <c r="J24" s="2" cm="1">
        <f t="array" ref="J24">INDEX( ComputeThermoProps($A24, $B24, ParametersRange), 1, COLUMN()-2 )</f>
        <v>2.2892912617771678E-3</v>
      </c>
      <c r="K24" s="2" cm="1">
        <f t="array" ref="K24">INDEX( ComputeThermoProps($A24, $B24, ParametersRange), 1, COLUMN()-2 )</f>
        <v>2.7748982348426258E-3</v>
      </c>
      <c r="L24" s="2" cm="1">
        <f t="array" ref="L24">INDEX( ComputeThermoProps($A24, $B24, ParametersRange), 1, COLUMN()-2 )</f>
        <v>-7.6309679654972082E-4</v>
      </c>
      <c r="M24" s="2" cm="1">
        <f t="array" ref="M24">INDEX( ComputeThermoProps($A24, $B24, ParametersRange), 1, COLUMN()-2 )</f>
        <v>2.2892912617771678E-3</v>
      </c>
      <c r="N24" s="2" cm="1">
        <f t="array" ref="N24">INDEX( ComputeThermoProps($A24, $B24, ParametersRange), 1, COLUMN()-2 )</f>
        <v>-7.6309679654972082E-4</v>
      </c>
      <c r="O24" s="4" t="e">
        <f t="shared" ref="O24:O87" si="1">LOG10(B24)</f>
        <v>#NUM!</v>
      </c>
      <c r="P24" s="6">
        <f t="shared" ref="P24:P87" si="2">M24-$B$11</f>
        <v>-4604.805675416419</v>
      </c>
    </row>
    <row r="25" spans="1:16" x14ac:dyDescent="0.25">
      <c r="A25" s="2">
        <v>2.1</v>
      </c>
      <c r="B25" s="2">
        <f t="shared" si="0"/>
        <v>4.6636206969047877E-254</v>
      </c>
      <c r="C25" s="2" cm="1">
        <f t="array" ref="C25">INDEX( ComputeThermoProps($A25, $B25, ParametersRange), 1, COLUMN()-2 )</f>
        <v>27.130025999715915</v>
      </c>
      <c r="D25" s="2" cm="1">
        <f t="array" ref="D25">INDEX( ComputeThermoProps($A25, $B25, ParametersRange), 1, COLUMN()-2 )</f>
        <v>3.238887813699834E-4</v>
      </c>
      <c r="E25" s="2" cm="1">
        <f t="array" ref="E25">INDEX( ComputeThermoProps($A25, $B25, ParametersRange), 1, COLUMN()-2 )</f>
        <v>3.2388550367850515E-4</v>
      </c>
      <c r="F25" s="2" cm="1">
        <f t="array" ref="F25">INDEX( ComputeThermoProps($A25, $B25, ParametersRange), 1, COLUMN()-2 )</f>
        <v>1.8253802188922335E-6</v>
      </c>
      <c r="G25" s="2" cm="1">
        <f t="array" ref="G25">INDEX( ComputeThermoProps($A25, $B25, ParametersRange), 1, COLUMN()-2 )</f>
        <v>5.7917273977087881E-2</v>
      </c>
      <c r="H25" s="2" cm="1">
        <f t="array" ref="H25">INDEX( ComputeThermoProps($A25, $B25, ParametersRange), 1, COLUMN()-2 )</f>
        <v>5.7916687865538864E-2</v>
      </c>
      <c r="I25" s="2" cm="1">
        <f t="array" ref="I25">INDEX( ComputeThermoProps($A25, $B25, ParametersRange), 1, COLUMN()-2 )</f>
        <v>2.6399999999999997</v>
      </c>
      <c r="J25" s="2" cm="1">
        <f t="array" ref="J25">INDEX( ComputeThermoProps($A25, $B25, ParametersRange), 1, COLUMN()-2 )</f>
        <v>3.0407016540541801E-2</v>
      </c>
      <c r="K25" s="2" cm="1">
        <f t="array" ref="K25">INDEX( ComputeThermoProps($A25, $B25, ParametersRange), 1, COLUMN()-2 )</f>
        <v>1.9306017825963546E-2</v>
      </c>
      <c r="L25" s="2" cm="1">
        <f t="array" ref="L25">INDEX( ComputeThermoProps($A25, $B25, ParametersRange), 1, COLUMN()-2 )</f>
        <v>-1.0135620893981647E-2</v>
      </c>
      <c r="M25" s="2" cm="1">
        <f t="array" ref="M25">INDEX( ComputeThermoProps($A25, $B25, ParametersRange), 1, COLUMN()-2 )</f>
        <v>3.0407016540541801E-2</v>
      </c>
      <c r="N25" s="2" cm="1">
        <f t="array" ref="N25">INDEX( ComputeThermoProps($A25, $B25, ParametersRange), 1, COLUMN()-2 )</f>
        <v>-1.0135620893981647E-2</v>
      </c>
      <c r="O25" s="4">
        <f t="shared" si="1"/>
        <v>-253.33127677899088</v>
      </c>
      <c r="P25" s="6">
        <f t="shared" si="2"/>
        <v>-4604.7775576911408</v>
      </c>
    </row>
    <row r="26" spans="1:16" x14ac:dyDescent="0.25">
      <c r="A26" s="2">
        <v>3.1</v>
      </c>
      <c r="B26" s="2">
        <f t="shared" si="0"/>
        <v>3.631863777502235E-172</v>
      </c>
      <c r="C26" s="2" cm="1">
        <f t="array" ref="C26">INDEX( ComputeThermoProps($A26, $B26, ParametersRange), 1, COLUMN()-2 )</f>
        <v>27.130123464345996</v>
      </c>
      <c r="D26" s="2" cm="1">
        <f t="array" ref="D26">INDEX( ComputeThermoProps($A26, $B26, ParametersRange), 1, COLUMN()-2 )</f>
        <v>3.2390467562511496E-4</v>
      </c>
      <c r="E26" s="2" cm="1">
        <f t="array" ref="E26">INDEX( ComputeThermoProps($A26, $B26, ParametersRange), 1, COLUMN()-2 )</f>
        <v>3.2388911012034123E-4</v>
      </c>
      <c r="F26" s="2" cm="1">
        <f t="array" ref="F26">INDEX( ComputeThermoProps($A26, $B26, ParametersRange), 1, COLUMN()-2 )</f>
        <v>5.8722054527835243E-6</v>
      </c>
      <c r="G26" s="2" cm="1">
        <f t="array" ref="G26">INDEX( ComputeThermoProps($A26, $B26, ParametersRange), 1, COLUMN()-2 )</f>
        <v>0.18631710992124051</v>
      </c>
      <c r="H26" s="2" cm="1">
        <f t="array" ref="H26">INDEX( ComputeThermoProps($A26, $B26, ParametersRange), 1, COLUMN()-2 )</f>
        <v>0.186308156299752</v>
      </c>
      <c r="I26" s="2" cm="1">
        <f t="array" ref="I26">INDEX( ComputeThermoProps($A26, $B26, ParametersRange), 1, COLUMN()-2 )</f>
        <v>2.64</v>
      </c>
      <c r="J26" s="2" cm="1">
        <f t="array" ref="J26">INDEX( ComputeThermoProps($A26, $B26, ParametersRange), 1, COLUMN()-2 )</f>
        <v>0.14439240497487746</v>
      </c>
      <c r="K26" s="2" cm="1">
        <f t="array" ref="K26">INDEX( ComputeThermoProps($A26, $B26, ParametersRange), 1, COLUMN()-2 )</f>
        <v>6.210389521181961E-2</v>
      </c>
      <c r="L26" s="2" cm="1">
        <f t="array" ref="L26">INDEX( ComputeThermoProps($A26, $B26, ParametersRange), 1, COLUMN()-2 )</f>
        <v>-4.812967018176334E-2</v>
      </c>
      <c r="M26" s="2" cm="1">
        <f t="array" ref="M26">INDEX( ComputeThermoProps($A26, $B26, ParametersRange), 1, COLUMN()-2 )</f>
        <v>0.14439240497487746</v>
      </c>
      <c r="N26" s="2" cm="1">
        <f t="array" ref="N26">INDEX( ComputeThermoProps($A26, $B26, ParametersRange), 1, COLUMN()-2 )</f>
        <v>-4.812967018176334E-2</v>
      </c>
      <c r="O26" s="4">
        <f t="shared" si="1"/>
        <v>-171.43987044918964</v>
      </c>
      <c r="P26" s="6">
        <f t="shared" si="2"/>
        <v>-4604.6635723027066</v>
      </c>
    </row>
    <row r="27" spans="1:16" x14ac:dyDescent="0.25">
      <c r="A27" s="2">
        <v>4.0999999999999996</v>
      </c>
      <c r="B27" s="2">
        <f t="shared" si="0"/>
        <v>3.4755729876686504E-130</v>
      </c>
      <c r="C27" s="2" cm="1">
        <f t="array" ref="C27">INDEX( ComputeThermoProps($A27, $B27, ParametersRange), 1, COLUMN()-2 )</f>
        <v>27.130377783817451</v>
      </c>
      <c r="D27" s="2" cm="1">
        <f t="array" ref="D27">INDEX( ComputeThermoProps($A27, $B27, ParametersRange), 1, COLUMN()-2 )</f>
        <v>3.2394614628822636E-4</v>
      </c>
      <c r="E27" s="2" cm="1">
        <f t="array" ref="E27">INDEX( ComputeThermoProps($A27, $B27, ParametersRange), 1, COLUMN()-2 )</f>
        <v>3.238985210509412E-4</v>
      </c>
      <c r="F27" s="2" cm="1">
        <f t="array" ref="F27">INDEX( ComputeThermoProps($A27, $B27, ParametersRange), 1, COLUMN()-2 )</f>
        <v>1.3584398210536881E-5</v>
      </c>
      <c r="G27" s="2" cm="1">
        <f t="array" ref="G27">INDEX( ComputeThermoProps($A27, $B27, ParametersRange), 1, COLUMN()-2 )</f>
        <v>0.43100603703987334</v>
      </c>
      <c r="H27" s="2" cm="1">
        <f t="array" ref="H27">INDEX( ComputeThermoProps($A27, $B27, ParametersRange), 1, COLUMN()-2 )</f>
        <v>0.43094267229539168</v>
      </c>
      <c r="I27" s="2" cm="1">
        <f t="array" ref="I27">INDEX( ComputeThermoProps($A27, $B27, ParametersRange), 1, COLUMN()-2 )</f>
        <v>2.6400000000000006</v>
      </c>
      <c r="J27" s="2" cm="1">
        <f t="array" ref="J27">INDEX( ComputeThermoProps($A27, $B27, ParametersRange), 1, COLUMN()-2 )</f>
        <v>0.44181436401015484</v>
      </c>
      <c r="K27" s="2" cm="1">
        <f t="array" ref="K27">INDEX( ComputeThermoProps($A27, $B27, ParametersRange), 1, COLUMN()-2 )</f>
        <v>0.1436784936390168</v>
      </c>
      <c r="L27" s="2" cm="1">
        <f t="array" ref="L27">INDEX( ComputeThermoProps($A27, $B27, ParametersRange), 1, COLUMN()-2 )</f>
        <v>-0.14726745990981399</v>
      </c>
      <c r="M27" s="2" cm="1">
        <f t="array" ref="M27">INDEX( ComputeThermoProps($A27, $B27, ParametersRange), 1, COLUMN()-2 )</f>
        <v>0.44181436401015484</v>
      </c>
      <c r="N27" s="2" cm="1">
        <f t="array" ref="N27">INDEX( ComputeThermoProps($A27, $B27, ParametersRange), 1, COLUMN()-2 )</f>
        <v>-0.14726745990981399</v>
      </c>
      <c r="O27" s="4">
        <f t="shared" si="1"/>
        <v>-129.458973586795</v>
      </c>
      <c r="P27" s="6">
        <f t="shared" si="2"/>
        <v>-4604.3661503436706</v>
      </c>
    </row>
    <row r="28" spans="1:16" x14ac:dyDescent="0.25">
      <c r="A28" s="2">
        <v>5.0999999999999996</v>
      </c>
      <c r="B28" s="2">
        <f t="shared" si="0"/>
        <v>1.222811547807035E-104</v>
      </c>
      <c r="C28" s="2" cm="1">
        <f t="array" ref="C28">INDEX( ComputeThermoProps($A28, $B28, ParametersRange), 1, COLUMN()-2 )</f>
        <v>27.130903986761947</v>
      </c>
      <c r="D28" s="2" cm="1">
        <f t="array" ref="D28">INDEX( ComputeThermoProps($A28, $B28, ParametersRange), 1, COLUMN()-2 )</f>
        <v>3.2403177320307135E-4</v>
      </c>
      <c r="E28" s="2" cm="1">
        <f t="array" ref="E28">INDEX( ComputeThermoProps($A28, $B28, ParametersRange), 1, COLUMN()-2 )</f>
        <v>3.2391799495253064E-4</v>
      </c>
      <c r="F28" s="2" cm="1">
        <f t="array" ref="F28">INDEX( ComputeThermoProps($A28, $B28, ParametersRange), 1, COLUMN()-2 )</f>
        <v>2.6088557904261168E-5</v>
      </c>
      <c r="G28" s="2" cm="1">
        <f t="array" ref="G28">INDEX( ComputeThermoProps($A28, $B28, ParametersRange), 1, COLUMN()-2 )</f>
        <v>0.82770453629002105</v>
      </c>
      <c r="H28" s="2" cm="1">
        <f t="array" ref="H28">INDEX( ComputeThermoProps($A28, $B28, ParametersRange), 1, COLUMN()-2 )</f>
        <v>0.82741390190817399</v>
      </c>
      <c r="I28" s="2" cm="1">
        <f t="array" ref="I28">INDEX( ComputeThermoProps($A28, $B28, ParametersRange), 1, COLUMN()-2 )</f>
        <v>2.6399999999999997</v>
      </c>
      <c r="J28" s="2" cm="1">
        <f t="array" ref="J28">INDEX( ComputeThermoProps($A28, $B28, ParametersRange), 1, COLUMN()-2 )</f>
        <v>1.0571716216247293</v>
      </c>
      <c r="K28" s="2" cm="1">
        <f t="array" ref="K28">INDEX( ComputeThermoProps($A28, $B28, ParametersRange), 1, COLUMN()-2 )</f>
        <v>0.27641514295349567</v>
      </c>
      <c r="L28" s="2" cm="1">
        <f t="array" ref="L28">INDEX( ComputeThermoProps($A28, $B28, ParametersRange), 1, COLUMN()-2 )</f>
        <v>-0.35254560743809848</v>
      </c>
      <c r="M28" s="2" cm="1">
        <f t="array" ref="M28">INDEX( ComputeThermoProps($A28, $B28, ParametersRange), 1, COLUMN()-2 )</f>
        <v>1.0571716216247293</v>
      </c>
      <c r="N28" s="2" cm="1">
        <f t="array" ref="N28">INDEX( ComputeThermoProps($A28, $B28, ParametersRange), 1, COLUMN()-2 )</f>
        <v>-0.35254560743809848</v>
      </c>
      <c r="O28" s="4">
        <f t="shared" si="1"/>
        <v>-103.91264046860051</v>
      </c>
      <c r="P28" s="6">
        <f t="shared" si="2"/>
        <v>-4603.7507930860565</v>
      </c>
    </row>
    <row r="29" spans="1:16" x14ac:dyDescent="0.25">
      <c r="A29" s="2">
        <v>6.1</v>
      </c>
      <c r="B29" s="2">
        <f t="shared" si="0"/>
        <v>1.9099583791904849E-87</v>
      </c>
      <c r="C29" s="2" cm="1">
        <f t="array" ref="C29">INDEX( ComputeThermoProps($A29, $B29, ParametersRange), 1, COLUMN()-2 )</f>
        <v>27.131844459226869</v>
      </c>
      <c r="D29" s="2" cm="1">
        <f t="array" ref="D29">INDEX( ComputeThermoProps($A29, $B29, ParametersRange), 1, COLUMN()-2 )</f>
        <v>3.2418347464097558E-4</v>
      </c>
      <c r="E29" s="2" cm="1">
        <f t="array" ref="E29">INDEX( ComputeThermoProps($A29, $B29, ParametersRange), 1, COLUMN()-2 )</f>
        <v>3.2395280732416403E-4</v>
      </c>
      <c r="F29" s="2" cm="1">
        <f t="array" ref="F29">INDEX( ComputeThermoProps($A29, $B29, ParametersRange), 1, COLUMN()-2 )</f>
        <v>4.4215094148568115E-5</v>
      </c>
      <c r="G29" s="2" cm="1">
        <f t="array" ref="G29">INDEX( ComputeThermoProps($A29, $B29, ParametersRange), 1, COLUMN()-2 )</f>
        <v>1.4026980656884962</v>
      </c>
      <c r="H29" s="2" cm="1">
        <f t="array" ref="H29">INDEX( ComputeThermoProps($A29, $B29, ParametersRange), 1, COLUMN()-2 )</f>
        <v>1.4016999993945018</v>
      </c>
      <c r="I29" s="2" cm="1">
        <f t="array" ref="I29">INDEX( ComputeThermoProps($A29, $B29, ParametersRange), 1, COLUMN()-2 )</f>
        <v>2.6399999999999997</v>
      </c>
      <c r="J29" s="2" cm="1">
        <f t="array" ref="J29">INDEX( ComputeThermoProps($A29, $B29, ParametersRange), 1, COLUMN()-2 )</f>
        <v>2.1568957331726835</v>
      </c>
      <c r="K29" s="2" cm="1">
        <f t="array" ref="K29">INDEX( ComputeThermoProps($A29, $B29, ParametersRange), 1, COLUMN()-2 )</f>
        <v>0.47178616988412025</v>
      </c>
      <c r="L29" s="2" cm="1">
        <f t="array" ref="L29">INDEX( ComputeThermoProps($A29, $B29, ParametersRange), 1, COLUMN()-2 )</f>
        <v>-0.72099990312044993</v>
      </c>
      <c r="M29" s="2" cm="1">
        <f t="array" ref="M29">INDEX( ComputeThermoProps($A29, $B29, ParametersRange), 1, COLUMN()-2 )</f>
        <v>2.1568957331726835</v>
      </c>
      <c r="N29" s="2" cm="1">
        <f t="array" ref="N29">INDEX( ComputeThermoProps($A29, $B29, ParametersRange), 1, COLUMN()-2 )</f>
        <v>-0.72099990312044993</v>
      </c>
      <c r="O29" s="4">
        <f t="shared" si="1"/>
        <v>-86.718976096566337</v>
      </c>
      <c r="P29" s="6">
        <f t="shared" si="2"/>
        <v>-4602.6510689745082</v>
      </c>
    </row>
    <row r="30" spans="1:16" x14ac:dyDescent="0.25">
      <c r="A30" s="2">
        <v>7.1</v>
      </c>
      <c r="B30" s="2">
        <f t="shared" si="0"/>
        <v>4.4744998688128992E-75</v>
      </c>
      <c r="C30" s="2" cm="1">
        <f t="array" ref="C30">INDEX( ComputeThermoProps($A30, $B30, ParametersRange), 1, COLUMN()-2 )</f>
        <v>27.133356056384816</v>
      </c>
      <c r="D30" s="2" cm="1">
        <f t="array" ref="D30">INDEX( ComputeThermoProps($A30, $B30, ParametersRange), 1, COLUMN()-2 )</f>
        <v>3.2442266684861739E-4</v>
      </c>
      <c r="E30" s="2" cm="1">
        <f t="array" ref="E30">INDEX( ComputeThermoProps($A30, $B30, ParametersRange), 1, COLUMN()-2 )</f>
        <v>3.240087792743841E-4</v>
      </c>
      <c r="F30" s="2" cm="1">
        <f t="array" ref="F30">INDEX( ComputeThermoProps($A30, $B30, ParametersRange), 1, COLUMN()-2 )</f>
        <v>6.81496036957026E-5</v>
      </c>
      <c r="G30" s="2" cm="1">
        <f t="array" ref="G30">INDEX( ComputeThermoProps($A30, $B30, ParametersRange), 1, COLUMN()-2 )</f>
        <v>2.161753365371915</v>
      </c>
      <c r="H30" s="2" cm="1">
        <f t="array" ref="H30">INDEX( ComputeThermoProps($A30, $B30, ParametersRange), 1, COLUMN()-2 )</f>
        <v>2.1589954728202767</v>
      </c>
      <c r="I30" s="2" cm="1">
        <f t="array" ref="I30">INDEX( ComputeThermoProps($A30, $B30, ParametersRange), 1, COLUMN()-2 )</f>
        <v>2.6400000000000006</v>
      </c>
      <c r="J30" s="2" cm="1">
        <f t="array" ref="J30">INDEX( ComputeThermoProps($A30, $B30, ParametersRange), 1, COLUMN()-2 )</f>
        <v>3.9242063199217312</v>
      </c>
      <c r="K30" s="2" cm="1">
        <f t="array" ref="K30">INDEX( ComputeThermoProps($A30, $B30, ParametersRange), 1, COLUMN()-2 )</f>
        <v>0.73861783766084343</v>
      </c>
      <c r="L30" s="2" cm="1">
        <f t="array" ref="L30">INDEX( ComputeThermoProps($A30, $B30, ParametersRange), 1, COLUMN()-2 )</f>
        <v>-1.3199803274702568</v>
      </c>
      <c r="M30" s="2" cm="1">
        <f t="array" ref="M30">INDEX( ComputeThermoProps($A30, $B30, ParametersRange), 1, COLUMN()-2 )</f>
        <v>3.9242063199217312</v>
      </c>
      <c r="N30" s="2" cm="1">
        <f t="array" ref="N30">INDEX( ComputeThermoProps($A30, $B30, ParametersRange), 1, COLUMN()-2 )</f>
        <v>-1.3199803274702568</v>
      </c>
      <c r="O30" s="4">
        <f t="shared" si="1"/>
        <v>-74.349255500315266</v>
      </c>
      <c r="P30" s="6">
        <f t="shared" si="2"/>
        <v>-4600.8837583877594</v>
      </c>
    </row>
    <row r="31" spans="1:16" x14ac:dyDescent="0.25">
      <c r="A31" s="2">
        <v>8.1</v>
      </c>
      <c r="B31" s="2">
        <f t="shared" si="0"/>
        <v>9.6089285080213043E-66</v>
      </c>
      <c r="C31" s="2" cm="1">
        <f t="array" ref="C31">INDEX( ComputeThermoProps($A31, $B31, ParametersRange), 1, COLUMN()-2 )</f>
        <v>27.135590261544955</v>
      </c>
      <c r="D31" s="2" cm="1">
        <f t="array" ref="D31">INDEX( ComputeThermoProps($A31, $B31, ParametersRange), 1, COLUMN()-2 )</f>
        <v>3.2476599158832775E-4</v>
      </c>
      <c r="E31" s="2" cm="1">
        <f t="array" ref="E31">INDEX( ComputeThermoProps($A31, $B31, ParametersRange), 1, COLUMN()-2 )</f>
        <v>3.2409155095366457E-4</v>
      </c>
      <c r="F31" s="2" cm="1">
        <f t="array" ref="F31">INDEX( ComputeThermoProps($A31, $B31, ParametersRange), 1, COLUMN()-2 )</f>
        <v>9.7316632748466417E-5</v>
      </c>
      <c r="G31" s="2" cm="1">
        <f t="array" ref="G31">INDEX( ComputeThermoProps($A31, $B31, ParametersRange), 1, COLUMN()-2 )</f>
        <v>3.0864177675387725</v>
      </c>
      <c r="H31" s="2" cm="1">
        <f t="array" ref="H31">INDEX( ComputeThermoProps($A31, $B31, ParametersRange), 1, COLUMN()-2 )</f>
        <v>3.0800082123147354</v>
      </c>
      <c r="I31" s="2" cm="1">
        <f t="array" ref="I31">INDEX( ComputeThermoProps($A31, $B31, ParametersRange), 1, COLUMN()-2 )</f>
        <v>2.6400000000000006</v>
      </c>
      <c r="J31" s="2" cm="1">
        <f t="array" ref="J31">INDEX( ComputeThermoProps($A31, $B31, ParametersRange), 1, COLUMN()-2 )</f>
        <v>6.5358076711808764</v>
      </c>
      <c r="K31" s="2" cm="1">
        <f t="array" ref="K31">INDEX( ComputeThermoProps($A31, $B31, ParametersRange), 1, COLUMN()-2 )</f>
        <v>1.0814083888022332</v>
      </c>
      <c r="L31" s="2" cm="1">
        <f t="array" ref="L31">INDEX( ComputeThermoProps($A31, $B31, ParametersRange), 1, COLUMN()-2 )</f>
        <v>-2.2236002781172122</v>
      </c>
      <c r="M31" s="2" cm="1">
        <f t="array" ref="M31">INDEX( ComputeThermoProps($A31, $B31, ParametersRange), 1, COLUMN()-2 )</f>
        <v>6.5358076711808764</v>
      </c>
      <c r="N31" s="2" cm="1">
        <f t="array" ref="N31">INDEX( ComputeThermoProps($A31, $B31, ParametersRange), 1, COLUMN()-2 )</f>
        <v>-2.2236002781172122</v>
      </c>
      <c r="O31" s="4">
        <f t="shared" si="1"/>
        <v>-65.017325037825529</v>
      </c>
      <c r="P31" s="6">
        <f t="shared" si="2"/>
        <v>-4598.2721570365002</v>
      </c>
    </row>
    <row r="32" spans="1:16" x14ac:dyDescent="0.25">
      <c r="A32" s="2">
        <v>9.1</v>
      </c>
      <c r="B32" s="2">
        <f t="shared" si="0"/>
        <v>1.8960697271628059E-58</v>
      </c>
      <c r="C32" s="2" cm="1">
        <f t="array" ref="C32">INDEX( ComputeThermoProps($A32, $B32, ParametersRange), 1, COLUMN()-2 )</f>
        <v>27.138674774311632</v>
      </c>
      <c r="D32" s="2" cm="1">
        <f t="array" ref="D32">INDEX( ComputeThermoProps($A32, $B32, ParametersRange), 1, COLUMN()-2 )</f>
        <v>3.2522298356933471E-4</v>
      </c>
      <c r="E32" s="2" cm="1">
        <f t="array" ref="E32">INDEX( ComputeThermoProps($A32, $B32, ParametersRange), 1, COLUMN()-2 )</f>
        <v>3.2420590824925542E-4</v>
      </c>
      <c r="F32" s="2" cm="1">
        <f t="array" ref="F32">INDEX( ComputeThermoProps($A32, $B32, ParametersRange), 1, COLUMN()-2 )</f>
        <v>1.3058306914492644E-4</v>
      </c>
      <c r="G32" s="2" cm="1">
        <f t="array" ref="G32">INDEX( ComputeThermoProps($A32, $B32, ParametersRange), 1, COLUMN()-2 )</f>
        <v>4.1404796682191902</v>
      </c>
      <c r="H32" s="2" cm="1">
        <f t="array" ref="H32">INDEX( ComputeThermoProps($A32, $B32, ParametersRange), 1, COLUMN()-2 )</f>
        <v>4.1275310763404178</v>
      </c>
      <c r="I32" s="2" cm="1">
        <f t="array" ref="I32">INDEX( ComputeThermoProps($A32, $B32, ParametersRange), 1, COLUMN()-2 )</f>
        <v>2.6400000000000006</v>
      </c>
      <c r="J32" s="2" cm="1">
        <f t="array" ref="J32">INDEX( ComputeThermoProps($A32, $B32, ParametersRange), 1, COLUMN()-2 )</f>
        <v>10.140252121004083</v>
      </c>
      <c r="K32" s="2" cm="1">
        <f t="array" ref="K32">INDEX( ComputeThermoProps($A32, $B32, ParametersRange), 1, COLUMN()-2 )</f>
        <v>1.4998117182025432</v>
      </c>
      <c r="L32" s="2" cm="1">
        <f t="array" ref="L32">INDEX( ComputeThermoProps($A32, $B32, ParametersRange), 1, COLUMN()-2 )</f>
        <v>-3.5080345146390592</v>
      </c>
      <c r="M32" s="2" cm="1">
        <f t="array" ref="M32">INDEX( ComputeThermoProps($A32, $B32, ParametersRange), 1, COLUMN()-2 )</f>
        <v>10.140252121004083</v>
      </c>
      <c r="N32" s="2" cm="1">
        <f t="array" ref="N32">INDEX( ComputeThermoProps($A32, $B32, ParametersRange), 1, COLUMN()-2 )</f>
        <v>-3.5080345146390592</v>
      </c>
      <c r="O32" s="4">
        <f t="shared" si="1"/>
        <v>-57.722145695708271</v>
      </c>
      <c r="P32" s="6">
        <f t="shared" si="2"/>
        <v>-4594.6677125866772</v>
      </c>
    </row>
    <row r="33" spans="1:16" x14ac:dyDescent="0.25">
      <c r="A33" s="2">
        <v>10.1</v>
      </c>
      <c r="B33" s="2">
        <f t="shared" si="0"/>
        <v>1.3831760238809219E-52</v>
      </c>
      <c r="C33" s="2" cm="1">
        <f t="array" ref="C33">INDEX( ComputeThermoProps($A33, $B33, ParametersRange), 1, COLUMN()-2 )</f>
        <v>27.142702836020113</v>
      </c>
      <c r="D33" s="2" cm="1">
        <f t="array" ref="D33">INDEX( ComputeThermoProps($A33, $B33, ParametersRange), 1, COLUMN()-2 )</f>
        <v>3.2579614233766265E-4</v>
      </c>
      <c r="E33" s="2" cm="1">
        <f t="array" ref="E33">INDEX( ComputeThermoProps($A33, $B33, ParametersRange), 1, COLUMN()-2 )</f>
        <v>3.2435539390872684E-4</v>
      </c>
      <c r="F33" s="2" cm="1">
        <f t="array" ref="F33">INDEX( ComputeThermoProps($A33, $B33, ParametersRange), 1, COLUMN()-2 )</f>
        <v>1.665872387102726E-4</v>
      </c>
      <c r="G33" s="2" cm="1">
        <f t="array" ref="G33">INDEX( ComputeThermoProps($A33, $B33, ParametersRange), 1, COLUMN()-2 )</f>
        <v>5.2804358409210153</v>
      </c>
      <c r="H33" s="2" cm="1">
        <f t="array" ref="H33">INDEX( ComputeThermoProps($A33, $B33, ParametersRange), 1, COLUMN()-2 )</f>
        <v>5.2570844912478245</v>
      </c>
      <c r="I33" s="2" cm="1">
        <f t="array" ref="I33">INDEX( ComputeThermoProps($A33, $B33, ParametersRange), 1, COLUMN()-2 )</f>
        <v>2.6400000000000006</v>
      </c>
      <c r="J33" s="2" cm="1">
        <f t="array" ref="J33">INDEX( ComputeThermoProps($A33, $B33, ParametersRange), 1, COLUMN()-2 )</f>
        <v>14.845377256487845</v>
      </c>
      <c r="K33" s="2" cm="1">
        <f t="array" ref="K33">INDEX( ComputeThermoProps($A33, $B33, ParametersRange), 1, COLUMN()-2 )</f>
        <v>1.9893389229475209</v>
      </c>
      <c r="L33" s="2" cm="1">
        <f t="array" ref="L33">INDEX( ComputeThermoProps($A33, $B33, ParametersRange), 1, COLUMN()-2 )</f>
        <v>-5.2469458652821155</v>
      </c>
      <c r="M33" s="2" cm="1">
        <f t="array" ref="M33">INDEX( ComputeThermoProps($A33, $B33, ParametersRange), 1, COLUMN()-2 )</f>
        <v>14.845377256487845</v>
      </c>
      <c r="N33" s="2" cm="1">
        <f t="array" ref="N33">INDEX( ComputeThermoProps($A33, $B33, ParametersRange), 1, COLUMN()-2 )</f>
        <v>-5.2469458652821155</v>
      </c>
      <c r="O33" s="4">
        <f t="shared" si="1"/>
        <v>-51.859122547775243</v>
      </c>
      <c r="P33" s="6">
        <f t="shared" si="2"/>
        <v>-4589.962587451193</v>
      </c>
    </row>
    <row r="34" spans="1:16" x14ac:dyDescent="0.25">
      <c r="A34" s="2">
        <v>11.1</v>
      </c>
      <c r="B34" s="2">
        <f t="shared" si="0"/>
        <v>9.0881105611916576E-48</v>
      </c>
      <c r="C34" s="2" cm="1">
        <f t="array" ref="C34">INDEX( ComputeThermoProps($A34, $B34, ParametersRange), 1, COLUMN()-2 )</f>
        <v>27.147730988985579</v>
      </c>
      <c r="D34" s="2" cm="1">
        <f t="array" ref="D34">INDEX( ComputeThermoProps($A34, $B34, ParametersRange), 1, COLUMN()-2 )</f>
        <v>3.264824639287658E-4</v>
      </c>
      <c r="E34" s="2" cm="1">
        <f t="array" ref="E34">INDEX( ComputeThermoProps($A34, $B34, ParametersRange), 1, COLUMN()-2 )</f>
        <v>3.2454222733287544E-4</v>
      </c>
      <c r="F34" s="2" cm="1">
        <f t="array" ref="F34">INDEX( ComputeThermoProps($A34, $B34, ParametersRange), 1, COLUMN()-2 )</f>
        <v>2.0401240414698774E-4</v>
      </c>
      <c r="G34" s="2" cm="1">
        <f t="array" ref="G34">INDEX( ComputeThermoProps($A34, $B34, ParametersRange), 1, COLUMN()-2 )</f>
        <v>6.4642027779876736</v>
      </c>
      <c r="H34" s="2" cm="1">
        <f t="array" ref="H34">INDEX( ComputeThermoProps($A34, $B34, ParametersRange), 1, COLUMN()-2 )</f>
        <v>6.4257869848630413</v>
      </c>
      <c r="I34" s="2" cm="1">
        <f t="array" ref="I34">INDEX( ComputeThermoProps($A34, $B34, ParametersRange), 1, COLUMN()-2 )</f>
        <v>2.64</v>
      </c>
      <c r="J34" s="2" cm="1">
        <f t="array" ref="J34">INDEX( ComputeThermoProps($A34, $B34, ParametersRange), 1, COLUMN()-2 )</f>
        <v>20.715651743934593</v>
      </c>
      <c r="K34" s="2" cm="1">
        <f t="array" ref="K34">INDEX( ComputeThermoProps($A34, $B34, ParametersRange), 1, COLUMN()-2 )</f>
        <v>2.5426690648851791</v>
      </c>
      <c r="L34" s="2" cm="1">
        <f t="array" ref="L34">INDEX( ComputeThermoProps($A34, $B34, ParametersRange), 1, COLUMN()-2 )</f>
        <v>-7.5079748762908931</v>
      </c>
      <c r="M34" s="2" cm="1">
        <f t="array" ref="M34">INDEX( ComputeThermoProps($A34, $B34, ParametersRange), 1, COLUMN()-2 )</f>
        <v>20.715651743934593</v>
      </c>
      <c r="N34" s="2" cm="1">
        <f t="array" ref="N34">INDEX( ComputeThermoProps($A34, $B34, ParametersRange), 1, COLUMN()-2 )</f>
        <v>-7.5079748762908931</v>
      </c>
      <c r="O34" s="4">
        <f t="shared" si="1"/>
        <v>-47.041526398201789</v>
      </c>
      <c r="P34" s="6">
        <f t="shared" si="2"/>
        <v>-4584.0923129637467</v>
      </c>
    </row>
    <row r="35" spans="1:16" x14ac:dyDescent="0.25">
      <c r="A35" s="2">
        <v>12.1</v>
      </c>
      <c r="B35" s="2">
        <f t="shared" si="0"/>
        <v>9.7618768364008772E-44</v>
      </c>
      <c r="C35" s="2" cm="1">
        <f t="array" ref="C35">INDEX( ComputeThermoProps($A35, $B35, ParametersRange), 1, COLUMN()-2 )</f>
        <v>27.153782679268698</v>
      </c>
      <c r="D35" s="2" cm="1">
        <f t="array" ref="D35">INDEX( ComputeThermoProps($A35, $B35, ParametersRange), 1, COLUMN()-2 )</f>
        <v>3.2727537154035775E-4</v>
      </c>
      <c r="E35" s="2" cm="1">
        <f t="array" ref="E35">INDEX( ComputeThermoProps($A35, $B35, ParametersRange), 1, COLUMN()-2 )</f>
        <v>3.2476743693630816E-4</v>
      </c>
      <c r="F35" s="2" cm="1">
        <f t="array" ref="F35">INDEX( ComputeThermoProps($A35, $B35, ParametersRange), 1, COLUMN()-2 )</f>
        <v>2.4174329245807248E-4</v>
      </c>
      <c r="G35" s="2" cm="1">
        <f t="array" ref="G35">INDEX( ComputeThermoProps($A35, $B35, ParametersRange), 1, COLUMN()-2 )</f>
        <v>7.6561135486313505</v>
      </c>
      <c r="H35" s="2" cm="1">
        <f t="array" ref="H35">INDEX( ComputeThermoProps($A35, $B35, ParametersRange), 1, COLUMN()-2 )</f>
        <v>7.5974442023534028</v>
      </c>
      <c r="I35" s="2" cm="1">
        <f t="array" ref="I35">INDEX( ComputeThermoProps($A35, $B35, ParametersRange), 1, COLUMN()-2 )</f>
        <v>2.64</v>
      </c>
      <c r="J35" s="2" cm="1">
        <f t="array" ref="J35">INDEX( ComputeThermoProps($A35, $B35, ParametersRange), 1, COLUMN()-2 )</f>
        <v>27.77640369288174</v>
      </c>
      <c r="K35" s="2" cm="1">
        <f t="array" ref="K35">INDEX( ComputeThermoProps($A35, $B35, ParametersRange), 1, COLUMN()-2 )</f>
        <v>3.1509914752217152</v>
      </c>
      <c r="L35" s="2" cm="1">
        <f t="array" ref="L35">INDEX( ComputeThermoProps($A35, $B35, ParametersRange), 1, COLUMN()-2 )</f>
        <v>-10.350593157301013</v>
      </c>
      <c r="M35" s="2" cm="1">
        <f t="array" ref="M35">INDEX( ComputeThermoProps($A35, $B35, ParametersRange), 1, COLUMN()-2 )</f>
        <v>27.77640369288174</v>
      </c>
      <c r="N35" s="2" cm="1">
        <f t="array" ref="N35">INDEX( ComputeThermoProps($A35, $B35, ParametersRange), 1, COLUMN()-2 )</f>
        <v>-10.350593157301013</v>
      </c>
      <c r="O35" s="4">
        <f t="shared" si="1"/>
        <v>-43.01046667604939</v>
      </c>
      <c r="P35" s="6">
        <f t="shared" si="2"/>
        <v>-4577.0315610147991</v>
      </c>
    </row>
    <row r="36" spans="1:16" x14ac:dyDescent="0.25">
      <c r="A36" s="2">
        <v>13.1</v>
      </c>
      <c r="B36" s="2">
        <f t="shared" si="0"/>
        <v>2.5935933347040762E-40</v>
      </c>
      <c r="C36" s="2" cm="1">
        <f t="array" ref="C36">INDEX( ComputeThermoProps($A36, $B36, ParametersRange), 1, COLUMN()-2 )</f>
        <v>27.16085464812479</v>
      </c>
      <c r="D36" s="2" cm="1">
        <f t="array" ref="D36">INDEX( ComputeThermoProps($A36, $B36, ParametersRange), 1, COLUMN()-2 )</f>
        <v>3.2816641718672442E-4</v>
      </c>
      <c r="E36" s="2" cm="1">
        <f t="array" ref="E36">INDEX( ComputeThermoProps($A36, $B36, ParametersRange), 1, COLUMN()-2 )</f>
        <v>3.2503109280264067E-4</v>
      </c>
      <c r="F36" s="2" cm="1">
        <f t="array" ref="F36">INDEX( ComputeThermoProps($A36, $B36, ParametersRange), 1, COLUMN()-2 )</f>
        <v>2.7892172954912826E-4</v>
      </c>
      <c r="G36" s="2" cm="1">
        <f t="array" ref="G36">INDEX( ComputeThermoProps($A36, $B36, ParametersRange), 1, COLUMN()-2 )</f>
        <v>8.8287037882821267</v>
      </c>
      <c r="H36" s="2" cm="1">
        <f t="array" ref="H36">INDEX( ComputeThermoProps($A36, $B36, ParametersRange), 1, COLUMN()-2 )</f>
        <v>8.7443537487364793</v>
      </c>
      <c r="I36" s="2" cm="1">
        <f t="array" ref="I36">INDEX( ComputeThermoProps($A36, $B36, ParametersRange), 1, COLUMN()-2 )</f>
        <v>2.6400000000000006</v>
      </c>
      <c r="J36" s="2" cm="1">
        <f t="array" ref="J36">INDEX( ComputeThermoProps($A36, $B36, ParametersRange), 1, COLUMN()-2 )</f>
        <v>36.021348733704258</v>
      </c>
      <c r="K36" s="2" cm="1">
        <f t="array" ref="K36">INDEX( ComputeThermoProps($A36, $B36, ParametersRange), 1, COLUMN()-2 )</f>
        <v>3.8050783855305572</v>
      </c>
      <c r="L36" s="2" cm="1">
        <f t="array" ref="L36">INDEX( ComputeThermoProps($A36, $B36, ParametersRange), 1, COLUMN()-2 )</f>
        <v>-13.82517811674604</v>
      </c>
      <c r="M36" s="2" cm="1">
        <f t="array" ref="M36">INDEX( ComputeThermoProps($A36, $B36, ParametersRange), 1, COLUMN()-2 )</f>
        <v>36.021348733704258</v>
      </c>
      <c r="N36" s="2" cm="1">
        <f t="array" ref="N36">INDEX( ComputeThermoProps($A36, $B36, ParametersRange), 1, COLUMN()-2 )</f>
        <v>-13.82517811674604</v>
      </c>
      <c r="O36" s="4">
        <f t="shared" si="1"/>
        <v>-39.586098118590932</v>
      </c>
      <c r="P36" s="6">
        <f t="shared" si="2"/>
        <v>-4568.786615973977</v>
      </c>
    </row>
    <row r="37" spans="1:16" x14ac:dyDescent="0.25">
      <c r="A37" s="2">
        <v>14.1</v>
      </c>
      <c r="B37" s="2">
        <f t="shared" si="0"/>
        <v>2.2930283904546229E-37</v>
      </c>
      <c r="C37" s="2" cm="1">
        <f t="array" ref="C37">INDEX( ComputeThermoProps($A37, $B37, ParametersRange), 1, COLUMN()-2 )</f>
        <v>27.168923889668473</v>
      </c>
      <c r="D37" s="2" cm="1">
        <f t="array" ref="D37">INDEX( ComputeThermoProps($A37, $B37, ParametersRange), 1, COLUMN()-2 )</f>
        <v>3.2914653306915739E-4</v>
      </c>
      <c r="E37" s="2" cm="1">
        <f t="array" ref="E37">INDEX( ComputeThermoProps($A37, $B37, ParametersRange), 1, COLUMN()-2 )</f>
        <v>3.2533255858605177E-4</v>
      </c>
      <c r="F37" s="2" cm="1">
        <f t="array" ref="F37">INDEX( ComputeThermoProps($A37, $B37, ParametersRange), 1, COLUMN()-2 )</f>
        <v>3.1493955890008336E-4</v>
      </c>
      <c r="G37" s="2" cm="1">
        <f t="array" ref="G37">INDEX( ComputeThermoProps($A37, $B37, ParametersRange), 1, COLUMN()-2 )</f>
        <v>9.9624968356742567</v>
      </c>
      <c r="H37" s="2" cm="1">
        <f t="array" ref="H37">INDEX( ComputeThermoProps($A37, $B37, ParametersRange), 1, COLUMN()-2 )</f>
        <v>9.8470567355918472</v>
      </c>
      <c r="I37" s="2" cm="1">
        <f t="array" ref="I37">INDEX( ComputeThermoProps($A37, $B37, ParametersRange), 1, COLUMN()-2 )</f>
        <v>2.6399999999999997</v>
      </c>
      <c r="J37" s="2" cm="1">
        <f t="array" ref="J37">INDEX( ComputeThermoProps($A37, $B37, ParametersRange), 1, COLUMN()-2 )</f>
        <v>45.420802797834604</v>
      </c>
      <c r="K37" s="2" cm="1">
        <f t="array" ref="K37">INDEX( ComputeThermoProps($A37, $B37, ParametersRange), 1, COLUMN()-2 )</f>
        <v>4.4960135403236396</v>
      </c>
      <c r="L37" s="2" cm="1">
        <f t="array" ref="L37">INDEX( ComputeThermoProps($A37, $B37, ParametersRange), 1, COLUMN()-2 )</f>
        <v>-17.972988120728715</v>
      </c>
      <c r="M37" s="2" cm="1">
        <f t="array" ref="M37">INDEX( ComputeThermoProps($A37, $B37, ParametersRange), 1, COLUMN()-2 )</f>
        <v>45.420802797834604</v>
      </c>
      <c r="N37" s="2" cm="1">
        <f t="array" ref="N37">INDEX( ComputeThermoProps($A37, $B37, ParametersRange), 1, COLUMN()-2 )</f>
        <v>-17.972988120728715</v>
      </c>
      <c r="O37" s="4">
        <f t="shared" si="1"/>
        <v>-36.639590568147753</v>
      </c>
      <c r="P37" s="6">
        <f t="shared" si="2"/>
        <v>-4559.3871619098463</v>
      </c>
    </row>
    <row r="38" spans="1:16" x14ac:dyDescent="0.25">
      <c r="A38" s="2">
        <v>15.1</v>
      </c>
      <c r="B38" s="2">
        <f t="shared" si="0"/>
        <v>8.3900278409986383E-35</v>
      </c>
      <c r="C38" s="2" cm="1">
        <f t="array" ref="C38">INDEX( ComputeThermoProps($A38, $B38, ParametersRange), 1, COLUMN()-2 )</f>
        <v>27.177953949160333</v>
      </c>
      <c r="D38" s="2" cm="1">
        <f t="array" ref="D38">INDEX( ComputeThermoProps($A38, $B38, ParametersRange), 1, COLUMN()-2 )</f>
        <v>3.3020684011621649E-4</v>
      </c>
      <c r="E38" s="2" cm="1">
        <f t="array" ref="E38">INDEX( ComputeThermoProps($A38, $B38, ParametersRange), 1, COLUMN()-2 )</f>
        <v>3.2567071843679721E-4</v>
      </c>
      <c r="F38" s="2" cm="1">
        <f t="array" ref="F38">INDEX( ComputeThermoProps($A38, $B38, ParametersRange), 1, COLUMN()-2 )</f>
        <v>3.4940177700341939E-4</v>
      </c>
      <c r="G38" s="2" cm="1">
        <f t="array" ref="G38">INDEX( ComputeThermoProps($A38, $B38, ParametersRange), 1, COLUMN()-2 )</f>
        <v>11.044834909933879</v>
      </c>
      <c r="H38" s="2" cm="1">
        <f t="array" ref="H38">INDEX( ComputeThermoProps($A38, $B38, ParametersRange), 1, COLUMN()-2 )</f>
        <v>10.893109660805409</v>
      </c>
      <c r="I38" s="2" cm="1">
        <f t="array" ref="I38">INDEX( ComputeThermoProps($A38, $B38, ParametersRange), 1, COLUMN()-2 )</f>
        <v>2.6399999999999997</v>
      </c>
      <c r="J38" s="2" cm="1">
        <f t="array" ref="J38">INDEX( ComputeThermoProps($A38, $B38, ParametersRange), 1, COLUMN()-2 )</f>
        <v>55.929131243322217</v>
      </c>
      <c r="K38" s="2" cm="1">
        <f t="array" ref="K38">INDEX( ComputeThermoProps($A38, $B38, ParametersRange), 1, COLUMN()-2 )</f>
        <v>5.2156185765928544</v>
      </c>
      <c r="L38" s="2" cm="1">
        <f t="array" ref="L38">INDEX( ComputeThermoProps($A38, $B38, ParametersRange), 1, COLUMN()-2 )</f>
        <v>-22.826709263229883</v>
      </c>
      <c r="M38" s="2" cm="1">
        <f t="array" ref="M38">INDEX( ComputeThermoProps($A38, $B38, ParametersRange), 1, COLUMN()-2 )</f>
        <v>55.929131243322217</v>
      </c>
      <c r="N38" s="2" cm="1">
        <f t="array" ref="N38">INDEX( ComputeThermoProps($A38, $B38, ParametersRange), 1, COLUMN()-2 )</f>
        <v>-22.826709263229883</v>
      </c>
      <c r="O38" s="4">
        <f t="shared" si="1"/>
        <v>-34.076236598030412</v>
      </c>
      <c r="P38" s="6">
        <f t="shared" si="2"/>
        <v>-4548.8788334643586</v>
      </c>
    </row>
    <row r="39" spans="1:16" x14ac:dyDescent="0.25">
      <c r="A39" s="2">
        <v>16.100000000000001</v>
      </c>
      <c r="B39" s="2">
        <f t="shared" si="0"/>
        <v>1.496737248362902E-32</v>
      </c>
      <c r="C39" s="2" cm="1">
        <f t="array" ref="C39">INDEX( ComputeThermoProps($A39, $B39, ParametersRange), 1, COLUMN()-2 )</f>
        <v>27.187900069005849</v>
      </c>
      <c r="D39" s="2" cm="1">
        <f t="array" ref="D39">INDEX( ComputeThermoProps($A39, $B39, ParametersRange), 1, COLUMN()-2 )</f>
        <v>3.3133910840830002E-4</v>
      </c>
      <c r="E39" s="2" cm="1">
        <f t="array" ref="E39">INDEX( ComputeThermoProps($A39, $B39, ParametersRange), 1, COLUMN()-2 )</f>
        <v>3.2604416154018764E-4</v>
      </c>
      <c r="F39" s="2" cm="1">
        <f t="array" ref="F39">INDEX( ComputeThermoProps($A39, $B39, ParametersRange), 1, COLUMN()-2 )</f>
        <v>3.8208094208216621E-4</v>
      </c>
      <c r="G39" s="2" cm="1">
        <f t="array" ref="G39">INDEX( ComputeThermoProps($A39, $B39, ParametersRange), 1, COLUMN()-2 )</f>
        <v>12.06842751474051</v>
      </c>
      <c r="H39" s="2" cm="1">
        <f t="array" ref="H39">INDEX( ComputeThermoProps($A39, $B39, ParametersRange), 1, COLUMN()-2 )</f>
        <v>11.875568655491477</v>
      </c>
      <c r="I39" s="2" cm="1">
        <f t="array" ref="I39">INDEX( ComputeThermoProps($A39, $B39, ParametersRange), 1, COLUMN()-2 )</f>
        <v>2.6400000000000006</v>
      </c>
      <c r="J39" s="2" cm="1">
        <f t="array" ref="J39">INDEX( ComputeThermoProps($A39, $B39, ParametersRange), 1, COLUMN()-2 )</f>
        <v>67.490846822502405</v>
      </c>
      <c r="K39" s="2" cm="1">
        <f t="array" ref="K39">INDEX( ComputeThermoProps($A39, $B39, ParametersRange), 1, COLUMN()-2 )</f>
        <v>5.9566556954510208</v>
      </c>
      <c r="L39" s="2" cm="1">
        <f t="array" ref="L39">INDEX( ComputeThermoProps($A39, $B39, ParametersRange), 1, COLUMN()-2 )</f>
        <v>-28.41130987425904</v>
      </c>
      <c r="M39" s="2" cm="1">
        <f t="array" ref="M39">INDEX( ComputeThermoProps($A39, $B39, ParametersRange), 1, COLUMN()-2 )</f>
        <v>67.490846822502405</v>
      </c>
      <c r="N39" s="2" cm="1">
        <f t="array" ref="N39">INDEX( ComputeThermoProps($A39, $B39, ParametersRange), 1, COLUMN()-2 )</f>
        <v>-28.41130987425904</v>
      </c>
      <c r="O39" s="4">
        <f t="shared" si="1"/>
        <v>-31.824854433191778</v>
      </c>
      <c r="P39" s="6">
        <f t="shared" si="2"/>
        <v>-4537.317117885179</v>
      </c>
    </row>
    <row r="40" spans="1:16" x14ac:dyDescent="0.25">
      <c r="A40" s="2">
        <v>17.100000000000001</v>
      </c>
      <c r="B40" s="2">
        <f t="shared" si="0"/>
        <v>1.4760152875505275E-30</v>
      </c>
      <c r="C40" s="2" cm="1">
        <f t="array" ref="C40">INDEX( ComputeThermoProps($A40, $B40, ParametersRange), 1, COLUMN()-2 )</f>
        <v>27.198713115516966</v>
      </c>
      <c r="D40" s="2" cm="1">
        <f t="array" ref="D40">INDEX( ComputeThermoProps($A40, $B40, ParametersRange), 1, COLUMN()-2 )</f>
        <v>3.3253597593189515E-4</v>
      </c>
      <c r="E40" s="2" cm="1">
        <f t="array" ref="E40">INDEX( ComputeThermoProps($A40, $B40, ParametersRange), 1, COLUMN()-2 )</f>
        <v>3.2645132228108459E-4</v>
      </c>
      <c r="F40" s="2" cm="1">
        <f t="array" ref="F40">INDEX( ComputeThermoProps($A40, $B40, ParametersRange), 1, COLUMN()-2 )</f>
        <v>4.1287386532882825E-4</v>
      </c>
      <c r="G40" s="2" cm="1">
        <f t="array" ref="G40">INDEX( ComputeThermoProps($A40, $B40, ParametersRange), 1, COLUMN()-2 )</f>
        <v>13.029969240578488</v>
      </c>
      <c r="H40" s="2" cm="1">
        <f t="array" ref="H40">INDEX( ComputeThermoProps($A40, $B40, ParametersRange), 1, COLUMN()-2 )</f>
        <v>12.791550375709946</v>
      </c>
      <c r="I40" s="2" cm="1">
        <f t="array" ref="I40">INDEX( ComputeThermoProps($A40, $B40, ParametersRange), 1, COLUMN()-2 )</f>
        <v>2.64</v>
      </c>
      <c r="J40" s="2" cm="1">
        <f t="array" ref="J40">INDEX( ComputeThermoProps($A40, $B40, ParametersRange), 1, COLUMN()-2 )</f>
        <v>80.04527166974944</v>
      </c>
      <c r="K40" s="2" cm="1">
        <f t="array" ref="K40">INDEX( ComputeThermoProps($A40, $B40, ParametersRange), 1, COLUMN()-2 )</f>
        <v>6.7128824391785979</v>
      </c>
      <c r="L40" s="2" cm="1">
        <f t="array" ref="L40">INDEX( ComputeThermoProps($A40, $B40, ParametersRange), 1, COLUMN()-2 )</f>
        <v>-34.745018040204592</v>
      </c>
      <c r="M40" s="2" cm="1">
        <f t="array" ref="M40">INDEX( ComputeThermoProps($A40, $B40, ParametersRange), 1, COLUMN()-2 )</f>
        <v>80.04527166974944</v>
      </c>
      <c r="N40" s="2" cm="1">
        <f t="array" ref="N40">INDEX( ComputeThermoProps($A40, $B40, ParametersRange), 1, COLUMN()-2 )</f>
        <v>-34.745018040204592</v>
      </c>
      <c r="O40" s="4">
        <f t="shared" si="1"/>
        <v>-29.830909144366327</v>
      </c>
      <c r="P40" s="6">
        <f t="shared" si="2"/>
        <v>-4524.762693037932</v>
      </c>
    </row>
    <row r="41" spans="1:16" x14ac:dyDescent="0.25">
      <c r="A41" s="2">
        <v>18.100000000000001</v>
      </c>
      <c r="B41" s="2">
        <f t="shared" si="0"/>
        <v>8.8733148264967226E-29</v>
      </c>
      <c r="C41" s="2" cm="1">
        <f t="array" ref="C41">INDEX( ComputeThermoProps($A41, $B41, ParametersRange), 1, COLUMN()-2 )</f>
        <v>27.210342421553406</v>
      </c>
      <c r="D41" s="2" cm="1">
        <f t="array" ref="D41">INDEX( ComputeThermoProps($A41, $B41, ParametersRange), 1, COLUMN()-2 )</f>
        <v>3.33791014085369E-4</v>
      </c>
      <c r="E41" s="2" cm="1">
        <f t="array" ref="E41">INDEX( ComputeThermoProps($A41, $B41, ParametersRange), 1, COLUMN()-2 )</f>
        <v>3.2689058124470654E-4</v>
      </c>
      <c r="F41" s="2" cm="1">
        <f t="array" ref="F41">INDEX( ComputeThermoProps($A41, $B41, ParametersRange), 1, COLUMN()-2 )</f>
        <v>4.4176512159545126E-4</v>
      </c>
      <c r="G41" s="2" cm="1">
        <f t="array" ref="G41">INDEX( ComputeThermoProps($A41, $B41, ParametersRange), 1, COLUMN()-2 )</f>
        <v>13.928973019717692</v>
      </c>
      <c r="H41" s="2" cm="1">
        <f t="array" ref="H41">INDEX( ComputeThermoProps($A41, $B41, ParametersRange), 1, COLUMN()-2 )</f>
        <v>13.64102056202397</v>
      </c>
      <c r="I41" s="2" cm="1">
        <f t="array" ref="I41">INDEX( ComputeThermoProps($A41, $B41, ParametersRange), 1, COLUMN()-2 )</f>
        <v>2.64</v>
      </c>
      <c r="J41" s="2" cm="1">
        <f t="array" ref="J41">INDEX( ComputeThermoProps($A41, $B41, ParametersRange), 1, COLUMN()-2 )</f>
        <v>93.529918513145574</v>
      </c>
      <c r="K41" s="2" cm="1">
        <f t="array" ref="K41">INDEX( ComputeThermoProps($A41, $B41, ParametersRange), 1, COLUMN()-2 )</f>
        <v>7.4790178983158286</v>
      </c>
      <c r="L41" s="2" cm="1">
        <f t="array" ref="L41">INDEX( ComputeThermoProps($A41, $B41, ParametersRange), 1, COLUMN()-2 )</f>
        <v>-41.840305446370934</v>
      </c>
      <c r="M41" s="2" cm="1">
        <f t="array" ref="M41">INDEX( ComputeThermoProps($A41, $B41, ParametersRange), 1, COLUMN()-2 )</f>
        <v>93.529918513145574</v>
      </c>
      <c r="N41" s="2" cm="1">
        <f t="array" ref="N41">INDEX( ComputeThermoProps($A41, $B41, ParametersRange), 1, COLUMN()-2 )</f>
        <v>-41.840305446370934</v>
      </c>
      <c r="O41" s="4">
        <f t="shared" si="1"/>
        <v>-28.051914109376504</v>
      </c>
      <c r="P41" s="6">
        <f t="shared" si="2"/>
        <v>-4511.2780461945358</v>
      </c>
    </row>
    <row r="42" spans="1:16" x14ac:dyDescent="0.25">
      <c r="A42" s="2">
        <v>19.100000000000001</v>
      </c>
      <c r="B42" s="2">
        <f t="shared" si="0"/>
        <v>3.5133624747090725E-27</v>
      </c>
      <c r="C42" s="2" cm="1">
        <f t="array" ref="C42">INDEX( ComputeThermoProps($A42, $B42, ParametersRange), 1, COLUMN()-2 )</f>
        <v>27.222737749197773</v>
      </c>
      <c r="D42" s="2" cm="1">
        <f t="array" ref="D42">INDEX( ComputeThermoProps($A42, $B42, ParametersRange), 1, COLUMN()-2 )</f>
        <v>3.3509870399706093E-4</v>
      </c>
      <c r="E42" s="2" cm="1">
        <f t="array" ref="E42">INDEX( ComputeThermoProps($A42, $B42, ParametersRange), 1, COLUMN()-2 )</f>
        <v>3.2736033463308969E-4</v>
      </c>
      <c r="F42" s="2" cm="1">
        <f t="array" ref="F42">INDEX( ComputeThermoProps($A42, $B42, ParametersRange), 1, COLUMN()-2 )</f>
        <v>4.6879838331187961E-4</v>
      </c>
      <c r="G42" s="2" cm="1">
        <f t="array" ref="G42">INDEX( ComputeThermoProps($A42, $B42, ParametersRange), 1, COLUMN()-2 )</f>
        <v>14.766851988366881</v>
      </c>
      <c r="H42" s="2" cm="1">
        <f t="array" ref="H42">INDEX( ComputeThermoProps($A42, $B42, ParametersRange), 1, COLUMN()-2 )</f>
        <v>14.425843940093204</v>
      </c>
      <c r="I42" s="2" cm="1">
        <f t="array" ref="I42">INDEX( ComputeThermoProps($A42, $B42, ParametersRange), 1, COLUMN()-2 )</f>
        <v>2.64</v>
      </c>
      <c r="J42" s="2" cm="1">
        <f t="array" ref="J42">INDEX( ComputeThermoProps($A42, $B42, ParametersRange), 1, COLUMN()-2 )</f>
        <v>107.88282956899721</v>
      </c>
      <c r="K42" s="2" cm="1">
        <f t="array" ref="K42">INDEX( ComputeThermoProps($A42, $B42, ParametersRange), 1, COLUMN()-2 )</f>
        <v>8.2506618147325295</v>
      </c>
      <c r="L42" s="2" cm="1">
        <f t="array" ref="L42">INDEX( ComputeThermoProps($A42, $B42, ParametersRange), 1, COLUMN()-2 )</f>
        <v>-49.704811092394117</v>
      </c>
      <c r="M42" s="2" cm="1">
        <f t="array" ref="M42">INDEX( ComputeThermoProps($A42, $B42, ParametersRange), 1, COLUMN()-2 )</f>
        <v>107.88282956899721</v>
      </c>
      <c r="N42" s="2" cm="1">
        <f t="array" ref="N42">INDEX( ComputeThermoProps($A42, $B42, ParametersRange), 1, COLUMN()-2 )</f>
        <v>-49.704811092394117</v>
      </c>
      <c r="O42" s="4">
        <f t="shared" si="1"/>
        <v>-26.454277041598488</v>
      </c>
      <c r="P42" s="6">
        <f t="shared" si="2"/>
        <v>-4496.9251351386838</v>
      </c>
    </row>
    <row r="43" spans="1:16" x14ac:dyDescent="0.25">
      <c r="A43" s="2">
        <v>20.100000000000001</v>
      </c>
      <c r="B43" s="2">
        <f t="shared" si="0"/>
        <v>9.7479321469378841E-26</v>
      </c>
      <c r="C43" s="2" cm="1">
        <f t="array" ref="C43">INDEX( ComputeThermoProps($A43, $B43, ParametersRange), 1, COLUMN()-2 )</f>
        <v>27.23585057789408</v>
      </c>
      <c r="D43" s="2" cm="1">
        <f t="array" ref="D43">INDEX( ComputeThermoProps($A43, $B43, ParametersRange), 1, COLUMN()-2 )</f>
        <v>3.3645436626555985E-4</v>
      </c>
      <c r="E43" s="2" cm="1">
        <f t="array" ref="E43">INDEX( ComputeThermoProps($A43, $B43, ParametersRange), 1, COLUMN()-2 )</f>
        <v>3.2785903961300245E-4</v>
      </c>
      <c r="F43" s="2" cm="1">
        <f t="array" ref="F43">INDEX( ComputeThermoProps($A43, $B43, ParametersRange), 1, COLUMN()-2 )</f>
        <v>4.9405493233797284E-4</v>
      </c>
      <c r="G43" s="2" cm="1">
        <f t="array" ref="G43">INDEX( ComputeThermoProps($A43, $B43, ParametersRange), 1, COLUMN()-2 )</f>
        <v>15.54623015676208</v>
      </c>
      <c r="H43" s="2" cm="1">
        <f t="array" ref="H43">INDEX( ComputeThermoProps($A43, $B43, ParametersRange), 1, COLUMN()-2 )</f>
        <v>15.149073989950026</v>
      </c>
      <c r="I43" s="2" cm="1">
        <f t="array" ref="I43">INDEX( ComputeThermoProps($A43, $B43, ParametersRange), 1, COLUMN()-2 )</f>
        <v>2.6399999999999997</v>
      </c>
      <c r="J43" s="2" cm="1">
        <f t="array" ref="J43">INDEX( ComputeThermoProps($A43, $B43, ParametersRange), 1, COLUMN()-2 )</f>
        <v>123.04411451332194</v>
      </c>
      <c r="K43" s="2" cm="1">
        <f t="array" ref="K43">INDEX( ComputeThermoProps($A43, $B43, ParametersRange), 1, COLUMN()-2 )</f>
        <v>9.024193370086099</v>
      </c>
      <c r="L43" s="2" cm="1">
        <f t="array" ref="L43">INDEX( ComputeThermoProps($A43, $B43, ParametersRange), 1, COLUMN()-2 )</f>
        <v>-58.34217222540866</v>
      </c>
      <c r="M43" s="2" cm="1">
        <f t="array" ref="M43">INDEX( ComputeThermoProps($A43, $B43, ParametersRange), 1, COLUMN()-2 )</f>
        <v>123.04411451332194</v>
      </c>
      <c r="N43" s="2" cm="1">
        <f t="array" ref="N43">INDEX( ComputeThermoProps($A43, $B43, ParametersRange), 1, COLUMN()-2 )</f>
        <v>-58.34217222540866</v>
      </c>
      <c r="O43" s="4">
        <f t="shared" si="1"/>
        <v>-25.011087502498498</v>
      </c>
      <c r="P43" s="6">
        <f t="shared" si="2"/>
        <v>-4481.7638501943593</v>
      </c>
    </row>
    <row r="44" spans="1:16" x14ac:dyDescent="0.25">
      <c r="A44" s="2">
        <v>21.1</v>
      </c>
      <c r="B44" s="2">
        <f t="shared" si="0"/>
        <v>1.992812517338756E-24</v>
      </c>
      <c r="C44" s="2" cm="1">
        <f t="array" ref="C44">INDEX( ComputeThermoProps($A44, $B44, ParametersRange), 1, COLUMN()-2 )</f>
        <v>27.249634896098058</v>
      </c>
      <c r="D44" s="2" cm="1">
        <f t="array" ref="D44">INDEX( ComputeThermoProps($A44, $B44, ParametersRange), 1, COLUMN()-2 )</f>
        <v>3.3785407075204778E-4</v>
      </c>
      <c r="E44" s="2" cm="1">
        <f t="array" ref="E44">INDEX( ComputeThermoProps($A44, $B44, ParametersRange), 1, COLUMN()-2 )</f>
        <v>3.283852420518034E-4</v>
      </c>
      <c r="F44" s="2" cm="1">
        <f t="array" ref="F44">INDEX( ComputeThermoProps($A44, $B44, ParametersRange), 1, COLUMN()-2 )</f>
        <v>5.1763811423835538E-4</v>
      </c>
      <c r="G44" s="2" cm="1">
        <f t="array" ref="G44">INDEX( ComputeThermoProps($A44, $B44, ParametersRange), 1, COLUMN()-2 )</f>
        <v>16.270442934699869</v>
      </c>
      <c r="H44" s="2" cm="1">
        <f t="array" ref="H44">INDEX( ComputeThermoProps($A44, $B44, ParametersRange), 1, COLUMN()-2 )</f>
        <v>15.814441215724456</v>
      </c>
      <c r="I44" s="2" cm="1">
        <f t="array" ref="I44">INDEX( ComputeThermoProps($A44, $B44, ParametersRange), 1, COLUMN()-2 )</f>
        <v>2.6399999999999997</v>
      </c>
      <c r="J44" s="2" cm="1">
        <f t="array" ref="J44">INDEX( ComputeThermoProps($A44, $B44, ParametersRange), 1, COLUMN()-2 )</f>
        <v>138.95689756425296</v>
      </c>
      <c r="K44" s="2" cm="1">
        <f t="array" ref="K44">INDEX( ComputeThermoProps($A44, $B44, ParametersRange), 1, COLUMN()-2 )</f>
        <v>9.7966658075815154</v>
      </c>
      <c r="L44" s="2" cm="1">
        <f t="array" ref="L44">INDEX( ComputeThermoProps($A44, $B44, ParametersRange), 1, COLUMN()-2 )</f>
        <v>-67.752750975717035</v>
      </c>
      <c r="M44" s="2" cm="1">
        <f t="array" ref="M44">INDEX( ComputeThermoProps($A44, $B44, ParametersRange), 1, COLUMN()-2 )</f>
        <v>138.95689756425296</v>
      </c>
      <c r="N44" s="2" cm="1">
        <f t="array" ref="N44">INDEX( ComputeThermoProps($A44, $B44, ParametersRange), 1, COLUMN()-2 )</f>
        <v>-67.752750975717035</v>
      </c>
      <c r="O44" s="4">
        <f t="shared" si="1"/>
        <v>-23.70053355755401</v>
      </c>
      <c r="P44" s="6">
        <f t="shared" si="2"/>
        <v>-4465.8510671434278</v>
      </c>
    </row>
    <row r="45" spans="1:16" x14ac:dyDescent="0.25">
      <c r="A45" s="2">
        <v>22.1</v>
      </c>
      <c r="B45" s="2">
        <f t="shared" si="0"/>
        <v>3.1278916493759658E-23</v>
      </c>
      <c r="C45" s="2" cm="1">
        <f t="array" ref="C45">INDEX( ComputeThermoProps($A45, $B45, ParametersRange), 1, COLUMN()-2 )</f>
        <v>27.264047639164168</v>
      </c>
      <c r="D45" s="2" cm="1">
        <f t="array" ref="D45">INDEX( ComputeThermoProps($A45, $B45, ParametersRange), 1, COLUMN()-2 )</f>
        <v>3.3929454201246217E-4</v>
      </c>
      <c r="E45" s="2" cm="1">
        <f t="array" ref="E45">INDEX( ComputeThermoProps($A45, $B45, ParametersRange), 1, COLUMN()-2 )</f>
        <v>3.2893759177673966E-4</v>
      </c>
      <c r="F45" s="2" cm="1">
        <f t="array" ref="F45">INDEX( ComputeThermoProps($A45, $B45, ParametersRange), 1, COLUMN()-2 )</f>
        <v>5.3966242482310887E-4</v>
      </c>
      <c r="G45" s="2" cm="1">
        <f t="array" ref="G45">INDEX( ComputeThermoProps($A45, $B45, ParametersRange), 1, COLUMN()-2 )</f>
        <v>16.943185939888565</v>
      </c>
      <c r="H45" s="2" cm="1">
        <f t="array" ref="H45">INDEX( ComputeThermoProps($A45, $B45, ParametersRange), 1, COLUMN()-2 )</f>
        <v>16.425995971039686</v>
      </c>
      <c r="I45" s="2" cm="1">
        <f t="array" ref="I45">INDEX( ComputeThermoProps($A45, $B45, ParametersRange), 1, COLUMN()-2 )</f>
        <v>2.64</v>
      </c>
      <c r="J45" s="2" cm="1">
        <f t="array" ref="J45">INDEX( ComputeThermoProps($A45, $B45, ParametersRange), 1, COLUMN()-2 )</f>
        <v>155.56784256184309</v>
      </c>
      <c r="K45" s="2" cm="1">
        <f t="array" ref="K45">INDEX( ComputeThermoProps($A45, $B45, ParametersRange), 1, COLUMN()-2 )</f>
        <v>10.565705885328761</v>
      </c>
      <c r="L45" s="2" cm="1">
        <f t="array" ref="L45">INDEX( ComputeThermoProps($A45, $B45, ParametersRange), 1, COLUMN()-2 )</f>
        <v>-77.934257503922538</v>
      </c>
      <c r="M45" s="2" cm="1">
        <f t="array" ref="M45">INDEX( ComputeThermoProps($A45, $B45, ParametersRange), 1, COLUMN()-2 )</f>
        <v>155.56784256184309</v>
      </c>
      <c r="N45" s="2" cm="1">
        <f t="array" ref="N45">INDEX( ComputeThermoProps($A45, $B45, ParametersRange), 1, COLUMN()-2 )</f>
        <v>-77.934257503922538</v>
      </c>
      <c r="O45" s="4">
        <f t="shared" si="1"/>
        <v>-22.504748299375979</v>
      </c>
      <c r="P45" s="6">
        <f t="shared" si="2"/>
        <v>-4449.2401221458376</v>
      </c>
    </row>
    <row r="46" spans="1:16" x14ac:dyDescent="0.25">
      <c r="A46" s="2">
        <v>23.1</v>
      </c>
      <c r="B46" s="2">
        <f t="shared" si="0"/>
        <v>3.8998151738932483E-22</v>
      </c>
      <c r="C46" s="2" cm="1">
        <f t="array" ref="C46">INDEX( ComputeThermoProps($A46, $B46, ParametersRange), 1, COLUMN()-2 )</f>
        <v>27.27904888247172</v>
      </c>
      <c r="D46" s="2" cm="1">
        <f t="array" ref="D46">INDEX( ComputeThermoProps($A46, $B46, ParametersRange), 1, COLUMN()-2 )</f>
        <v>3.4077306890699556E-4</v>
      </c>
      <c r="E46" s="2" cm="1">
        <f t="array" ref="E46">INDEX( ComputeThermoProps($A46, $B46, ParametersRange), 1, COLUMN()-2 )</f>
        <v>3.2951484925437742E-4</v>
      </c>
      <c r="F46" s="2" cm="1">
        <f t="array" ref="F46">INDEX( ComputeThermoProps($A46, $B46, ParametersRange), 1, COLUMN()-2 )</f>
        <v>5.6024607227025665E-4</v>
      </c>
      <c r="G46" s="2" cm="1">
        <f t="array" ref="G46">INDEX( ComputeThermoProps($A46, $B46, ParametersRange), 1, COLUMN()-2 )</f>
        <v>17.568275255888334</v>
      </c>
      <c r="H46" s="2" cm="1">
        <f t="array" ref="H46">INDEX( ComputeThermoProps($A46, $B46, ParametersRange), 1, COLUMN()-2 )</f>
        <v>16.987867002434399</v>
      </c>
      <c r="I46" s="2" cm="1">
        <f t="array" ref="I46">INDEX( ComputeThermoProps($A46, $B46, ParametersRange), 1, COLUMN()-2 )</f>
        <v>2.6399999999999997</v>
      </c>
      <c r="J46" s="2" cm="1">
        <f t="array" ref="J46">INDEX( ComputeThermoProps($A46, $B46, ParametersRange), 1, COLUMN()-2 )</f>
        <v>172.8273853798211</v>
      </c>
      <c r="K46" s="2" cm="1">
        <f t="array" ref="K46">INDEX( ComputeThermoProps($A46, $B46, ParametersRange), 1, COLUMN()-2 )</f>
        <v>11.329422614190404</v>
      </c>
      <c r="L46" s="2" cm="1">
        <f t="array" ref="L46">INDEX( ComputeThermoProps($A46, $B46, ParametersRange), 1, COLUMN()-2 )</f>
        <v>-88.882277007977265</v>
      </c>
      <c r="M46" s="2" cm="1">
        <f t="array" ref="M46">INDEX( ComputeThermoProps($A46, $B46, ParametersRange), 1, COLUMN()-2 )</f>
        <v>172.8273853798211</v>
      </c>
      <c r="N46" s="2" cm="1">
        <f t="array" ref="N46">INDEX( ComputeThermoProps($A46, $B46, ParametersRange), 1, COLUMN()-2 )</f>
        <v>-88.882277007977265</v>
      </c>
      <c r="O46" s="4">
        <f t="shared" si="1"/>
        <v>-21.408955975245387</v>
      </c>
      <c r="P46" s="6">
        <f t="shared" si="2"/>
        <v>-4431.9805793278601</v>
      </c>
    </row>
    <row r="47" spans="1:16" x14ac:dyDescent="0.25">
      <c r="A47" s="2">
        <v>24.1</v>
      </c>
      <c r="B47" s="2">
        <f t="shared" si="0"/>
        <v>3.9734641861544843E-21</v>
      </c>
      <c r="C47" s="2" cm="1">
        <f t="array" ref="C47">INDEX( ComputeThermoProps($A47, $B47, ParametersRange), 1, COLUMN()-2 )</f>
        <v>27.294601870352381</v>
      </c>
      <c r="D47" s="2" cm="1">
        <f t="array" ref="D47">INDEX( ComputeThermoProps($A47, $B47, ParametersRange), 1, COLUMN()-2 )</f>
        <v>3.4228742250355513E-4</v>
      </c>
      <c r="E47" s="2" cm="1">
        <f t="array" ref="E47">INDEX( ComputeThermoProps($A47, $B47, ParametersRange), 1, COLUMN()-2 )</f>
        <v>3.3011588655241131E-4</v>
      </c>
      <c r="F47" s="2" cm="1">
        <f t="array" ref="F47">INDEX( ComputeThermoProps($A47, $B47, ParametersRange), 1, COLUMN()-2 )</f>
        <v>5.7950607340190243E-4</v>
      </c>
      <c r="G47" s="2" cm="1">
        <f t="array" ref="G47">INDEX( ComputeThermoProps($A47, $B47, ParametersRange), 1, COLUMN()-2 )</f>
        <v>18.14948908542269</v>
      </c>
      <c r="H47" s="2" cm="1">
        <f t="array" ref="H47">INDEX( ComputeThermoProps($A47, $B47, ParametersRange), 1, COLUMN()-2 )</f>
        <v>17.504104112517879</v>
      </c>
      <c r="I47" s="2" cm="1">
        <f t="array" ref="I47">INDEX( ComputeThermoProps($A47, $B47, ParametersRange), 1, COLUMN()-2 )</f>
        <v>2.64</v>
      </c>
      <c r="J47" s="2" cm="1">
        <f t="array" ref="J47">INDEX( ComputeThermoProps($A47, $B47, ParametersRange), 1, COLUMN()-2 )</f>
        <v>190.68976949999475</v>
      </c>
      <c r="K47" s="2" cm="1">
        <f t="array" ref="K47">INDEX( ComputeThermoProps($A47, $B47, ParametersRange), 1, COLUMN()-2 )</f>
        <v>12.086326987636742</v>
      </c>
      <c r="L47" s="2" cm="1">
        <f t="array" ref="L47">INDEX( ComputeThermoProps($A47, $B47, ParametersRange), 1, COLUMN()-2 )</f>
        <v>-100.59071090205074</v>
      </c>
      <c r="M47" s="2" cm="1">
        <f t="array" ref="M47">INDEX( ComputeThermoProps($A47, $B47, ParametersRange), 1, COLUMN()-2 )</f>
        <v>190.68976949999475</v>
      </c>
      <c r="N47" s="2" cm="1">
        <f t="array" ref="N47">INDEX( ComputeThermoProps($A47, $B47, ParametersRange), 1, COLUMN()-2 )</f>
        <v>-100.59071090205074</v>
      </c>
      <c r="O47" s="4">
        <f t="shared" si="1"/>
        <v>-20.400830697036312</v>
      </c>
      <c r="P47" s="6">
        <f t="shared" si="2"/>
        <v>-4414.1181952076868</v>
      </c>
    </row>
    <row r="48" spans="1:16" x14ac:dyDescent="0.25">
      <c r="A48" s="2">
        <v>25.1</v>
      </c>
      <c r="B48" s="2">
        <f t="shared" si="0"/>
        <v>3.3883756523597376E-20</v>
      </c>
      <c r="C48" s="2" cm="1">
        <f t="array" ref="C48">INDEX( ComputeThermoProps($A48, $B48, ParametersRange), 1, COLUMN()-2 )</f>
        <v>27.31067293889031</v>
      </c>
      <c r="D48" s="2" cm="1">
        <f t="array" ref="D48">INDEX( ComputeThermoProps($A48, $B48, ParametersRange), 1, COLUMN()-2 )</f>
        <v>3.4383578381619296E-4</v>
      </c>
      <c r="E48" s="2" cm="1">
        <f t="array" ref="E48">INDEX( ComputeThermoProps($A48, $B48, ParametersRange), 1, COLUMN()-2 )</f>
        <v>3.3073968463477062E-4</v>
      </c>
      <c r="F48" s="2" cm="1">
        <f t="array" ref="F48">INDEX( ComputeThermoProps($A48, $B48, ParametersRange), 1, COLUMN()-2 )</f>
        <v>5.9755515753692106E-4</v>
      </c>
      <c r="G48" s="2" cm="1">
        <f t="array" ref="G48">INDEX( ComputeThermoProps($A48, $B48, ParametersRange), 1, COLUMN()-2 )</f>
        <v>18.690467555138287</v>
      </c>
      <c r="H48" s="2" cm="1">
        <f t="array" ref="H48">INDEX( ComputeThermoProps($A48, $B48, ParametersRange), 1, COLUMN()-2 )</f>
        <v>17.978580577777908</v>
      </c>
      <c r="I48" s="2" cm="1">
        <f t="array" ref="I48">INDEX( ComputeThermoProps($A48, $B48, ParametersRange), 1, COLUMN()-2 )</f>
        <v>2.64</v>
      </c>
      <c r="J48" s="2" cm="1">
        <f t="array" ref="J48">INDEX( ComputeThermoProps($A48, $B48, ParametersRange), 1, COLUMN()-2 )</f>
        <v>209.11295399422553</v>
      </c>
      <c r="K48" s="2" cm="1">
        <f t="array" ref="K48">INDEX( ComputeThermoProps($A48, $B48, ParametersRange), 1, COLUMN()-2 )</f>
        <v>12.835262841271113</v>
      </c>
      <c r="L48" s="2" cm="1">
        <f t="array" ref="L48">INDEX( ComputeThermoProps($A48, $B48, ParametersRange), 1, COLUMN()-2 )</f>
        <v>-113.05214332167942</v>
      </c>
      <c r="M48" s="2" cm="1">
        <f t="array" ref="M48">INDEX( ComputeThermoProps($A48, $B48, ParametersRange), 1, COLUMN()-2 )</f>
        <v>209.11295399422553</v>
      </c>
      <c r="N48" s="2" cm="1">
        <f t="array" ref="N48">INDEX( ComputeThermoProps($A48, $B48, ParametersRange), 1, COLUMN()-2 )</f>
        <v>-113.05214332167942</v>
      </c>
      <c r="O48" s="4">
        <f t="shared" si="1"/>
        <v>-19.470008447602503</v>
      </c>
      <c r="P48" s="6">
        <f t="shared" si="2"/>
        <v>-4395.6950107134553</v>
      </c>
    </row>
    <row r="49" spans="1:16" x14ac:dyDescent="0.25">
      <c r="A49" s="2">
        <v>26.1</v>
      </c>
      <c r="B49" s="2">
        <f t="shared" si="0"/>
        <v>2.46767936998887E-19</v>
      </c>
      <c r="C49" s="2" cm="1">
        <f t="array" ref="C49">INDEX( ComputeThermoProps($A49, $B49, ParametersRange), 1, COLUMN()-2 )</f>
        <v>27.327231373606708</v>
      </c>
      <c r="D49" s="2" cm="1">
        <f t="array" ref="D49">INDEX( ComputeThermoProps($A49, $B49, ParametersRange), 1, COLUMN()-2 )</f>
        <v>3.4541668149822729E-4</v>
      </c>
      <c r="E49" s="2" cm="1">
        <f t="array" ref="E49">INDEX( ComputeThermoProps($A49, $B49, ParametersRange), 1, COLUMN()-2 )</f>
        <v>3.3138532842988145E-4</v>
      </c>
      <c r="F49" s="2" cm="1">
        <f t="array" ref="F49">INDEX( ComputeThermoProps($A49, $B49, ParametersRange), 1, COLUMN()-2 )</f>
        <v>6.1449993577712995E-4</v>
      </c>
      <c r="G49" s="2" cm="1">
        <f t="array" ref="G49">INDEX( ComputeThermoProps($A49, $B49, ParametersRange), 1, COLUMN()-2 )</f>
        <v>19.194653295363842</v>
      </c>
      <c r="H49" s="2" cm="1">
        <f t="array" ref="H49">INDEX( ComputeThermoProps($A49, $B49, ParametersRange), 1, COLUMN()-2 )</f>
        <v>18.414937167458419</v>
      </c>
      <c r="I49" s="2" cm="1">
        <f t="array" ref="I49">INDEX( ComputeThermoProps($A49, $B49, ParametersRange), 1, COLUMN()-2 )</f>
        <v>2.64</v>
      </c>
      <c r="J49" s="2" cm="1">
        <f t="array" ref="J49">INDEX( ComputeThermoProps($A49, $B49, ParametersRange), 1, COLUMN()-2 )</f>
        <v>228.05844293405718</v>
      </c>
      <c r="K49" s="2" cm="1">
        <f t="array" ref="K49">INDEX( ComputeThermoProps($A49, $B49, ParametersRange), 1, COLUMN()-2 )</f>
        <v>13.575348150185881</v>
      </c>
      <c r="L49" s="2" cm="1">
        <f t="array" ref="L49">INDEX( ComputeThermoProps($A49, $B49, ParametersRange), 1, COLUMN()-2 )</f>
        <v>-126.25814378579435</v>
      </c>
      <c r="M49" s="2" cm="1">
        <f t="array" ref="M49">INDEX( ComputeThermoProps($A49, $B49, ParametersRange), 1, COLUMN()-2 )</f>
        <v>228.05844293405718</v>
      </c>
      <c r="N49" s="2" cm="1">
        <f t="array" ref="N49">INDEX( ComputeThermoProps($A49, $B49, ParametersRange), 1, COLUMN()-2 )</f>
        <v>-126.25814378579435</v>
      </c>
      <c r="O49" s="4">
        <f t="shared" si="1"/>
        <v>-18.607711269634962</v>
      </c>
      <c r="P49" s="6">
        <f t="shared" si="2"/>
        <v>-4376.7495217736241</v>
      </c>
    </row>
    <row r="50" spans="1:16" x14ac:dyDescent="0.25">
      <c r="A50" s="2">
        <v>27.1</v>
      </c>
      <c r="B50" s="2">
        <f t="shared" si="0"/>
        <v>1.5615120501902452E-18</v>
      </c>
      <c r="C50" s="2" cm="1">
        <f t="array" ref="C50">INDEX( ComputeThermoProps($A50, $B50, ParametersRange), 1, COLUMN()-2 )</f>
        <v>27.344249230445058</v>
      </c>
      <c r="D50" s="2" cm="1">
        <f t="array" ref="D50">INDEX( ComputeThermoProps($A50, $B50, ParametersRange), 1, COLUMN()-2 )</f>
        <v>3.4702893881915988E-4</v>
      </c>
      <c r="E50" s="2" cm="1">
        <f t="array" ref="E50">INDEX( ComputeThermoProps($A50, $B50, ParametersRange), 1, COLUMN()-2 )</f>
        <v>3.3205200066369593E-4</v>
      </c>
      <c r="F50" s="2" cm="1">
        <f t="array" ref="F50">INDEX( ComputeThermoProps($A50, $B50, ParametersRange), 1, COLUMN()-2 )</f>
        <v>6.304399376857306E-4</v>
      </c>
      <c r="G50" s="2" cm="1">
        <f t="array" ref="G50">INDEX( ComputeThermoProps($A50, $B50, ParametersRange), 1, COLUMN()-2 )</f>
        <v>19.665260016832249</v>
      </c>
      <c r="H50" s="2" cm="1">
        <f t="array" ref="H50">INDEX( ComputeThermoProps($A50, $B50, ParametersRange), 1, COLUMN()-2 )</f>
        <v>18.816554476350813</v>
      </c>
      <c r="I50" s="2" cm="1">
        <f t="array" ref="I50">INDEX( ComputeThermoProps($A50, $B50, ParametersRange), 1, COLUMN()-2 )</f>
        <v>2.64</v>
      </c>
      <c r="J50" s="2" cm="1">
        <f t="array" ref="J50">INDEX( ComputeThermoProps($A50, $B50, ParametersRange), 1, COLUMN()-2 )</f>
        <v>247.49107027630225</v>
      </c>
      <c r="K50" s="2" cm="1">
        <f t="array" ref="K50">INDEX( ComputeThermoProps($A50, $B50, ParametersRange), 1, COLUMN()-2 )</f>
        <v>14.305925690490193</v>
      </c>
      <c r="L50" s="2" cm="1">
        <f t="array" ref="L50">INDEX( ComputeThermoProps($A50, $B50, ParametersRange), 1, COLUMN()-2 )</f>
        <v>-140.19951593598199</v>
      </c>
      <c r="M50" s="2" cm="1">
        <f t="array" ref="M50">INDEX( ComputeThermoProps($A50, $B50, ParametersRange), 1, COLUMN()-2 )</f>
        <v>247.49107027630225</v>
      </c>
      <c r="N50" s="2" cm="1">
        <f t="array" ref="N50">INDEX( ComputeThermoProps($A50, $B50, ParametersRange), 1, COLUMN()-2 )</f>
        <v>-140.19951593598199</v>
      </c>
      <c r="O50" s="4">
        <f t="shared" si="1"/>
        <v>-17.806454659969845</v>
      </c>
      <c r="P50" s="6">
        <f t="shared" si="2"/>
        <v>-4357.3168944313784</v>
      </c>
    </row>
    <row r="51" spans="1:16" x14ac:dyDescent="0.25">
      <c r="A51" s="2">
        <v>28.1</v>
      </c>
      <c r="B51" s="2">
        <f t="shared" si="0"/>
        <v>8.7132978107873615E-18</v>
      </c>
      <c r="C51" s="2" cm="1">
        <f t="array" ref="C51">INDEX( ComputeThermoProps($A51, $B51, ParametersRange), 1, COLUMN()-2 )</f>
        <v>27.361701139352704</v>
      </c>
      <c r="D51" s="2" cm="1">
        <f t="array" ref="D51">INDEX( ComputeThermoProps($A51, $B51, ParametersRange), 1, COLUMN()-2 )</f>
        <v>3.4867162897710618E-4</v>
      </c>
      <c r="E51" s="2" cm="1">
        <f t="array" ref="E51">INDEX( ComputeThermoProps($A51, $B51, ParametersRange), 1, COLUMN()-2 )</f>
        <v>3.327389751264689E-4</v>
      </c>
      <c r="F51" s="2" cm="1">
        <f t="array" ref="F51">INDEX( ComputeThermoProps($A51, $B51, ParametersRange), 1, COLUMN()-2 )</f>
        <v>6.4546723177795679E-4</v>
      </c>
      <c r="G51" s="2" cm="1">
        <f t="array" ref="G51">INDEX( ComputeThermoProps($A51, $B51, ParametersRange), 1, COLUMN()-2 )</f>
        <v>20.105259964184562</v>
      </c>
      <c r="H51" s="2" cm="1">
        <f t="array" ref="H51">INDEX( ComputeThermoProps($A51, $B51, ParametersRange), 1, COLUMN()-2 )</f>
        <v>19.186544126804339</v>
      </c>
      <c r="I51" s="2" cm="1">
        <f t="array" ref="I51">INDEX( ComputeThermoProps($A51, $B51, ParametersRange), 1, COLUMN()-2 )</f>
        <v>2.64</v>
      </c>
      <c r="J51" s="2" cm="1">
        <f t="array" ref="J51">INDEX( ComputeThermoProps($A51, $B51, ParametersRange), 1, COLUMN()-2 )</f>
        <v>267.37876340427266</v>
      </c>
      <c r="K51" s="2" cm="1">
        <f t="array" ref="K51">INDEX( ComputeThermoProps($A51, $B51, ParametersRange), 1, COLUMN()-2 )</f>
        <v>15.026521869247473</v>
      </c>
      <c r="L51" s="2" cm="1">
        <f t="array" ref="L51">INDEX( ComputeThermoProps($A51, $B51, ParametersRange), 1, COLUMN()-2 )</f>
        <v>-154.86650112158134</v>
      </c>
      <c r="M51" s="2" cm="1">
        <f t="array" ref="M51">INDEX( ComputeThermoProps($A51, $B51, ParametersRange), 1, COLUMN()-2 )</f>
        <v>267.37876340427266</v>
      </c>
      <c r="N51" s="2" cm="1">
        <f t="array" ref="N51">INDEX( ComputeThermoProps($A51, $B51, ParametersRange), 1, COLUMN()-2 )</f>
        <v>-154.86650112158134</v>
      </c>
      <c r="O51" s="4">
        <f t="shared" si="1"/>
        <v>-17.059817442011916</v>
      </c>
      <c r="P51" s="6">
        <f t="shared" si="2"/>
        <v>-4337.4292013034083</v>
      </c>
    </row>
    <row r="52" spans="1:16" x14ac:dyDescent="0.25">
      <c r="A52" s="2">
        <v>29.1</v>
      </c>
      <c r="B52" s="2">
        <f t="shared" si="0"/>
        <v>4.3425108559581904E-17</v>
      </c>
      <c r="C52" s="2" cm="1">
        <f t="array" ref="C52">INDEX( ComputeThermoProps($A52, $B52, ParametersRange), 1, COLUMN()-2 )</f>
        <v>27.379564103258883</v>
      </c>
      <c r="D52" s="2" cm="1">
        <f t="array" ref="D52">INDEX( ComputeThermoProps($A52, $B52, ParametersRange), 1, COLUMN()-2 )</f>
        <v>3.5034403764744657E-4</v>
      </c>
      <c r="E52" s="2" cm="1">
        <f t="array" ref="E52">INDEX( ComputeThermoProps($A52, $B52, ParametersRange), 1, COLUMN()-2 )</f>
        <v>3.3344560981386377E-4</v>
      </c>
      <c r="F52" s="2" cm="1">
        <f t="array" ref="F52">INDEX( ComputeThermoProps($A52, $B52, ParametersRange), 1, COLUMN()-2 )</f>
        <v>6.5966642698069803E-4</v>
      </c>
      <c r="G52" s="2" cm="1">
        <f t="array" ref="G52">INDEX( ComputeThermoProps($A52, $B52, ParametersRange), 1, COLUMN()-2 )</f>
        <v>20.517383714152654</v>
      </c>
      <c r="H52" s="2" cm="1">
        <f t="array" ref="H52">INDEX( ComputeThermoProps($A52, $B52, ParametersRange), 1, COLUMN()-2 )</f>
        <v>19.527752121288405</v>
      </c>
      <c r="I52" s="2" cm="1">
        <f t="array" ref="I52">INDEX( ComputeThermoProps($A52, $B52, ParametersRange), 1, COLUMN()-2 )</f>
        <v>2.6399999999999997</v>
      </c>
      <c r="J52" s="2" cm="1">
        <f t="array" ref="J52">INDEX( ComputeThermoProps($A52, $B52, ParametersRange), 1, COLUMN()-2 )</f>
        <v>287.69230074562898</v>
      </c>
      <c r="K52" s="2" cm="1">
        <f t="array" ref="K52">INDEX( ComputeThermoProps($A52, $B52, ParametersRange), 1, COLUMN()-2 )</f>
        <v>15.736812548178447</v>
      </c>
      <c r="L52" s="2" cm="1">
        <f t="array" ref="L52">INDEX( ComputeThermoProps($A52, $B52, ParametersRange), 1, COLUMN()-2 )</f>
        <v>-170.24894440636385</v>
      </c>
      <c r="M52" s="2" cm="1">
        <f t="array" ref="M52">INDEX( ComputeThermoProps($A52, $B52, ParametersRange), 1, COLUMN()-2 )</f>
        <v>287.69230074562898</v>
      </c>
      <c r="N52" s="2" cm="1">
        <f t="array" ref="N52">INDEX( ComputeThermoProps($A52, $B52, ParametersRange), 1, COLUMN()-2 )</f>
        <v>-170.24894440636385</v>
      </c>
      <c r="O52" s="4">
        <f t="shared" si="1"/>
        <v>-16.3622590871752</v>
      </c>
      <c r="P52" s="6">
        <f t="shared" si="2"/>
        <v>-4317.1156639620522</v>
      </c>
    </row>
    <row r="53" spans="1:16" x14ac:dyDescent="0.25">
      <c r="A53" s="2">
        <v>30.1</v>
      </c>
      <c r="B53" s="2">
        <f t="shared" si="0"/>
        <v>1.9544589322082614E-16</v>
      </c>
      <c r="C53" s="2" cm="1">
        <f t="array" ref="C53">INDEX( ComputeThermoProps($A53, $B53, ParametersRange), 1, COLUMN()-2 )</f>
        <v>27.397817300680966</v>
      </c>
      <c r="D53" s="2" cm="1">
        <f t="array" ref="D53">INDEX( ComputeThermoProps($A53, $B53, ParametersRange), 1, COLUMN()-2 )</f>
        <v>3.5204563175404279E-4</v>
      </c>
      <c r="E53" s="2" cm="1">
        <f t="array" ref="E53">INDEX( ComputeThermoProps($A53, $B53, ParametersRange), 1, COLUMN()-2 )</f>
        <v>3.3417134022329059E-4</v>
      </c>
      <c r="F53" s="2" cm="1">
        <f t="array" ref="F53">INDEX( ComputeThermoProps($A53, $B53, ParametersRange), 1, COLUMN()-2 )</f>
        <v>6.7311491543223928E-4</v>
      </c>
      <c r="G53" s="2" cm="1">
        <f t="array" ref="G53">INDEX( ComputeThermoProps($A53, $B53, ParametersRange), 1, COLUMN()-2 )</f>
        <v>20.904127812611421</v>
      </c>
      <c r="H53" s="2" cm="1">
        <f t="array" ref="H53">INDEX( ComputeThermoProps($A53, $B53, ParametersRange), 1, COLUMN()-2 )</f>
        <v>19.842769735656866</v>
      </c>
      <c r="I53" s="2" cm="1">
        <f t="array" ref="I53">INDEX( ComputeThermoProps($A53, $B53, ParametersRange), 1, COLUMN()-2 )</f>
        <v>2.64</v>
      </c>
      <c r="J53" s="2" cm="1">
        <f t="array" ref="J53">INDEX( ComputeThermoProps($A53, $B53, ParametersRange), 1, COLUMN()-2 )</f>
        <v>308.40507341762822</v>
      </c>
      <c r="K53" s="2" cm="1">
        <f t="array" ref="K53">INDEX( ComputeThermoProps($A53, $B53, ParametersRange), 1, COLUMN()-2 )</f>
        <v>16.436594779328637</v>
      </c>
      <c r="L53" s="2" cm="1">
        <f t="array" ref="L53">INDEX( ComputeThermoProps($A53, $B53, ParametersRange), 1, COLUMN()-2 )</f>
        <v>-186.33642944016378</v>
      </c>
      <c r="M53" s="2" cm="1">
        <f t="array" ref="M53">INDEX( ComputeThermoProps($A53, $B53, ParametersRange), 1, COLUMN()-2 )</f>
        <v>308.40507341762822</v>
      </c>
      <c r="N53" s="2" cm="1">
        <f t="array" ref="N53">INDEX( ComputeThermoProps($A53, $B53, ParametersRange), 1, COLUMN()-2 )</f>
        <v>-186.33642944016378</v>
      </c>
      <c r="O53" s="4">
        <f t="shared" si="1"/>
        <v>-15.708973450687205</v>
      </c>
      <c r="P53" s="6">
        <f t="shared" si="2"/>
        <v>-4296.402891290053</v>
      </c>
    </row>
    <row r="54" spans="1:16" x14ac:dyDescent="0.25">
      <c r="A54" s="2">
        <v>31.1</v>
      </c>
      <c r="B54" s="2">
        <f t="shared" si="0"/>
        <v>8.0210140006579228E-16</v>
      </c>
      <c r="C54" s="2" cm="1">
        <f t="array" ref="C54">INDEX( ComputeThermoProps($A54, $B54, ParametersRange), 1, COLUMN()-2 )</f>
        <v>27.416441897019492</v>
      </c>
      <c r="D54" s="2" cm="1">
        <f t="array" ref="D54">INDEX( ComputeThermoProps($A54, $B54, ParametersRange), 1, COLUMN()-2 )</f>
        <v>3.5377603344782289E-4</v>
      </c>
      <c r="E54" s="2" cm="1">
        <f t="array" ref="E54">INDEX( ComputeThermoProps($A54, $B54, ParametersRange), 1, COLUMN()-2 )</f>
        <v>3.349156729762087E-4</v>
      </c>
      <c r="F54" s="2" cm="1">
        <f t="array" ref="F54">INDEX( ComputeThermoProps($A54, $B54, ParametersRange), 1, COLUMN()-2 )</f>
        <v>6.8588325703053345E-4</v>
      </c>
      <c r="G54" s="2" cm="1">
        <f t="array" ref="G54">INDEX( ComputeThermoProps($A54, $B54, ParametersRange), 1, COLUMN()-2 )</f>
        <v>21.26776703517363</v>
      </c>
      <c r="H54" s="2" cm="1">
        <f t="array" ref="H54">INDEX( ComputeThermoProps($A54, $B54, ParametersRange), 1, COLUMN()-2 )</f>
        <v>20.13394870157855</v>
      </c>
      <c r="I54" s="2" cm="1">
        <f t="array" ref="I54">INDEX( ComputeThermoProps($A54, $B54, ParametersRange), 1, COLUMN()-2 )</f>
        <v>2.64</v>
      </c>
      <c r="J54" s="2" cm="1">
        <f t="array" ref="J54">INDEX( ComputeThermoProps($A54, $B54, ParametersRange), 1, COLUMN()-2 )</f>
        <v>329.4928570445623</v>
      </c>
      <c r="K54" s="2" cm="1">
        <f t="array" ref="K54">INDEX( ComputeThermoProps($A54, $B54, ParametersRange), 1, COLUMN()-2 )</f>
        <v>17.125763493946881</v>
      </c>
      <c r="L54" s="2" cm="1">
        <f t="array" ref="L54">INDEX( ComputeThermoProps($A54, $B54, ParametersRange), 1, COLUMN()-2 )</f>
        <v>-203.1183876171857</v>
      </c>
      <c r="M54" s="2" cm="1">
        <f t="array" ref="M54">INDEX( ComputeThermoProps($A54, $B54, ParametersRange), 1, COLUMN()-2 )</f>
        <v>329.4928570445623</v>
      </c>
      <c r="N54" s="2" cm="1">
        <f t="array" ref="N54">INDEX( ComputeThermoProps($A54, $B54, ParametersRange), 1, COLUMN()-2 )</f>
        <v>-203.1183876171857</v>
      </c>
      <c r="O54" s="4">
        <f t="shared" si="1"/>
        <v>-15.095770725599435</v>
      </c>
      <c r="P54" s="6">
        <f t="shared" si="2"/>
        <v>-4275.3151076631184</v>
      </c>
    </row>
    <row r="55" spans="1:16" x14ac:dyDescent="0.25">
      <c r="A55" s="2">
        <v>32.1</v>
      </c>
      <c r="B55" s="2">
        <f t="shared" si="0"/>
        <v>3.0270426390988277E-15</v>
      </c>
      <c r="C55" s="2" cm="1">
        <f t="array" ref="C55">INDEX( ComputeThermoProps($A55, $B55, ParametersRange), 1, COLUMN()-2 )</f>
        <v>27.435420867432306</v>
      </c>
      <c r="D55" s="2" cm="1">
        <f t="array" ref="D55">INDEX( ComputeThermoProps($A55, $B55, ParametersRange), 1, COLUMN()-2 )</f>
        <v>3.5553499855946159E-4</v>
      </c>
      <c r="E55" s="2" cm="1">
        <f t="array" ref="E55">INDEX( ComputeThermoProps($A55, $B55, ParametersRange), 1, COLUMN()-2 )</f>
        <v>3.3567817986223574E-4</v>
      </c>
      <c r="F55" s="2" cm="1">
        <f t="array" ref="F55">INDEX( ComputeThermoProps($A55, $B55, ParametersRange), 1, COLUMN()-2 )</f>
        <v>6.9803564378949096E-4</v>
      </c>
      <c r="G55" s="2" cm="1">
        <f t="array" ref="G55">INDEX( ComputeThermoProps($A55, $B55, ParametersRange), 1, COLUMN()-2 )</f>
        <v>21.610369260853151</v>
      </c>
      <c r="H55" s="2" cm="1">
        <f t="array" ref="H55">INDEX( ComputeThermoProps($A55, $B55, ParametersRange), 1, COLUMN()-2 )</f>
        <v>20.403418648025941</v>
      </c>
      <c r="I55" s="2" cm="1">
        <f t="array" ref="I55">INDEX( ComputeThermoProps($A55, $B55, ParametersRange), 1, COLUMN()-2 )</f>
        <v>2.6399999999999997</v>
      </c>
      <c r="J55" s="2" cm="1">
        <f t="array" ref="J55">INDEX( ComputeThermoProps($A55, $B55, ParametersRange), 1, COLUMN()-2 )</f>
        <v>350.93359728018777</v>
      </c>
      <c r="K55" s="2" cm="1">
        <f t="array" ref="K55">INDEX( ComputeThermoProps($A55, $B55, ParametersRange), 1, COLUMN()-2 )</f>
        <v>17.804292315557127</v>
      </c>
      <c r="L55" s="2" cm="1">
        <f t="array" ref="L55">INDEX( ComputeThermoProps($A55, $B55, ParametersRange), 1, COLUMN()-2 )</f>
        <v>-220.58418604919603</v>
      </c>
      <c r="M55" s="2" cm="1">
        <f t="array" ref="M55">INDEX( ComputeThermoProps($A55, $B55, ParametersRange), 1, COLUMN()-2 )</f>
        <v>350.93359728018783</v>
      </c>
      <c r="N55" s="2" cm="1">
        <f t="array" ref="N55">INDEX( ComputeThermoProps($A55, $B55, ParametersRange), 1, COLUMN()-2 )</f>
        <v>-220.58418604919598</v>
      </c>
      <c r="O55" s="4">
        <f t="shared" si="1"/>
        <v>-14.518981461502987</v>
      </c>
      <c r="P55" s="6">
        <f t="shared" si="2"/>
        <v>-4253.8743674274929</v>
      </c>
    </row>
    <row r="56" spans="1:16" x14ac:dyDescent="0.25">
      <c r="A56" s="2">
        <v>33.1</v>
      </c>
      <c r="B56" s="2">
        <f t="shared" si="0"/>
        <v>1.058332220626068E-14</v>
      </c>
      <c r="C56" s="2" cm="1">
        <f t="array" ref="C56">INDEX( ComputeThermoProps($A56, $B56, ParametersRange), 1, COLUMN()-2 )</f>
        <v>27.45473883271292</v>
      </c>
      <c r="D56" s="2" cm="1">
        <f t="array" ref="D56">INDEX( ComputeThermoProps($A56, $B56, ParametersRange), 1, COLUMN()-2 )</f>
        <v>3.5732239865612334E-4</v>
      </c>
      <c r="E56" s="2" cm="1">
        <f t="array" ref="E56">INDEX( ComputeThermoProps($A56, $B56, ParametersRange), 1, COLUMN()-2 )</f>
        <v>3.3645849235069194E-4</v>
      </c>
      <c r="F56" s="2" cm="1">
        <f t="array" ref="F56">INDEX( ComputeThermoProps($A56, $B56, ParametersRange), 1, COLUMN()-2 )</f>
        <v>7.0963039428696283E-4</v>
      </c>
      <c r="G56" s="2" cm="1">
        <f t="array" ref="G56">INDEX( ComputeThermoProps($A56, $B56, ParametersRange), 1, COLUMN()-2 )</f>
        <v>21.933811353742584</v>
      </c>
      <c r="H56" s="2" cm="1">
        <f t="array" ref="H56">INDEX( ComputeThermoProps($A56, $B56, ParametersRange), 1, COLUMN()-2 )</f>
        <v>20.653105227491881</v>
      </c>
      <c r="I56" s="2" cm="1">
        <f t="array" ref="I56">INDEX( ComputeThermoProps($A56, $B56, ParametersRange), 1, COLUMN()-2 )</f>
        <v>2.64</v>
      </c>
      <c r="J56" s="2" cm="1">
        <f t="array" ref="J56">INDEX( ComputeThermoProps($A56, $B56, ParametersRange), 1, COLUMN()-2 )</f>
        <v>372.70721080015323</v>
      </c>
      <c r="K56" s="2" cm="1">
        <f t="array" ref="K56">INDEX( ComputeThermoProps($A56, $B56, ParametersRange), 1, COLUMN()-2 )</f>
        <v>18.472217791998087</v>
      </c>
      <c r="L56" s="2" cm="1">
        <f t="array" ref="L56">INDEX( ComputeThermoProps($A56, $B56, ParametersRange), 1, COLUMN()-2 )</f>
        <v>-238.72319811498349</v>
      </c>
      <c r="M56" s="2" cm="1">
        <f t="array" ref="M56">INDEX( ComputeThermoProps($A56, $B56, ParametersRange), 1, COLUMN()-2 )</f>
        <v>372.70721080015352</v>
      </c>
      <c r="N56" s="2" cm="1">
        <f t="array" ref="N56">INDEX( ComputeThermoProps($A56, $B56, ParametersRange), 1, COLUMN()-2 )</f>
        <v>-238.72319811498321</v>
      </c>
      <c r="O56" s="4">
        <f t="shared" si="1"/>
        <v>-13.975377981699113</v>
      </c>
      <c r="P56" s="6">
        <f t="shared" si="2"/>
        <v>-4232.1007539075272</v>
      </c>
    </row>
    <row r="57" spans="1:16" x14ac:dyDescent="0.25">
      <c r="A57" s="2">
        <v>34.1</v>
      </c>
      <c r="B57" s="2">
        <f t="shared" si="0"/>
        <v>3.4505662701596772E-14</v>
      </c>
      <c r="C57" s="2" cm="1">
        <f t="array" ref="C57">INDEX( ComputeThermoProps($A57, $B57, ParametersRange), 1, COLUMN()-2 )</f>
        <v>27.474381908633259</v>
      </c>
      <c r="D57" s="2" cm="1">
        <f t="array" ref="D57">INDEX( ComputeThermoProps($A57, $B57, ParametersRange), 1, COLUMN()-2 )</f>
        <v>3.591382062123321E-4</v>
      </c>
      <c r="E57" s="2" cm="1">
        <f t="array" ref="E57">INDEX( ComputeThermoProps($A57, $B57, ParametersRange), 1, COLUMN()-2 )</f>
        <v>3.372562965824574E-4</v>
      </c>
      <c r="F57" s="2" cm="1">
        <f t="array" ref="F57">INDEX( ComputeThermoProps($A57, $B57, ParametersRange), 1, COLUMN()-2 )</f>
        <v>7.2072045409064713E-4</v>
      </c>
      <c r="G57" s="2" cm="1">
        <f t="array" ref="G57">INDEX( ComputeThermoProps($A57, $B57, ParametersRange), 1, COLUMN()-2 )</f>
        <v>22.239795261843348</v>
      </c>
      <c r="H57" s="2" cm="1">
        <f t="array" ref="H57">INDEX( ComputeThermoProps($A57, $B57, ParametersRange), 1, COLUMN()-2 )</f>
        <v>20.884748147143299</v>
      </c>
      <c r="I57" s="2" cm="1">
        <f t="array" ref="I57">INDEX( ComputeThermoProps($A57, $B57, ParametersRange), 1, COLUMN()-2 )</f>
        <v>2.6400000000000006</v>
      </c>
      <c r="J57" s="2" cm="1">
        <f t="array" ref="J57">INDEX( ComputeThermoProps($A57, $B57, ParametersRange), 1, COLUMN()-2 )</f>
        <v>394.79540236088513</v>
      </c>
      <c r="K57" s="2" cm="1">
        <f t="array" ref="K57">INDEX( ComputeThermoProps($A57, $B57, ParametersRange), 1, COLUMN()-2 )</f>
        <v>19.129626453400277</v>
      </c>
      <c r="L57" s="2" cm="1">
        <f t="array" ref="L57">INDEX( ComputeThermoProps($A57, $B57, ParametersRange), 1, COLUMN()-2 )</f>
        <v>-257.52485970006433</v>
      </c>
      <c r="M57" s="2" cm="1">
        <f t="array" ref="M57">INDEX( ComputeThermoProps($A57, $B57, ParametersRange), 1, COLUMN()-2 )</f>
        <v>394.7954023608861</v>
      </c>
      <c r="N57" s="2" cm="1">
        <f t="array" ref="N57">INDEX( ComputeThermoProps($A57, $B57, ParametersRange), 1, COLUMN()-2 )</f>
        <v>-257.52485970006336</v>
      </c>
      <c r="O57" s="4">
        <f t="shared" si="1"/>
        <v>-13.4621096272963</v>
      </c>
      <c r="P57" s="6">
        <f t="shared" si="2"/>
        <v>-4210.0125623467948</v>
      </c>
    </row>
    <row r="58" spans="1:16" x14ac:dyDescent="0.25">
      <c r="A58" s="2">
        <v>35.1</v>
      </c>
      <c r="B58" s="2">
        <f t="shared" si="0"/>
        <v>1.0552392322484549E-13</v>
      </c>
      <c r="C58" s="2" cm="1">
        <f t="array" ref="C58">INDEX( ComputeThermoProps($A58, $B58, ParametersRange), 1, COLUMN()-2 )</f>
        <v>27.494337568588534</v>
      </c>
      <c r="D58" s="2" cm="1">
        <f t="array" ref="D58">INDEX( ComputeThermoProps($A58, $B58, ParametersRange), 1, COLUMN()-2 )</f>
        <v>3.6098248233502661E-4</v>
      </c>
      <c r="E58" s="2" cm="1">
        <f t="array" ref="E58">INDEX( ComputeThermoProps($A58, $B58, ParametersRange), 1, COLUMN()-2 )</f>
        <v>3.3807132883408378E-4</v>
      </c>
      <c r="F58" s="2" cm="1">
        <f t="array" ref="F58">INDEX( ComputeThermoProps($A58, $B58, ParametersRange), 1, COLUMN()-2 )</f>
        <v>7.313538821333474E-4</v>
      </c>
      <c r="G58" s="2" cm="1">
        <f t="array" ref="G58">INDEX( ComputeThermoProps($A58, $B58, ParametersRange), 1, COLUMN()-2 )</f>
        <v>22.529863682483217</v>
      </c>
      <c r="H58" s="2" cm="1">
        <f t="array" ref="H58">INDEX( ComputeThermoProps($A58, $B58, ParametersRange), 1, COLUMN()-2 )</f>
        <v>21.099918490002601</v>
      </c>
      <c r="I58" s="2" cm="1">
        <f t="array" ref="I58">INDEX( ComputeThermoProps($A58, $B58, ParametersRange), 1, COLUMN()-2 )</f>
        <v>2.64</v>
      </c>
      <c r="J58" s="2" cm="1">
        <f t="array" ref="J58">INDEX( ComputeThermoProps($A58, $B58, ParametersRange), 1, COLUMN()-2 )</f>
        <v>417.18149776482136</v>
      </c>
      <c r="K58" s="2" cm="1">
        <f t="array" ref="K58">INDEX( ComputeThermoProps($A58, $B58, ParametersRange), 1, COLUMN()-2 )</f>
        <v>19.776644201201254</v>
      </c>
      <c r="L58" s="2" cm="1">
        <f t="array" ref="L58">INDEX( ComputeThermoProps($A58, $B58, ParametersRange), 1, COLUMN()-2 )</f>
        <v>-276.9787136973427</v>
      </c>
      <c r="M58" s="2" cm="1">
        <f t="array" ref="M58">INDEX( ComputeThermoProps($A58, $B58, ParametersRange), 1, COLUMN()-2 )</f>
        <v>417.18149776482426</v>
      </c>
      <c r="N58" s="2" cm="1">
        <f t="array" ref="N58">INDEX( ComputeThermoProps($A58, $B58, ParametersRange), 1, COLUMN()-2 )</f>
        <v>-276.9787136973398</v>
      </c>
      <c r="O58" s="4">
        <f t="shared" si="1"/>
        <v>-12.976649070729051</v>
      </c>
      <c r="P58" s="6">
        <f t="shared" si="2"/>
        <v>-4187.6264669428565</v>
      </c>
    </row>
    <row r="59" spans="1:16" x14ac:dyDescent="0.25">
      <c r="A59" s="2">
        <v>36.1</v>
      </c>
      <c r="B59" s="2">
        <f t="shared" si="0"/>
        <v>3.04265315236623E-13</v>
      </c>
      <c r="C59" s="2" cm="1">
        <f t="array" ref="C59">INDEX( ComputeThermoProps($A59, $B59, ParametersRange), 1, COLUMN()-2 )</f>
        <v>27.514594518999683</v>
      </c>
      <c r="D59" s="2" cm="1">
        <f t="array" ref="D59">INDEX( ComputeThermoProps($A59, $B59, ParametersRange), 1, COLUMN()-2 )</f>
        <v>3.6285536657165875E-4</v>
      </c>
      <c r="E59" s="2" cm="1">
        <f t="array" ref="E59">INDEX( ComputeThermoProps($A59, $B59, ParametersRange), 1, COLUMN()-2 )</f>
        <v>3.389033714334788E-4</v>
      </c>
      <c r="F59" s="2" cm="1">
        <f t="array" ref="F59">INDEX( ComputeThermoProps($A59, $B59, ParametersRange), 1, COLUMN()-2 )</f>
        <v>7.4157431081390288E-4</v>
      </c>
      <c r="G59" s="2" cm="1">
        <f t="array" ref="G59">INDEX( ComputeThermoProps($A59, $B59, ParametersRange), 1, COLUMN()-2 )</f>
        <v>22.805414896491634</v>
      </c>
      <c r="H59" s="2" cm="1">
        <f t="array" ref="H59">INDEX( ComputeThermoProps($A59, $B59, ParametersRange), 1, COLUMN()-2 )</f>
        <v>21.30003496540256</v>
      </c>
      <c r="I59" s="2" cm="1">
        <f t="array" ref="I59">INDEX( ComputeThermoProps($A59, $B59, ParametersRange), 1, COLUMN()-2 )</f>
        <v>2.64</v>
      </c>
      <c r="J59" s="2" cm="1">
        <f t="array" ref="J59">INDEX( ComputeThermoProps($A59, $B59, ParametersRange), 1, COLUMN()-2 )</f>
        <v>439.85029210471043</v>
      </c>
      <c r="K59" s="2" cm="1">
        <f t="array" ref="K59">INDEX( ComputeThermoProps($A59, $B59, ParametersRange), 1, COLUMN()-2 )</f>
        <v>20.413427617527617</v>
      </c>
      <c r="L59" s="2" cm="1">
        <f t="array" ref="L59">INDEX( ComputeThermoProps($A59, $B59, ParametersRange), 1, COLUMN()-2 )</f>
        <v>-297.07444488803657</v>
      </c>
      <c r="M59" s="2" cm="1">
        <f t="array" ref="M59">INDEX( ComputeThermoProps($A59, $B59, ParametersRange), 1, COLUMN()-2 )</f>
        <v>439.85029210471879</v>
      </c>
      <c r="N59" s="2" cm="1">
        <f t="array" ref="N59">INDEX( ComputeThermoProps($A59, $B59, ParametersRange), 1, COLUMN()-2 )</f>
        <v>-297.07444488802821</v>
      </c>
      <c r="O59" s="4">
        <f t="shared" si="1"/>
        <v>-12.51674755227504</v>
      </c>
      <c r="P59" s="6">
        <f t="shared" si="2"/>
        <v>-4164.9576726029627</v>
      </c>
    </row>
    <row r="60" spans="1:16" x14ac:dyDescent="0.25">
      <c r="A60" s="2">
        <v>37.1</v>
      </c>
      <c r="B60" s="2">
        <f t="shared" si="0"/>
        <v>8.3100310022761125E-13</v>
      </c>
      <c r="C60" s="2" cm="1">
        <f t="array" ref="C60">INDEX( ComputeThermoProps($A60, $B60, ParametersRange), 1, COLUMN()-2 )</f>
        <v>27.535142586708353</v>
      </c>
      <c r="D60" s="2" cm="1">
        <f t="array" ref="D60">INDEX( ComputeThermoProps($A60, $B60, ParametersRange), 1, COLUMN()-2 )</f>
        <v>3.6475706854834539E-4</v>
      </c>
      <c r="E60" s="2" cm="1">
        <f t="array" ref="E60">INDEX( ComputeThermoProps($A60, $B60, ParametersRange), 1, COLUMN()-2 )</f>
        <v>3.3975224909934333E-4</v>
      </c>
      <c r="F60" s="2" cm="1">
        <f t="array" ref="F60">INDEX( ComputeThermoProps($A60, $B60, ParametersRange), 1, COLUMN()-2 )</f>
        <v>7.5142137720340583E-4</v>
      </c>
      <c r="G60" s="2" cm="1">
        <f t="array" ref="G60">INDEX( ComputeThermoProps($A60, $B60, ParametersRange), 1, COLUMN()-2 )</f>
        <v>23.06771667737905</v>
      </c>
      <c r="H60" s="2" cm="1">
        <f t="array" ref="H60">INDEX( ComputeThermoProps($A60, $B60, ParametersRange), 1, COLUMN()-2 )</f>
        <v>21.486379013617924</v>
      </c>
      <c r="I60" s="2" cm="1">
        <f t="array" ref="I60">INDEX( ComputeThermoProps($A60, $B60, ParametersRange), 1, COLUMN()-2 )</f>
        <v>2.6399999999999997</v>
      </c>
      <c r="J60" s="2" cm="1">
        <f t="array" ref="J60">INDEX( ComputeThermoProps($A60, $B60, ParametersRange), 1, COLUMN()-2 )</f>
        <v>462.78791238776552</v>
      </c>
      <c r="K60" s="2" cm="1">
        <f t="array" ref="K60">INDEX( ComputeThermoProps($A60, $B60, ParametersRange), 1, COLUMN()-2 )</f>
        <v>21.040156855413084</v>
      </c>
      <c r="L60" s="2" cm="1">
        <f t="array" ref="L60">INDEX( ComputeThermoProps($A60, $B60, ParametersRange), 1, COLUMN()-2 )</f>
        <v>-317.80190694805992</v>
      </c>
      <c r="M60" s="2" cm="1">
        <f t="array" ref="M60">INDEX( ComputeThermoProps($A60, $B60, ParametersRange), 1, COLUMN()-2 )</f>
        <v>462.78791238778842</v>
      </c>
      <c r="N60" s="2" cm="1">
        <f t="array" ref="N60">INDEX( ComputeThermoProps($A60, $B60, ParametersRange), 1, COLUMN()-2 )</f>
        <v>-317.80190694803701</v>
      </c>
      <c r="O60" s="4">
        <f t="shared" si="1"/>
        <v>-12.080397355988172</v>
      </c>
      <c r="P60" s="6">
        <f t="shared" si="2"/>
        <v>-4142.0200523198928</v>
      </c>
    </row>
    <row r="61" spans="1:16" x14ac:dyDescent="0.25">
      <c r="A61" s="2">
        <v>38.1</v>
      </c>
      <c r="B61" s="2">
        <f t="shared" si="0"/>
        <v>2.1587373468639259E-12</v>
      </c>
      <c r="C61" s="2" cm="1">
        <f t="array" ref="C61">INDEX( ComputeThermoProps($A61, $B61, ParametersRange), 1, COLUMN()-2 )</f>
        <v>27.555972617488024</v>
      </c>
      <c r="D61" s="2" cm="1">
        <f t="array" ref="D61">INDEX( ComputeThermoProps($A61, $B61, ParametersRange), 1, COLUMN()-2 )</f>
        <v>3.6668786101410738E-4</v>
      </c>
      <c r="E61" s="2" cm="1">
        <f t="array" ref="E61">INDEX( ComputeThermoProps($A61, $B61, ParametersRange), 1, COLUMN()-2 )</f>
        <v>3.4061782567315087E-4</v>
      </c>
      <c r="F61" s="2" cm="1">
        <f t="array" ref="F61">INDEX( ComputeThermoProps($A61, $B61, ParametersRange), 1, COLUMN()-2 )</f>
        <v>7.6093111847993144E-4</v>
      </c>
      <c r="G61" s="2" cm="1">
        <f t="array" ref="G61">INDEX( ComputeThermoProps($A61, $B61, ParametersRange), 1, COLUMN()-2 )</f>
        <v>23.317919056115187</v>
      </c>
      <c r="H61" s="2" cm="1">
        <f t="array" ref="H61">INDEX( ComputeThermoProps($A61, $B61, ParametersRange), 1, COLUMN()-2 )</f>
        <v>21.660108589771173</v>
      </c>
      <c r="I61" s="2" cm="1">
        <f t="array" ref="I61">INDEX( ComputeThermoProps($A61, $B61, ParametersRange), 1, COLUMN()-2 )</f>
        <v>2.6400000000000006</v>
      </c>
      <c r="J61" s="2" cm="1">
        <f t="array" ref="J61">INDEX( ComputeThermoProps($A61, $B61, ParametersRange), 1, COLUMN()-2 )</f>
        <v>485.98169350097828</v>
      </c>
      <c r="K61" s="2" cm="1">
        <f t="array" ref="K61">INDEX( ComputeThermoProps($A61, $B61, ParametersRange), 1, COLUMN()-2 )</f>
        <v>21.657029829845843</v>
      </c>
      <c r="L61" s="2" cm="1">
        <f t="array" ref="L61">INDEX( ComputeThermoProps($A61, $B61, ParametersRange), 1, COLUMN()-2 )</f>
        <v>-339.15114301614835</v>
      </c>
      <c r="M61" s="2" cm="1">
        <f t="array" ref="M61">INDEX( ComputeThermoProps($A61, $B61, ParametersRange), 1, COLUMN()-2 )</f>
        <v>485.98169350103774</v>
      </c>
      <c r="N61" s="2" cm="1">
        <f t="array" ref="N61">INDEX( ComputeThermoProps($A61, $B61, ParametersRange), 1, COLUMN()-2 )</f>
        <v>-339.15114301608889</v>
      </c>
      <c r="O61" s="4">
        <f t="shared" si="1"/>
        <v>-11.665800194973196</v>
      </c>
      <c r="P61" s="6">
        <f t="shared" si="2"/>
        <v>-4118.8262712066435</v>
      </c>
    </row>
    <row r="62" spans="1:16" x14ac:dyDescent="0.25">
      <c r="A62" s="2">
        <v>39.1</v>
      </c>
      <c r="B62" s="2">
        <f t="shared" si="0"/>
        <v>5.3537680539677732E-12</v>
      </c>
      <c r="C62" s="2" cm="1">
        <f t="array" ref="C62">INDEX( ComputeThermoProps($A62, $B62, ParametersRange), 1, COLUMN()-2 )</f>
        <v>27.577076384756289</v>
      </c>
      <c r="D62" s="2" cm="1">
        <f t="array" ref="D62">INDEX( ComputeThermoProps($A62, $B62, ParametersRange), 1, COLUMN()-2 )</f>
        <v>3.6864807417820743E-4</v>
      </c>
      <c r="E62" s="2" cm="1">
        <f t="array" ref="E62">INDEX( ComputeThermoProps($A62, $B62, ParametersRange), 1, COLUMN()-2 )</f>
        <v>3.4150000121147076E-4</v>
      </c>
      <c r="F62" s="2" cm="1">
        <f t="array" ref="F62">INDEX( ComputeThermoProps($A62, $B62, ParametersRange), 1, COLUMN()-2 )</f>
        <v>7.7013633516706678E-4</v>
      </c>
      <c r="G62" s="2" cm="1">
        <f t="array" ref="G62">INDEX( ComputeThermoProps($A62, $B62, ParametersRange), 1, COLUMN()-2 )</f>
        <v>23.557066048001584</v>
      </c>
      <c r="H62" s="2" cm="1">
        <f t="array" ref="H62">INDEX( ComputeThermoProps($A62, $B62, ParametersRange), 1, COLUMN()-2 )</f>
        <v>21.822270743892037</v>
      </c>
      <c r="I62" s="2" cm="1">
        <f t="array" ref="I62">INDEX( ComputeThermoProps($A62, $B62, ParametersRange), 1, COLUMN()-2 )</f>
        <v>2.6400000000000006</v>
      </c>
      <c r="J62" s="2" cm="1">
        <f t="array" ref="J62">INDEX( ComputeThermoProps($A62, $B62, ParametersRange), 1, COLUMN()-2 )</f>
        <v>509.42006642774828</v>
      </c>
      <c r="K62" s="2" cm="1">
        <f t="array" ref="K62">INDEX( ComputeThermoProps($A62, $B62, ParametersRange), 1, COLUMN()-2 )</f>
        <v>22.264257479116445</v>
      </c>
      <c r="L62" s="2" cm="1">
        <f t="array" ref="L62">INDEX( ComputeThermoProps($A62, $B62, ParametersRange), 1, COLUMN()-2 )</f>
        <v>-361.11240100570473</v>
      </c>
      <c r="M62" s="2" cm="1">
        <f t="array" ref="M62">INDEX( ComputeThermoProps($A62, $B62, ParametersRange), 1, COLUMN()-2 )</f>
        <v>509.4200664278959</v>
      </c>
      <c r="N62" s="2" cm="1">
        <f t="array" ref="N62">INDEX( ComputeThermoProps($A62, $B62, ParametersRange), 1, COLUMN()-2 )</f>
        <v>-361.1124010055571</v>
      </c>
      <c r="O62" s="4">
        <f t="shared" si="1"/>
        <v>-11.271340448065772</v>
      </c>
      <c r="P62" s="6">
        <f t="shared" si="2"/>
        <v>-4095.3878982797851</v>
      </c>
    </row>
    <row r="63" spans="1:16" x14ac:dyDescent="0.25">
      <c r="A63" s="2">
        <v>40.1</v>
      </c>
      <c r="B63" s="2">
        <f t="shared" si="0"/>
        <v>1.2718549921148789E-11</v>
      </c>
      <c r="C63" s="2" cm="1">
        <f t="array" ref="C63">INDEX( ComputeThermoProps($A63, $B63, ParametersRange), 1, COLUMN()-2 )</f>
        <v>27.598446507578391</v>
      </c>
      <c r="D63" s="2" cm="1">
        <f t="array" ref="D63">INDEX( ComputeThermoProps($A63, $B63, ParametersRange), 1, COLUMN()-2 )</f>
        <v>3.7063809105178689E-4</v>
      </c>
      <c r="E63" s="2" cm="1">
        <f t="array" ref="E63">INDEX( ComputeThermoProps($A63, $B63, ParametersRange), 1, COLUMN()-2 )</f>
        <v>3.4239870940691277E-4</v>
      </c>
      <c r="F63" s="2" cm="1">
        <f t="array" ref="F63">INDEX( ComputeThermoProps($A63, $B63, ParametersRange), 1, COLUMN()-2 )</f>
        <v>7.7906692020127317E-4</v>
      </c>
      <c r="G63" s="2" cm="1">
        <f t="array" ref="G63">INDEX( ComputeThermoProps($A63, $B63, ParametersRange), 1, COLUMN()-2 )</f>
        <v>23.786106279875266</v>
      </c>
      <c r="H63" s="2" cm="1">
        <f t="array" ref="H63">INDEX( ComputeThermoProps($A63, $B63, ParametersRange), 1, COLUMN()-2 )</f>
        <v>21.973812969231485</v>
      </c>
      <c r="I63" s="2" cm="1">
        <f t="array" ref="I63">INDEX( ComputeThermoProps($A63, $B63, ParametersRange), 1, COLUMN()-2 )</f>
        <v>2.64</v>
      </c>
      <c r="J63" s="2" cm="1">
        <f t="array" ref="J63">INDEX( ComputeThermoProps($A63, $B63, ParametersRange), 1, COLUMN()-2 )</f>
        <v>533.09245762843193</v>
      </c>
      <c r="K63" s="2" cm="1">
        <f t="array" ref="K63">INDEX( ComputeThermoProps($A63, $B63, ParametersRange), 1, COLUMN()-2 )</f>
        <v>22.862059906747248</v>
      </c>
      <c r="L63" s="2" cm="1">
        <f t="array" ref="L63">INDEX( ComputeThermoProps($A63, $B63, ParametersRange), 1, COLUMN()-2 )</f>
        <v>-383.67614463213278</v>
      </c>
      <c r="M63" s="2" cm="1">
        <f t="array" ref="M63">INDEX( ComputeThermoProps($A63, $B63, ParametersRange), 1, COLUMN()-2 )</f>
        <v>533.092457628783</v>
      </c>
      <c r="N63" s="2" cm="1">
        <f t="array" ref="N63">INDEX( ComputeThermoProps($A63, $B63, ParametersRange), 1, COLUMN()-2 )</f>
        <v>-383.67614463178171</v>
      </c>
      <c r="O63" s="4">
        <f t="shared" si="1"/>
        <v>-10.895562401041575</v>
      </c>
      <c r="P63" s="6">
        <f t="shared" si="2"/>
        <v>-4071.7155070788981</v>
      </c>
    </row>
    <row r="64" spans="1:16" x14ac:dyDescent="0.25">
      <c r="A64" s="2">
        <v>41.1</v>
      </c>
      <c r="B64" s="2">
        <f t="shared" si="0"/>
        <v>2.9030143972276064E-11</v>
      </c>
      <c r="C64" s="2" cm="1">
        <f t="array" ref="C64">INDEX( ComputeThermoProps($A64, $B64, ParametersRange), 1, COLUMN()-2 )</f>
        <v>27.620076377092623</v>
      </c>
      <c r="D64" s="2" cm="1">
        <f t="array" ref="D64">INDEX( ComputeThermoProps($A64, $B64, ParametersRange), 1, COLUMN()-2 )</f>
        <v>3.7265834366975351E-4</v>
      </c>
      <c r="E64" s="2" cm="1">
        <f t="array" ref="E64">INDEX( ComputeThermoProps($A64, $B64, ParametersRange), 1, COLUMN()-2 )</f>
        <v>3.4331391530766569E-4</v>
      </c>
      <c r="F64" s="2" cm="1">
        <f t="array" ref="F64">INDEX( ComputeThermoProps($A64, $B64, ParametersRange), 1, COLUMN()-2 )</f>
        <v>7.8775015674556698E-4</v>
      </c>
      <c r="G64" s="2" cm="1">
        <f t="array" ref="G64">INDEX( ComputeThermoProps($A64, $B64, ParametersRange), 1, COLUMN()-2 )</f>
        <v>24.005902608202142</v>
      </c>
      <c r="H64" s="2" cm="1">
        <f t="array" ref="H64">INDEX( ComputeThermoProps($A64, $B64, ParametersRange), 1, COLUMN()-2 )</f>
        <v>22.115593424683865</v>
      </c>
      <c r="I64" s="2" cm="1">
        <f t="array" ref="I64">INDEX( ComputeThermoProps($A64, $B64, ParametersRange), 1, COLUMN()-2 )</f>
        <v>2.64</v>
      </c>
      <c r="J64" s="2" cm="1">
        <f t="array" ref="J64">INDEX( ComputeThermoProps($A64, $B64, ParametersRange), 1, COLUMN()-2 )</f>
        <v>556.98919854281417</v>
      </c>
      <c r="K64" s="2" cm="1">
        <f t="array" ref="K64">INDEX( ComputeThermoProps($A64, $B64, ParametersRange), 1, COLUMN()-2 )</f>
        <v>23.450663248165782</v>
      </c>
      <c r="L64" s="2" cm="1">
        <f t="array" ref="L64">INDEX( ComputeThermoProps($A64, $B64, ParametersRange), 1, COLUMN()-2 )</f>
        <v>-406.8330609567995</v>
      </c>
      <c r="M64" s="2" cm="1">
        <f t="array" ref="M64">INDEX( ComputeThermoProps($A64, $B64, ParametersRange), 1, COLUMN()-2 )</f>
        <v>556.989198543616</v>
      </c>
      <c r="N64" s="2" cm="1">
        <f t="array" ref="N64">INDEX( ComputeThermoProps($A64, $B64, ParametersRange), 1, COLUMN()-2 )</f>
        <v>-406.83306095599767</v>
      </c>
      <c r="O64" s="4">
        <f t="shared" si="1"/>
        <v>-10.537150810320238</v>
      </c>
      <c r="P64" s="6">
        <f t="shared" si="2"/>
        <v>-4047.818766164065</v>
      </c>
    </row>
    <row r="65" spans="1:16" x14ac:dyDescent="0.25">
      <c r="A65" s="2">
        <v>42.1</v>
      </c>
      <c r="B65" s="2">
        <f t="shared" si="0"/>
        <v>6.383895411356214E-11</v>
      </c>
      <c r="C65" s="2" cm="1">
        <f t="array" ref="C65">INDEX( ComputeThermoProps($A65, $B65, ParametersRange), 1, COLUMN()-2 )</f>
        <v>27.641960090535253</v>
      </c>
      <c r="D65" s="2" cm="1">
        <f t="array" ref="D65">INDEX( ComputeThermoProps($A65, $B65, ParametersRange), 1, COLUMN()-2 )</f>
        <v>3.7470931003508482E-4</v>
      </c>
      <c r="E65" s="2" cm="1">
        <f t="array" ref="E65">INDEX( ComputeThermoProps($A65, $B65, ParametersRange), 1, COLUMN()-2 )</f>
        <v>3.4424561330736997E-4</v>
      </c>
      <c r="F65" s="2" cm="1">
        <f t="array" ref="F65">INDEX( ComputeThermoProps($A65, $B65, ParametersRange), 1, COLUMN()-2 )</f>
        <v>7.9621098622824392E-4</v>
      </c>
      <c r="G65" s="2" cm="1">
        <f t="array" ref="G65">INDEX( ComputeThermoProps($A65, $B65, ParametersRange), 1, COLUMN()-2 )</f>
        <v>24.217240775564726</v>
      </c>
      <c r="H65" s="2" cm="1">
        <f t="array" ref="H65">INDEX( ComputeThermoProps($A65, $B65, ParametersRange), 1, COLUMN()-2 )</f>
        <v>22.248390099023553</v>
      </c>
      <c r="I65" s="2" cm="1">
        <f t="array" ref="I65">INDEX( ComputeThermoProps($A65, $B65, ParametersRange), 1, COLUMN()-2 )</f>
        <v>2.6399999999999997</v>
      </c>
      <c r="J65" s="2" cm="1">
        <f t="array" ref="J65">INDEX( ComputeThermoProps($A65, $B65, ParametersRange), 1, COLUMN()-2 )</f>
        <v>581.1014442270307</v>
      </c>
      <c r="K65" s="2" cm="1">
        <f t="array" ref="K65">INDEX( ComputeThermoProps($A65, $B65, ParametersRange), 1, COLUMN()-2 )</f>
        <v>24.030297133781954</v>
      </c>
      <c r="L65" s="2" cm="1">
        <f t="array" ref="L65">INDEX( ComputeThermoProps($A65, $B65, ParametersRange), 1, COLUMN()-2 )</f>
        <v>-430.57406510518956</v>
      </c>
      <c r="M65" s="2" cm="1">
        <f t="array" ref="M65">INDEX( ComputeThermoProps($A65, $B65, ParametersRange), 1, COLUMN()-2 )</f>
        <v>581.10144422879534</v>
      </c>
      <c r="N65" s="2" cm="1">
        <f t="array" ref="N65">INDEX( ComputeThermoProps($A65, $B65, ParametersRange), 1, COLUMN()-2 )</f>
        <v>-430.57406510342491</v>
      </c>
      <c r="O65" s="4">
        <f t="shared" si="1"/>
        <v>-10.194914236732977</v>
      </c>
      <c r="P65" s="6">
        <f t="shared" si="2"/>
        <v>-4023.706520478886</v>
      </c>
    </row>
    <row r="66" spans="1:16" x14ac:dyDescent="0.25">
      <c r="A66" s="2">
        <v>43.1</v>
      </c>
      <c r="B66" s="2">
        <f t="shared" si="0"/>
        <v>1.3559051196025064E-10</v>
      </c>
      <c r="C66" s="2" cm="1">
        <f t="array" ref="C66">INDEX( ComputeThermoProps($A66, $B66, ParametersRange), 1, COLUMN()-2 )</f>
        <v>27.664092392107463</v>
      </c>
      <c r="D66" s="2" cm="1">
        <f t="array" ref="D66">INDEX( ComputeThermoProps($A66, $B66, ParametersRange), 1, COLUMN()-2 )</f>
        <v>3.7679151172665445E-4</v>
      </c>
      <c r="E66" s="2" cm="1">
        <f t="array" ref="E66">INDEX( ComputeThermoProps($A66, $B66, ParametersRange), 1, COLUMN()-2 )</f>
        <v>3.4519382537952773E-4</v>
      </c>
      <c r="F66" s="2" cm="1">
        <f t="array" ref="F66">INDEX( ComputeThermoProps($A66, $B66, ParametersRange), 1, COLUMN()-2 )</f>
        <v>8.0447225033333976E-4</v>
      </c>
      <c r="G66" s="2" cm="1">
        <f t="array" ref="G66">INDEX( ComputeThermoProps($A66, $B66, ParametersRange), 1, COLUMN()-2 )</f>
        <v>24.420837222304126</v>
      </c>
      <c r="H66" s="2" cm="1">
        <f t="array" ref="H66">INDEX( ComputeThermoProps($A66, $B66, ParametersRange), 1, COLUMN()-2 )</f>
        <v>22.372909042211802</v>
      </c>
      <c r="I66" s="2" cm="1">
        <f t="array" ref="I66">INDEX( ComputeThermoProps($A66, $B66, ParametersRange), 1, COLUMN()-2 )</f>
        <v>2.64</v>
      </c>
      <c r="J66" s="2" cm="1">
        <f t="array" ref="J66">INDEX( ComputeThermoProps($A66, $B66, ParametersRange), 1, COLUMN()-2 )</f>
        <v>605.42110021325959</v>
      </c>
      <c r="K66" s="2" cm="1">
        <f t="array" ref="K66">INDEX( ComputeThermoProps($A66, $B66, ParametersRange), 1, COLUMN()-2 )</f>
        <v>24.60119264303739</v>
      </c>
      <c r="L66" s="2" cm="1">
        <f t="array" ref="L66">INDEX( ComputeThermoProps($A66, $B66, ParametersRange), 1, COLUMN()-2 )</f>
        <v>-454.89030270165193</v>
      </c>
      <c r="M66" s="2" cm="1">
        <f t="array" ref="M66">INDEX( ComputeThermoProps($A66, $B66, ParametersRange), 1, COLUMN()-2 )</f>
        <v>605.42110021701058</v>
      </c>
      <c r="N66" s="2" cm="1">
        <f t="array" ref="N66">INDEX( ComputeThermoProps($A66, $B66, ParametersRange), 1, COLUMN()-2 )</f>
        <v>-454.89030269790095</v>
      </c>
      <c r="O66" s="4">
        <f t="shared" si="1"/>
        <v>-9.8677706994621328</v>
      </c>
      <c r="P66" s="6">
        <f t="shared" si="2"/>
        <v>-3999.3868644906706</v>
      </c>
    </row>
    <row r="67" spans="1:16" x14ac:dyDescent="0.25">
      <c r="A67" s="2">
        <v>44.1</v>
      </c>
      <c r="B67" s="2">
        <f t="shared" si="0"/>
        <v>2.7878199274851833E-10</v>
      </c>
      <c r="C67" s="2" cm="1">
        <f t="array" ref="C67">INDEX( ComputeThermoProps($A67, $B67, ParametersRange), 1, COLUMN()-2 )</f>
        <v>27.68646861998959</v>
      </c>
      <c r="D67" s="2" cm="1">
        <f t="array" ref="D67">INDEX( ComputeThermoProps($A67, $B67, ParametersRange), 1, COLUMN()-2 )</f>
        <v>3.7890551198452906E-4</v>
      </c>
      <c r="E67" s="2" cm="1">
        <f t="array" ref="E67">INDEX( ComputeThermoProps($A67, $B67, ParametersRange), 1, COLUMN()-2 )</f>
        <v>3.4615859953294055E-4</v>
      </c>
      <c r="F67" s="2" cm="1">
        <f t="array" ref="F67">INDEX( ComputeThermoProps($A67, $B67, ParametersRange), 1, COLUMN()-2 )</f>
        <v>8.1255490679640592E-4</v>
      </c>
      <c r="G67" s="2" cm="1">
        <f t="array" ref="G67">INDEX( ComputeThermoProps($A67, $B67, ParametersRange), 1, COLUMN()-2 )</f>
        <v>24.617346052427983</v>
      </c>
      <c r="H67" s="2" cm="1">
        <f t="array" ref="H67">INDEX( ComputeThermoProps($A67, $B67, ParametersRange), 1, COLUMN()-2 )</f>
        <v>22.489791687364448</v>
      </c>
      <c r="I67" s="2" cm="1">
        <f t="array" ref="I67">INDEX( ComputeThermoProps($A67, $B67, ParametersRange), 1, COLUMN()-2 )</f>
        <v>2.6400000000000006</v>
      </c>
      <c r="J67" s="2" cm="1">
        <f t="array" ref="J67">INDEX( ComputeThermoProps($A67, $B67, ParametersRange), 1, COLUMN()-2 )</f>
        <v>629.9407567547388</v>
      </c>
      <c r="K67" s="2" cm="1">
        <f t="array" ref="K67">INDEX( ComputeThermoProps($A67, $B67, ParametersRange), 1, COLUMN()-2 )</f>
        <v>25.163580662620252</v>
      </c>
      <c r="L67" s="2" cm="1">
        <f t="array" ref="L67">INDEX( ComputeThermoProps($A67, $B67, ParametersRange), 1, COLUMN()-2 )</f>
        <v>-479.77315046681434</v>
      </c>
      <c r="M67" s="2" cm="1">
        <f t="array" ref="M67">INDEX( ComputeThermoProps($A67, $B67, ParametersRange), 1, COLUMN()-2 )</f>
        <v>629.94075676245734</v>
      </c>
      <c r="N67" s="2" cm="1">
        <f t="array" ref="N67">INDEX( ComputeThermoProps($A67, $B67, ParametersRange), 1, COLUMN()-2 )</f>
        <v>-479.7731504590958</v>
      </c>
      <c r="O67" s="4">
        <f t="shared" si="1"/>
        <v>-9.5547352818743114</v>
      </c>
      <c r="P67" s="6">
        <f t="shared" si="2"/>
        <v>-3974.8672079452235</v>
      </c>
    </row>
    <row r="68" spans="1:16" x14ac:dyDescent="0.25">
      <c r="A68" s="2">
        <v>45.1</v>
      </c>
      <c r="B68" s="2">
        <f t="shared" si="0"/>
        <v>5.5602025644073119E-10</v>
      </c>
      <c r="C68" s="2" cm="1">
        <f t="array" ref="C68">INDEX( ComputeThermoProps($A68, $B68, ParametersRange), 1, COLUMN()-2 )</f>
        <v>27.709084658872218</v>
      </c>
      <c r="D68" s="2" cm="1">
        <f t="array" ref="D68">INDEX( ComputeThermoProps($A68, $B68, ParametersRange), 1, COLUMN()-2 )</f>
        <v>3.8105191432500051E-4</v>
      </c>
      <c r="E68" s="2" cm="1">
        <f t="array" ref="E68">INDEX( ComputeThermoProps($A68, $B68, ParametersRange), 1, COLUMN()-2 )</f>
        <v>3.4714000846701101E-4</v>
      </c>
      <c r="F68" s="2" cm="1">
        <f t="array" ref="F68">INDEX( ComputeThermoProps($A68, $B68, ParametersRange), 1, COLUMN()-2 )</f>
        <v>8.2047822468046241E-4</v>
      </c>
      <c r="G68" s="2" cm="1">
        <f t="array" ref="G68">INDEX( ComputeThermoProps($A68, $B68, ParametersRange), 1, COLUMN()-2 )</f>
        <v>24.807365330199644</v>
      </c>
      <c r="H68" s="2" cm="1">
        <f t="array" ref="H68">INDEX( ComputeThermoProps($A68, $B68, ParametersRange), 1, COLUMN()-2 )</f>
        <v>22.59962143484956</v>
      </c>
      <c r="I68" s="2" cm="1">
        <f t="array" ref="I68">INDEX( ComputeThermoProps($A68, $B68, ParametersRange), 1, COLUMN()-2 )</f>
        <v>2.64</v>
      </c>
      <c r="J68" s="2" cm="1">
        <f t="array" ref="J68">INDEX( ComputeThermoProps($A68, $B68, ParametersRange), 1, COLUMN()-2 )</f>
        <v>654.6536296946972</v>
      </c>
      <c r="K68" s="2" cm="1">
        <f t="array" ref="K68">INDEX( ComputeThermoProps($A68, $B68, ParametersRange), 1, COLUMN()-2 )</f>
        <v>25.717690577375755</v>
      </c>
      <c r="L68" s="2" cm="1">
        <f t="array" ref="L68">INDEX( ComputeThermoProps($A68, $B68, ParametersRange), 1, COLUMN()-2 )</f>
        <v>-505.21421534494942</v>
      </c>
      <c r="M68" s="2" cm="1">
        <f t="array" ref="M68">INDEX( ComputeThermoProps($A68, $B68, ParametersRange), 1, COLUMN()-2 )</f>
        <v>654.65362971010404</v>
      </c>
      <c r="N68" s="2" cm="1">
        <f t="array" ref="N68">INDEX( ComputeThermoProps($A68, $B68, ParametersRange), 1, COLUMN()-2 )</f>
        <v>-505.21421532954258</v>
      </c>
      <c r="O68" s="4">
        <f t="shared" si="1"/>
        <v>-9.25490938629531</v>
      </c>
      <c r="P68" s="6">
        <f t="shared" si="2"/>
        <v>-3950.1543349975773</v>
      </c>
    </row>
    <row r="69" spans="1:16" x14ac:dyDescent="0.25">
      <c r="A69" s="2">
        <v>46.1</v>
      </c>
      <c r="B69" s="2">
        <f t="shared" si="0"/>
        <v>1.0777762585584356E-9</v>
      </c>
      <c r="C69" s="2" cm="1">
        <f t="array" ref="C69">INDEX( ComputeThermoProps($A69, $B69, ParametersRange), 1, COLUMN()-2 )</f>
        <v>27.731936897435226</v>
      </c>
      <c r="D69" s="2" cm="1">
        <f t="array" ref="D69">INDEX( ComputeThermoProps($A69, $B69, ParametersRange), 1, COLUMN()-2 )</f>
        <v>3.8323136148136534E-4</v>
      </c>
      <c r="E69" s="2" cm="1">
        <f t="array" ref="E69">INDEX( ComputeThermoProps($A69, $B69, ParametersRange), 1, COLUMN()-2 )</f>
        <v>3.4813814840797472E-4</v>
      </c>
      <c r="F69" s="2" cm="1">
        <f t="array" ref="F69">INDEX( ComputeThermoProps($A69, $B69, ParametersRange), 1, COLUMN()-2 )</f>
        <v>8.2825995768146931E-4</v>
      </c>
      <c r="G69" s="2" cm="1">
        <f t="array" ref="G69">INDEX( ComputeThermoProps($A69, $B69, ParametersRange), 1, COLUMN()-2 )</f>
        <v>24.991442667111638</v>
      </c>
      <c r="H69" s="2" cm="1">
        <f t="array" ref="H69">INDEX( ComputeThermoProps($A69, $B69, ParametersRange), 1, COLUMN()-2 )</f>
        <v>22.702929485053023</v>
      </c>
      <c r="I69" s="2" cm="1">
        <f t="array" ref="I69">INDEX( ComputeThermoProps($A69, $B69, ParametersRange), 1, COLUMN()-2 )</f>
        <v>2.6399999999999997</v>
      </c>
      <c r="J69" s="2" cm="1">
        <f t="array" ref="J69">INDEX( ComputeThermoProps($A69, $B69, ParametersRange), 1, COLUMN()-2 )</f>
        <v>679.55350727098119</v>
      </c>
      <c r="K69" s="2" cm="1">
        <f t="array" ref="K69">INDEX( ComputeThermoProps($A69, $B69, ParametersRange), 1, COLUMN()-2 )</f>
        <v>26.263749235023262</v>
      </c>
      <c r="L69" s="2" cm="1">
        <f t="array" ref="L69">INDEX( ComputeThermoProps($A69, $B69, ParametersRange), 1, COLUMN()-2 )</f>
        <v>-531.20533246359128</v>
      </c>
      <c r="M69" s="2" cm="1">
        <f t="array" ref="M69">INDEX( ComputeThermoProps($A69, $B69, ParametersRange), 1, COLUMN()-2 )</f>
        <v>679.55350730087002</v>
      </c>
      <c r="N69" s="2" cm="1">
        <f t="array" ref="N69">INDEX( ComputeThermoProps($A69, $B69, ParametersRange), 1, COLUMN()-2 )</f>
        <v>-531.20533243370244</v>
      </c>
      <c r="O69" s="4">
        <f t="shared" si="1"/>
        <v>-8.9674713873484801</v>
      </c>
      <c r="P69" s="6">
        <f t="shared" si="2"/>
        <v>-3925.2544574068111</v>
      </c>
    </row>
    <row r="70" spans="1:16" x14ac:dyDescent="0.25">
      <c r="A70" s="2">
        <v>47.1</v>
      </c>
      <c r="B70" s="2">
        <f t="shared" si="0"/>
        <v>2.0339090277720404E-9</v>
      </c>
      <c r="C70" s="2" cm="1">
        <f t="array" ref="C70">INDEX( ComputeThermoProps($A70, $B70, ParametersRange), 1, COLUMN()-2 )</f>
        <v>27.75502219026373</v>
      </c>
      <c r="D70" s="2" cm="1">
        <f t="array" ref="D70">INDEX( ComputeThermoProps($A70, $B70, ParametersRange), 1, COLUMN()-2 )</f>
        <v>3.8544453475686735E-4</v>
      </c>
      <c r="E70" s="2" cm="1">
        <f t="array" ref="E70">INDEX( ComputeThermoProps($A70, $B70, ParametersRange), 1, COLUMN()-2 )</f>
        <v>3.4915313810922018E-4</v>
      </c>
      <c r="F70" s="2" cm="1">
        <f t="array" ref="F70">INDEX( ComputeThermoProps($A70, $B70, ParametersRange), 1, COLUMN()-2 )</f>
        <v>8.3591650099710971E-4</v>
      </c>
      <c r="G70" s="2" cm="1">
        <f t="array" ref="G70">INDEX( ComputeThermoProps($A70, $B70, ParametersRange), 1, COLUMN()-2 )</f>
        <v>25.170080270836781</v>
      </c>
      <c r="H70" s="2" cm="1">
        <f t="array" ref="H70">INDEX( ComputeThermoProps($A70, $B70, ParametersRange), 1, COLUMN()-2 )</f>
        <v>22.800200082139202</v>
      </c>
      <c r="I70" s="2" cm="1">
        <f t="array" ref="I70">INDEX( ComputeThermoProps($A70, $B70, ParametersRange), 1, COLUMN()-2 )</f>
        <v>2.64</v>
      </c>
      <c r="J70" s="2" cm="1">
        <f t="array" ref="J70">INDEX( ComputeThermoProps($A70, $B70, ParametersRange), 1, COLUMN()-2 )</f>
        <v>704.63470223713409</v>
      </c>
      <c r="K70" s="2" cm="1">
        <f t="array" ref="K70">INDEX( ComputeThermoProps($A70, $B70, ParametersRange), 1, COLUMN()-2 )</f>
        <v>26.801980136120648</v>
      </c>
      <c r="L70" s="2" cm="1">
        <f t="array" ref="L70">INDEX( ComputeThermoProps($A70, $B70, ParametersRange), 1, COLUMN()-2 )</f>
        <v>-557.73856217414846</v>
      </c>
      <c r="M70" s="2" cm="1">
        <f t="array" ref="M70">INDEX( ComputeThermoProps($A70, $B70, ParametersRange), 1, COLUMN()-2 )</f>
        <v>704.63470229358529</v>
      </c>
      <c r="N70" s="2" cm="1">
        <f t="array" ref="N70">INDEX( ComputeThermoProps($A70, $B70, ParametersRange), 1, COLUMN()-2 )</f>
        <v>-557.73856211769726</v>
      </c>
      <c r="O70" s="4">
        <f t="shared" si="1"/>
        <v>-8.691668476005292</v>
      </c>
      <c r="P70" s="6">
        <f t="shared" si="2"/>
        <v>-3900.1732624140959</v>
      </c>
    </row>
    <row r="71" spans="1:16" x14ac:dyDescent="0.25">
      <c r="A71" s="2">
        <v>48.1</v>
      </c>
      <c r="B71" s="2">
        <f t="shared" si="0"/>
        <v>3.7427470690130934E-9</v>
      </c>
      <c r="C71" s="2" cm="1">
        <f t="array" ref="C71">INDEX( ComputeThermoProps($A71, $B71, ParametersRange), 1, COLUMN()-2 )</f>
        <v>27.778337823743684</v>
      </c>
      <c r="D71" s="2" cm="1">
        <f t="array" ref="D71">INDEX( ComputeThermoProps($A71, $B71, ParametersRange), 1, COLUMN()-2 )</f>
        <v>3.8769215365615689E-4</v>
      </c>
      <c r="E71" s="2" cm="1">
        <f t="array" ref="E71">INDEX( ComputeThermoProps($A71, $B71, ParametersRange), 1, COLUMN()-2 )</f>
        <v>3.5018511800078144E-4</v>
      </c>
      <c r="F71" s="2" cm="1">
        <f t="array" ref="F71">INDEX( ComputeThermoProps($A71, $B71, ParametersRange), 1, COLUMN()-2 )</f>
        <v>8.4346303132625899E-4</v>
      </c>
      <c r="G71" s="2" cm="1">
        <f t="array" ref="G71">INDEX( ComputeThermoProps($A71, $B71, ParametersRange), 1, COLUMN()-2 )</f>
        <v>25.343739446471936</v>
      </c>
      <c r="H71" s="2" cm="1">
        <f t="array" ref="H71">INDEX( ComputeThermoProps($A71, $B71, ParametersRange), 1, COLUMN()-2 )</f>
        <v>22.891875177115519</v>
      </c>
      <c r="I71" s="2" cm="1">
        <f t="array" ref="I71">INDEX( ComputeThermoProps($A71, $B71, ParametersRange), 1, COLUMN()-2 )</f>
        <v>2.64</v>
      </c>
      <c r="J71" s="2" cm="1">
        <f t="array" ref="J71">INDEX( ComputeThermoProps($A71, $B71, ParametersRange), 1, COLUMN()-2 )</f>
        <v>729.89200874467485</v>
      </c>
      <c r="K71" s="2" cm="1">
        <f t="array" ref="K71">INDEX( ComputeThermoProps($A71, $B71, ParametersRange), 1, COLUMN()-2 )</f>
        <v>27.332602809205145</v>
      </c>
      <c r="L71" s="2" cm="1">
        <f t="array" ref="L71">INDEX( ComputeThermoProps($A71, $B71, ParametersRange), 1, COLUMN()-2 )</f>
        <v>-584.80618637809266</v>
      </c>
      <c r="M71" s="2" cm="1">
        <f t="array" ref="M71">INDEX( ComputeThermoProps($A71, $B71, ParametersRange), 1, COLUMN()-2 )</f>
        <v>729.89200884864215</v>
      </c>
      <c r="N71" s="2" cm="1">
        <f t="array" ref="N71">INDEX( ComputeThermoProps($A71, $B71, ParametersRange), 1, COLUMN()-2 )</f>
        <v>-584.80618627412537</v>
      </c>
      <c r="O71" s="4">
        <f t="shared" si="1"/>
        <v>-8.4268095210671135</v>
      </c>
      <c r="P71" s="6">
        <f t="shared" si="2"/>
        <v>-3874.9159558590391</v>
      </c>
    </row>
    <row r="72" spans="1:16" x14ac:dyDescent="0.25">
      <c r="A72" s="2">
        <v>49.1</v>
      </c>
      <c r="B72" s="2">
        <f t="shared" si="0"/>
        <v>6.7257573819558959E-9</v>
      </c>
      <c r="C72" s="2" cm="1">
        <f t="array" ref="C72">INDEX( ComputeThermoProps($A72, $B72, ParametersRange), 1, COLUMN()-2 )</f>
        <v>27.80188148552876</v>
      </c>
      <c r="D72" s="2" cm="1">
        <f t="array" ref="D72">INDEX( ComputeThermoProps($A72, $B72, ParametersRange), 1, COLUMN()-2 )</f>
        <v>3.8997497577118528E-4</v>
      </c>
      <c r="E72" s="2" cm="1">
        <f t="array" ref="E72">INDEX( ComputeThermoProps($A72, $B72, ParametersRange), 1, COLUMN()-2 )</f>
        <v>3.5123424947487849E-4</v>
      </c>
      <c r="F72" s="2" cm="1">
        <f t="array" ref="F72">INDEX( ComputeThermoProps($A72, $B72, ParametersRange), 1, COLUMN()-2 )</f>
        <v>8.509136320649335E-4</v>
      </c>
      <c r="G72" s="2" cm="1">
        <f t="array" ref="G72">INDEX( ComputeThermoProps($A72, $B72, ParametersRange), 1, COLUMN()-2 )</f>
        <v>25.512844616130955</v>
      </c>
      <c r="H72" s="2" cm="1">
        <f t="array" ref="H72">INDEX( ComputeThermoProps($A72, $B72, ParametersRange), 1, COLUMN()-2 )</f>
        <v>22.978358580561171</v>
      </c>
      <c r="I72" s="2" cm="1">
        <f t="array" ref="I72">INDEX( ComputeThermoProps($A72, $B72, ParametersRange), 1, COLUMN()-2 )</f>
        <v>2.6399999999999997</v>
      </c>
      <c r="J72" s="2" cm="1">
        <f t="array" ref="J72">INDEX( ComputeThermoProps($A72, $B72, ParametersRange), 1, COLUMN()-2 )</f>
        <v>755.32066348997944</v>
      </c>
      <c r="K72" s="2" cm="1">
        <f t="array" ref="K72">INDEX( ComputeThermoProps($A72, $B72, ParametersRange), 1, COLUMN()-2 )</f>
        <v>27.85583233802037</v>
      </c>
      <c r="L72" s="2" cm="1">
        <f t="array" ref="L72">INDEX( ComputeThermoProps($A72, $B72, ParametersRange), 1, COLUMN()-2 )</f>
        <v>-612.40070430682078</v>
      </c>
      <c r="M72" s="2" cm="1">
        <f t="array" ref="M72">INDEX( ComputeThermoProps($A72, $B72, ParametersRange), 1, COLUMN()-2 )</f>
        <v>755.32066367696814</v>
      </c>
      <c r="N72" s="2" cm="1">
        <f t="array" ref="N72">INDEX( ComputeThermoProps($A72, $B72, ParametersRange), 1, COLUMN()-2 )</f>
        <v>-612.40070411983208</v>
      </c>
      <c r="O72" s="4">
        <f t="shared" si="1"/>
        <v>-8.1722588030306316</v>
      </c>
      <c r="P72" s="6">
        <f t="shared" si="2"/>
        <v>-3849.4873010307128</v>
      </c>
    </row>
    <row r="73" spans="1:16" x14ac:dyDescent="0.25">
      <c r="A73" s="2">
        <v>50.1</v>
      </c>
      <c r="B73" s="2">
        <f t="shared" si="0"/>
        <v>1.181869435795745E-8</v>
      </c>
      <c r="C73" s="2" cm="1">
        <f t="array" ref="C73">INDEX( ComputeThermoProps($A73, $B73, ParametersRange), 1, COLUMN()-2 )</f>
        <v>27.825651237214903</v>
      </c>
      <c r="D73" s="2" cm="1">
        <f t="array" ref="D73">INDEX( ComputeThermoProps($A73, $B73, ParametersRange), 1, COLUMN()-2 )</f>
        <v>3.9229379694886594E-4</v>
      </c>
      <c r="E73" s="2" cm="1">
        <f t="array" ref="E73">INDEX( ComputeThermoProps($A73, $B73, ParametersRange), 1, COLUMN()-2 )</f>
        <v>3.523007142959645E-4</v>
      </c>
      <c r="F73" s="2" cm="1">
        <f t="array" ref="F73">INDEX( ComputeThermoProps($A73, $B73, ParametersRange), 1, COLUMN()-2 )</f>
        <v>8.5828140651010793E-4</v>
      </c>
      <c r="G73" s="2" cm="1">
        <f t="array" ref="G73">INDEX( ComputeThermoProps($A73, $B73, ParametersRange), 1, COLUMN()-2 )</f>
        <v>25.677786944744071</v>
      </c>
      <c r="H73" s="2" cm="1">
        <f t="array" ref="H73">INDEX( ComputeThermoProps($A73, $B73, ParametersRange), 1, COLUMN()-2 )</f>
        <v>23.060019690681166</v>
      </c>
      <c r="I73" s="2" cm="1">
        <f t="array" ref="I73">INDEX( ComputeThermoProps($A73, $B73, ParametersRange), 1, COLUMN()-2 )</f>
        <v>2.64</v>
      </c>
      <c r="J73" s="2" cm="1">
        <f t="array" ref="J73">INDEX( ComputeThermoProps($A73, $B73, ParametersRange), 1, COLUMN()-2 )</f>
        <v>780.91631068241122</v>
      </c>
      <c r="K73" s="2" cm="1">
        <f t="array" ref="K73">INDEX( ComputeThermoProps($A73, $B73, ParametersRange), 1, COLUMN()-2 )</f>
        <v>28.371879013484712</v>
      </c>
      <c r="L73" s="2" cm="1">
        <f t="array" ref="L73">INDEX( ComputeThermoProps($A73, $B73, ParametersRange), 1, COLUMN()-2 )</f>
        <v>-640.51482789317288</v>
      </c>
      <c r="M73" s="2" cm="1">
        <f t="array" ref="M73">INDEX( ComputeThermoProps($A73, $B73, ParametersRange), 1, COLUMN()-2 )</f>
        <v>780.91631101127405</v>
      </c>
      <c r="N73" s="2" cm="1">
        <f t="array" ref="N73">INDEX( ComputeThermoProps($A73, $B73, ParametersRange), 1, COLUMN()-2 )</f>
        <v>-640.51482756431005</v>
      </c>
      <c r="O73" s="4">
        <f t="shared" si="1"/>
        <v>-7.927430498450879</v>
      </c>
      <c r="P73" s="6">
        <f t="shared" si="2"/>
        <v>-3823.891653696407</v>
      </c>
    </row>
    <row r="74" spans="1:16" x14ac:dyDescent="0.25">
      <c r="A74" s="2">
        <v>51.1</v>
      </c>
      <c r="B74" s="2">
        <f t="shared" si="0"/>
        <v>2.0333689523612639E-8</v>
      </c>
      <c r="C74" s="2" cm="1">
        <f t="array" ref="C74">INDEX( ComputeThermoProps($A74, $B74, ParametersRange), 1, COLUMN()-2 )</f>
        <v>27.849645489898982</v>
      </c>
      <c r="D74" s="2" cm="1">
        <f t="array" ref="D74">INDEX( ComputeThermoProps($A74, $B74, ParametersRange), 1, COLUMN()-2 )</f>
        <v>3.9464945169831532E-4</v>
      </c>
      <c r="E74" s="2" cm="1">
        <f t="array" ref="E74">INDEX( ComputeThermoProps($A74, $B74, ParametersRange), 1, COLUMN()-2 )</f>
        <v>3.5338471412523257E-4</v>
      </c>
      <c r="F74" s="2" cm="1">
        <f t="array" ref="F74">INDEX( ComputeThermoProps($A74, $B74, ParametersRange), 1, COLUMN()-2 )</f>
        <v>8.6557857993268465E-4</v>
      </c>
      <c r="G74" s="2" cm="1">
        <f t="array" ref="G74">INDEX( ComputeThermoProps($A74, $B74, ParametersRange), 1, COLUMN()-2 )</f>
        <v>25.838927600698874</v>
      </c>
      <c r="H74" s="2" cm="1">
        <f t="array" ref="H74">INDEX( ComputeThermoProps($A74, $B74, ParametersRange), 1, COLUMN()-2 )</f>
        <v>23.137196831723184</v>
      </c>
      <c r="I74" s="2" cm="1">
        <f t="array" ref="I74">INDEX( ComputeThermoProps($A74, $B74, ParametersRange), 1, COLUMN()-2 )</f>
        <v>2.6399999999999997</v>
      </c>
      <c r="J74" s="2" cm="1">
        <f t="array" ref="J74">INDEX( ComputeThermoProps($A74, $B74, ParametersRange), 1, COLUMN()-2 )</f>
        <v>806.67497043848255</v>
      </c>
      <c r="K74" s="2" cm="1">
        <f t="array" ref="K74">INDEX( ComputeThermoProps($A74, $B74, ParametersRange), 1, COLUMN()-2 )</f>
        <v>28.880948087792017</v>
      </c>
      <c r="L74" s="2" cm="1">
        <f t="array" ref="L74">INDEX( ComputeThermoProps($A74, $B74, ParametersRange), 1, COLUMN()-2 )</f>
        <v>-669.14147684768955</v>
      </c>
      <c r="M74" s="2" cm="1">
        <f t="array" ref="M74">INDEX( ComputeThermoProps($A74, $B74, ParametersRange), 1, COLUMN()-2 )</f>
        <v>806.67497100476862</v>
      </c>
      <c r="N74" s="2" cm="1">
        <f t="array" ref="N74">INDEX( ComputeThermoProps($A74, $B74, ParametersRange), 1, COLUMN()-2 )</f>
        <v>-669.14147628140347</v>
      </c>
      <c r="O74" s="4">
        <f t="shared" si="1"/>
        <v>-7.6917838119981781</v>
      </c>
      <c r="P74" s="6">
        <f t="shared" si="2"/>
        <v>-3798.1329937029122</v>
      </c>
    </row>
    <row r="75" spans="1:16" x14ac:dyDescent="0.25">
      <c r="A75" s="2">
        <v>52.1</v>
      </c>
      <c r="B75" s="2">
        <f t="shared" si="0"/>
        <v>3.4291093213085298E-8</v>
      </c>
      <c r="C75" s="2" cm="1">
        <f t="array" ref="C75">INDEX( ComputeThermoProps($A75, $B75, ParametersRange), 1, COLUMN()-2 )</f>
        <v>27.87386298233417</v>
      </c>
      <c r="D75" s="2" cm="1">
        <f t="array" ref="D75">INDEX( ComputeThermoProps($A75, $B75, ParametersRange), 1, COLUMN()-2 )</f>
        <v>3.9704281372193278E-4</v>
      </c>
      <c r="E75" s="2" cm="1">
        <f t="array" ref="E75">INDEX( ComputeThermoProps($A75, $B75, ParametersRange), 1, COLUMN()-2 )</f>
        <v>3.5448647015081828E-4</v>
      </c>
      <c r="F75" s="2" cm="1">
        <f t="array" ref="F75">INDEX( ComputeThermoProps($A75, $B75, ParametersRange), 1, COLUMN()-2 )</f>
        <v>8.7281658972915288E-4</v>
      </c>
      <c r="G75" s="2" cm="1">
        <f t="array" ref="G75">INDEX( ComputeThermoProps($A75, $B75, ParametersRange), 1, COLUMN()-2 )</f>
        <v>25.996600630684508</v>
      </c>
      <c r="H75" s="2" cm="1">
        <f t="array" ref="H75">INDEX( ComputeThermoProps($A75, $B75, ParametersRange), 1, COLUMN()-2 )</f>
        <v>23.210200197568323</v>
      </c>
      <c r="I75" s="2" cm="1">
        <f t="array" ref="I75">INDEX( ComputeThermoProps($A75, $B75, ParametersRange), 1, COLUMN()-2 )</f>
        <v>2.6400000000000006</v>
      </c>
      <c r="J75" s="2" cm="1">
        <f t="array" ref="J75">INDEX( ComputeThermoProps($A75, $B75, ParametersRange), 1, COLUMN()-2 )</f>
        <v>832.59301024997296</v>
      </c>
      <c r="K75" s="2" cm="1">
        <f t="array" ref="K75">INDEX( ComputeThermoProps($A75, $B75, ParametersRange), 1, COLUMN()-2 )</f>
        <v>29.383239611939775</v>
      </c>
      <c r="L75" s="2" cm="1">
        <f t="array" ref="L75">INDEX( ComputeThermoProps($A75, $B75, ParametersRange), 1, COLUMN()-2 )</f>
        <v>-698.27377353208931</v>
      </c>
      <c r="M75" s="2" cm="1">
        <f t="array" ref="M75">INDEX( ComputeThermoProps($A75, $B75, ParametersRange), 1, COLUMN()-2 )</f>
        <v>832.59301120579823</v>
      </c>
      <c r="N75" s="2" cm="1">
        <f t="array" ref="N75">INDEX( ComputeThermoProps($A75, $B75, ParametersRange), 1, COLUMN()-2 )</f>
        <v>-698.27377257626404</v>
      </c>
      <c r="O75" s="4">
        <f t="shared" si="1"/>
        <v>-7.4648186691911977</v>
      </c>
      <c r="P75" s="6">
        <f t="shared" si="2"/>
        <v>-3772.214953501883</v>
      </c>
    </row>
    <row r="76" spans="1:16" x14ac:dyDescent="0.25">
      <c r="A76" s="2">
        <v>53.1</v>
      </c>
      <c r="B76" s="2">
        <f t="shared" si="0"/>
        <v>5.6745065820476016E-8</v>
      </c>
      <c r="C76" s="2" cm="1">
        <f t="array" ref="C76">INDEX( ComputeThermoProps($A76, $B76, ParametersRange), 1, COLUMN()-2 )</f>
        <v>27.898302761426876</v>
      </c>
      <c r="D76" s="2" cm="1">
        <f t="array" ref="D76">INDEX( ComputeThermoProps($A76, $B76, ParametersRange), 1, COLUMN()-2 )</f>
        <v>3.9947479674468914E-4</v>
      </c>
      <c r="E76" s="2" cm="1">
        <f t="array" ref="E76">INDEX( ComputeThermoProps($A76, $B76, ParametersRange), 1, COLUMN()-2 )</f>
        <v>3.5560622281615605E-4</v>
      </c>
      <c r="F76" s="2" cm="1">
        <f t="array" ref="F76">INDEX( ComputeThermoProps($A76, $B76, ParametersRange), 1, COLUMN()-2 )</f>
        <v>8.8000616882882062E-4</v>
      </c>
      <c r="G76" s="2" cm="1">
        <f t="array" ref="G76">INDEX( ComputeThermoProps($A76, $B76, ParametersRange), 1, COLUMN()-2 )</f>
        <v>26.15111560619502</v>
      </c>
      <c r="H76" s="2" cm="1">
        <f t="array" ref="H76">INDEX( ComputeThermoProps($A76, $B76, ParametersRange), 1, COLUMN()-2 )</f>
        <v>23.279314537310107</v>
      </c>
      <c r="I76" s="2" cm="1">
        <f t="array" ref="I76">INDEX( ComputeThermoProps($A76, $B76, ParametersRange), 1, COLUMN()-2 )</f>
        <v>2.6399999999999997</v>
      </c>
      <c r="J76" s="2" cm="1">
        <f t="array" ref="J76">INDEX( ComputeThermoProps($A76, $B76, ParametersRange), 1, COLUMN()-2 )</f>
        <v>858.6671192126397</v>
      </c>
      <c r="K76" s="2" cm="1">
        <f t="array" ref="K76">INDEX( ComputeThermoProps($A76, $B76, ParametersRange), 1, COLUMN()-2 )</f>
        <v>29.878948341206279</v>
      </c>
      <c r="L76" s="2" cm="1">
        <f t="array" ref="L76">INDEX( ComputeThermoProps($A76, $B76, ParametersRange), 1, COLUMN()-2 )</f>
        <v>-727.90503770541375</v>
      </c>
      <c r="M76" s="2" cm="1">
        <f t="array" ref="M76">INDEX( ComputeThermoProps($A76, $B76, ParametersRange), 1, COLUMN()-2 )</f>
        <v>858.66712079573074</v>
      </c>
      <c r="N76" s="2" cm="1">
        <f t="array" ref="N76">INDEX( ComputeThermoProps($A76, $B76, ParametersRange), 1, COLUMN()-2 )</f>
        <v>-727.90503612232271</v>
      </c>
      <c r="O76" s="4">
        <f t="shared" si="1"/>
        <v>-7.2460718958987691</v>
      </c>
      <c r="P76" s="6">
        <f t="shared" si="2"/>
        <v>-3746.1408439119505</v>
      </c>
    </row>
    <row r="77" spans="1:16" x14ac:dyDescent="0.25">
      <c r="A77" s="2">
        <v>54.1</v>
      </c>
      <c r="B77" s="2">
        <f t="shared" si="0"/>
        <v>9.2232966763223046E-8</v>
      </c>
      <c r="C77" s="2" cm="1">
        <f t="array" ref="C77">INDEX( ComputeThermoProps($A77, $B77, ParametersRange), 1, COLUMN()-2 )</f>
        <v>27.922964164848974</v>
      </c>
      <c r="D77" s="2" cm="1">
        <f t="array" ref="D77">INDEX( ComputeThermoProps($A77, $B77, ParametersRange), 1, COLUMN()-2 )</f>
        <v>4.0194635547061375E-4</v>
      </c>
      <c r="E77" s="2" cm="1">
        <f t="array" ref="E77">INDEX( ComputeThermoProps($A77, $B77, ParametersRange), 1, COLUMN()-2 )</f>
        <v>3.5674423163999813E-4</v>
      </c>
      <c r="F77" s="2" cm="1">
        <f t="array" ref="F77">INDEX( ComputeThermoProps($A77, $B77, ParametersRange), 1, COLUMN()-2 )</f>
        <v>8.8715741987793197E-4</v>
      </c>
      <c r="G77" s="2" cm="1">
        <f t="array" ref="G77">INDEX( ComputeThermoProps($A77, $B77, ParametersRange), 1, COLUMN()-2 )</f>
        <v>26.302759969668443</v>
      </c>
      <c r="H77" s="2" cm="1">
        <f t="array" ref="H77">INDEX( ComputeThermoProps($A77, $B77, ParametersRange), 1, COLUMN()-2 )</f>
        <v>23.344801533041107</v>
      </c>
      <c r="I77" s="2" cm="1">
        <f t="array" ref="I77">INDEX( ComputeThermoProps($A77, $B77, ParametersRange), 1, COLUMN()-2 )</f>
        <v>2.64</v>
      </c>
      <c r="J77" s="2" cm="1">
        <f t="array" ref="J77">INDEX( ComputeThermoProps($A77, $B77, ParametersRange), 1, COLUMN()-2 )</f>
        <v>884.8942847366244</v>
      </c>
      <c r="K77" s="2" cm="1">
        <f t="array" ref="K77">INDEX( ComputeThermoProps($A77, $B77, ParametersRange), 1, COLUMN()-2 )</f>
        <v>30.368263695763623</v>
      </c>
      <c r="L77" s="2" cm="1">
        <f t="array" ref="L77">INDEX( ComputeThermoProps($A77, $B77, ParametersRange), 1, COLUMN()-2 )</f>
        <v>-758.02878120418768</v>
      </c>
      <c r="M77" s="2" cm="1">
        <f t="array" ref="M77">INDEX( ComputeThermoProps($A77, $B77, ParametersRange), 1, COLUMN()-2 )</f>
        <v>884.89428731204225</v>
      </c>
      <c r="N77" s="2" cm="1">
        <f t="array" ref="N77">INDEX( ComputeThermoProps($A77, $B77, ParametersRange), 1, COLUMN()-2 )</f>
        <v>-758.02877862876983</v>
      </c>
      <c r="O77" s="4">
        <f t="shared" si="1"/>
        <v>-7.0351138216324776</v>
      </c>
      <c r="P77" s="6">
        <f t="shared" si="2"/>
        <v>-3719.9136773956388</v>
      </c>
    </row>
    <row r="78" spans="1:16" x14ac:dyDescent="0.25">
      <c r="A78" s="2">
        <v>55.1</v>
      </c>
      <c r="B78" s="2">
        <f t="shared" si="0"/>
        <v>1.4738549596229361E-7</v>
      </c>
      <c r="C78" s="2" cm="1">
        <f t="array" ref="C78">INDEX( ComputeThermoProps($A78, $B78, ParametersRange), 1, COLUMN()-2 )</f>
        <v>27.947846805564687</v>
      </c>
      <c r="D78" s="2" cm="1">
        <f t="array" ref="D78">INDEX( ComputeThermoProps($A78, $B78, ParametersRange), 1, COLUMN()-2 )</f>
        <v>4.0445848669175982E-4</v>
      </c>
      <c r="E78" s="2" cm="1">
        <f t="array" ref="E78">INDEX( ComputeThermoProps($A78, $B78, ParametersRange), 1, COLUMN()-2 )</f>
        <v>3.5790077512258463E-4</v>
      </c>
      <c r="F78" s="2" cm="1">
        <f t="array" ref="F78">INDEX( ComputeThermoProps($A78, $B78, ParametersRange), 1, COLUMN()-2 )</f>
        <v>8.9427988191242405E-4</v>
      </c>
      <c r="G78" s="2" cm="1">
        <f t="array" ref="G78">INDEX( ComputeThermoProps($A78, $B78, ParametersRange), 1, COLUMN()-2 )</f>
        <v>26.45180113376151</v>
      </c>
      <c r="H78" s="2" cm="1">
        <f t="array" ref="H78">INDEX( ComputeThermoProps($A78, $B78, ParametersRange), 1, COLUMN()-2 )</f>
        <v>23.406901921127581</v>
      </c>
      <c r="I78" s="2" cm="1">
        <f t="array" ref="I78">INDEX( ComputeThermoProps($A78, $B78, ParametersRange), 1, COLUMN()-2 )</f>
        <v>2.64</v>
      </c>
      <c r="J78" s="2" cm="1">
        <f t="array" ref="J78">INDEX( ComputeThermoProps($A78, $B78, ParametersRange), 1, COLUMN()-2 )</f>
        <v>911.27177149041586</v>
      </c>
      <c r="K78" s="2" cm="1">
        <f t="array" ref="K78">INDEX( ComputeThermoProps($A78, $B78, ParametersRange), 1, COLUMN()-2 )</f>
        <v>30.851369765819822</v>
      </c>
      <c r="L78" s="2" cm="1">
        <f t="array" ref="L78">INDEX( ComputeThermoProps($A78, $B78, ParametersRange), 1, COLUMN()-2 )</f>
        <v>-788.6387026062564</v>
      </c>
      <c r="M78" s="2" cm="1">
        <f t="array" ref="M78">INDEX( ComputeThermoProps($A78, $B78, ParametersRange), 1, COLUMN()-2 )</f>
        <v>911.27177560952316</v>
      </c>
      <c r="N78" s="2" cm="1">
        <f t="array" ref="N78">INDEX( ComputeThermoProps($A78, $B78, ParametersRange), 1, COLUMN()-2 )</f>
        <v>-788.6386984871491</v>
      </c>
      <c r="O78" s="4">
        <f t="shared" si="1"/>
        <v>-6.8315452527963085</v>
      </c>
      <c r="P78" s="6">
        <f t="shared" si="2"/>
        <v>-3693.536189098158</v>
      </c>
    </row>
    <row r="79" spans="1:16" x14ac:dyDescent="0.25">
      <c r="A79" s="2">
        <v>56.1</v>
      </c>
      <c r="B79" s="2">
        <f t="shared" si="0"/>
        <v>2.3174225588117738E-7</v>
      </c>
      <c r="C79" s="2" cm="1">
        <f t="array" ref="C79">INDEX( ComputeThermoProps($A79, $B79, ParametersRange), 1, COLUMN()-2 )</f>
        <v>27.972950558094404</v>
      </c>
      <c r="D79" s="2" cm="1">
        <f t="array" ref="D79">INDEX( ComputeThermoProps($A79, $B79, ParametersRange), 1, COLUMN()-2 )</f>
        <v>4.0701223065244305E-4</v>
      </c>
      <c r="E79" s="2" cm="1">
        <f t="array" ref="E79">INDEX( ComputeThermoProps($A79, $B79, ParametersRange), 1, COLUMN()-2 )</f>
        <v>3.5907615073332947E-4</v>
      </c>
      <c r="F79" s="2" cm="1">
        <f t="array" ref="F79">INDEX( ComputeThermoProps($A79, $B79, ParametersRange), 1, COLUMN()-2 )</f>
        <v>9.0138259241252664E-4</v>
      </c>
      <c r="G79" s="2" cm="1">
        <f t="array" ref="G79">INDEX( ComputeThermoProps($A79, $B79, ParametersRange), 1, COLUMN()-2 )</f>
        <v>26.598488421404024</v>
      </c>
      <c r="H79" s="2" cm="1">
        <f t="array" ref="H79">INDEX( ComputeThermoProps($A79, $B79, ParametersRange), 1, COLUMN()-2 )</f>
        <v>23.465837432876814</v>
      </c>
      <c r="I79" s="2" cm="1">
        <f t="array" ref="I79">INDEX( ComputeThermoProps($A79, $B79, ParametersRange), 1, COLUMN()-2 )</f>
        <v>2.64</v>
      </c>
      <c r="J79" s="2" cm="1">
        <f t="array" ref="J79">INDEX( ComputeThermoProps($A79, $B79, ParametersRange), 1, COLUMN()-2 )</f>
        <v>937.79710235757136</v>
      </c>
      <c r="K79" s="2" cm="1">
        <f t="array" ref="K79">INDEX( ComputeThermoProps($A79, $B79, ParametersRange), 1, COLUMN()-2 )</f>
        <v>31.328445352511256</v>
      </c>
      <c r="L79" s="2" cm="1">
        <f t="array" ref="L79">INDEX( ComputeThermoProps($A79, $B79, ParametersRange), 1, COLUMN()-2 )</f>
        <v>-819.72868191831014</v>
      </c>
      <c r="M79" s="2" cm="1">
        <f t="array" ref="M79">INDEX( ComputeThermoProps($A79, $B79, ParametersRange), 1, COLUMN()-2 )</f>
        <v>937.79710884008603</v>
      </c>
      <c r="N79" s="2" cm="1">
        <f t="array" ref="N79">INDEX( ComputeThermoProps($A79, $B79, ParametersRange), 1, COLUMN()-2 )</f>
        <v>-819.72867543579548</v>
      </c>
      <c r="O79" s="4">
        <f t="shared" si="1"/>
        <v>-6.6349947697369309</v>
      </c>
      <c r="P79" s="6">
        <f t="shared" si="2"/>
        <v>-3667.0108558675952</v>
      </c>
    </row>
    <row r="80" spans="1:16" x14ac:dyDescent="0.25">
      <c r="A80" s="2">
        <v>57.1</v>
      </c>
      <c r="B80" s="2">
        <f t="shared" si="0"/>
        <v>3.5882582504476531E-7</v>
      </c>
      <c r="C80" s="2" cm="1">
        <f t="array" ref="C80">INDEX( ComputeThermoProps($A80, $B80, ParametersRange), 1, COLUMN()-2 )</f>
        <v>27.998275546357991</v>
      </c>
      <c r="D80" s="2" cm="1">
        <f t="array" ref="D80">INDEX( ComputeThermoProps($A80, $B80, ParametersRange), 1, COLUMN()-2 )</f>
        <v>4.0960867251918867E-4</v>
      </c>
      <c r="E80" s="2" cm="1">
        <f t="array" ref="E80">INDEX( ComputeThermoProps($A80, $B80, ParametersRange), 1, COLUMN()-2 )</f>
        <v>3.6027067497618664E-4</v>
      </c>
      <c r="F80" s="2" cm="1">
        <f t="array" ref="F80">INDEX( ComputeThermoProps($A80, $B80, ParametersRange), 1, COLUMN()-2 )</f>
        <v>9.0847414251171699E-4</v>
      </c>
      <c r="G80" s="2" cm="1">
        <f t="array" ref="G80">INDEX( ComputeThermoProps($A80, $B80, ParametersRange), 1, COLUMN()-2 )</f>
        <v>26.743054782084727</v>
      </c>
      <c r="H80" s="2" cm="1">
        <f t="array" ref="H80">INDEX( ComputeThermoProps($A80, $B80, ParametersRange), 1, COLUMN()-2 )</f>
        <v>23.521812509512841</v>
      </c>
      <c r="I80" s="2" cm="1">
        <f t="array" ref="I80">INDEX( ComputeThermoProps($A80, $B80, ParametersRange), 1, COLUMN()-2 )</f>
        <v>2.6399999999999997</v>
      </c>
      <c r="J80" s="2" cm="1">
        <f t="array" ref="J80">INDEX( ComputeThermoProps($A80, $B80, ParametersRange), 1, COLUMN()-2 )</f>
        <v>964.46804120970239</v>
      </c>
      <c r="K80" s="2" cm="1">
        <f t="array" ref="K80">INDEX( ComputeThermoProps($A80, $B80, ParametersRange), 1, COLUMN()-2 )</f>
        <v>31.799664037282088</v>
      </c>
      <c r="L80" s="2" cm="1">
        <f t="array" ref="L80">INDEX( ComputeThermoProps($A80, $B80, ParametersRange), 1, COLUMN()-2 )</f>
        <v>-851.29277531910486</v>
      </c>
      <c r="M80" s="2" cm="1">
        <f t="array" ref="M80">INDEX( ComputeThermoProps($A80, $B80, ParametersRange), 1, COLUMN()-2 )</f>
        <v>964.46805125620676</v>
      </c>
      <c r="N80" s="2" cm="1">
        <f t="array" ref="N80">INDEX( ComputeThermoProps($A80, $B80, ParametersRange), 1, COLUMN()-2 )</f>
        <v>-851.29276527260049</v>
      </c>
      <c r="O80" s="4">
        <f t="shared" si="1"/>
        <v>-6.445116307905467</v>
      </c>
      <c r="P80" s="6">
        <f t="shared" si="2"/>
        <v>-3640.3399134514743</v>
      </c>
    </row>
    <row r="81" spans="1:16" x14ac:dyDescent="0.25">
      <c r="A81" s="2">
        <v>58.1</v>
      </c>
      <c r="B81" s="2">
        <f t="shared" si="0"/>
        <v>5.4753641878296403E-7</v>
      </c>
      <c r="C81" s="2" cm="1">
        <f t="array" ref="C81">INDEX( ComputeThermoProps($A81, $B81, ParametersRange), 1, COLUMN()-2 )</f>
        <v>28.023822132958365</v>
      </c>
      <c r="D81" s="2" cm="1">
        <f t="array" ref="D81">INDEX( ComputeThermoProps($A81, $B81, ParametersRange), 1, COLUMN()-2 )</f>
        <v>4.1224894400414177E-4</v>
      </c>
      <c r="E81" s="2" cm="1">
        <f t="array" ref="E81">INDEX( ComputeThermoProps($A81, $B81, ParametersRange), 1, COLUMN()-2 )</f>
        <v>3.6148468352958181E-4</v>
      </c>
      <c r="F81" s="2" cm="1">
        <f t="array" ref="F81">INDEX( ComputeThermoProps($A81, $B81, ParametersRange), 1, COLUMN()-2 )</f>
        <v>9.1556272705282341E-4</v>
      </c>
      <c r="G81" s="2" cm="1">
        <f t="array" ref="G81">INDEX( ComputeThermoProps($A81, $B81, ParametersRange), 1, COLUMN()-2 )</f>
        <v>26.885718336342567</v>
      </c>
      <c r="H81" s="2" cm="1">
        <f t="array" ref="H81">INDEX( ComputeThermoProps($A81, $B81, ParametersRange), 1, COLUMN()-2 )</f>
        <v>23.575015838441118</v>
      </c>
      <c r="I81" s="2" cm="1">
        <f t="array" ref="I81">INDEX( ComputeThermoProps($A81, $B81, ParametersRange), 1, COLUMN()-2 )</f>
        <v>2.6400000000000006</v>
      </c>
      <c r="J81" s="2" cm="1">
        <f t="array" ref="J81">INDEX( ComputeThermoProps($A81, $B81, ParametersRange), 1, COLUMN()-2 )</f>
        <v>991.28257732082193</v>
      </c>
      <c r="K81" s="2" cm="1">
        <f t="array" ref="K81">INDEX( ComputeThermoProps($A81, $B81, ParametersRange), 1, COLUMN()-2 )</f>
        <v>32.265194273745244</v>
      </c>
      <c r="L81" s="2" cm="1">
        <f t="array" ref="L81">INDEX( ComputeThermoProps($A81, $B81, ParametersRange), 1, COLUMN()-2 )</f>
        <v>-883.32520998377686</v>
      </c>
      <c r="M81" s="2" cm="1">
        <f t="array" ref="M81">INDEX( ComputeThermoProps($A81, $B81, ParametersRange), 1, COLUMN()-2 )</f>
        <v>991.2825926648851</v>
      </c>
      <c r="N81" s="2" cm="1">
        <f t="array" ref="N81">INDEX( ComputeThermoProps($A81, $B81, ParametersRange), 1, COLUMN()-2 )</f>
        <v>-883.32519463971369</v>
      </c>
      <c r="O81" s="4">
        <f t="shared" si="1"/>
        <v>-6.2615869889070961</v>
      </c>
      <c r="P81" s="6">
        <f t="shared" si="2"/>
        <v>-3613.5253720427959</v>
      </c>
    </row>
    <row r="82" spans="1:16" x14ac:dyDescent="0.25">
      <c r="A82" s="2">
        <v>59.1</v>
      </c>
      <c r="B82" s="2">
        <f t="shared" si="0"/>
        <v>8.2393856001497572E-7</v>
      </c>
      <c r="C82" s="2" cm="1">
        <f t="array" ref="C82">INDEX( ComputeThermoProps($A82, $B82, ParametersRange), 1, COLUMN()-2 )</f>
        <v>28.049590909782097</v>
      </c>
      <c r="D82" s="2" cm="1">
        <f t="array" ref="D82">INDEX( ComputeThermoProps($A82, $B82, ParametersRange), 1, COLUMN()-2 )</f>
        <v>4.1493422523708842E-4</v>
      </c>
      <c r="E82" s="2" cm="1">
        <f t="array" ref="E82">INDEX( ComputeThermoProps($A82, $B82, ParametersRange), 1, COLUMN()-2 )</f>
        <v>3.6271853145847227E-4</v>
      </c>
      <c r="F82" s="2" cm="1">
        <f t="array" ref="F82">INDEX( ComputeThermoProps($A82, $B82, ParametersRange), 1, COLUMN()-2 )</f>
        <v>9.2265619175481504E-4</v>
      </c>
      <c r="G82" s="2" cm="1">
        <f t="array" ref="G82">INDEX( ComputeThermoProps($A82, $B82, ParametersRange), 1, COLUMN()-2 )</f>
        <v>27.026683816333758</v>
      </c>
      <c r="H82" s="2" cm="1">
        <f t="array" ref="H82">INDEX( ComputeThermoProps($A82, $B82, ParametersRange), 1, COLUMN()-2 )</f>
        <v>23.625621768008358</v>
      </c>
      <c r="I82" s="2" cm="1">
        <f t="array" ref="I82">INDEX( ComputeThermoProps($A82, $B82, ParametersRange), 1, COLUMN()-2 )</f>
        <v>2.6400000000000006</v>
      </c>
      <c r="J82" s="2" cm="1">
        <f t="array" ref="J82">INDEX( ComputeThermoProps($A82, $B82, ParametersRange), 1, COLUMN()-2 )</f>
        <v>1018.2389112673254</v>
      </c>
      <c r="K82" s="2" cm="1">
        <f t="array" ref="K82">INDEX( ComputeThermoProps($A82, $B82, ParametersRange), 1, COLUMN()-2 )</f>
        <v>32.725199497064381</v>
      </c>
      <c r="L82" s="2" cm="1">
        <f t="array" ref="L82">INDEX( ComputeThermoProps($A82, $B82, ParametersRange), 1, COLUMN()-2 )</f>
        <v>-915.82037900917953</v>
      </c>
      <c r="M82" s="2" cm="1">
        <f t="array" ref="M82">INDEX( ComputeThermoProps($A82, $B82, ParametersRange), 1, COLUMN()-2 )</f>
        <v>1018.2389343784649</v>
      </c>
      <c r="N82" s="2" cm="1">
        <f t="array" ref="N82">INDEX( ComputeThermoProps($A82, $B82, ParametersRange), 1, COLUMN()-2 )</f>
        <v>-915.82035589804002</v>
      </c>
      <c r="O82" s="4">
        <f t="shared" si="1"/>
        <v>-6.08410517184815</v>
      </c>
      <c r="P82" s="6">
        <f t="shared" si="2"/>
        <v>-3586.5690303292163</v>
      </c>
    </row>
    <row r="83" spans="1:16" x14ac:dyDescent="0.25">
      <c r="A83" s="2">
        <v>60.1</v>
      </c>
      <c r="B83" s="2">
        <f t="shared" si="0"/>
        <v>1.2235206418432304E-6</v>
      </c>
      <c r="C83" s="2" cm="1">
        <f t="array" ref="C83">INDEX( ComputeThermoProps($A83, $B83, ParametersRange), 1, COLUMN()-2 )</f>
        <v>28.075582689807643</v>
      </c>
      <c r="D83" s="2" cm="1">
        <f t="array" ref="D83">INDEX( ComputeThermoProps($A83, $B83, ParametersRange), 1, COLUMN()-2 )</f>
        <v>4.1766574673820605E-4</v>
      </c>
      <c r="E83" s="2" cm="1">
        <f t="array" ref="E83">INDEX( ComputeThermoProps($A83, $B83, ParametersRange), 1, COLUMN()-2 )</f>
        <v>3.6397259349667748E-4</v>
      </c>
      <c r="F83" s="2" cm="1">
        <f t="array" ref="F83">INDEX( ComputeThermoProps($A83, $B83, ParametersRange), 1, COLUMN()-2 )</f>
        <v>9.2976207518549736E-4</v>
      </c>
      <c r="G83" s="2" cm="1">
        <f t="array" ref="G83">INDEX( ComputeThermoProps($A83, $B83, ParametersRange), 1, COLUMN()-2 )</f>
        <v>27.166143835651212</v>
      </c>
      <c r="H83" s="2" cm="1">
        <f t="array" ref="H83">INDEX( ComputeThermoProps($A83, $B83, ParametersRange), 1, COLUMN()-2 )</f>
        <v>23.67379155313736</v>
      </c>
      <c r="I83" s="2" cm="1">
        <f t="array" ref="I83">INDEX( ComputeThermoProps($A83, $B83, ParametersRange), 1, COLUMN()-2 )</f>
        <v>2.64</v>
      </c>
      <c r="J83" s="2" cm="1">
        <f t="array" ref="J83">INDEX( ComputeThermoProps($A83, $B83, ParametersRange), 1, COLUMN()-2 )</f>
        <v>1045.3354421742551</v>
      </c>
      <c r="K83" s="2" cm="1">
        <f t="array" ref="K83">INDEX( ComputeThermoProps($A83, $B83, ParametersRange), 1, COLUMN()-2 )</f>
        <v>33.179838246750933</v>
      </c>
      <c r="L83" s="2" cm="1">
        <f t="array" ref="L83">INDEX( ComputeThermoProps($A83, $B83, ParametersRange), 1, COLUMN()-2 )</f>
        <v>-948.77283645547595</v>
      </c>
      <c r="M83" s="2" cm="1">
        <f t="array" ref="M83">INDEX( ComputeThermoProps($A83, $B83, ParametersRange), 1, COLUMN()-2 )</f>
        <v>1045.33547652531</v>
      </c>
      <c r="N83" s="2" cm="1">
        <f t="array" ref="N83">INDEX( ComputeThermoProps($A83, $B83, ParametersRange), 1, COLUMN()-2 )</f>
        <v>-948.77280210442109</v>
      </c>
      <c r="O83" s="4">
        <f t="shared" si="1"/>
        <v>-5.9123886993297727</v>
      </c>
      <c r="P83" s="6">
        <f t="shared" si="2"/>
        <v>-3559.4724881823713</v>
      </c>
    </row>
    <row r="84" spans="1:16" x14ac:dyDescent="0.25">
      <c r="A84" s="2">
        <v>61.1</v>
      </c>
      <c r="B84" s="2">
        <f t="shared" si="0"/>
        <v>1.7940175375376739E-6</v>
      </c>
      <c r="C84" s="2" cm="1">
        <f t="array" ref="C84">INDEX( ComputeThermoProps($A84, $B84, ParametersRange), 1, COLUMN()-2 )</f>
        <v>28.1017985000274</v>
      </c>
      <c r="D84" s="2" cm="1">
        <f t="array" ref="D84">INDEX( ComputeThermoProps($A84, $B84, ParametersRange), 1, COLUMN()-2 )</f>
        <v>4.2044479158846954E-4</v>
      </c>
      <c r="E84" s="2" cm="1">
        <f t="array" ref="E84">INDEX( ComputeThermoProps($A84, $B84, ParametersRange), 1, COLUMN()-2 )</f>
        <v>3.6524726439833978E-4</v>
      </c>
      <c r="F84" s="2" cm="1">
        <f t="array" ref="F84">INDEX( ComputeThermoProps($A84, $B84, ParametersRange), 1, COLUMN()-2 )</f>
        <v>9.3688764774553328E-4</v>
      </c>
      <c r="G84" s="2" cm="1">
        <f t="array" ref="G84">INDEX( ComputeThermoProps($A84, $B84, ParametersRange), 1, COLUMN()-2 )</f>
        <v>27.304280054448991</v>
      </c>
      <c r="H84" s="2" cm="1">
        <f t="array" ref="H84">INDEX( ComputeThermoProps($A84, $B84, ParametersRange), 1, COLUMN()-2 )</f>
        <v>23.71967448704898</v>
      </c>
      <c r="I84" s="2" cm="1">
        <f t="array" ref="I84">INDEX( ComputeThermoProps($A84, $B84, ParametersRange), 1, COLUMN()-2 )</f>
        <v>2.6399999999999997</v>
      </c>
      <c r="J84" s="2" cm="1">
        <f t="array" ref="J84">INDEX( ComputeThermoProps($A84, $B84, ParametersRange), 1, COLUMN()-2 )</f>
        <v>1072.5707561865984</v>
      </c>
      <c r="K84" s="2" cm="1">
        <f t="array" ref="K84">INDEX( ComputeThermoProps($A84, $B84, ParametersRange), 1, COLUMN()-2 )</f>
        <v>33.629264299557299</v>
      </c>
      <c r="L84" s="2" cm="1">
        <f t="array" ref="L84">INDEX( ComputeThermoProps($A84, $B84, ParametersRange), 1, COLUMN()-2 )</f>
        <v>-982.17729251635262</v>
      </c>
      <c r="M84" s="2" cm="1">
        <f t="array" ref="M84">INDEX( ComputeThermoProps($A84, $B84, ParametersRange), 1, COLUMN()-2 )</f>
        <v>1072.5708066017178</v>
      </c>
      <c r="N84" s="2" cm="1">
        <f t="array" ref="N84">INDEX( ComputeThermoProps($A84, $B84, ParametersRange), 1, COLUMN()-2 )</f>
        <v>-982.17724210123322</v>
      </c>
      <c r="O84" s="4">
        <f t="shared" si="1"/>
        <v>-5.7461733157966028</v>
      </c>
      <c r="P84" s="6">
        <f t="shared" si="2"/>
        <v>-3532.2371581059633</v>
      </c>
    </row>
    <row r="85" spans="1:16" x14ac:dyDescent="0.25">
      <c r="A85" s="2">
        <v>62.1</v>
      </c>
      <c r="B85" s="2">
        <f t="shared" si="0"/>
        <v>2.5988951651388092E-6</v>
      </c>
      <c r="C85" s="2" cm="1">
        <f t="array" ref="C85">INDEX( ComputeThermoProps($A85, $B85, ParametersRange), 1, COLUMN()-2 )</f>
        <v>28.128239575396289</v>
      </c>
      <c r="D85" s="2" cm="1">
        <f t="array" ref="D85">INDEX( ComputeThermoProps($A85, $B85, ParametersRange), 1, COLUMN()-2 )</f>
        <v>4.2327269780928798E-4</v>
      </c>
      <c r="E85" s="2" cm="1">
        <f t="array" ref="E85">INDEX( ComputeThermoProps($A85, $B85, ParametersRange), 1, COLUMN()-2 )</f>
        <v>3.6654295935767579E-4</v>
      </c>
      <c r="F85" s="2" cm="1">
        <f t="array" ref="F85">INDEX( ComputeThermoProps($A85, $B85, ParametersRange), 1, COLUMN()-2 )</f>
        <v>9.4403994811235212E-4</v>
      </c>
      <c r="G85" s="2" cm="1">
        <f t="array" ref="G85">INDEX( ComputeThermoProps($A85, $B85, ParametersRange), 1, COLUMN()-2 )</f>
        <v>27.441264253649887</v>
      </c>
      <c r="H85" s="2" cm="1">
        <f t="array" ref="H85">INDEX( ComputeThermoProps($A85, $B85, ParametersRange), 1, COLUMN()-2 )</f>
        <v>23.763408932604484</v>
      </c>
      <c r="I85" s="2" cm="1">
        <f t="array" ref="I85">INDEX( ComputeThermoProps($A85, $B85, ParametersRange), 1, COLUMN()-2 )</f>
        <v>2.6400000000000006</v>
      </c>
      <c r="J85" s="2" cm="1">
        <f t="array" ref="J85">INDEX( ComputeThermoProps($A85, $B85, ParametersRange), 1, COLUMN()-2 )</f>
        <v>1099.9436160526227</v>
      </c>
      <c r="K85" s="2" cm="1">
        <f t="array" ref="K85">INDEX( ComputeThermoProps($A85, $B85, ParametersRange), 1, COLUMN()-2 )</f>
        <v>34.073626809634263</v>
      </c>
      <c r="L85" s="2" cm="1">
        <f t="array" ref="L85">INDEX( ComputeThermoProps($A85, $B85, ParametersRange), 1, COLUMN()-2 )</f>
        <v>-1016.0286088256651</v>
      </c>
      <c r="M85" s="2" cm="1">
        <f t="array" ref="M85">INDEX( ComputeThermoProps($A85, $B85, ParametersRange), 1, COLUMN()-2 )</f>
        <v>1099.9436891549685</v>
      </c>
      <c r="N85" s="2" cm="1">
        <f t="array" ref="N85">INDEX( ComputeThermoProps($A85, $B85, ParametersRange), 1, COLUMN()-2 )</f>
        <v>-1016.0285357233192</v>
      </c>
      <c r="O85" s="4">
        <f t="shared" si="1"/>
        <v>-5.5852112388214179</v>
      </c>
      <c r="P85" s="6">
        <f t="shared" si="2"/>
        <v>-3504.8642755527126</v>
      </c>
    </row>
    <row r="86" spans="1:16" x14ac:dyDescent="0.25">
      <c r="A86" s="2">
        <v>63.1</v>
      </c>
      <c r="B86" s="2">
        <f t="shared" si="0"/>
        <v>3.721603775482455E-6</v>
      </c>
      <c r="C86" s="2" cm="1">
        <f t="array" ref="C86">INDEX( ComputeThermoProps($A86, $B86, ParametersRange), 1, COLUMN()-2 )</f>
        <v>28.154907353738359</v>
      </c>
      <c r="D86" s="2" cm="1">
        <f t="array" ref="D86">INDEX( ComputeThermoProps($A86, $B86, ParametersRange), 1, COLUMN()-2 )</f>
        <v>4.2615086089064293E-4</v>
      </c>
      <c r="E86" s="2" cm="1">
        <f t="array" ref="E86">INDEX( ComputeThermoProps($A86, $B86, ParametersRange), 1, COLUMN()-2 )</f>
        <v>3.6786011449710799E-4</v>
      </c>
      <c r="F86" s="2" cm="1">
        <f t="array" ref="F86">INDEX( ComputeThermoProps($A86, $B86, ParametersRange), 1, COLUMN()-2 )</f>
        <v>9.5122581633041742E-4</v>
      </c>
      <c r="G86" s="2" cm="1">
        <f t="array" ref="G86">INDEX( ComputeThermoProps($A86, $B86, ParametersRange), 1, COLUMN()-2 )</f>
        <v>27.57725929518605</v>
      </c>
      <c r="H86" s="2" cm="1">
        <f t="array" ref="H86">INDEX( ComputeThermoProps($A86, $B86, ParametersRange), 1, COLUMN()-2 )</f>
        <v>23.805123238849529</v>
      </c>
      <c r="I86" s="2" cm="1">
        <f t="array" ref="I86">INDEX( ComputeThermoProps($A86, $B86, ParametersRange), 1, COLUMN()-2 )</f>
        <v>2.64</v>
      </c>
      <c r="J86" s="2" cm="1">
        <f t="array" ref="J86">INDEX( ComputeThermoProps($A86, $B86, ParametersRange), 1, COLUMN()-2 )</f>
        <v>1127.4529517270514</v>
      </c>
      <c r="K86" s="2" cm="1">
        <f t="array" ref="K86">INDEX( ComputeThermoProps($A86, $B86, ParametersRange), 1, COLUMN()-2 )</f>
        <v>34.513070453809775</v>
      </c>
      <c r="L86" s="2" cm="1">
        <f t="array" ref="L86">INDEX( ComputeThermoProps($A86, $B86, ParametersRange), 1, COLUMN()-2 )</f>
        <v>-1050.3217939083454</v>
      </c>
      <c r="M86" s="2" cm="1">
        <f t="array" ref="M86">INDEX( ComputeThermoProps($A86, $B86, ParametersRange), 1, COLUMN()-2 )</f>
        <v>1127.453056508461</v>
      </c>
      <c r="N86" s="2" cm="1">
        <f t="array" ref="N86">INDEX( ComputeThermoProps($A86, $B86, ParametersRange), 1, COLUMN()-2 )</f>
        <v>-1050.3216891269358</v>
      </c>
      <c r="O86" s="4">
        <f t="shared" si="1"/>
        <v>-5.4292698663695393</v>
      </c>
      <c r="P86" s="6">
        <f t="shared" si="2"/>
        <v>-3477.3549081992201</v>
      </c>
    </row>
    <row r="87" spans="1:16" x14ac:dyDescent="0.25">
      <c r="A87" s="2">
        <v>64.099999999999994</v>
      </c>
      <c r="B87" s="2">
        <f t="shared" si="0"/>
        <v>5.2707133163802473E-6</v>
      </c>
      <c r="C87" s="2" cm="1">
        <f t="array" ref="C87">INDEX( ComputeThermoProps($A87, $B87, ParametersRange), 1, COLUMN()-2 )</f>
        <v>28.181803471529044</v>
      </c>
      <c r="D87" s="2" cm="1">
        <f t="array" ref="D87">INDEX( ComputeThermoProps($A87, $B87, ParametersRange), 1, COLUMN()-2 )</f>
        <v>4.2908073658894498E-4</v>
      </c>
      <c r="E87" s="2" cm="1">
        <f t="array" ref="E87">INDEX( ComputeThermoProps($A87, $B87, ParametersRange), 1, COLUMN()-2 )</f>
        <v>3.6919918742322875E-4</v>
      </c>
      <c r="F87" s="2" cm="1">
        <f t="array" ref="F87">INDEX( ComputeThermoProps($A87, $B87, ParametersRange), 1, COLUMN()-2 )</f>
        <v>9.5845192578567851E-4</v>
      </c>
      <c r="G87" s="2" cm="1">
        <f t="array" ref="G87">INDEX( ComputeThermoProps($A87, $B87, ParametersRange), 1, COLUMN()-2 )</f>
        <v>27.71242003406028</v>
      </c>
      <c r="H87" s="2" cm="1">
        <f t="array" ref="H87">INDEX( ComputeThermoProps($A87, $B87, ParametersRange), 1, COLUMN()-2 )</f>
        <v>23.844936595016247</v>
      </c>
      <c r="I87" s="2" cm="1">
        <f t="array" ref="I87">INDEX( ComputeThermoProps($A87, $B87, ParametersRange), 1, COLUMN()-2 )</f>
        <v>2.6400000000000006</v>
      </c>
      <c r="J87" s="2" cm="1">
        <f t="array" ref="J87">INDEX( ComputeThermoProps($A87, $B87, ParametersRange), 1, COLUMN()-2 )</f>
        <v>1155.0978518887459</v>
      </c>
      <c r="K87" s="2" cm="1">
        <f t="array" ref="K87">INDEX( ComputeThermoProps($A87, $B87, ParametersRange), 1, COLUMN()-2 )</f>
        <v>34.947735579770089</v>
      </c>
      <c r="L87" s="2" cm="1">
        <f t="array" ref="L87">INDEX( ComputeThermoProps($A87, $B87, ParametersRange), 1, COLUMN()-2 )</f>
        <v>-1085.0519987745165</v>
      </c>
      <c r="M87" s="2" cm="1">
        <f t="array" ref="M87">INDEX( ComputeThermoProps($A87, $B87, ParametersRange), 1, COLUMN()-2 )</f>
        <v>1155.0980004269527</v>
      </c>
      <c r="N87" s="2" cm="1">
        <f t="array" ref="N87">INDEX( ComputeThermoProps($A87, $B87, ParametersRange), 1, COLUMN()-2 )</f>
        <v>-1085.0518502363097</v>
      </c>
      <c r="O87" s="4">
        <f t="shared" si="1"/>
        <v>-5.2781306052041428</v>
      </c>
      <c r="P87" s="6">
        <f t="shared" si="2"/>
        <v>-3449.7099642807284</v>
      </c>
    </row>
    <row r="88" spans="1:16" x14ac:dyDescent="0.25">
      <c r="A88" s="2">
        <v>65.099999999999994</v>
      </c>
      <c r="B88" s="2">
        <f t="shared" ref="B88:B151" si="3">IF(
  A88 &lt;= $B$5,
  $B$6 * EXP( ($B$5/A88) * ( $B$13*(1 - A88/$B$5) + $B$14*(1 - A88/$B$5)^1.5 + $B$15*(1 - A88/$B$5)^5 ) ),
  $B$6 * ( 1 + $B$17 * MAX(A88/$B$5 - 1, 0)^$B$18 + $B$19 * MAX(A88/$B$5 - 1, 0)^$B$20 )
)</f>
        <v>7.3860491376183145E-6</v>
      </c>
      <c r="C88" s="2" cm="1">
        <f t="array" ref="C88">INDEX( ComputeThermoProps($A88, $B88, ParametersRange), 1, COLUMN()-2 )</f>
        <v>28.208929760522739</v>
      </c>
      <c r="D88" s="2" cm="1">
        <f t="array" ref="D88">INDEX( ComputeThermoProps($A88, $B88, ParametersRange), 1, COLUMN()-2 )</f>
        <v>4.3206384381948304E-4</v>
      </c>
      <c r="E88" s="2" cm="1">
        <f t="array" ref="E88">INDEX( ComputeThermoProps($A88, $B88, ParametersRange), 1, COLUMN()-2 )</f>
        <v>3.7056065785267162E-4</v>
      </c>
      <c r="F88" s="2" cm="1">
        <f t="array" ref="F88">INDEX( ComputeThermoProps($A88, $B88, ParametersRange), 1, COLUMN()-2 )</f>
        <v>9.6572481126801994E-4</v>
      </c>
      <c r="G88" s="2" cm="1">
        <f t="array" ref="G88">INDEX( ComputeThermoProps($A88, $B88, ParametersRange), 1, COLUMN()-2 )</f>
        <v>27.846894101400924</v>
      </c>
      <c r="H88" s="2" cm="1">
        <f t="array" ref="H88">INDEX( ComputeThermoProps($A88, $B88, ParametersRange), 1, COLUMN()-2 )</f>
        <v>23.882959763881765</v>
      </c>
      <c r="I88" s="2" cm="1">
        <f t="array" ref="I88">INDEX( ComputeThermoProps($A88, $B88, ParametersRange), 1, COLUMN()-2 )</f>
        <v>2.64</v>
      </c>
      <c r="J88" s="2" cm="1">
        <f t="array" ref="J88">INDEX( ComputeThermoProps($A88, $B88, ParametersRange), 1, COLUMN()-2 )</f>
        <v>1182.8775563221295</v>
      </c>
      <c r="K88" s="2" cm="1">
        <f t="array" ref="K88">INDEX( ComputeThermoProps($A88, $B88, ParametersRange), 1, COLUMN()-2 )</f>
        <v>35.377758356208766</v>
      </c>
      <c r="L88" s="2" cm="1">
        <f t="array" ref="L88">INDEX( ComputeThermoProps($A88, $B88, ParametersRange), 1, COLUMN()-2 )</f>
        <v>-1120.2145126670609</v>
      </c>
      <c r="M88" s="2" cm="1">
        <f t="array" ref="M88">INDEX( ComputeThermoProps($A88, $B88, ParametersRange), 1, COLUMN()-2 )</f>
        <v>1182.8777646746707</v>
      </c>
      <c r="N88" s="2" cm="1">
        <f t="array" ref="N88">INDEX( ComputeThermoProps($A88, $B88, ParametersRange), 1, COLUMN()-2 )</f>
        <v>-1120.2143043145197</v>
      </c>
      <c r="O88" s="4">
        <f t="shared" ref="O88:O151" si="4">LOG10(B88)</f>
        <v>-5.131587807418116</v>
      </c>
      <c r="P88" s="6">
        <f t="shared" ref="P88:P151" si="5">M88-$B$11</f>
        <v>-3421.9302000330104</v>
      </c>
    </row>
    <row r="89" spans="1:16" x14ac:dyDescent="0.25">
      <c r="A89" s="2">
        <v>66.099999999999994</v>
      </c>
      <c r="B89" s="2">
        <f t="shared" si="3"/>
        <v>1.0245949154150867E-5</v>
      </c>
      <c r="C89" s="2" cm="1">
        <f t="array" ref="C89">INDEX( ComputeThermoProps($A89, $B89, ParametersRange), 1, COLUMN()-2 )</f>
        <v>28.236288245160193</v>
      </c>
      <c r="D89" s="2" cm="1">
        <f t="array" ref="D89">INDEX( ComputeThermoProps($A89, $B89, ParametersRange), 1, COLUMN()-2 )</f>
        <v>4.3510176792663945E-4</v>
      </c>
      <c r="E89" s="2" cm="1">
        <f t="array" ref="E89">INDEX( ComputeThermoProps($A89, $B89, ParametersRange), 1, COLUMN()-2 )</f>
        <v>3.7194502830835999E-4</v>
      </c>
      <c r="F89" s="2" cm="1">
        <f t="array" ref="F89">INDEX( ComputeThermoProps($A89, $B89, ParametersRange), 1, COLUMN()-2 )</f>
        <v>9.7305089783114617E-4</v>
      </c>
      <c r="G89" s="2" cm="1">
        <f t="array" ref="G89">INDEX( ComputeThermoProps($A89, $B89, ParametersRange), 1, COLUMN()-2 )</f>
        <v>27.980822695408488</v>
      </c>
      <c r="H89" s="2" cm="1">
        <f t="array" ref="H89">INDEX( ComputeThermoProps($A89, $B89, ParametersRange), 1, COLUMN()-2 )</f>
        <v>23.919295798608761</v>
      </c>
      <c r="I89" s="2" cm="1">
        <f t="array" ref="I89">INDEX( ComputeThermoProps($A89, $B89, ParametersRange), 1, COLUMN()-2 )</f>
        <v>2.6399999999999997</v>
      </c>
      <c r="J89" s="2" cm="1">
        <f t="array" ref="J89">INDEX( ComputeThermoProps($A89, $B89, ParametersRange), 1, COLUMN()-2 )</f>
        <v>1210.7914490759131</v>
      </c>
      <c r="K89" s="2" cm="1">
        <f t="array" ref="K89">INDEX( ComputeThermoProps($A89, $B89, ParametersRange), 1, COLUMN()-2 )</f>
        <v>35.803270923369148</v>
      </c>
      <c r="L89" s="2" cm="1">
        <f t="array" ref="L89">INDEX( ComputeThermoProps($A89, $B89, ParametersRange), 1, COLUMN()-2 )</f>
        <v>-1155.8047589587875</v>
      </c>
      <c r="M89" s="2" cm="1">
        <f t="array" ref="M89">INDEX( ComputeThermoProps($A89, $B89, ParametersRange), 1, COLUMN()-2 )</f>
        <v>1210.7917383834867</v>
      </c>
      <c r="N89" s="2" cm="1">
        <f t="array" ref="N89">INDEX( ComputeThermoProps($A89, $B89, ParametersRange), 1, COLUMN()-2 )</f>
        <v>-1155.8044696512138</v>
      </c>
      <c r="O89" s="4">
        <f t="shared" si="4"/>
        <v>-4.9894478036545342</v>
      </c>
      <c r="P89" s="6">
        <f t="shared" si="5"/>
        <v>-3394.0162263241946</v>
      </c>
    </row>
    <row r="90" spans="1:16" x14ac:dyDescent="0.25">
      <c r="A90" s="2">
        <v>67.099999999999994</v>
      </c>
      <c r="B90" s="2">
        <f t="shared" si="3"/>
        <v>1.4075764012684491E-5</v>
      </c>
      <c r="C90" s="2" cm="1">
        <f t="array" ref="C90">INDEX( ComputeThermoProps($A90, $B90, ParametersRange), 1, COLUMN()-2 )</f>
        <v>28.263881140714361</v>
      </c>
      <c r="D90" s="2" cm="1">
        <f t="array" ref="D90">INDEX( ComputeThermoProps($A90, $B90, ParametersRange), 1, COLUMN()-2 )</f>
        <v>4.3819616403751753E-4</v>
      </c>
      <c r="E90" s="2" cm="1">
        <f t="array" ref="E90">INDEX( ComputeThermoProps($A90, $B90, ParametersRange), 1, COLUMN()-2 )</f>
        <v>3.7335282488790692E-4</v>
      </c>
      <c r="F90" s="2" cm="1">
        <f t="array" ref="F90">INDEX( ComputeThermoProps($A90, $B90, ParametersRange), 1, COLUMN()-2 )</f>
        <v>9.8043652571190403E-4</v>
      </c>
      <c r="G90" s="2" cm="1">
        <f t="array" ref="G90">INDEX( ComputeThermoProps($A90, $B90, ParametersRange), 1, COLUMN()-2 )</f>
        <v>28.114341243186139</v>
      </c>
      <c r="H90" s="2" cm="1">
        <f t="array" ref="H90">INDEX( ComputeThermoProps($A90, $B90, ParametersRange), 1, COLUMN()-2 )</f>
        <v>23.954040643102111</v>
      </c>
      <c r="I90" s="2" cm="1">
        <f t="array" ref="I90">INDEX( ComputeThermoProps($A90, $B90, ParametersRange), 1, COLUMN()-2 )</f>
        <v>2.64</v>
      </c>
      <c r="J90" s="2" cm="1">
        <f t="array" ref="J90">INDEX( ComputeThermoProps($A90, $B90, ParametersRange), 1, COLUMN()-2 )</f>
        <v>1238.8390523381395</v>
      </c>
      <c r="K90" s="2" cm="1">
        <f t="array" ref="K90">INDEX( ComputeThermoProps($A90, $B90, ParametersRange), 1, COLUMN()-2 )</f>
        <v>36.224401543033665</v>
      </c>
      <c r="L90" s="2" cm="1">
        <f t="array" ref="L90">INDEX( ComputeThermoProps($A90, $B90, ParametersRange), 1, COLUMN()-2 )</f>
        <v>-1191.8182911994193</v>
      </c>
      <c r="M90" s="2" cm="1">
        <f t="array" ref="M90">INDEX( ComputeThermoProps($A90, $B90, ParametersRange), 1, COLUMN()-2 )</f>
        <v>1238.8394501738605</v>
      </c>
      <c r="N90" s="2" cm="1">
        <f t="array" ref="N90">INDEX( ComputeThermoProps($A90, $B90, ParametersRange), 1, COLUMN()-2 )</f>
        <v>-1191.8178933636982</v>
      </c>
      <c r="O90" s="4">
        <f t="shared" si="4"/>
        <v>-4.8515280229428459</v>
      </c>
      <c r="P90" s="6">
        <f t="shared" si="5"/>
        <v>-3365.9685145338208</v>
      </c>
    </row>
    <row r="91" spans="1:16" x14ac:dyDescent="0.25">
      <c r="A91" s="2">
        <v>68.099999999999994</v>
      </c>
      <c r="B91" s="2">
        <f t="shared" si="3"/>
        <v>1.91577194797658E-5</v>
      </c>
      <c r="C91" s="2" cm="1">
        <f t="array" ref="C91">INDEX( ComputeThermoProps($A91, $B91, ParametersRange), 1, COLUMN()-2 )</f>
        <v>28.291710852142831</v>
      </c>
      <c r="D91" s="2" cm="1">
        <f t="array" ref="D91">INDEX( ComputeThermoProps($A91, $B91, ParametersRange), 1, COLUMN()-2 )</f>
        <v>4.4134876080725936E-4</v>
      </c>
      <c r="E91" s="2" cm="1">
        <f t="array" ref="E91">INDEX( ComputeThermoProps($A91, $B91, ParametersRange), 1, COLUMN()-2 )</f>
        <v>3.747845981065849E-4</v>
      </c>
      <c r="F91" s="2" cm="1">
        <f t="array" ref="F91">INDEX( ComputeThermoProps($A91, $B91, ParametersRange), 1, COLUMN()-2 )</f>
        <v>9.8788797618918809E-4</v>
      </c>
      <c r="G91" s="2" cm="1">
        <f t="array" ref="G91">INDEX( ComputeThermoProps($A91, $B91, ParametersRange), 1, COLUMN()-2 )</f>
        <v>28.247580074491626</v>
      </c>
      <c r="H91" s="2" cm="1">
        <f t="array" ref="H91">INDEX( ComputeThermoProps($A91, $B91, ParametersRange), 1, COLUMN()-2 )</f>
        <v>23.98728372169429</v>
      </c>
      <c r="I91" s="2" cm="1">
        <f t="array" ref="I91">INDEX( ComputeThermoProps($A91, $B91, ParametersRange), 1, COLUMN()-2 )</f>
        <v>2.6400000000000006</v>
      </c>
      <c r="J91" s="2" cm="1">
        <f t="array" ref="J91">INDEX( ComputeThermoProps($A91, $B91, ParametersRange), 1, COLUMN()-2 )</f>
        <v>1267.0200209765424</v>
      </c>
      <c r="K91" s="2" cm="1">
        <f t="array" ref="K91">INDEX( ComputeThermoProps($A91, $B91, ParametersRange), 1, COLUMN()-2 )</f>
        <v>36.641274747271545</v>
      </c>
      <c r="L91" s="2" cm="1">
        <f t="array" ref="L91">INDEX( ComputeThermoProps($A91, $B91, ParametersRange), 1, COLUMN()-2 )</f>
        <v>-1228.2507893126497</v>
      </c>
      <c r="M91" s="2" cm="1">
        <f t="array" ref="M91">INDEX( ComputeThermoProps($A91, $B91, ParametersRange), 1, COLUMN()-2 )</f>
        <v>1267.0205629812024</v>
      </c>
      <c r="N91" s="2" cm="1">
        <f t="array" ref="N91">INDEX( ComputeThermoProps($A91, $B91, ParametersRange), 1, COLUMN()-2 )</f>
        <v>-1228.2502473079896</v>
      </c>
      <c r="O91" s="4">
        <f t="shared" si="4"/>
        <v>-4.7176561902627201</v>
      </c>
      <c r="P91" s="6">
        <f t="shared" si="5"/>
        <v>-3337.7874017264785</v>
      </c>
    </row>
    <row r="92" spans="1:16" x14ac:dyDescent="0.25">
      <c r="A92" s="2">
        <v>69.099999999999994</v>
      </c>
      <c r="B92" s="2">
        <f t="shared" si="3"/>
        <v>2.5842254906432914E-5</v>
      </c>
      <c r="C92" s="2" cm="1">
        <f t="array" ref="C92">INDEX( ComputeThermoProps($A92, $B92, ParametersRange), 1, COLUMN()-2 )</f>
        <v>28.319779973615908</v>
      </c>
      <c r="D92" s="2" cm="1">
        <f t="array" ref="D92">INDEX( ComputeThermoProps($A92, $B92, ParametersRange), 1, COLUMN()-2 )</f>
        <v>4.4456136428860319E-4</v>
      </c>
      <c r="E92" s="2" cm="1">
        <f t="array" ref="E92">INDEX( ComputeThermoProps($A92, $B92, ParametersRange), 1, COLUMN()-2 )</f>
        <v>3.7624092381754011E-4</v>
      </c>
      <c r="F92" s="2" cm="1">
        <f t="array" ref="F92">INDEX( ComputeThermoProps($A92, $B92, ParametersRange), 1, COLUMN()-2 )</f>
        <v>9.9541149416460862E-4</v>
      </c>
      <c r="G92" s="2" cm="1">
        <f t="array" ref="G92">INDEX( ComputeThermoProps($A92, $B92, ParametersRange), 1, COLUMN()-2 )</f>
        <v>28.380664985923147</v>
      </c>
      <c r="H92" s="2" cm="1">
        <f t="array" ref="H92">INDEX( ComputeThermoProps($A92, $B92, ParametersRange), 1, COLUMN()-2 )</f>
        <v>24.019108430501952</v>
      </c>
      <c r="I92" s="2" cm="1">
        <f t="array" ref="I92">INDEX( ComputeThermoProps($A92, $B92, ParametersRange), 1, COLUMN()-2 )</f>
        <v>2.64</v>
      </c>
      <c r="J92" s="2" cm="1">
        <f t="array" ref="J92">INDEX( ComputeThermoProps($A92, $B92, ParametersRange), 1, COLUMN()-2 )</f>
        <v>1295.3341376943329</v>
      </c>
      <c r="K92" s="2" cm="1">
        <f t="array" ref="K92">INDEX( ComputeThermoProps($A92, $B92, ParametersRange), 1, COLUMN()-2 )</f>
        <v>37.054011485321794</v>
      </c>
      <c r="L92" s="2" cm="1">
        <f t="array" ref="L92">INDEX( ComputeThermoProps($A92, $B92, ParametersRange), 1, COLUMN()-2 )</f>
        <v>-1265.0980559414029</v>
      </c>
      <c r="M92" s="2" cm="1">
        <f t="array" ref="M92">INDEX( ComputeThermoProps($A92, $B92, ParametersRange), 1, COLUMN()-2 )</f>
        <v>1295.3348695413058</v>
      </c>
      <c r="N92" s="2" cm="1">
        <f t="array" ref="N92">INDEX( ComputeThermoProps($A92, $B92, ParametersRange), 1, COLUMN()-2 )</f>
        <v>-1265.09732409443</v>
      </c>
      <c r="O92" s="4">
        <f t="shared" si="4"/>
        <v>-4.5876695939782346</v>
      </c>
      <c r="P92" s="6">
        <f t="shared" si="5"/>
        <v>-3309.4730951663751</v>
      </c>
    </row>
    <row r="93" spans="1:16" x14ac:dyDescent="0.25">
      <c r="A93" s="2">
        <v>70.099999999999994</v>
      </c>
      <c r="B93" s="2">
        <f t="shared" si="3"/>
        <v>3.4560943005106701E-5</v>
      </c>
      <c r="C93" s="2" cm="1">
        <f t="array" ref="C93">INDEX( ComputeThermoProps($A93, $B93, ParametersRange), 1, COLUMN()-2 )</f>
        <v>28.348091288696288</v>
      </c>
      <c r="D93" s="2" cm="1">
        <f t="array" ref="D93">INDEX( ComputeThermoProps($A93, $B93, ParametersRange), 1, COLUMN()-2 )</f>
        <v>4.4783586226544361E-4</v>
      </c>
      <c r="E93" s="2" cm="1">
        <f t="array" ref="E93">INDEX( ComputeThermoProps($A93, $B93, ParametersRange), 1, COLUMN()-2 )</f>
        <v>3.777224042125027E-4</v>
      </c>
      <c r="F93" s="2" cm="1">
        <f t="array" ref="F93">INDEX( ComputeThermoProps($A93, $B93, ParametersRange), 1, COLUMN()-2 )</f>
        <v>1.0030133125206093E-3</v>
      </c>
      <c r="G93" s="2" cm="1">
        <f t="array" ref="G93">INDEX( ComputeThermoProps($A93, $B93, ParametersRange), 1, COLUMN()-2 )</f>
        <v>28.513717840430132</v>
      </c>
      <c r="H93" s="2" cm="1">
        <f t="array" ref="H93">INDEX( ComputeThermoProps($A93, $B93, ParametersRange), 1, COLUMN()-2 )</f>
        <v>24.049592637001432</v>
      </c>
      <c r="I93" s="2" cm="1">
        <f t="array" ref="I93">INDEX( ComputeThermoProps($A93, $B93, ParametersRange), 1, COLUMN()-2 )</f>
        <v>2.6400000000000006</v>
      </c>
      <c r="J93" s="2" cm="1">
        <f t="array" ref="J93">INDEX( ComputeThermoProps($A93, $B93, ParametersRange), 1, COLUMN()-2 )</f>
        <v>1323.7813087583502</v>
      </c>
      <c r="K93" s="2" cm="1">
        <f t="array" ref="K93">INDEX( ComputeThermoProps($A93, $B93, ParametersRange), 1, COLUMN()-2 )</f>
        <v>37.462729268153808</v>
      </c>
      <c r="L93" s="2" cm="1">
        <f t="array" ref="L93">INDEX( ComputeThermoProps($A93, $B93, ParametersRange), 1, COLUMN()-2 )</f>
        <v>-1302.3560129392315</v>
      </c>
      <c r="M93" s="2" cm="1">
        <f t="array" ref="M93">INDEX( ComputeThermoProps($A93, $B93, ParametersRange), 1, COLUMN()-2 )</f>
        <v>1323.7822884951174</v>
      </c>
      <c r="N93" s="2" cm="1">
        <f t="array" ref="N93">INDEX( ComputeThermoProps($A93, $B93, ParametersRange), 1, COLUMN()-2 )</f>
        <v>-1302.3550332024643</v>
      </c>
      <c r="O93" s="4">
        <f t="shared" si="4"/>
        <v>-4.4614144161836835</v>
      </c>
      <c r="P93" s="6">
        <f t="shared" si="5"/>
        <v>-3281.0256762125637</v>
      </c>
    </row>
    <row r="94" spans="1:16" x14ac:dyDescent="0.25">
      <c r="A94" s="2">
        <v>71.099999999999994</v>
      </c>
      <c r="B94" s="2">
        <f t="shared" si="3"/>
        <v>4.5841084148739169E-5</v>
      </c>
      <c r="C94" s="2" cm="1">
        <f t="array" ref="C94">INDEX( ComputeThermoProps($A94, $B94, ParametersRange), 1, COLUMN()-2 )</f>
        <v>28.376647771151461</v>
      </c>
      <c r="D94" s="2" cm="1">
        <f t="array" ref="D94">INDEX( ComputeThermoProps($A94, $B94, ParametersRange), 1, COLUMN()-2 )</f>
        <v>4.5117422872149583E-4</v>
      </c>
      <c r="E94" s="2" cm="1">
        <f t="array" ref="E94">INDEX( ComputeThermoProps($A94, $B94, ParametersRange), 1, COLUMN()-2 )</f>
        <v>3.792296689067899E-4</v>
      </c>
      <c r="F94" s="2" cm="1">
        <f t="array" ref="F94">INDEX( ComputeThermoProps($A94, $B94, ParametersRange), 1, COLUMN()-2 )</f>
        <v>1.0106996731865199E-3</v>
      </c>
      <c r="G94" s="2" cm="1">
        <f t="array" ref="G94">INDEX( ComputeThermoProps($A94, $B94, ParametersRange), 1, COLUMN()-2 )</f>
        <v>28.646857056694031</v>
      </c>
      <c r="H94" s="2" cm="1">
        <f t="array" ref="H94">INDEX( ComputeThermoProps($A94, $B94, ParametersRange), 1, COLUMN()-2 )</f>
        <v>24.078809083610722</v>
      </c>
      <c r="I94" s="2" cm="1">
        <f t="array" ref="I94">INDEX( ComputeThermoProps($A94, $B94, ParametersRange), 1, COLUMN()-2 )</f>
        <v>2.64</v>
      </c>
      <c r="J94" s="2" cm="1">
        <f t="array" ref="J94">INDEX( ComputeThermoProps($A94, $B94, ParametersRange), 1, COLUMN()-2 )</f>
        <v>1352.3615602615844</v>
      </c>
      <c r="K94" s="2" cm="1">
        <f t="array" ref="K94">INDEX( ComputeThermoProps($A94, $B94, ParametersRange), 1, COLUMN()-2 )</f>
        <v>37.867542310365977</v>
      </c>
      <c r="L94" s="2" cm="1">
        <f t="array" ref="L94">INDEX( ComputeThermoProps($A94, $B94, ParametersRange), 1, COLUMN()-2 )</f>
        <v>-1340.0206980054363</v>
      </c>
      <c r="M94" s="2" cm="1">
        <f t="array" ref="M94">INDEX( ComputeThermoProps($A94, $B94, ParametersRange), 1, COLUMN()-2 )</f>
        <v>1352.3628610778826</v>
      </c>
      <c r="N94" s="2" cm="1">
        <f t="array" ref="N94">INDEX( ComputeThermoProps($A94, $B94, ParametersRange), 1, COLUMN()-2 )</f>
        <v>-1340.0193971891381</v>
      </c>
      <c r="O94" s="4">
        <f t="shared" si="4"/>
        <v>-4.3387451197874549</v>
      </c>
      <c r="P94" s="6">
        <f t="shared" si="5"/>
        <v>-3252.4451036297987</v>
      </c>
    </row>
    <row r="95" spans="1:16" x14ac:dyDescent="0.25">
      <c r="A95" s="2">
        <v>72.099999999999994</v>
      </c>
      <c r="B95" s="2">
        <f t="shared" si="3"/>
        <v>6.0322052898035842E-5</v>
      </c>
      <c r="C95" s="2" cm="1">
        <f t="array" ref="C95">INDEX( ComputeThermoProps($A95, $B95, ParametersRange), 1, COLUMN()-2 )</f>
        <v>28.405452586385049</v>
      </c>
      <c r="D95" s="2" cm="1">
        <f t="array" ref="D95">INDEX( ComputeThermoProps($A95, $B95, ParametersRange), 1, COLUMN()-2 )</f>
        <v>4.545785287808645E-4</v>
      </c>
      <c r="E95" s="2" cm="1">
        <f t="array" ref="E95">INDEX( ComputeThermoProps($A95, $B95, ParametersRange), 1, COLUMN()-2 )</f>
        <v>3.8076337611296933E-4</v>
      </c>
      <c r="F95" s="2" cm="1">
        <f t="array" ref="F95">INDEX( ComputeThermoProps($A95, $B95, ParametersRange), 1, COLUMN()-2 )</f>
        <v>1.0184768497218735E-3</v>
      </c>
      <c r="G95" s="2" cm="1">
        <f t="array" ref="G95">INDEX( ComputeThermoProps($A95, $B95, ParametersRange), 1, COLUMN()-2 )</f>
        <v>28.780198125456714</v>
      </c>
      <c r="H95" s="2" cm="1">
        <f t="array" ref="H95">INDEX( ComputeThermoProps($A95, $B95, ParametersRange), 1, COLUMN()-2 )</f>
        <v>24.106825794958986</v>
      </c>
      <c r="I95" s="2" cm="1">
        <f t="array" ref="I95">INDEX( ComputeThermoProps($A95, $B95, ParametersRange), 1, COLUMN()-2 )</f>
        <v>2.6399999999999997</v>
      </c>
      <c r="J95" s="2" cm="1">
        <f t="array" ref="J95">INDEX( ComputeThermoProps($A95, $B95, ParametersRange), 1, COLUMN()-2 )</f>
        <v>1381.0750348866982</v>
      </c>
      <c r="K95" s="2" cm="1">
        <f t="array" ref="K95">INDEX( ComputeThermoProps($A95, $B95, ParametersRange), 1, COLUMN()-2 )</f>
        <v>38.268561669180031</v>
      </c>
      <c r="L95" s="2" cm="1">
        <f t="array" ref="L95">INDEX( ComputeThermoProps($A95, $B95, ParametersRange), 1, COLUMN()-2 )</f>
        <v>-1378.0882614611819</v>
      </c>
      <c r="M95" s="2" cm="1">
        <f t="array" ref="M95">INDEX( ComputeThermoProps($A95, $B95, ParametersRange), 1, COLUMN()-2 )</f>
        <v>1381.0767483619118</v>
      </c>
      <c r="N95" s="2" cm="1">
        <f t="array" ref="N95">INDEX( ComputeThermoProps($A95, $B95, ParametersRange), 1, COLUMN()-2 )</f>
        <v>-1378.0865479859683</v>
      </c>
      <c r="O95" s="4">
        <f t="shared" si="4"/>
        <v>-4.2195238868478686</v>
      </c>
      <c r="P95" s="6">
        <f t="shared" si="5"/>
        <v>-3223.7312163457691</v>
      </c>
    </row>
    <row r="96" spans="1:16" x14ac:dyDescent="0.25">
      <c r="A96" s="2">
        <v>73.099999999999994</v>
      </c>
      <c r="B96" s="2">
        <f t="shared" si="3"/>
        <v>7.877345548965054E-5</v>
      </c>
      <c r="C96" s="2" cm="1">
        <f t="array" ref="C96">INDEX( ComputeThermoProps($A96, $B96, ParametersRange), 1, COLUMN()-2 )</f>
        <v>28.434509093478145</v>
      </c>
      <c r="D96" s="2" cm="1">
        <f t="array" ref="D96">INDEX( ComputeThermoProps($A96, $B96, ParametersRange), 1, COLUMN()-2 )</f>
        <v>4.5805092395197417E-4</v>
      </c>
      <c r="E96" s="2" cm="1">
        <f t="array" ref="E96">INDEX( ComputeThermoProps($A96, $B96, ParametersRange), 1, COLUMN()-2 )</f>
        <v>3.8232421390817673E-4</v>
      </c>
      <c r="F96" s="2" cm="1">
        <f t="array" ref="F96">INDEX( ComputeThermoProps($A96, $B96, ParametersRange), 1, COLUMN()-2 )</f>
        <v>1.0263511686896092E-3</v>
      </c>
      <c r="G96" s="2" cm="1">
        <f t="array" ref="G96">INDEX( ComputeThermoProps($A96, $B96, ParametersRange), 1, COLUMN()-2 )</f>
        <v>28.913854074273907</v>
      </c>
      <c r="H96" s="2" cm="1">
        <f t="array" ref="H96">INDEX( ComputeThermoProps($A96, $B96, ParametersRange), 1, COLUMN()-2 )</f>
        <v>24.133706432958849</v>
      </c>
      <c r="I96" s="2" cm="1">
        <f t="array" ref="I96">INDEX( ComputeThermoProps($A96, $B96, ParametersRange), 1, COLUMN()-2 )</f>
        <v>2.64</v>
      </c>
      <c r="J96" s="2" cm="1">
        <f t="array" ref="J96">INDEX( ComputeThermoProps($A96, $B96, ParametersRange), 1, COLUMN()-2 )</f>
        <v>1409.9219891414339</v>
      </c>
      <c r="K96" s="2" cm="1">
        <f t="array" ref="K96">INDEX( ComputeThermoProps($A96, $B96, ParametersRange), 1, COLUMN()-2 )</f>
        <v>38.665895380371055</v>
      </c>
      <c r="L96" s="2" cm="1">
        <f t="array" ref="L96">INDEX( ComputeThermoProps($A96, $B96, ParametersRange), 1, COLUMN()-2 )</f>
        <v>-1416.55496316369</v>
      </c>
      <c r="M96" s="2" cm="1">
        <f t="array" ref="M96">INDEX( ComputeThermoProps($A96, $B96, ParametersRange), 1, COLUMN()-2 )</f>
        <v>1409.9242290259704</v>
      </c>
      <c r="N96" s="2" cm="1">
        <f t="array" ref="N96">INDEX( ComputeThermoProps($A96, $B96, ParametersRange), 1, COLUMN()-2 )</f>
        <v>-1416.5527232791535</v>
      </c>
      <c r="O96" s="4">
        <f t="shared" si="4"/>
        <v>-4.1036201032780237</v>
      </c>
      <c r="P96" s="6">
        <f t="shared" si="5"/>
        <v>-3194.8837356817107</v>
      </c>
    </row>
    <row r="97" spans="1:16" x14ac:dyDescent="0.25">
      <c r="A97" s="2">
        <v>74.099999999999994</v>
      </c>
      <c r="B97" s="2">
        <f t="shared" si="3"/>
        <v>1.0211513466995444E-4</v>
      </c>
      <c r="C97" s="2" cm="1">
        <f t="array" ref="C97">INDEX( ComputeThermoProps($A97, $B97, ParametersRange), 1, COLUMN()-2 )</f>
        <v>28.463820847836526</v>
      </c>
      <c r="D97" s="2" cm="1">
        <f t="array" ref="D97">INDEX( ComputeThermoProps($A97, $B97, ParametersRange), 1, COLUMN()-2 )</f>
        <v>4.6159367774545985E-4</v>
      </c>
      <c r="E97" s="2" cm="1">
        <f t="array" ref="E97">INDEX( ComputeThermoProps($A97, $B97, ParametersRange), 1, COLUMN()-2 )</f>
        <v>3.8391290160073481E-4</v>
      </c>
      <c r="F97" s="2" cm="1">
        <f t="array" ref="F97">INDEX( ComputeThermoProps($A97, $B97, ParametersRange), 1, COLUMN()-2 )</f>
        <v>1.034329030628302E-3</v>
      </c>
      <c r="G97" s="2" cm="1">
        <f t="array" ref="G97">INDEX( ComputeThermoProps($A97, $B97, ParametersRange), 1, COLUMN()-2 )</f>
        <v>29.047935903309391</v>
      </c>
      <c r="H97" s="2" cm="1">
        <f t="array" ref="H97">INDEX( ComputeThermoProps($A97, $B97, ParametersRange), 1, COLUMN()-2 )</f>
        <v>24.159510616827024</v>
      </c>
      <c r="I97" s="2" cm="1">
        <f t="array" ref="I97">INDEX( ComputeThermoProps($A97, $B97, ParametersRange), 1, COLUMN()-2 )</f>
        <v>2.64</v>
      </c>
      <c r="J97" s="2" cm="1">
        <f t="array" ref="J97">INDEX( ComputeThermoProps($A97, $B97, ParametersRange), 1, COLUMN()-2 )</f>
        <v>1438.902791040689</v>
      </c>
      <c r="K97" s="2" cm="1">
        <f t="array" ref="K97">INDEX( ComputeThermoProps($A97, $B97, ParametersRange), 1, COLUMN()-2 )</f>
        <v>39.059648591041643</v>
      </c>
      <c r="L97" s="2" cm="1">
        <f t="array" ref="L97">INDEX( ComputeThermoProps($A97, $B97, ParametersRange), 1, COLUMN()-2 )</f>
        <v>-1455.4171695554967</v>
      </c>
      <c r="M97" s="2" cm="1">
        <f t="array" ref="M97">INDEX( ComputeThermoProps($A97, $B97, ParametersRange), 1, COLUMN()-2 )</f>
        <v>1438.9056976275881</v>
      </c>
      <c r="N97" s="2" cm="1">
        <f t="array" ref="N97">INDEX( ComputeThermoProps($A97, $B97, ParametersRange), 1, COLUMN()-2 )</f>
        <v>-1455.4142629685975</v>
      </c>
      <c r="O97" s="4">
        <f t="shared" si="4"/>
        <v>-3.9909098855670413</v>
      </c>
      <c r="P97" s="6">
        <f t="shared" si="5"/>
        <v>-3165.9022670800932</v>
      </c>
    </row>
    <row r="98" spans="1:16" x14ac:dyDescent="0.25">
      <c r="A98" s="2">
        <v>75.099999999999994</v>
      </c>
      <c r="B98" s="2">
        <f t="shared" si="3"/>
        <v>1.3143903271050289E-4</v>
      </c>
      <c r="C98" s="2" cm="1">
        <f t="array" ref="C98">INDEX( ComputeThermoProps($A98, $B98, ParametersRange), 1, COLUMN()-2 )</f>
        <v>28.493391604444302</v>
      </c>
      <c r="D98" s="2" cm="1">
        <f t="array" ref="D98">INDEX( ComputeThermoProps($A98, $B98, ParametersRange), 1, COLUMN()-2 )</f>
        <v>4.6520916176125436E-4</v>
      </c>
      <c r="E98" s="2" cm="1">
        <f t="array" ref="E98">INDEX( ComputeThermoProps($A98, $B98, ParametersRange), 1, COLUMN()-2 )</f>
        <v>3.8553019120245104E-4</v>
      </c>
      <c r="F98" s="2" cm="1">
        <f t="array" ref="F98">INDEX( ComputeThermoProps($A98, $B98, ParametersRange), 1, COLUMN()-2 )</f>
        <v>1.0424169316222494E-3</v>
      </c>
      <c r="G98" s="2" cm="1">
        <f t="array" ref="G98">INDEX( ComputeThermoProps($A98, $B98, ParametersRange), 1, COLUMN()-2 )</f>
        <v>29.182553019503491</v>
      </c>
      <c r="H98" s="2" cm="1">
        <f t="array" ref="H98">INDEX( ComputeThermoProps($A98, $B98, ParametersRange), 1, COLUMN()-2 )</f>
        <v>24.184294227547351</v>
      </c>
      <c r="I98" s="2" cm="1">
        <f t="array" ref="I98">INDEX( ComputeThermoProps($A98, $B98, ParametersRange), 1, COLUMN()-2 )</f>
        <v>2.6399999999999997</v>
      </c>
      <c r="J98" s="2" cm="1">
        <f t="array" ref="J98">INDEX( ComputeThermoProps($A98, $B98, ParametersRange), 1, COLUMN()-2 )</f>
        <v>1468.0179182137053</v>
      </c>
      <c r="K98" s="2" cm="1">
        <f t="array" ref="K98">INDEX( ComputeThermoProps($A98, $B98, ParametersRange), 1, COLUMN()-2 )</f>
        <v>39.449923689206059</v>
      </c>
      <c r="L98" s="2" cm="1">
        <f t="array" ref="L98">INDEX( ComputeThermoProps($A98, $B98, ParametersRange), 1, COLUMN()-2 )</f>
        <v>-1494.6713508456694</v>
      </c>
      <c r="M98" s="2" cm="1">
        <f t="array" ref="M98">INDEX( ComputeThermoProps($A98, $B98, ParametersRange), 1, COLUMN()-2 )</f>
        <v>1468.0216633575365</v>
      </c>
      <c r="N98" s="2" cm="1">
        <f t="array" ref="N98">INDEX( ComputeThermoProps($A98, $B98, ParametersRange), 1, COLUMN()-2 )</f>
        <v>-1494.6676057018383</v>
      </c>
      <c r="O98" s="4">
        <f t="shared" si="4"/>
        <v>-3.8812756456323125</v>
      </c>
      <c r="P98" s="6">
        <f t="shared" si="5"/>
        <v>-3136.7863013501446</v>
      </c>
    </row>
    <row r="99" spans="1:16" x14ac:dyDescent="0.25">
      <c r="A99" s="2">
        <v>76.099999999999994</v>
      </c>
      <c r="B99" s="2">
        <f t="shared" si="3"/>
        <v>1.6803289494494428E-4</v>
      </c>
      <c r="C99" s="2" cm="1">
        <f t="array" ref="C99">INDEX( ComputeThermoProps($A99, $B99, ParametersRange), 1, COLUMN()-2 )</f>
        <v>28.523225321729363</v>
      </c>
      <c r="D99" s="2" cm="1">
        <f t="array" ref="D99">INDEX( ComputeThermoProps($A99, $B99, ParametersRange), 1, COLUMN()-2 )</f>
        <v>4.6889986222172679E-4</v>
      </c>
      <c r="E99" s="2" cm="1">
        <f t="array" ref="E99">INDEX( ComputeThermoProps($A99, $B99, ParametersRange), 1, COLUMN()-2 )</f>
        <v>3.8717686901373595E-4</v>
      </c>
      <c r="F99" s="2" cm="1">
        <f t="array" ref="F99">INDEX( ComputeThermoProps($A99, $B99, ParametersRange), 1, COLUMN()-2 )</f>
        <v>1.0506214847827025E-3</v>
      </c>
      <c r="G99" s="2" cm="1">
        <f t="array" ref="G99">INDEX( ComputeThermoProps($A99, $B99, ParametersRange), 1, COLUMN()-2 )</f>
        <v>29.317813648651889</v>
      </c>
      <c r="H99" s="2" cm="1">
        <f t="array" ref="H99">INDEX( ComputeThermoProps($A99, $B99, ParametersRange), 1, COLUMN()-2 )</f>
        <v>24.208109682586397</v>
      </c>
      <c r="I99" s="2" cm="1">
        <f t="array" ref="I99">INDEX( ComputeThermoProps($A99, $B99, ParametersRange), 1, COLUMN()-2 )</f>
        <v>2.64</v>
      </c>
      <c r="J99" s="2" cm="1">
        <f t="array" ref="J99">INDEX( ComputeThermoProps($A99, $B99, ParametersRange), 1, COLUMN()-2 )</f>
        <v>1497.2679564181849</v>
      </c>
      <c r="K99" s="2" cm="1">
        <f t="array" ref="K99">INDEX( ComputeThermoProps($A99, $B99, ParametersRange), 1, COLUMN()-2 )</f>
        <v>39.836820430198287</v>
      </c>
      <c r="L99" s="2" cm="1">
        <f t="array" ref="L99">INDEX( ComputeThermoProps($A99, $B99, ParametersRange), 1, COLUMN()-2 )</f>
        <v>-1534.3140783199046</v>
      </c>
      <c r="M99" s="2" cm="1">
        <f t="array" ref="M99">INDEX( ComputeThermoProps($A99, $B99, ParametersRange), 1, COLUMN()-2 )</f>
        <v>1497.272749258309</v>
      </c>
      <c r="N99" s="2" cm="1">
        <f t="array" ref="N99">INDEX( ComputeThermoProps($A99, $B99, ParametersRange), 1, COLUMN()-2 )</f>
        <v>-1534.3092854797806</v>
      </c>
      <c r="O99" s="4">
        <f t="shared" si="4"/>
        <v>-3.7746056903299547</v>
      </c>
      <c r="P99" s="6">
        <f t="shared" si="5"/>
        <v>-3107.5352154493721</v>
      </c>
    </row>
    <row r="100" spans="1:16" x14ac:dyDescent="0.25">
      <c r="A100" s="2">
        <v>77.099999999999994</v>
      </c>
      <c r="B100" s="2">
        <f t="shared" si="3"/>
        <v>2.134057650446934E-4</v>
      </c>
      <c r="C100" s="2" cm="1">
        <f t="array" ref="C100">INDEX( ComputeThermoProps($A100, $B100, ParametersRange), 1, COLUMN()-2 )</f>
        <v>28.553326166050677</v>
      </c>
      <c r="D100" s="2" cm="1">
        <f t="array" ref="D100">INDEX( ComputeThermoProps($A100, $B100, ParametersRange), 1, COLUMN()-2 )</f>
        <v>4.72668387051175E-4</v>
      </c>
      <c r="E100" s="2" cm="1">
        <f t="array" ref="E100">INDEX( ComputeThermoProps($A100, $B100, ParametersRange), 1, COLUMN()-2 )</f>
        <v>3.8885375732957106E-4</v>
      </c>
      <c r="F100" s="2" cm="1">
        <f t="array" ref="F100">INDEX( ComputeThermoProps($A100, $B100, ParametersRange), 1, COLUMN()-2 )</f>
        <v>1.0589494425748555E-3</v>
      </c>
      <c r="G100" s="2" cm="1">
        <f t="array" ref="G100">INDEX( ComputeThermoProps($A100, $B100, ParametersRange), 1, COLUMN()-2 )</f>
        <v>29.453825250441188</v>
      </c>
      <c r="H100" s="2" cm="1">
        <f t="array" ref="H100">INDEX( ComputeThermoProps($A100, $B100, ParametersRange), 1, COLUMN()-2 )</f>
        <v>24.231006198268613</v>
      </c>
      <c r="I100" s="2" cm="1">
        <f t="array" ref="I100">INDEX( ComputeThermoProps($A100, $B100, ParametersRange), 1, COLUMN()-2 )</f>
        <v>2.6400000000000006</v>
      </c>
      <c r="J100" s="2" cm="1">
        <f t="array" ref="J100">INDEX( ComputeThermoProps($A100, $B100, ParametersRange), 1, COLUMN()-2 )</f>
        <v>1526.653598446419</v>
      </c>
      <c r="K100" s="2" cm="1">
        <f t="array" ref="K100">INDEX( ComputeThermoProps($A100, $B100, ParametersRange), 1, COLUMN()-2 )</f>
        <v>40.220436059959439</v>
      </c>
      <c r="L100" s="2" cm="1">
        <f t="array" ref="L100">INDEX( ComputeThermoProps($A100, $B100, ParametersRange), 1, COLUMN()-2 )</f>
        <v>-1574.3420217764535</v>
      </c>
      <c r="M100" s="2" cm="1">
        <f t="array" ref="M100">INDEX( ComputeThermoProps($A100, $B100, ParametersRange), 1, COLUMN()-2 )</f>
        <v>1526.659691890834</v>
      </c>
      <c r="N100" s="2" cm="1">
        <f t="array" ref="N100">INDEX( ComputeThermoProps($A100, $B100, ParametersRange), 1, COLUMN()-2 )</f>
        <v>-1574.3359283320385</v>
      </c>
      <c r="O100" s="4">
        <f t="shared" si="4"/>
        <v>-3.6707938525156747</v>
      </c>
      <c r="P100" s="6">
        <f t="shared" si="5"/>
        <v>-3078.1482728168471</v>
      </c>
    </row>
    <row r="101" spans="1:16" x14ac:dyDescent="0.25">
      <c r="A101" s="2">
        <v>78.099999999999994</v>
      </c>
      <c r="B101" s="2">
        <f t="shared" si="3"/>
        <v>2.6931518988323973E-4</v>
      </c>
      <c r="C101" s="2" cm="1">
        <f t="array" ref="C101">INDEX( ComputeThermoProps($A101, $B101, ParametersRange), 1, COLUMN()-2 )</f>
        <v>28.583698516822611</v>
      </c>
      <c r="D101" s="2" cm="1">
        <f t="array" ref="D101">INDEX( ComputeThermoProps($A101, $B101, ParametersRange), 1, COLUMN()-2 )</f>
        <v>4.7651747331827941E-4</v>
      </c>
      <c r="E101" s="2" cm="1">
        <f t="array" ref="E101">INDEX( ComputeThermoProps($A101, $B101, ParametersRange), 1, COLUMN()-2 )</f>
        <v>3.9056171627525188E-4</v>
      </c>
      <c r="F101" s="2" cm="1">
        <f t="array" ref="F101">INDEX( ComputeThermoProps($A101, $B101, ParametersRange), 1, COLUMN()-2 )</f>
        <v>1.0674077172432379E-3</v>
      </c>
      <c r="G101" s="2" cm="1">
        <f t="array" ref="G101">INDEX( ComputeThermoProps($A101, $B101, ParametersRange), 1, COLUMN()-2 )</f>
        <v>29.590694858663078</v>
      </c>
      <c r="H101" s="2" cm="1">
        <f t="array" ref="H101">INDEX( ComputeThermoProps($A101, $B101, ParametersRange), 1, COLUMN()-2 )</f>
        <v>24.253029987123856</v>
      </c>
      <c r="I101" s="2" cm="1">
        <f t="array" ref="I101">INDEX( ComputeThermoProps($A101, $B101, ParametersRange), 1, COLUMN()-2 )</f>
        <v>2.64</v>
      </c>
      <c r="J101" s="2" cm="1">
        <f t="array" ref="J101">INDEX( ComputeThermoProps($A101, $B101, ParametersRange), 1, COLUMN()-2 )</f>
        <v>1556.1756434115239</v>
      </c>
      <c r="K101" s="2" cm="1">
        <f t="array" ref="K101">INDEX( ComputeThermoProps($A101, $B101, ParametersRange), 1, COLUMN()-2 )</f>
        <v>40.600865435293542</v>
      </c>
      <c r="L101" s="2" cm="1">
        <f t="array" ref="L101">INDEX( ComputeThermoProps($A101, $B101, ParametersRange), 1, COLUMN()-2 )</f>
        <v>-1614.7519470849015</v>
      </c>
      <c r="M101" s="2" cm="1">
        <f t="array" ref="M101">INDEX( ComputeThermoProps($A101, $B101, ParametersRange), 1, COLUMN()-2 )</f>
        <v>1556.1833414357175</v>
      </c>
      <c r="N101" s="2" cm="1">
        <f t="array" ref="N101">INDEX( ComputeThermoProps($A101, $B101, ParametersRange), 1, COLUMN()-2 )</f>
        <v>-1614.7442490607079</v>
      </c>
      <c r="O101" s="4">
        <f t="shared" si="4"/>
        <v>-3.5697391508720768</v>
      </c>
      <c r="P101" s="6">
        <f t="shared" si="5"/>
        <v>-3048.6246232719636</v>
      </c>
    </row>
    <row r="102" spans="1:16" x14ac:dyDescent="0.25">
      <c r="A102" s="2">
        <v>79.099999999999994</v>
      </c>
      <c r="B102" s="2">
        <f t="shared" si="3"/>
        <v>3.3779601665424419E-4</v>
      </c>
      <c r="C102" s="2" cm="1">
        <f t="array" ref="C102">INDEX( ComputeThermoProps($A102, $B102, ParametersRange), 1, COLUMN()-2 )</f>
        <v>28.614346972296261</v>
      </c>
      <c r="D102" s="2" cm="1">
        <f t="array" ref="D102">INDEX( ComputeThermoProps($A102, $B102, ParametersRange), 1, COLUMN()-2 )</f>
        <v>4.8044999555959167E-4</v>
      </c>
      <c r="E102" s="2" cm="1">
        <f t="array" ref="E102">INDEX( ComputeThermoProps($A102, $B102, ParametersRange), 1, COLUMN()-2 )</f>
        <v>3.9230164578192019E-4</v>
      </c>
      <c r="F102" s="2" cm="1">
        <f t="array" ref="F102">INDEX( ComputeThermoProps($A102, $B102, ParametersRange), 1, COLUMN()-2 )</f>
        <v>1.0760034054847973E-3</v>
      </c>
      <c r="G102" s="2" cm="1">
        <f t="array" ref="G102">INDEX( ComputeThermoProps($A102, $B102, ParametersRange), 1, COLUMN()-2 )</f>
        <v>29.728529516573495</v>
      </c>
      <c r="H102" s="2" cm="1">
        <f t="array" ref="H102">INDEX( ComputeThermoProps($A102, $B102, ParametersRange), 1, COLUMN()-2 )</f>
        <v>24.274224505808395</v>
      </c>
      <c r="I102" s="2" cm="1">
        <f t="array" ref="I102">INDEX( ComputeThermoProps($A102, $B102, ParametersRange), 1, COLUMN()-2 )</f>
        <v>2.6399999999999997</v>
      </c>
      <c r="J102" s="2" cm="1">
        <f t="array" ref="J102">INDEX( ComputeThermoProps($A102, $B102, ParametersRange), 1, COLUMN()-2 )</f>
        <v>1585.834996404898</v>
      </c>
      <c r="K102" s="2" cm="1">
        <f t="array" ref="K102">INDEX( ComputeThermoProps($A102, $B102, ParametersRange), 1, COLUMN()-2 )</f>
        <v>40.97820114121167</v>
      </c>
      <c r="L102" s="2" cm="1">
        <f t="array" ref="L102">INDEX( ComputeThermoProps($A102, $B102, ParametersRange), 1, COLUMN()-2 )</f>
        <v>-1655.5407138649448</v>
      </c>
      <c r="M102" s="2" cm="1">
        <f t="array" ref="M102">INDEX( ComputeThermoProps($A102, $B102, ParametersRange), 1, COLUMN()-2 )</f>
        <v>1585.8446622173244</v>
      </c>
      <c r="N102" s="2" cm="1">
        <f t="array" ref="N102">INDEX( ComputeThermoProps($A102, $B102, ParametersRange), 1, COLUMN()-2 )</f>
        <v>-1655.5310480525184</v>
      </c>
      <c r="O102" s="4">
        <f t="shared" si="4"/>
        <v>-3.4713454760062215</v>
      </c>
      <c r="P102" s="6">
        <f t="shared" si="5"/>
        <v>-3018.9633024903569</v>
      </c>
    </row>
    <row r="103" spans="1:16" x14ac:dyDescent="0.25">
      <c r="A103" s="2">
        <v>80.099999999999994</v>
      </c>
      <c r="B103" s="2">
        <f t="shared" si="3"/>
        <v>4.2119062836633346E-4</v>
      </c>
      <c r="C103" s="2" cm="1">
        <f t="array" ref="C103">INDEX( ComputeThermoProps($A103, $B103, ParametersRange), 1, COLUMN()-2 )</f>
        <v>28.645276356023352</v>
      </c>
      <c r="D103" s="2" cm="1">
        <f t="array" ref="D103">INDEX( ComputeThermoProps($A103, $B103, ParametersRange), 1, COLUMN()-2 )</f>
        <v>4.8446897453926948E-4</v>
      </c>
      <c r="E103" s="2" cm="1">
        <f t="array" ref="E103">INDEX( ComputeThermoProps($A103, $B103, ParametersRange), 1, COLUMN()-2 )</f>
        <v>3.9407448771299668E-4</v>
      </c>
      <c r="F103" s="2" cm="1">
        <f t="array" ref="F103">INDEX( ComputeThermoProps($A103, $B103, ParametersRange), 1, COLUMN()-2 )</f>
        <v>1.0847438111047754E-3</v>
      </c>
      <c r="G103" s="2" cm="1">
        <f t="array" ref="G103">INDEX( ComputeThermoProps($A103, $B103, ParametersRange), 1, COLUMN()-2 )</f>
        <v>29.867436630880185</v>
      </c>
      <c r="H103" s="2" cm="1">
        <f t="array" ref="H103">INDEX( ComputeThermoProps($A103, $B103, ParametersRange), 1, COLUMN()-2 )</f>
        <v>24.294630633071556</v>
      </c>
      <c r="I103" s="2" cm="1">
        <f t="array" ref="I103">INDEX( ComputeThermoProps($A103, $B103, ParametersRange), 1, COLUMN()-2 )</f>
        <v>2.64</v>
      </c>
      <c r="J103" s="2" cm="1">
        <f t="array" ref="J103">INDEX( ComputeThermoProps($A103, $B103, ParametersRange), 1, COLUMN()-2 )</f>
        <v>1615.6326685188508</v>
      </c>
      <c r="K103" s="2" cm="1">
        <f t="array" ref="K103">INDEX( ComputeThermoProps($A103, $B103, ParametersRange), 1, COLUMN()-2 )</f>
        <v>41.352533605509066</v>
      </c>
      <c r="L103" s="2" cm="1">
        <f t="array" ref="L103">INDEX( ComputeThermoProps($A103, $B103, ParametersRange), 1, COLUMN()-2 )</f>
        <v>-1696.7052732824252</v>
      </c>
      <c r="M103" s="2" cm="1">
        <f t="array" ref="M103">INDEX( ComputeThermoProps($A103, $B103, ParametersRange), 1, COLUMN()-2 )</f>
        <v>1615.6447336407989</v>
      </c>
      <c r="N103" s="2" cm="1">
        <f t="array" ref="N103">INDEX( ComputeThermoProps($A103, $B103, ParametersRange), 1, COLUMN()-2 )</f>
        <v>-1696.6932081604771</v>
      </c>
      <c r="O103" s="4">
        <f t="shared" si="4"/>
        <v>-3.3755213005778795</v>
      </c>
      <c r="P103" s="6">
        <f t="shared" si="5"/>
        <v>-2989.163231066882</v>
      </c>
    </row>
    <row r="104" spans="1:16" x14ac:dyDescent="0.25">
      <c r="A104" s="2">
        <v>81.099999999999994</v>
      </c>
      <c r="B104" s="2">
        <f t="shared" si="3"/>
        <v>5.2218042641333348E-4</v>
      </c>
      <c r="C104" s="2" cm="1">
        <f t="array" ref="C104">INDEX( ComputeThermoProps($A104, $B104, ParametersRange), 1, COLUMN()-2 )</f>
        <v>28.676491724033678</v>
      </c>
      <c r="D104" s="2" cm="1">
        <f t="array" ref="D104">INDEX( ComputeThermoProps($A104, $B104, ParametersRange), 1, COLUMN()-2 )</f>
        <v>4.8857758680570539E-4</v>
      </c>
      <c r="E104" s="2" cm="1">
        <f t="array" ref="E104">INDEX( ComputeThermoProps($A104, $B104, ParametersRange), 1, COLUMN()-2 )</f>
        <v>3.9588122815393026E-4</v>
      </c>
      <c r="F104" s="2" cm="1">
        <f t="array" ref="F104">INDEX( ComputeThermoProps($A104, $B104, ParametersRange), 1, COLUMN()-2 )</f>
        <v>1.0936364696722332E-3</v>
      </c>
      <c r="G104" s="2" cm="1">
        <f t="array" ref="G104">INDEX( ComputeThermoProps($A104, $B104, ParametersRange), 1, COLUMN()-2 )</f>
        <v>30.007524354515827</v>
      </c>
      <c r="H104" s="2" cm="1">
        <f t="array" ref="H104">INDEX( ComputeThermoProps($A104, $B104, ParametersRange), 1, COLUMN()-2 )</f>
        <v>24.314286852558453</v>
      </c>
      <c r="I104" s="2" cm="1">
        <f t="array" ref="I104">INDEX( ComputeThermoProps($A104, $B104, ParametersRange), 1, COLUMN()-2 )</f>
        <v>2.6399999999999997</v>
      </c>
      <c r="J104" s="2" cm="1">
        <f t="array" ref="J104">INDEX( ComputeThermoProps($A104, $B104, ParametersRange), 1, COLUMN()-2 )</f>
        <v>1645.5697772312144</v>
      </c>
      <c r="K104" s="2" cm="1">
        <f t="array" ref="K104">INDEX( ComputeThermoProps($A104, $B104, ParametersRange), 1, COLUMN()-2 )</f>
        <v>41.723951210743266</v>
      </c>
      <c r="L104" s="2" cm="1">
        <f t="array" ref="L104">INDEX( ComputeThermoProps($A104, $B104, ParametersRange), 1, COLUMN()-2 )</f>
        <v>-1738.2426659600642</v>
      </c>
      <c r="M104" s="2" cm="1">
        <f t="array" ref="M104">INDEX( ComputeThermoProps($A104, $B104, ParametersRange), 1, COLUMN()-2 )</f>
        <v>1645.584751533891</v>
      </c>
      <c r="N104" s="2" cm="1">
        <f t="array" ref="N104">INDEX( ComputeThermoProps($A104, $B104, ParametersRange), 1, COLUMN()-2 )</f>
        <v>-1738.2276916573876</v>
      </c>
      <c r="O104" s="4">
        <f t="shared" si="4"/>
        <v>-3.282179411448348</v>
      </c>
      <c r="P104" s="6">
        <f t="shared" si="5"/>
        <v>-2959.2232131737901</v>
      </c>
    </row>
    <row r="105" spans="1:16" x14ac:dyDescent="0.25">
      <c r="A105" s="2">
        <v>82.1</v>
      </c>
      <c r="B105" s="2">
        <f t="shared" si="3"/>
        <v>6.4381833108664887E-4</v>
      </c>
      <c r="C105" s="2" cm="1">
        <f t="array" ref="C105">INDEX( ComputeThermoProps($A105, $B105, ParametersRange), 1, COLUMN()-2 )</f>
        <v>28.70799837276309</v>
      </c>
      <c r="D105" s="2" cm="1">
        <f t="array" ref="D105">INDEX( ComputeThermoProps($A105, $B105, ParametersRange), 1, COLUMN()-2 )</f>
        <v>4.9277917502028076E-4</v>
      </c>
      <c r="E105" s="2" cm="1">
        <f t="array" ref="E105">INDEX( ComputeThermoProps($A105, $B105, ParametersRange), 1, COLUMN()-2 )</f>
        <v>3.9772289987906724E-4</v>
      </c>
      <c r="F105" s="2" cm="1">
        <f t="array" ref="F105">INDEX( ComputeThermoProps($A105, $B105, ParametersRange), 1, COLUMN()-2 )</f>
        <v>1.1026891741483056E-3</v>
      </c>
      <c r="G105" s="2" cm="1">
        <f t="array" ref="G105">INDEX( ComputeThermoProps($A105, $B105, ParametersRange), 1, COLUMN()-2 )</f>
        <v>30.148901967297856</v>
      </c>
      <c r="H105" s="2" cm="1">
        <f t="array" ref="H105">INDEX( ComputeThermoProps($A105, $B105, ParametersRange), 1, COLUMN()-2 )</f>
        <v>24.333229418856678</v>
      </c>
      <c r="I105" s="2" cm="1">
        <f t="array" ref="I105">INDEX( ComputeThermoProps($A105, $B105, ParametersRange), 1, COLUMN()-2 )</f>
        <v>2.64</v>
      </c>
      <c r="J105" s="2" cm="1">
        <f t="array" ref="J105">INDEX( ComputeThermoProps($A105, $B105, ParametersRange), 1, COLUMN()-2 )</f>
        <v>1675.6475471515798</v>
      </c>
      <c r="K105" s="2" cm="1">
        <f t="array" ref="K105">INDEX( ComputeThermoProps($A105, $B105, ParametersRange), 1, COLUMN()-2 )</f>
        <v>42.092540403801358</v>
      </c>
      <c r="L105" s="2" cm="1">
        <f t="array" ref="L105">INDEX( ComputeThermoProps($A105, $B105, ParametersRange), 1, COLUMN()-2 )</f>
        <v>-1780.1500200005114</v>
      </c>
      <c r="M105" s="2" cm="1">
        <f t="array" ref="M105">INDEX( ComputeThermoProps($A105, $B105, ParametersRange), 1, COLUMN()-2 )</f>
        <v>1675.6660298871809</v>
      </c>
      <c r="N105" s="2" cm="1">
        <f t="array" ref="N105">INDEX( ComputeThermoProps($A105, $B105, ParametersRange), 1, COLUMN()-2 )</f>
        <v>-1780.1315372649103</v>
      </c>
      <c r="O105" s="4">
        <f t="shared" si="4"/>
        <v>-3.1912366620454939</v>
      </c>
      <c r="P105" s="6">
        <f t="shared" si="5"/>
        <v>-2929.1419348205</v>
      </c>
    </row>
    <row r="106" spans="1:16" x14ac:dyDescent="0.25">
      <c r="A106" s="2">
        <v>83.1</v>
      </c>
      <c r="B106" s="2">
        <f t="shared" si="3"/>
        <v>7.8956203311030513E-4</v>
      </c>
      <c r="C106" s="2" cm="1">
        <f t="array" ref="C106">INDEX( ComputeThermoProps($A106, $B106, ParametersRange), 1, COLUMN()-2 )</f>
        <v>28.739801847775261</v>
      </c>
      <c r="D106" s="2" cm="1">
        <f t="array" ref="D106">INDEX( ComputeThermoProps($A106, $B106, ParametersRange), 1, COLUMN()-2 )</f>
        <v>4.9707725911843587E-4</v>
      </c>
      <c r="E106" s="2" cm="1">
        <f t="array" ref="E106">INDEX( ComputeThermoProps($A106, $B106, ParametersRange), 1, COLUMN()-2 )</f>
        <v>3.9960058501103219E-4</v>
      </c>
      <c r="F106" s="2" cm="1">
        <f t="array" ref="F106">INDEX( ComputeThermoProps($A106, $B106, ParametersRange), 1, COLUMN()-2 )</f>
        <v>1.1119100015052515E-3</v>
      </c>
      <c r="G106" s="2" cm="1">
        <f t="array" ref="G106">INDEX( ComputeThermoProps($A106, $B106, ParametersRange), 1, COLUMN()-2 )</f>
        <v>30.291680252664779</v>
      </c>
      <c r="H106" s="2" cm="1">
        <f t="array" ref="H106">INDEX( ComputeThermoProps($A106, $B106, ParametersRange), 1, COLUMN()-2 )</f>
        <v>24.351492505208107</v>
      </c>
      <c r="I106" s="2" cm="1">
        <f t="array" ref="I106">INDEX( ComputeThermoProps($A106, $B106, ParametersRange), 1, COLUMN()-2 )</f>
        <v>2.6399999999999997</v>
      </c>
      <c r="J106" s="2" cm="1">
        <f t="array" ref="J106">INDEX( ComputeThermoProps($A106, $B106, ParametersRange), 1, COLUMN()-2 )</f>
        <v>1705.8673111316493</v>
      </c>
      <c r="K106" s="2" cm="1">
        <f t="array" ref="K106">INDEX( ComputeThermoProps($A106, $B106, ParametersRange), 1, COLUMN()-2 )</f>
        <v>42.458385803262928</v>
      </c>
      <c r="L106" s="2" cm="1">
        <f t="array" ref="L106">INDEX( ComputeThermoProps($A106, $B106, ParametersRange), 1, COLUMN()-2 )</f>
        <v>-1822.4245491194997</v>
      </c>
      <c r="M106" s="2" cm="1">
        <f t="array" ref="M106">INDEX( ComputeThermoProps($A106, $B106, ParametersRange), 1, COLUMN()-2 )</f>
        <v>1705.8900029880274</v>
      </c>
      <c r="N106" s="2" cm="1">
        <f t="array" ref="N106">INDEX( ComputeThermoProps($A106, $B106, ParametersRange), 1, COLUMN()-2 )</f>
        <v>-1822.4018572631217</v>
      </c>
      <c r="O106" s="4">
        <f t="shared" si="4"/>
        <v>-3.1026137433261649</v>
      </c>
      <c r="P106" s="6">
        <f t="shared" si="5"/>
        <v>-2898.9179617196537</v>
      </c>
    </row>
    <row r="107" spans="1:16" x14ac:dyDescent="0.25">
      <c r="A107" s="2">
        <v>84.1</v>
      </c>
      <c r="B107" s="2">
        <f t="shared" si="3"/>
        <v>9.6330769195335697E-4</v>
      </c>
      <c r="C107" s="2" cm="1">
        <f t="array" ref="C107">INDEX( ComputeThermoProps($A107, $B107, ParametersRange), 1, COLUMN()-2 )</f>
        <v>28.771907953327453</v>
      </c>
      <c r="D107" s="2" cm="1">
        <f t="array" ref="D107">INDEX( ComputeThermoProps($A107, $B107, ParametersRange), 1, COLUMN()-2 )</f>
        <v>5.0147554845363096E-4</v>
      </c>
      <c r="E107" s="2" cm="1">
        <f t="array" ref="E107">INDEX( ComputeThermoProps($A107, $B107, ParametersRange), 1, COLUMN()-2 )</f>
        <v>4.0151541788975114E-4</v>
      </c>
      <c r="F107" s="2" cm="1">
        <f t="array" ref="F107">INDEX( ComputeThermoProps($A107, $B107, ParametersRange), 1, COLUMN()-2 )</f>
        <v>1.1213073413055108E-3</v>
      </c>
      <c r="G107" s="2" cm="1">
        <f t="array" ref="G107">INDEX( ComputeThermoProps($A107, $B107, ParametersRange), 1, COLUMN()-2 )</f>
        <v>30.435971894317113</v>
      </c>
      <c r="H107" s="2" cm="1">
        <f t="array" ref="H107">INDEX( ComputeThermoProps($A107, $B107, ParametersRange), 1, COLUMN()-2 )</f>
        <v>24.369108347777058</v>
      </c>
      <c r="I107" s="2" cm="1">
        <f t="array" ref="I107">INDEX( ComputeThermoProps($A107, $B107, ParametersRange), 1, COLUMN()-2 )</f>
        <v>2.64</v>
      </c>
      <c r="J107" s="2" cm="1">
        <f t="array" ref="J107">INDEX( ComputeThermoProps($A107, $B107, ParametersRange), 1, COLUMN()-2 )</f>
        <v>1736.2305117451074</v>
      </c>
      <c r="K107" s="2" cm="1">
        <f t="array" ref="K107">INDEX( ComputeThermoProps($A107, $B107, ParametersRange), 1, COLUMN()-2 )</f>
        <v>42.821570304783172</v>
      </c>
      <c r="L107" s="2" cm="1">
        <f t="array" ref="L107">INDEX( ComputeThermoProps($A107, $B107, ParametersRange), 1, COLUMN()-2 )</f>
        <v>-1865.0635508871571</v>
      </c>
      <c r="M107" s="2" cm="1">
        <f t="array" ref="M107">INDEX( ComputeThermoProps($A107, $B107, ParametersRange), 1, COLUMN()-2 )</f>
        <v>1736.2582279453509</v>
      </c>
      <c r="N107" s="2" cm="1">
        <f t="array" ref="N107">INDEX( ComputeThermoProps($A107, $B107, ParametersRange), 1, COLUMN()-2 )</f>
        <v>-1865.0358346869136</v>
      </c>
      <c r="O107" s="4">
        <f t="shared" si="4"/>
        <v>-3.0162349718849542</v>
      </c>
      <c r="P107" s="6">
        <f t="shared" si="5"/>
        <v>-2868.5497367623302</v>
      </c>
    </row>
    <row r="108" spans="1:16" x14ac:dyDescent="0.25">
      <c r="A108" s="2">
        <v>85.1</v>
      </c>
      <c r="B108" s="2">
        <f t="shared" si="3"/>
        <v>1.1694237401636976E-3</v>
      </c>
      <c r="C108" s="2" cm="1">
        <f t="array" ref="C108">INDEX( ComputeThermoProps($A108, $B108, ParametersRange), 1, COLUMN()-2 )</f>
        <v>28.804322762837621</v>
      </c>
      <c r="D108" s="2" cm="1">
        <f t="array" ref="D108">INDEX( ComputeThermoProps($A108, $B108, ParametersRange), 1, COLUMN()-2 )</f>
        <v>5.0597795500290056E-4</v>
      </c>
      <c r="E108" s="2" cm="1">
        <f t="array" ref="E108">INDEX( ComputeThermoProps($A108, $B108, ParametersRange), 1, COLUMN()-2 )</f>
        <v>4.0346858817021954E-4</v>
      </c>
      <c r="F108" s="2" cm="1">
        <f t="array" ref="F108">INDEX( ComputeThermoProps($A108, $B108, ParametersRange), 1, COLUMN()-2 )</f>
        <v>1.130889926222239E-3</v>
      </c>
      <c r="G108" s="2" cm="1">
        <f t="array" ref="G108">INDEX( ComputeThermoProps($A108, $B108, ParametersRange), 1, COLUMN()-2 )</f>
        <v>30.581891888915628</v>
      </c>
      <c r="H108" s="2" cm="1">
        <f t="array" ref="H108">INDEX( ComputeThermoProps($A108, $B108, ParametersRange), 1, COLUMN()-2 )</f>
        <v>24.386107382730426</v>
      </c>
      <c r="I108" s="2" cm="1">
        <f t="array" ref="I108">INDEX( ComputeThermoProps($A108, $B108, ParametersRange), 1, COLUMN()-2 )</f>
        <v>2.6399999999999997</v>
      </c>
      <c r="J108" s="2" cm="1">
        <f t="array" ref="J108">INDEX( ComputeThermoProps($A108, $B108, ParametersRange), 1, COLUMN()-2 )</f>
        <v>1766.7387031454286</v>
      </c>
      <c r="K108" s="2" cm="1">
        <f t="array" ref="K108">INDEX( ComputeThermoProps($A108, $B108, ParametersRange), 1, COLUMN()-2 )</f>
        <v>43.182175184737297</v>
      </c>
      <c r="L108" s="2" cm="1">
        <f t="array" ref="L108">INDEX( ComputeThermoProps($A108, $B108, ParametersRange), 1, COLUMN()-2 )</f>
        <v>-1908.0644050757151</v>
      </c>
      <c r="M108" s="2" cm="1">
        <f t="array" ref="M108">INDEX( ComputeThermoProps($A108, $B108, ParametersRange), 1, COLUMN()-2 )</f>
        <v>1766.7723876042869</v>
      </c>
      <c r="N108" s="2" cm="1">
        <f t="array" ref="N108">INDEX( ComputeThermoProps($A108, $B108, ParametersRange), 1, COLUMN()-2 )</f>
        <v>-1908.0307206168568</v>
      </c>
      <c r="O108" s="4">
        <f t="shared" si="4"/>
        <v>-2.93202809391122</v>
      </c>
      <c r="P108" s="6">
        <f t="shared" si="5"/>
        <v>-2838.0355771033942</v>
      </c>
    </row>
    <row r="109" spans="1:16" x14ac:dyDescent="0.25">
      <c r="A109" s="2">
        <v>86.1</v>
      </c>
      <c r="B109" s="2">
        <f t="shared" si="3"/>
        <v>1.4127844175460271E-3</v>
      </c>
      <c r="C109" s="2" cm="1">
        <f t="array" ref="C109">INDEX( ComputeThermoProps($A109, $B109, ParametersRange), 1, COLUMN()-2 )</f>
        <v>28.83705263031851</v>
      </c>
      <c r="D109" s="2" cm="1">
        <f t="array" ref="D109">INDEX( ComputeThermoProps($A109, $B109, ParametersRange), 1, COLUMN()-2 )</f>
        <v>5.1058860758153974E-4</v>
      </c>
      <c r="E109" s="2" cm="1">
        <f t="array" ref="E109">INDEX( ComputeThermoProps($A109, $B109, ParametersRange), 1, COLUMN()-2 )</f>
        <v>4.0546134417031792E-4</v>
      </c>
      <c r="F109" s="2" cm="1">
        <f t="array" ref="F109">INDEX( ComputeThermoProps($A109, $B109, ParametersRange), 1, COLUMN()-2 )</f>
        <v>1.1406668629834525E-3</v>
      </c>
      <c r="G109" s="2" cm="1">
        <f t="array" ref="G109">INDEX( ComputeThermoProps($A109, $B109, ParametersRange), 1, COLUMN()-2 )</f>
        <v>30.729557930375979</v>
      </c>
      <c r="H109" s="2" cm="1">
        <f t="array" ref="H109">INDEX( ComputeThermoProps($A109, $B109, ParametersRange), 1, COLUMN()-2 )</f>
        <v>24.402518346867193</v>
      </c>
      <c r="I109" s="2" cm="1">
        <f t="array" ref="I109">INDEX( ComputeThermoProps($A109, $B109, ParametersRange), 1, COLUMN()-2 )</f>
        <v>2.6400000000000006</v>
      </c>
      <c r="J109" s="2" cm="1">
        <f t="array" ref="J109">INDEX( ComputeThermoProps($A109, $B109, ParametersRange), 1, COLUMN()-2 )</f>
        <v>1797.3935533131676</v>
      </c>
      <c r="K109" s="2" cm="1">
        <f t="array" ref="K109">INDEX( ComputeThermoProps($A109, $B109, ParametersRange), 1, COLUMN()-2 )</f>
        <v>43.540280202384253</v>
      </c>
      <c r="L109" s="2" cm="1">
        <f t="array" ref="L109">INDEX( ComputeThermoProps($A109, $B109, ParametersRange), 1, COLUMN()-2 )</f>
        <v>-1951.4245721121163</v>
      </c>
      <c r="M109" s="2" cm="1">
        <f t="array" ref="M109">INDEX( ComputeThermoProps($A109, $B109, ParametersRange), 1, COLUMN()-2 )</f>
        <v>1797.4342938517716</v>
      </c>
      <c r="N109" s="2" cm="1">
        <f t="array" ref="N109">INDEX( ComputeThermoProps($A109, $B109, ParametersRange), 1, COLUMN()-2 )</f>
        <v>-1951.3838315735122</v>
      </c>
      <c r="O109" s="4">
        <f t="shared" si="4"/>
        <v>-2.8499241038366478</v>
      </c>
      <c r="P109" s="6">
        <f t="shared" si="5"/>
        <v>-2807.3736708559095</v>
      </c>
    </row>
    <row r="110" spans="1:16" x14ac:dyDescent="0.25">
      <c r="A110" s="2">
        <v>87.1</v>
      </c>
      <c r="B110" s="2">
        <f t="shared" si="3"/>
        <v>1.6988026248462179E-3</v>
      </c>
      <c r="C110" s="2" cm="1">
        <f t="array" ref="C110">INDEX( ComputeThermoProps($A110, $B110, ParametersRange), 1, COLUMN()-2 )</f>
        <v>28.870104202852978</v>
      </c>
      <c r="D110" s="2" cm="1">
        <f t="array" ref="D110">INDEX( ComputeThermoProps($A110, $B110, ParametersRange), 1, COLUMN()-2 )</f>
        <v>5.1531186755526966E-4</v>
      </c>
      <c r="E110" s="2" cm="1">
        <f t="array" ref="E110">INDEX( ComputeThermoProps($A110, $B110, ParametersRange), 1, COLUMN()-2 )</f>
        <v>4.0749499649242964E-4</v>
      </c>
      <c r="F110" s="2" cm="1">
        <f t="array" ref="F110">INDEX( ComputeThermoProps($A110, $B110, ParametersRange), 1, COLUMN()-2 )</f>
        <v>1.1506476681068236E-3</v>
      </c>
      <c r="G110" s="2" cm="1">
        <f t="array" ref="G110">INDEX( ComputeThermoProps($A110, $B110, ParametersRange), 1, COLUMN()-2 )</f>
        <v>30.879090880231775</v>
      </c>
      <c r="H110" s="2" cm="1">
        <f t="array" ref="H110">INDEX( ComputeThermoProps($A110, $B110, ParametersRange), 1, COLUMN()-2 )</f>
        <v>24.418368413725439</v>
      </c>
      <c r="I110" s="2" cm="1">
        <f t="array" ref="I110">INDEX( ComputeThermoProps($A110, $B110, ParametersRange), 1, COLUMN()-2 )</f>
        <v>2.6400000000000006</v>
      </c>
      <c r="J110" s="2" cm="1">
        <f t="array" ref="J110">INDEX( ComputeThermoProps($A110, $B110, ParametersRange), 1, COLUMN()-2 )</f>
        <v>1828.1968467075694</v>
      </c>
      <c r="K110" s="2" cm="1">
        <f t="array" ref="K110">INDEX( ComputeThermoProps($A110, $B110, ParametersRange), 1, COLUMN()-2 )</f>
        <v>43.895963700825355</v>
      </c>
      <c r="L110" s="2" cm="1">
        <f t="array" ref="L110">INDEX( ComputeThermoProps($A110, $B110, ParametersRange), 1, COLUMN()-2 )</f>
        <v>-1995.1415916343187</v>
      </c>
      <c r="M110" s="2" cm="1">
        <f t="array" ref="M110">INDEX( ComputeThermoProps($A110, $B110, ParametersRange), 1, COLUMN()-2 )</f>
        <v>1828.2458913163689</v>
      </c>
      <c r="N110" s="2" cm="1">
        <f t="array" ref="N110">INDEX( ComputeThermoProps($A110, $B110, ParametersRange), 1, COLUMN()-2 )</f>
        <v>-1995.0925470255193</v>
      </c>
      <c r="O110" s="4">
        <f t="shared" si="4"/>
        <v>-2.7698570766457169</v>
      </c>
      <c r="P110" s="6">
        <f t="shared" si="5"/>
        <v>-2776.562073391312</v>
      </c>
    </row>
    <row r="111" spans="1:16" x14ac:dyDescent="0.25">
      <c r="A111" s="2">
        <v>88.1</v>
      </c>
      <c r="B111" s="2">
        <f t="shared" si="3"/>
        <v>2.0334616537478569E-3</v>
      </c>
      <c r="C111" s="2" cm="1">
        <f t="array" ref="C111">INDEX( ComputeThermoProps($A111, $B111, ParametersRange), 1, COLUMN()-2 )</f>
        <v>28.903484434194432</v>
      </c>
      <c r="D111" s="2" cm="1">
        <f t="array" ref="D111">INDEX( ComputeThermoProps($A111, $B111, ParametersRange), 1, COLUMN()-2 )</f>
        <v>5.2015234570040576E-4</v>
      </c>
      <c r="E111" s="2" cm="1">
        <f t="array" ref="E111">INDEX( ComputeThermoProps($A111, $B111, ParametersRange), 1, COLUMN()-2 )</f>
        <v>4.0957092194543655E-4</v>
      </c>
      <c r="F111" s="2" cm="1">
        <f t="array" ref="F111">INDEX( ComputeThermoProps($A111, $B111, ParametersRange), 1, COLUMN()-2 )</f>
        <v>1.160842303339198E-3</v>
      </c>
      <c r="G111" s="2" cm="1">
        <f t="array" ref="G111">INDEX( ComputeThermoProps($A111, $B111, ParametersRange), 1, COLUMN()-2 )</f>
        <v>31.030615181950807</v>
      </c>
      <c r="H111" s="2" cm="1">
        <f t="array" ref="H111">INDEX( ComputeThermoProps($A111, $B111, ParametersRange), 1, COLUMN()-2 )</f>
        <v>24.433683273103689</v>
      </c>
      <c r="I111" s="2" cm="1">
        <f t="array" ref="I111">INDEX( ComputeThermoProps($A111, $B111, ParametersRange), 1, COLUMN()-2 )</f>
        <v>2.64</v>
      </c>
      <c r="J111" s="2" cm="1">
        <f t="array" ref="J111">INDEX( ComputeThermoProps($A111, $B111, ParametersRange), 1, COLUMN()-2 )</f>
        <v>1859.1504873408842</v>
      </c>
      <c r="K111" s="2" cm="1">
        <f t="array" ref="K111">INDEX( ComputeThermoProps($A111, $B111, ParametersRange), 1, COLUMN()-2 )</f>
        <v>44.249302707050916</v>
      </c>
      <c r="L111" s="2" cm="1">
        <f t="array" ref="L111">INDEX( ComputeThermoProps($A111, $B111, ParametersRange), 1, COLUMN()-2 )</f>
        <v>-2039.2130811503012</v>
      </c>
      <c r="M111" s="2" cm="1">
        <f t="array" ref="M111">INDEX( ComputeThermoProps($A111, $B111, ParametersRange), 1, COLUMN()-2 )</f>
        <v>1859.2092614681408</v>
      </c>
      <c r="N111" s="2" cm="1">
        <f t="array" ref="N111">INDEX( ComputeThermoProps($A111, $B111, ParametersRange), 1, COLUMN()-2 )</f>
        <v>-2039.1543070230446</v>
      </c>
      <c r="O111" s="4">
        <f t="shared" si="4"/>
        <v>-2.6917640129435489</v>
      </c>
      <c r="P111" s="6">
        <f t="shared" si="5"/>
        <v>-2745.5987032395406</v>
      </c>
    </row>
    <row r="112" spans="1:16" x14ac:dyDescent="0.25">
      <c r="A112" s="2">
        <v>89.1</v>
      </c>
      <c r="B112" s="2">
        <f t="shared" si="3"/>
        <v>2.4233453183220718E-3</v>
      </c>
      <c r="C112" s="2" cm="1">
        <f t="array" ref="C112">INDEX( ComputeThermoProps($A112, $B112, ParametersRange), 1, COLUMN()-2 )</f>
        <v>28.937200599587158</v>
      </c>
      <c r="D112" s="2" cm="1">
        <f t="array" ref="D112">INDEX( ComputeThermoProps($A112, $B112, ParametersRange), 1, COLUMN()-2 )</f>
        <v>5.2511492083627358E-4</v>
      </c>
      <c r="E112" s="2" cm="1">
        <f t="array" ref="E112">INDEX( ComputeThermoProps($A112, $B112, ParametersRange), 1, COLUMN()-2 )</f>
        <v>4.1169056779677258E-4</v>
      </c>
      <c r="F112" s="2" cm="1">
        <f t="array" ref="F112">INDEX( ComputeThermoProps($A112, $B112, ParametersRange), 1, COLUMN()-2 )</f>
        <v>1.1712612163125287E-3</v>
      </c>
      <c r="G112" s="2" cm="1">
        <f t="array" ref="G112">INDEX( ComputeThermoProps($A112, $B112, ParametersRange), 1, COLUMN()-2 )</f>
        <v>31.18425936316315</v>
      </c>
      <c r="H112" s="2" cm="1">
        <f t="array" ref="H112">INDEX( ComputeThermoProps($A112, $B112, ParametersRange), 1, COLUMN()-2 )</f>
        <v>24.448487243700551</v>
      </c>
      <c r="I112" s="2" cm="1">
        <f t="array" ref="I112">INDEX( ComputeThermoProps($A112, $B112, ParametersRange), 1, COLUMN()-2 )</f>
        <v>2.6399999999999997</v>
      </c>
      <c r="J112" s="2" cm="1">
        <f t="array" ref="J112">INDEX( ComputeThermoProps($A112, $B112, ParametersRange), 1, COLUMN()-2 )</f>
        <v>1890.2565022975232</v>
      </c>
      <c r="K112" s="2" cm="1">
        <f t="array" ref="K112">INDEX( ComputeThermoProps($A112, $B112, ParametersRange), 1, COLUMN()-2 )</f>
        <v>44.600373031388138</v>
      </c>
      <c r="L112" s="2" cm="1">
        <f t="array" ref="L112">INDEX( ComputeThermoProps($A112, $B112, ParametersRange), 1, COLUMN()-2 )</f>
        <v>-2083.6367347991595</v>
      </c>
      <c r="M112" s="2" cm="1">
        <f t="array" ref="M112">INDEX( ComputeThermoProps($A112, $B112, ParametersRange), 1, COLUMN()-2 )</f>
        <v>1890.3266271271216</v>
      </c>
      <c r="N112" s="2" cm="1">
        <f t="array" ref="N112">INDEX( ComputeThermoProps($A112, $B112, ParametersRange), 1, COLUMN()-2 )</f>
        <v>-2083.5666099695613</v>
      </c>
      <c r="O112" s="4">
        <f t="shared" si="4"/>
        <v>-2.6155846959920122</v>
      </c>
      <c r="P112" s="6">
        <f t="shared" si="5"/>
        <v>-2714.4813375805597</v>
      </c>
    </row>
    <row r="113" spans="1:16" x14ac:dyDescent="0.25">
      <c r="A113" s="2">
        <v>90.1</v>
      </c>
      <c r="B113" s="2">
        <f t="shared" si="3"/>
        <v>2.8756659822963505E-3</v>
      </c>
      <c r="C113" s="2" cm="1">
        <f t="array" ref="C113">INDEX( ComputeThermoProps($A113, $B113, ParametersRange), 1, COLUMN()-2 )</f>
        <v>28.971260311912907</v>
      </c>
      <c r="D113" s="2" cm="1">
        <f t="array" ref="D113">INDEX( ComputeThermoProps($A113, $B113, ParametersRange), 1, COLUMN()-2 )</f>
        <v>5.3020476001842812E-4</v>
      </c>
      <c r="E113" s="2" cm="1">
        <f t="array" ref="E113">INDEX( ComputeThermoProps($A113, $B113, ParametersRange), 1, COLUMN()-2 )</f>
        <v>4.138554563877958E-4</v>
      </c>
      <c r="F113" s="2" cm="1">
        <f t="array" ref="F113">INDEX( ComputeThermoProps($A113, $B113, ParametersRange), 1, COLUMN()-2 )</f>
        <v>1.1819153826186431E-3</v>
      </c>
      <c r="G113" s="2" cm="1">
        <f t="array" ref="G113">INDEX( ComputeThermoProps($A113, $B113, ParametersRange), 1, COLUMN()-2 )</f>
        <v>31.340156517891248</v>
      </c>
      <c r="H113" s="2" cm="1">
        <f t="array" ref="H113">INDEX( ComputeThermoProps($A113, $B113, ParametersRange), 1, COLUMN()-2 )</f>
        <v>24.462803348891157</v>
      </c>
      <c r="I113" s="2" cm="1">
        <f t="array" ref="I113">INDEX( ComputeThermoProps($A113, $B113, ParametersRange), 1, COLUMN()-2 )</f>
        <v>2.6400000000000006</v>
      </c>
      <c r="J113" s="2" cm="1">
        <f t="array" ref="J113">INDEX( ComputeThermoProps($A113, $B113, ParametersRange), 1, COLUMN()-2 )</f>
        <v>1921.5170457242912</v>
      </c>
      <c r="K113" s="2" cm="1">
        <f t="array" ref="K113">INDEX( ComputeThermoProps($A113, $B113, ParametersRange), 1, COLUMN()-2 )</f>
        <v>44.949249366683908</v>
      </c>
      <c r="L113" s="2" cm="1">
        <f t="array" ref="L113">INDEX( ComputeThermoProps($A113, $B113, ParametersRange), 1, COLUMN()-2 )</f>
        <v>-2128.4103222139288</v>
      </c>
      <c r="M113" s="2" cm="1">
        <f t="array" ref="M113">INDEX( ComputeThermoProps($A113, $B113, ParametersRange), 1, COLUMN()-2 )</f>
        <v>1921.6003573920343</v>
      </c>
      <c r="N113" s="2" cm="1">
        <f t="array" ref="N113">INDEX( ComputeThermoProps($A113, $B113, ParametersRange), 1, COLUMN()-2 )</f>
        <v>-2128.3270105461856</v>
      </c>
      <c r="O113" s="4">
        <f t="shared" si="4"/>
        <v>-2.5412615600380892</v>
      </c>
      <c r="P113" s="6">
        <f t="shared" si="5"/>
        <v>-2683.2076073156468</v>
      </c>
    </row>
    <row r="114" spans="1:16" x14ac:dyDescent="0.25">
      <c r="A114" s="2">
        <v>91.1</v>
      </c>
      <c r="B114" s="2">
        <f t="shared" si="3"/>
        <v>3.3982899460866093E-3</v>
      </c>
      <c r="C114" s="2" cm="1">
        <f t="array" ref="C114">INDEX( ComputeThermoProps($A114, $B114, ParametersRange), 1, COLUMN()-2 )</f>
        <v>29.005671539283547</v>
      </c>
      <c r="D114" s="2" cm="1">
        <f t="array" ref="D114">INDEX( ComputeThermoProps($A114, $B114, ParametersRange), 1, COLUMN()-2 )</f>
        <v>5.3542734080401922E-4</v>
      </c>
      <c r="E114" s="2" cm="1">
        <f t="array" ref="E114">INDEX( ComputeThermoProps($A114, $B114, ParametersRange), 1, COLUMN()-2 )</f>
        <v>4.1606719014976296E-4</v>
      </c>
      <c r="F114" s="2" cm="1">
        <f t="array" ref="F114">INDEX( ComputeThermoProps($A114, $B114, ParametersRange), 1, COLUMN()-2 )</f>
        <v>1.1928163530730393E-3</v>
      </c>
      <c r="G114" s="2" cm="1">
        <f t="array" ref="G114">INDEX( ComputeThermoProps($A114, $B114, ParametersRange), 1, COLUMN()-2 )</f>
        <v>31.49844486352853</v>
      </c>
      <c r="H114" s="2" cm="1">
        <f t="array" ref="H114">INDEX( ComputeThermoProps($A114, $B114, ParametersRange), 1, COLUMN()-2 )</f>
        <v>24.47665341253558</v>
      </c>
      <c r="I114" s="2" cm="1">
        <f t="array" ref="I114">INDEX( ComputeThermoProps($A114, $B114, ParametersRange), 1, COLUMN()-2 )</f>
        <v>2.6400000000000006</v>
      </c>
      <c r="J114" s="2" cm="1">
        <f t="array" ref="J114">INDEX( ComputeThermoProps($A114, $B114, ParametersRange), 1, COLUMN()-2 )</f>
        <v>1952.9344033224074</v>
      </c>
      <c r="K114" s="2" cm="1">
        <f t="array" ref="K114">INDEX( ComputeThermoProps($A114, $B114, ParametersRange), 1, COLUMN()-2 )</f>
        <v>45.296005387580195</v>
      </c>
      <c r="L114" s="2" cm="1">
        <f t="array" ref="L114">INDEX( ComputeThermoProps($A114, $B114, ParametersRange), 1, COLUMN()-2 )</f>
        <v>-2173.5316874861483</v>
      </c>
      <c r="M114" s="2" cm="1">
        <f t="array" ref="M114">INDEX( ComputeThermoProps($A114, $B114, ParametersRange), 1, COLUMN()-2 )</f>
        <v>1953.0329730043788</v>
      </c>
      <c r="N114" s="2" cm="1">
        <f t="array" ref="N114">INDEX( ComputeThermoProps($A114, $B114, ParametersRange), 1, COLUMN()-2 )</f>
        <v>-2173.4331178041766</v>
      </c>
      <c r="O114" s="4">
        <f t="shared" si="4"/>
        <v>-2.4687395693712095</v>
      </c>
      <c r="P114" s="6">
        <f t="shared" si="5"/>
        <v>-2651.7749917033025</v>
      </c>
    </row>
    <row r="115" spans="1:16" x14ac:dyDescent="0.25">
      <c r="A115" s="2">
        <v>92.1</v>
      </c>
      <c r="B115" s="2">
        <f t="shared" si="3"/>
        <v>3.9997596266447746E-3</v>
      </c>
      <c r="C115" s="2" cm="1">
        <f t="array" ref="C115">INDEX( ComputeThermoProps($A115, $B115, ParametersRange), 1, COLUMN()-2 )</f>
        <v>29.040442624214304</v>
      </c>
      <c r="D115" s="2" cm="1">
        <f t="array" ref="D115">INDEX( ComputeThermoProps($A115, $B115, ParametersRange), 1, COLUMN()-2 )</f>
        <v>5.407884754783861E-4</v>
      </c>
      <c r="E115" s="2" cm="1">
        <f t="array" ref="E115">INDEX( ComputeThermoProps($A115, $B115, ParametersRange), 1, COLUMN()-2 )</f>
        <v>4.1832745706229011E-4</v>
      </c>
      <c r="F115" s="2" cm="1">
        <f t="array" ref="F115">INDEX( ComputeThermoProps($A115, $B115, ParametersRange), 1, COLUMN()-2 )</f>
        <v>1.2039763031912864E-3</v>
      </c>
      <c r="G115" s="2" cm="1">
        <f t="array" ref="G115">INDEX( ComputeThermoProps($A115, $B115, ParametersRange), 1, COLUMN()-2 )</f>
        <v>31.659268286151484</v>
      </c>
      <c r="H115" s="2" cm="1">
        <f t="array" ref="H115">INDEX( ComputeThermoProps($A115, $B115, ParametersRange), 1, COLUMN()-2 )</f>
        <v>24.490058119087792</v>
      </c>
      <c r="I115" s="2" cm="1">
        <f t="array" ref="I115">INDEX( ComputeThermoProps($A115, $B115, ParametersRange), 1, COLUMN()-2 )</f>
        <v>2.64</v>
      </c>
      <c r="J115" s="2" cm="1">
        <f t="array" ref="J115">INDEX( ComputeThermoProps($A115, $B115, ParametersRange), 1, COLUMN()-2 )</f>
        <v>1984.5109973769543</v>
      </c>
      <c r="K115" s="2" cm="1">
        <f t="array" ref="K115">INDEX( ComputeThermoProps($A115, $B115, ParametersRange), 1, COLUMN()-2 )</f>
        <v>45.640713850265861</v>
      </c>
      <c r="L115" s="2" cm="1">
        <f t="array" ref="L115">INDEX( ComputeThermoProps($A115, $B115, ParametersRange), 1, COLUMN()-2 )</f>
        <v>-2218.9987482325314</v>
      </c>
      <c r="M115" s="2" cm="1">
        <f t="array" ref="M115">INDEX( ComputeThermoProps($A115, $B115, ParametersRange), 1, COLUMN()-2 )</f>
        <v>1984.6271521669025</v>
      </c>
      <c r="N115" s="2" cm="1">
        <f t="array" ref="N115">INDEX( ComputeThermoProps($A115, $B115, ParametersRange), 1, COLUMN()-2 )</f>
        <v>-2218.8825934425831</v>
      </c>
      <c r="O115" s="4">
        <f t="shared" si="4"/>
        <v>-2.3979661076616758</v>
      </c>
      <c r="P115" s="6">
        <f t="shared" si="5"/>
        <v>-2620.1808125407788</v>
      </c>
    </row>
    <row r="116" spans="1:16" x14ac:dyDescent="0.25">
      <c r="A116" s="2">
        <v>93.1</v>
      </c>
      <c r="B116" s="2">
        <f t="shared" si="3"/>
        <v>4.6893119306204286E-3</v>
      </c>
      <c r="C116" s="2" cm="1">
        <f t="array" ref="C116">INDEX( ComputeThermoProps($A116, $B116, ParametersRange), 1, COLUMN()-2 )</f>
        <v>29.075582304528933</v>
      </c>
      <c r="D116" s="2" cm="1">
        <f t="array" ref="D116">INDEX( ComputeThermoProps($A116, $B116, ParametersRange), 1, COLUMN()-2 )</f>
        <v>5.4629433782363485E-4</v>
      </c>
      <c r="E116" s="2" cm="1">
        <f t="array" ref="E116">INDEX( ComputeThermoProps($A116, $B116, ParametersRange), 1, COLUMN()-2 )</f>
        <v>4.2063803660140103E-4</v>
      </c>
      <c r="F116" s="2" cm="1">
        <f t="array" ref="F116">INDEX( ComputeThermoProps($A116, $B116, ParametersRange), 1, COLUMN()-2 )</f>
        <v>1.2154080887962506E-3</v>
      </c>
      <c r="G116" s="2" cm="1">
        <f t="array" ref="G116">INDEX( ComputeThermoProps($A116, $B116, ParametersRange), 1, COLUMN()-2 )</f>
        <v>31.822776970343789</v>
      </c>
      <c r="H116" s="2" cm="1">
        <f t="array" ref="H116">INDEX( ComputeThermoProps($A116, $B116, ParametersRange), 1, COLUMN()-2 )</f>
        <v>24.503037094137291</v>
      </c>
      <c r="I116" s="2" cm="1">
        <f t="array" ref="I116">INDEX( ComputeThermoProps($A116, $B116, ParametersRange), 1, COLUMN()-2 )</f>
        <v>2.64</v>
      </c>
      <c r="J116" s="2" cm="1">
        <f t="array" ref="J116">INDEX( ComputeThermoProps($A116, $B116, ParametersRange), 1, COLUMN()-2 )</f>
        <v>2016.2493923648281</v>
      </c>
      <c r="K116" s="2" cm="1">
        <f t="array" ref="K116">INDEX( ComputeThermoProps($A116, $B116, ParametersRange), 1, COLUMN()-2 )</f>
        <v>45.983446693118367</v>
      </c>
      <c r="L116" s="2" cm="1">
        <f t="array" ref="L116">INDEX( ComputeThermoProps($A116, $B116, ParametersRange), 1, COLUMN()-2 )</f>
        <v>-2264.8094947644918</v>
      </c>
      <c r="M116" s="2" cm="1">
        <f t="array" ref="M116">INDEX( ComputeThermoProps($A116, $B116, ParametersRange), 1, COLUMN()-2 )</f>
        <v>2016.3857368398185</v>
      </c>
      <c r="N116" s="2" cm="1">
        <f t="array" ref="N116">INDEX( ComputeThermoProps($A116, $B116, ParametersRange), 1, COLUMN()-2 )</f>
        <v>-2264.6731502895013</v>
      </c>
      <c r="O116" s="4">
        <f t="shared" si="4"/>
        <v>-2.3288908772544543</v>
      </c>
      <c r="P116" s="6">
        <f t="shared" si="5"/>
        <v>-2588.4222278678626</v>
      </c>
    </row>
    <row r="117" spans="1:16" x14ac:dyDescent="0.25">
      <c r="A117" s="2">
        <v>94.1</v>
      </c>
      <c r="B117" s="2">
        <f t="shared" si="3"/>
        <v>5.4768921854517934E-3</v>
      </c>
      <c r="C117" s="2" cm="1">
        <f t="array" ref="C117">INDEX( ComputeThermoProps($A117, $B117, ParametersRange), 1, COLUMN()-2 )</f>
        <v>29.111099736166903</v>
      </c>
      <c r="D117" s="2" cm="1">
        <f t="array" ref="D117">INDEX( ComputeThermoProps($A117, $B117, ParametersRange), 1, COLUMN()-2 )</f>
        <v>5.519514925248388E-4</v>
      </c>
      <c r="E117" s="2" cm="1">
        <f t="array" ref="E117">INDEX( ComputeThermoProps($A117, $B117, ParametersRange), 1, COLUMN()-2 )</f>
        <v>4.2300080623025718E-4</v>
      </c>
      <c r="F117" s="2" cm="1">
        <f t="array" ref="F117">INDEX( ComputeThermoProps($A117, $B117, ParametersRange), 1, COLUMN()-2 )</f>
        <v>1.2271253063701497E-3</v>
      </c>
      <c r="G117" s="2" cm="1">
        <f t="array" ref="G117">INDEX( ComputeThermoProps($A117, $B117, ParametersRange), 1, COLUMN()-2 )</f>
        <v>31.989128067307835</v>
      </c>
      <c r="H117" s="2" cm="1">
        <f t="array" ref="H117">INDEX( ComputeThermoProps($A117, $B117, ParametersRange), 1, COLUMN()-2 )</f>
        <v>24.515608973491862</v>
      </c>
      <c r="I117" s="2" cm="1">
        <f t="array" ref="I117">INDEX( ComputeThermoProps($A117, $B117, ParametersRange), 1, COLUMN()-2 )</f>
        <v>2.64</v>
      </c>
      <c r="J117" s="2" cm="1">
        <f t="array" ref="J117">INDEX( ComputeThermoProps($A117, $B117, ParametersRange), 1, COLUMN()-2 )</f>
        <v>2048.1523011883596</v>
      </c>
      <c r="K117" s="2" cm="1">
        <f t="array" ref="K117">INDEX( ComputeThermoProps($A117, $B117, ParametersRange), 1, COLUMN()-2 )</f>
        <v>46.324275138682886</v>
      </c>
      <c r="L117" s="2" cm="1">
        <f t="array" ref="L117">INDEX( ComputeThermoProps($A117, $B117, ParametersRange), 1, COLUMN()-2 )</f>
        <v>-2310.9619893616996</v>
      </c>
      <c r="M117" s="2" cm="1">
        <f t="array" ref="M117">INDEX( ComputeThermoProps($A117, $B117, ParametersRange), 1, COLUMN()-2 )</f>
        <v>2048.3117395430145</v>
      </c>
      <c r="N117" s="2" cm="1">
        <f t="array" ref="N117">INDEX( ComputeThermoProps($A117, $B117, ParametersRange), 1, COLUMN()-2 )</f>
        <v>-2310.8025510070447</v>
      </c>
      <c r="O117" s="4">
        <f t="shared" si="4"/>
        <v>-2.2614658082266317</v>
      </c>
      <c r="P117" s="6">
        <f t="shared" si="5"/>
        <v>-2556.4962251646666</v>
      </c>
    </row>
    <row r="118" spans="1:16" x14ac:dyDescent="0.25">
      <c r="A118" s="2">
        <v>95.1</v>
      </c>
      <c r="B118" s="2">
        <f t="shared" si="3"/>
        <v>6.3731629514883446E-3</v>
      </c>
      <c r="C118" s="2" cm="1">
        <f t="array" ref="C118">INDEX( ComputeThermoProps($A118, $B118, ParametersRange), 1, COLUMN()-2 )</f>
        <v>29.147004518084401</v>
      </c>
      <c r="D118" s="2" cm="1">
        <f t="array" ref="D118">INDEX( ComputeThermoProps($A118, $B118, ParametersRange), 1, COLUMN()-2 )</f>
        <v>5.5776692750372119E-4</v>
      </c>
      <c r="E118" s="2" cm="1">
        <f t="array" ref="E118">INDEX( ComputeThermoProps($A118, $B118, ParametersRange), 1, COLUMN()-2 )</f>
        <v>4.2541774849274899E-4</v>
      </c>
      <c r="F118" s="2" cm="1">
        <f t="array" ref="F118">INDEX( ComputeThermoProps($A118, $B118, ParametersRange), 1, COLUMN()-2 )</f>
        <v>1.239142358530421E-3</v>
      </c>
      <c r="G118" s="2" cm="1">
        <f t="array" ref="G118">INDEX( ComputeThermoProps($A118, $B118, ParametersRange), 1, COLUMN()-2 )</f>
        <v>32.158486401324936</v>
      </c>
      <c r="H118" s="2" cm="1">
        <f t="array" ref="H118">INDEX( ComputeThermoProps($A118, $B118, ParametersRange), 1, COLUMN()-2 )</f>
        <v>24.527791457651578</v>
      </c>
      <c r="I118" s="2" cm="1">
        <f t="array" ref="I118">INDEX( ComputeThermoProps($A118, $B118, ParametersRange), 1, COLUMN()-2 )</f>
        <v>2.6400000000000006</v>
      </c>
      <c r="J118" s="2" cm="1">
        <f t="array" ref="J118">INDEX( ComputeThermoProps($A118, $B118, ParametersRange), 1, COLUMN()-2 )</f>
        <v>2080.2225920890287</v>
      </c>
      <c r="K118" s="2" cm="1">
        <f t="array" ref="K118">INDEX( ComputeThermoProps($A118, $B118, ParametersRange), 1, COLUMN()-2 )</f>
        <v>46.663269797479771</v>
      </c>
      <c r="L118" s="2" cm="1">
        <f t="array" ref="L118">INDEX( ComputeThermoProps($A118, $B118, ParametersRange), 1, COLUMN()-2 )</f>
        <v>-2357.4543656512974</v>
      </c>
      <c r="M118" s="2" cm="1">
        <f t="array" ref="M118">INDEX( ComputeThermoProps($A118, $B118, ParametersRange), 1, COLUMN()-2 )</f>
        <v>2080.4083506983702</v>
      </c>
      <c r="N118" s="2" cm="1">
        <f t="array" ref="N118">INDEX( ComputeThermoProps($A118, $B118, ParametersRange), 1, COLUMN()-2 )</f>
        <v>-2357.2686070419559</v>
      </c>
      <c r="O118" s="4">
        <f t="shared" si="4"/>
        <v>-2.1956449771693616</v>
      </c>
      <c r="P118" s="6">
        <f t="shared" si="5"/>
        <v>-2524.3996140093109</v>
      </c>
    </row>
    <row r="119" spans="1:16" x14ac:dyDescent="0.25">
      <c r="A119" s="2">
        <v>96.1</v>
      </c>
      <c r="B119" s="2">
        <f t="shared" si="3"/>
        <v>7.3895069879355534E-3</v>
      </c>
      <c r="C119" s="2" cm="1">
        <f t="array" ref="C119">INDEX( ComputeThermoProps($A119, $B119, ParametersRange), 1, COLUMN()-2 )</f>
        <v>29.183306719465168</v>
      </c>
      <c r="D119" s="2" cm="1">
        <f t="array" ref="D119">INDEX( ComputeThermoProps($A119, $B119, ParametersRange), 1, COLUMN()-2 )</f>
        <v>5.6374808963771141E-4</v>
      </c>
      <c r="E119" s="2" cm="1">
        <f t="array" ref="E119">INDEX( ComputeThermoProps($A119, $B119, ParametersRange), 1, COLUMN()-2 )</f>
        <v>4.2789095877653581E-4</v>
      </c>
      <c r="F119" s="2" cm="1">
        <f t="array" ref="F119">INDEX( ComputeThermoProps($A119, $B119, ParametersRange), 1, COLUMN()-2 )</f>
        <v>1.2514745262780539E-3</v>
      </c>
      <c r="G119" s="2" cm="1">
        <f t="array" ref="G119">INDEX( ComputeThermoProps($A119, $B119, ParametersRange), 1, COLUMN()-2 )</f>
        <v>32.331025246370032</v>
      </c>
      <c r="H119" s="2" cm="1">
        <f t="array" ref="H119">INDEX( ComputeThermoProps($A119, $B119, ParametersRange), 1, COLUMN()-2 )</f>
        <v>24.53960136661053</v>
      </c>
      <c r="I119" s="2" cm="1">
        <f t="array" ref="I119">INDEX( ComputeThermoProps($A119, $B119, ParametersRange), 1, COLUMN()-2 )</f>
        <v>2.64</v>
      </c>
      <c r="J119" s="2" cm="1">
        <f t="array" ref="J119">INDEX( ComputeThermoProps($A119, $B119, ParametersRange), 1, COLUMN()-2 )</f>
        <v>2112.4632963006979</v>
      </c>
      <c r="K119" s="2" cm="1">
        <f t="array" ref="K119">INDEX( ComputeThermoProps($A119, $B119, ParametersRange), 1, COLUMN()-2 )</f>
        <v>47.000500774147632</v>
      </c>
      <c r="L119" s="2" cm="1">
        <f t="array" ref="L119">INDEX( ComputeThermoProps($A119, $B119, ParametersRange), 1, COLUMN()-2 )</f>
        <v>-2404.2848280948892</v>
      </c>
      <c r="M119" s="2" cm="1">
        <f t="array" ref="M119">INDEX( ComputeThermoProps($A119, $B119, ParametersRange), 1, COLUMN()-2 )</f>
        <v>2112.6789465496327</v>
      </c>
      <c r="N119" s="2" cm="1">
        <f t="array" ref="N119">INDEX( ComputeThermoProps($A119, $B119, ParametersRange), 1, COLUMN()-2 )</f>
        <v>-2404.0691778459545</v>
      </c>
      <c r="O119" s="4">
        <f t="shared" si="4"/>
        <v>-2.1313845358354184</v>
      </c>
      <c r="P119" s="6">
        <f t="shared" si="5"/>
        <v>-2492.1290181580484</v>
      </c>
    </row>
    <row r="120" spans="1:16" x14ac:dyDescent="0.25">
      <c r="A120" s="2">
        <v>97.1</v>
      </c>
      <c r="B120" s="2">
        <f t="shared" si="3"/>
        <v>8.5380235819175407E-3</v>
      </c>
      <c r="C120" s="2" cm="1">
        <f t="array" ref="C120">INDEX( ComputeThermoProps($A120, $B120, ParametersRange), 1, COLUMN()-2 )</f>
        <v>29.220016909454756</v>
      </c>
      <c r="D120" s="2" cm="1">
        <f t="array" ref="D120">INDEX( ComputeThermoProps($A120, $B120, ParametersRange), 1, COLUMN()-2 )</f>
        <v>5.6990292439032053E-4</v>
      </c>
      <c r="E120" s="2" cm="1">
        <f t="array" ref="E120">INDEX( ComputeThermoProps($A120, $B120, ParametersRange), 1, COLUMN()-2 )</f>
        <v>4.3042265382326589E-4</v>
      </c>
      <c r="F120" s="2" cm="1">
        <f t="array" ref="F120">INDEX( ComputeThermoProps($A120, $B120, ParametersRange), 1, COLUMN()-2 )</f>
        <v>1.264138049767171E-3</v>
      </c>
      <c r="G120" s="2" cm="1">
        <f t="array" ref="G120">INDEX( ComputeThermoProps($A120, $B120, ParametersRange), 1, COLUMN()-2 )</f>
        <v>32.506927204570658</v>
      </c>
      <c r="H120" s="2" cm="1">
        <f t="array" ref="H120">INDEX( ComputeThermoProps($A120, $B120, ParametersRange), 1, COLUMN()-2 )</f>
        <v>24.55105470813173</v>
      </c>
      <c r="I120" s="2" cm="1">
        <f t="array" ref="I120">INDEX( ComputeThermoProps($A120, $B120, ParametersRange), 1, COLUMN()-2 )</f>
        <v>2.64</v>
      </c>
      <c r="J120" s="2" cm="1">
        <f t="array" ref="J120">INDEX( ComputeThermoProps($A120, $B120, ParametersRange), 1, COLUMN()-2 )</f>
        <v>2144.8776164910573</v>
      </c>
      <c r="K120" s="2" cm="1">
        <f t="array" ref="K120">INDEX( ComputeThermoProps($A120, $B120, ParametersRange), 1, COLUMN()-2 )</f>
        <v>47.33603777621213</v>
      </c>
      <c r="L120" s="2" cm="1">
        <f t="array" ref="L120">INDEX( ComputeThermoProps($A120, $B120, ParametersRange), 1, COLUMN()-2 )</f>
        <v>-2451.4516515791402</v>
      </c>
      <c r="M120" s="2" cm="1">
        <f t="array" ref="M120">INDEX( ComputeThermoProps($A120, $B120, ParametersRange), 1, COLUMN()-2 )</f>
        <v>2145.1270976844944</v>
      </c>
      <c r="N120" s="2" cm="1">
        <f t="array" ref="N120">INDEX( ComputeThermoProps($A120, $B120, ParametersRange), 1, COLUMN()-2 )</f>
        <v>-2451.2021703857031</v>
      </c>
      <c r="O120" s="4">
        <f t="shared" si="4"/>
        <v>-2.068642650014326</v>
      </c>
      <c r="P120" s="6">
        <f t="shared" si="5"/>
        <v>-2459.6808670231867</v>
      </c>
    </row>
    <row r="121" spans="1:16" x14ac:dyDescent="0.25">
      <c r="A121" s="2">
        <v>98.1</v>
      </c>
      <c r="B121" s="2">
        <f t="shared" si="3"/>
        <v>9.8315173671364876E-3</v>
      </c>
      <c r="C121" s="2" cm="1">
        <f t="array" ref="C121">INDEX( ComputeThermoProps($A121, $B121, ParametersRange), 1, COLUMN()-2 )</f>
        <v>29.257146189813607</v>
      </c>
      <c r="D121" s="2" cm="1">
        <f t="array" ref="D121">INDEX( ComputeThermoProps($A121, $B121, ParametersRange), 1, COLUMN()-2 )</f>
        <v>5.762399194770122E-4</v>
      </c>
      <c r="E121" s="2" cm="1">
        <f t="array" ref="E121">INDEX( ComputeThermoProps($A121, $B121, ParametersRange), 1, COLUMN()-2 )</f>
        <v>4.3301518107795604E-4</v>
      </c>
      <c r="F121" s="2" cm="1">
        <f t="array" ref="F121">INDEX( ComputeThermoProps($A121, $B121, ParametersRange), 1, COLUMN()-2 )</f>
        <v>1.2771502151646124E-3</v>
      </c>
      <c r="G121" s="2" cm="1">
        <f t="array" ref="G121">INDEX( ComputeThermoProps($A121, $B121, ParametersRange), 1, COLUMN()-2 )</f>
        <v>32.686385108285599</v>
      </c>
      <c r="H121" s="2" cm="1">
        <f t="array" ref="H121">INDEX( ComputeThermoProps($A121, $B121, ParametersRange), 1, COLUMN()-2 )</f>
        <v>24.562166708779579</v>
      </c>
      <c r="I121" s="2" cm="1">
        <f t="array" ref="I121">INDEX( ComputeThermoProps($A121, $B121, ParametersRange), 1, COLUMN()-2 )</f>
        <v>2.64</v>
      </c>
      <c r="J121" s="2" cm="1">
        <f t="array" ref="J121">INDEX( ComputeThermoProps($A121, $B121, ParametersRange), 1, COLUMN()-2 )</f>
        <v>2177.4689361701458</v>
      </c>
      <c r="K121" s="2" cm="1">
        <f t="array" ref="K121">INDEX( ComputeThermoProps($A121, $B121, ParametersRange), 1, COLUMN()-2 )</f>
        <v>47.669950227420323</v>
      </c>
      <c r="L121" s="2" cm="1">
        <f t="array" ref="L121">INDEX( ComputeThermoProps($A121, $B121, ParametersRange), 1, COLUMN()-2 )</f>
        <v>-2498.9531811397878</v>
      </c>
      <c r="M121" s="2" cm="1">
        <f t="array" ref="M121">INDEX( ComputeThermoProps($A121, $B121, ParametersRange), 1, COLUMN()-2 )</f>
        <v>2177.7565783110235</v>
      </c>
      <c r="N121" s="2" cm="1">
        <f t="array" ref="N121">INDEX( ComputeThermoProps($A121, $B121, ParametersRange), 1, COLUMN()-2 )</f>
        <v>-2498.6655389989101</v>
      </c>
      <c r="O121" s="4">
        <f t="shared" si="4"/>
        <v>-2.0073794492768213</v>
      </c>
      <c r="P121" s="6">
        <f t="shared" si="5"/>
        <v>-2427.0513863966576</v>
      </c>
    </row>
    <row r="122" spans="1:16" x14ac:dyDescent="0.25">
      <c r="A122" s="2">
        <v>99.1</v>
      </c>
      <c r="B122" s="2">
        <f t="shared" si="3"/>
        <v>1.1283478647737939E-2</v>
      </c>
      <c r="C122" s="2" cm="1">
        <f t="array" ref="C122">INDEX( ComputeThermoProps($A122, $B122, ParametersRange), 1, COLUMN()-2 )</f>
        <v>29.294706230741006</v>
      </c>
      <c r="D122" s="2" cm="1">
        <f t="array" ref="D122">INDEX( ComputeThermoProps($A122, $B122, ParametersRange), 1, COLUMN()-2 )</f>
        <v>5.8276815359612681E-4</v>
      </c>
      <c r="E122" s="2" cm="1">
        <f t="array" ref="E122">INDEX( ComputeThermoProps($A122, $B122, ParametersRange), 1, COLUMN()-2 )</f>
        <v>4.3567102897596355E-4</v>
      </c>
      <c r="F122" s="2" cm="1">
        <f t="array" ref="F122">INDEX( ComputeThermoProps($A122, $B122, ParametersRange), 1, COLUMN()-2 )</f>
        <v>1.2905294531083784E-3</v>
      </c>
      <c r="G122" s="2" cm="1">
        <f t="array" ref="G122">INDEX( ComputeThermoProps($A122, $B122, ParametersRange), 1, COLUMN()-2 )</f>
        <v>32.869603071101963</v>
      </c>
      <c r="H122" s="2" cm="1">
        <f t="array" ref="H122">INDEX( ComputeThermoProps($A122, $B122, ParametersRange), 1, COLUMN()-2 )</f>
        <v>24.572951874001749</v>
      </c>
      <c r="I122" s="2" cm="1">
        <f t="array" ref="I122">INDEX( ComputeThermoProps($A122, $B122, ParametersRange), 1, COLUMN()-2 )</f>
        <v>2.64</v>
      </c>
      <c r="J122" s="2" cm="1">
        <f t="array" ref="J122">INDEX( ComputeThermoProps($A122, $B122, ParametersRange), 1, COLUMN()-2 )</f>
        <v>2210.2408301053865</v>
      </c>
      <c r="K122" s="2" cm="1">
        <f t="array" ref="K122">INDEX( ComputeThermoProps($A122, $B122, ParametersRange), 1, COLUMN()-2 )</f>
        <v>48.002307385604063</v>
      </c>
      <c r="L122" s="2" cm="1">
        <f t="array" ref="L122">INDEX( ComputeThermoProps($A122, $B122, ParametersRange), 1, COLUMN()-2 )</f>
        <v>-2546.7878318079756</v>
      </c>
      <c r="M122" s="2" cm="1">
        <f t="array" ref="M122">INDEX( ComputeThermoProps($A122, $B122, ParametersRange), 1, COLUMN()-2 )</f>
        <v>2210.5713762976329</v>
      </c>
      <c r="N122" s="2" cm="1">
        <f t="array" ref="N122">INDEX( ComputeThermoProps($A122, $B122, ParametersRange), 1, COLUMN()-2 )</f>
        <v>-2546.4572856157292</v>
      </c>
      <c r="O122" s="4">
        <f t="shared" si="4"/>
        <v>-1.9475569885961936</v>
      </c>
      <c r="P122" s="6">
        <f t="shared" si="5"/>
        <v>-2394.2365884100482</v>
      </c>
    </row>
    <row r="123" spans="1:16" x14ac:dyDescent="0.25">
      <c r="A123" s="2">
        <v>100.1</v>
      </c>
      <c r="B123" s="2">
        <f t="shared" si="3"/>
        <v>1.2908054091414038E-2</v>
      </c>
      <c r="C123" s="2" cm="1">
        <f t="array" ref="C123">INDEX( ComputeThermoProps($A123, $B123, ParametersRange), 1, COLUMN()-2 )</f>
        <v>29.33270930983679</v>
      </c>
      <c r="D123" s="2" cm="1">
        <f t="array" ref="D123">INDEX( ComputeThermoProps($A123, $B123, ParametersRange), 1, COLUMN()-2 )</f>
        <v>5.8949735043095446E-4</v>
      </c>
      <c r="E123" s="2" cm="1">
        <f t="array" ref="E123">INDEX( ComputeThermoProps($A123, $B123, ParametersRange), 1, COLUMN()-2 )</f>
        <v>4.383928382525724E-4</v>
      </c>
      <c r="F123" s="2" cm="1">
        <f t="array" ref="F123">INDEX( ComputeThermoProps($A123, $B123, ParametersRange), 1, COLUMN()-2 )</f>
        <v>1.3042954463621627E-3</v>
      </c>
      <c r="G123" s="2" cm="1">
        <f t="array" ref="G123">INDEX( ComputeThermoProps($A123, $B123, ParametersRange), 1, COLUMN()-2 )</f>
        <v>33.05679760734121</v>
      </c>
      <c r="H123" s="2" cm="1">
        <f t="array" ref="H123">INDEX( ComputeThermoProps($A123, $B123, ParametersRange), 1, COLUMN()-2 )</f>
        <v>24.583424023922792</v>
      </c>
      <c r="I123" s="2" cm="1">
        <f t="array" ref="I123">INDEX( ComputeThermoProps($A123, $B123, ParametersRange), 1, COLUMN()-2 )</f>
        <v>2.64</v>
      </c>
      <c r="J123" s="2" cm="1">
        <f t="array" ref="J123">INDEX( ComputeThermoProps($A123, $B123, ParametersRange), 1, COLUMN()-2 )</f>
        <v>2243.1970755077082</v>
      </c>
      <c r="K123" s="2" cm="1">
        <f t="array" ref="K123">INDEX( ComputeThermoProps($A123, $B123, ParametersRange), 1, COLUMN()-2 )</f>
        <v>48.33317846160849</v>
      </c>
      <c r="L123" s="2" cm="1">
        <f t="array" ref="L123">INDEX( ComputeThermoProps($A123, $B123, ParametersRange), 1, COLUMN()-2 )</f>
        <v>-2594.9540884993016</v>
      </c>
      <c r="M123" s="2" cm="1">
        <f t="array" ref="M123">INDEX( ComputeThermoProps($A123, $B123, ParametersRange), 1, COLUMN()-2 )</f>
        <v>2243.5757037061271</v>
      </c>
      <c r="N123" s="2" cm="1">
        <f t="array" ref="N123">INDEX( ComputeThermoProps($A123, $B123, ParametersRange), 1, COLUMN()-2 )</f>
        <v>-2594.5754603008827</v>
      </c>
      <c r="O123" s="4">
        <f t="shared" si="4"/>
        <v>-1.8891392233461142</v>
      </c>
      <c r="P123" s="6">
        <f t="shared" si="5"/>
        <v>-2361.232261001554</v>
      </c>
    </row>
    <row r="124" spans="1:16" x14ac:dyDescent="0.25">
      <c r="A124" s="2">
        <v>101.1</v>
      </c>
      <c r="B124" s="2">
        <f t="shared" si="3"/>
        <v>1.472000644472935E-2</v>
      </c>
      <c r="C124" s="2" cm="1">
        <f t="array" ref="C124">INDEX( ComputeThermoProps($A124, $B124, ParametersRange), 1, COLUMN()-2 )</f>
        <v>29.371168355501581</v>
      </c>
      <c r="D124" s="2" cm="1">
        <f t="array" ref="D124">INDEX( ComputeThermoProps($A124, $B124, ParametersRange), 1, COLUMN()-2 )</f>
        <v>5.9643793907835393E-4</v>
      </c>
      <c r="E124" s="2" cm="1">
        <f t="array" ref="E124">INDEX( ComputeThermoProps($A124, $B124, ParametersRange), 1, COLUMN()-2 )</f>
        <v>4.4118341446883078E-4</v>
      </c>
      <c r="F124" s="2" cm="1">
        <f t="array" ref="F124">INDEX( ComputeThermoProps($A124, $B124, ParametersRange), 1, COLUMN()-2 )</f>
        <v>1.3184692510806314E-3</v>
      </c>
      <c r="G124" s="2" cm="1">
        <f t="array" ref="G124">INDEX( ComputeThermoProps($A124, $B124, ParametersRange), 1, COLUMN()-2 )</f>
        <v>33.248198906653528</v>
      </c>
      <c r="H124" s="2" cm="1">
        <f t="array" ref="H124">INDEX( ComputeThermoProps($A124, $B124, ParametersRange), 1, COLUMN()-2 )</f>
        <v>24.593596345066246</v>
      </c>
      <c r="I124" s="2" cm="1">
        <f t="array" ref="I124">INDEX( ComputeThermoProps($A124, $B124, ParametersRange), 1, COLUMN()-2 )</f>
        <v>2.6400000000000006</v>
      </c>
      <c r="J124" s="2" cm="1">
        <f t="array" ref="J124">INDEX( ComputeThermoProps($A124, $B124, ParametersRange), 1, COLUMN()-2 )</f>
        <v>2276.3416648890779</v>
      </c>
      <c r="K124" s="2" cm="1">
        <f t="array" ref="K124">INDEX( ComputeThermoProps($A124, $B124, ParametersRange), 1, COLUMN()-2 )</f>
        <v>48.66263275009976</v>
      </c>
      <c r="L124" s="2" cm="1">
        <f t="array" ref="L124">INDEX( ComputeThermoProps($A124, $B124, ParametersRange), 1, COLUMN()-2 )</f>
        <v>-2643.4505061460077</v>
      </c>
      <c r="M124" s="2" cm="1">
        <f t="array" ref="M124">INDEX( ComputeThermoProps($A124, $B124, ParametersRange), 1, COLUMN()-2 )</f>
        <v>2276.7740086765602</v>
      </c>
      <c r="N124" s="2" cm="1">
        <f t="array" ref="N124">INDEX( ComputeThermoProps($A124, $B124, ParametersRange), 1, COLUMN()-2 )</f>
        <v>-2643.0181623585254</v>
      </c>
      <c r="O124" s="4">
        <f t="shared" si="4"/>
        <v>-1.8320919998551923</v>
      </c>
      <c r="P124" s="6">
        <f t="shared" si="5"/>
        <v>-2328.0339560311209</v>
      </c>
    </row>
    <row r="125" spans="1:16" x14ac:dyDescent="0.25">
      <c r="A125" s="2">
        <v>102.1</v>
      </c>
      <c r="B125" s="2">
        <f t="shared" si="3"/>
        <v>1.6734661624629634E-2</v>
      </c>
      <c r="C125" s="2" cm="1">
        <f t="array" ref="C125">INDEX( ComputeThermoProps($A125, $B125, ParametersRange), 1, COLUMN()-2 )</f>
        <v>29.410096994408097</v>
      </c>
      <c r="D125" s="2" cm="1">
        <f t="array" ref="D125">INDEX( ComputeThermoProps($A125, $B125, ParametersRange), 1, COLUMN()-2 )</f>
        <v>6.0360112130427646E-4</v>
      </c>
      <c r="E125" s="2" cm="1">
        <f t="array" ref="E125">INDEX( ComputeThermoProps($A125, $B125, ParametersRange), 1, COLUMN()-2 )</f>
        <v>4.4404574184554355E-4</v>
      </c>
      <c r="F125" s="2" cm="1">
        <f t="array" ref="F125">INDEX( ComputeThermoProps($A125, $B125, ParametersRange), 1, COLUMN()-2 )</f>
        <v>1.3330734300031199E-3</v>
      </c>
      <c r="G125" s="2" cm="1">
        <f t="array" ref="G125">INDEX( ComputeThermoProps($A125, $B125, ParametersRange), 1, COLUMN()-2 )</f>
        <v>33.444052198003064</v>
      </c>
      <c r="H125" s="2" cm="1">
        <f t="array" ref="H125">INDEX( ComputeThermoProps($A125, $B125, ParametersRange), 1, COLUMN()-2 )</f>
        <v>24.60348141251562</v>
      </c>
      <c r="I125" s="2" cm="1">
        <f t="array" ref="I125">INDEX( ComputeThermoProps($A125, $B125, ParametersRange), 1, COLUMN()-2 )</f>
        <v>2.6399999999999997</v>
      </c>
      <c r="J125" s="2" cm="1">
        <f t="array" ref="J125">INDEX( ComputeThermoProps($A125, $B125, ParametersRange), 1, COLUMN()-2 )</f>
        <v>2309.678819996213</v>
      </c>
      <c r="K125" s="2" cm="1">
        <f t="array" ref="K125">INDEX( ComputeThermoProps($A125, $B125, ParametersRange), 1, COLUMN()-2 )</f>
        <v>48.990739763863921</v>
      </c>
      <c r="L125" s="2" cm="1">
        <f t="array" ref="L125">INDEX( ComputeThermoProps($A125, $B125, ParametersRange), 1, COLUMN()-2 )</f>
        <v>-2692.275709894293</v>
      </c>
      <c r="M125" s="2" cm="1">
        <f t="array" ref="M125">INDEX( ComputeThermoProps($A125, $B125, ParametersRange), 1, COLUMN()-2 )</f>
        <v>2310.1709880177618</v>
      </c>
      <c r="N125" s="2" cm="1">
        <f t="array" ref="N125">INDEX( ComputeThermoProps($A125, $B125, ParametersRange), 1, COLUMN()-2 )</f>
        <v>-2691.7835418727441</v>
      </c>
      <c r="O125" s="4">
        <f t="shared" si="4"/>
        <v>-1.7763830646651442</v>
      </c>
      <c r="P125" s="6">
        <f t="shared" si="5"/>
        <v>-2294.6369766899193</v>
      </c>
    </row>
    <row r="126" spans="1:16" x14ac:dyDescent="0.25">
      <c r="A126" s="2">
        <v>103.1</v>
      </c>
      <c r="B126" s="2">
        <f t="shared" si="3"/>
        <v>1.8967841108550206E-2</v>
      </c>
      <c r="C126" s="2" cm="1">
        <f t="array" ref="C126">INDEX( ComputeThermoProps($A126, $B126, ParametersRange), 1, COLUMN()-2 )</f>
        <v>29.44950960396827</v>
      </c>
      <c r="D126" s="2" cm="1">
        <f t="array" ref="D126">INDEX( ComputeThermoProps($A126, $B126, ParametersRange), 1, COLUMN()-2 )</f>
        <v>6.1099894714517964E-4</v>
      </c>
      <c r="E126" s="2" cm="1">
        <f t="array" ref="E126">INDEX( ComputeThermoProps($A126, $B126, ParametersRange), 1, COLUMN()-2 )</f>
        <v>4.4698299860581578E-4</v>
      </c>
      <c r="F126" s="2" cm="1">
        <f t="array" ref="F126">INDEX( ComputeThermoProps($A126, $B126, ParametersRange), 1, COLUMN()-2 )</f>
        <v>1.3481322036922945E-3</v>
      </c>
      <c r="G126" s="2" cm="1">
        <f t="array" ref="G126">INDEX( ComputeThermoProps($A126, $B126, ParametersRange), 1, COLUMN()-2 )</f>
        <v>33.644619326151144</v>
      </c>
      <c r="H126" s="2" cm="1">
        <f t="array" ref="H126">INDEX( ComputeThermoProps($A126, $B126, ParametersRange), 1, COLUMN()-2 )</f>
        <v>24.613091239551515</v>
      </c>
      <c r="I126" s="2" cm="1">
        <f t="array" ref="I126">INDEX( ComputeThermoProps($A126, $B126, ParametersRange), 1, COLUMN()-2 )</f>
        <v>2.6399999999999997</v>
      </c>
      <c r="J126" s="2" cm="1">
        <f t="array" ref="J126">INDEX( ComputeThermoProps($A126, $B126, ParametersRange), 1, COLUMN()-2 )</f>
        <v>2343.2130073166977</v>
      </c>
      <c r="K126" s="2" cm="1">
        <f t="array" ref="K126">INDEX( ComputeThermoProps($A126, $B126, ParametersRange), 1, COLUMN()-2 )</f>
        <v>49.31756937706146</v>
      </c>
      <c r="L126" s="2" cm="1">
        <f t="array" ref="L126">INDEX( ComputeThermoProps($A126, $B126, ParametersRange), 1, COLUMN()-2 )</f>
        <v>-2741.4283954583384</v>
      </c>
      <c r="M126" s="2" cm="1">
        <f t="array" ref="M126">INDEX( ComputeThermoProps($A126, $B126, ParametersRange), 1, COLUMN()-2 )</f>
        <v>2343.7716009355904</v>
      </c>
      <c r="N126" s="2" cm="1">
        <f t="array" ref="N126">INDEX( ComputeThermoProps($A126, $B126, ParametersRange), 1, COLUMN()-2 )</f>
        <v>-2740.8698018394457</v>
      </c>
      <c r="O126" s="4">
        <f t="shared" si="4"/>
        <v>-1.72198209705016</v>
      </c>
      <c r="P126" s="6">
        <f t="shared" si="5"/>
        <v>-2261.0363637720907</v>
      </c>
    </row>
    <row r="127" spans="1:16" x14ac:dyDescent="0.25">
      <c r="A127" s="2">
        <v>104.1</v>
      </c>
      <c r="B127" s="2">
        <f t="shared" si="3"/>
        <v>2.1435776909717097E-2</v>
      </c>
      <c r="C127" s="2" cm="1">
        <f t="array" ref="C127">INDEX( ComputeThermoProps($A127, $B127, ParametersRange), 1, COLUMN()-2 )</f>
        <v>29.489421370358198</v>
      </c>
      <c r="D127" s="2" cm="1">
        <f t="array" ref="D127">INDEX( ComputeThermoProps($A127, $B127, ParametersRange), 1, COLUMN()-2 )</f>
        <v>6.1864439966380119E-4</v>
      </c>
      <c r="E127" s="2" cm="1">
        <f t="array" ref="E127">INDEX( ComputeThermoProps($A127, $B127, ParametersRange), 1, COLUMN()-2 )</f>
        <v>4.4999857402310998E-4</v>
      </c>
      <c r="F127" s="2" cm="1">
        <f t="array" ref="F127">INDEX( ComputeThermoProps($A127, $B127, ParametersRange), 1, COLUMN()-2 )</f>
        <v>1.3636716189561868E-3</v>
      </c>
      <c r="G127" s="2" cm="1">
        <f t="array" ref="G127">INDEX( ComputeThermoProps($A127, $B127, ParametersRange), 1, COLUMN()-2 )</f>
        <v>33.85018048306042</v>
      </c>
      <c r="H127" s="2" cm="1">
        <f t="array" ref="H127">INDEX( ComputeThermoProps($A127, $B127, ParametersRange), 1, COLUMN()-2 )</f>
        <v>24.622437309834424</v>
      </c>
      <c r="I127" s="2" cm="1">
        <f t="array" ref="I127">INDEX( ComputeThermoProps($A127, $B127, ParametersRange), 1, COLUMN()-2 )</f>
        <v>2.6399999999999997</v>
      </c>
      <c r="J127" s="2" cm="1">
        <f t="array" ref="J127">INDEX( ComputeThermoProps($A127, $B127, ParametersRange), 1, COLUMN()-2 )</f>
        <v>2376.9489552839959</v>
      </c>
      <c r="K127" s="2" cm="1">
        <f t="array" ref="K127">INDEX( ComputeThermoProps($A127, $B127, ParametersRange), 1, COLUMN()-2 )</f>
        <v>49.643191977984742</v>
      </c>
      <c r="L127" s="2" cm="1">
        <f t="array" ref="L127">INDEX( ComputeThermoProps($A127, $B127, ParametersRange), 1, COLUMN()-2 )</f>
        <v>-2790.9073296242154</v>
      </c>
      <c r="M127" s="2" cm="1">
        <f t="array" ref="M127">INDEX( ComputeThermoProps($A127, $B127, ParametersRange), 1, COLUMN()-2 )</f>
        <v>2377.5810839416877</v>
      </c>
      <c r="N127" s="2" cm="1">
        <f t="array" ref="N127">INDEX( ComputeThermoProps($A127, $B127, ParametersRange), 1, COLUMN()-2 )</f>
        <v>-2790.2752009665237</v>
      </c>
      <c r="O127" s="4">
        <f t="shared" si="4"/>
        <v>-1.668860771472753</v>
      </c>
      <c r="P127" s="6">
        <f t="shared" si="5"/>
        <v>-2227.2268807659934</v>
      </c>
    </row>
    <row r="128" spans="1:16" x14ac:dyDescent="0.25">
      <c r="A128" s="2">
        <v>105.1</v>
      </c>
      <c r="B128" s="2">
        <f t="shared" si="3"/>
        <v>2.4155005464471465E-2</v>
      </c>
      <c r="C128" s="2" cm="1">
        <f t="array" ref="C128">INDEX( ComputeThermoProps($A128, $B128, ParametersRange), 1, COLUMN()-2 )</f>
        <v>29.529848352840716</v>
      </c>
      <c r="D128" s="2" cm="1">
        <f t="array" ref="D128">INDEX( ComputeThermoProps($A128, $B128, ParametersRange), 1, COLUMN()-2 )</f>
        <v>6.2655149036861446E-4</v>
      </c>
      <c r="E128" s="2" cm="1">
        <f t="array" ref="E128">INDEX( ComputeThermoProps($A128, $B128, ParametersRange), 1, COLUMN()-2 )</f>
        <v>4.530960874101626E-4</v>
      </c>
      <c r="F128" s="2" cm="1">
        <f t="array" ref="F128">INDEX( ComputeThermoProps($A128, $B128, ParametersRange), 1, COLUMN()-2 )</f>
        <v>1.3797197382800985E-3</v>
      </c>
      <c r="G128" s="2" cm="1">
        <f t="array" ref="G128">INDEX( ComputeThermoProps($A128, $B128, ParametersRange), 1, COLUMN()-2 )</f>
        <v>34.061036149416026</v>
      </c>
      <c r="H128" s="2" cm="1">
        <f t="array" ref="H128">INDEX( ComputeThermoProps($A128, $B128, ParametersRange), 1, COLUMN()-2 )</f>
        <v>24.631530607894607</v>
      </c>
      <c r="I128" s="2" cm="1">
        <f t="array" ref="I128">INDEX( ComputeThermoProps($A128, $B128, ParametersRange), 1, COLUMN()-2 )</f>
        <v>2.64</v>
      </c>
      <c r="J128" s="2" cm="1">
        <f t="array" ref="J128">INDEX( ComputeThermoProps($A128, $B128, ParametersRange), 1, COLUMN()-2 )</f>
        <v>2410.8916734007239</v>
      </c>
      <c r="K128" s="2" cm="1">
        <f t="array" ref="K128">INDEX( ComputeThermoProps($A128, $B128, ParametersRange), 1, COLUMN()-2 )</f>
        <v>49.967678632866139</v>
      </c>
      <c r="L128" s="2" cm="1">
        <f t="array" ref="L128">INDEX( ComputeThermoProps($A128, $B128, ParametersRange), 1, COLUMN()-2 )</f>
        <v>-2840.711350913507</v>
      </c>
      <c r="M128" s="2" cm="1">
        <f t="array" ref="M128">INDEX( ComputeThermoProps($A128, $B128, ParametersRange), 1, COLUMN()-2 )</f>
        <v>2411.604967049052</v>
      </c>
      <c r="N128" s="2" cm="1">
        <f t="array" ref="N128">INDEX( ComputeThermoProps($A128, $B128, ParametersRange), 1, COLUMN()-2 )</f>
        <v>-2839.9980572651789</v>
      </c>
      <c r="O128" s="4">
        <f t="shared" si="4"/>
        <v>-1.6169928599290848</v>
      </c>
      <c r="P128" s="6">
        <f t="shared" si="5"/>
        <v>-2193.2029976586291</v>
      </c>
    </row>
    <row r="129" spans="1:16" x14ac:dyDescent="0.25">
      <c r="A129" s="2">
        <v>106.1</v>
      </c>
      <c r="B129" s="2">
        <f t="shared" si="3"/>
        <v>2.7142235267260565E-2</v>
      </c>
      <c r="C129" s="2" cm="1">
        <f t="array" ref="C129">INDEX( ComputeThermoProps($A129, $B129, ParametersRange), 1, COLUMN()-2 )</f>
        <v>29.570807555261513</v>
      </c>
      <c r="D129" s="2" cm="1">
        <f t="array" ref="D129">INDEX( ComputeThermoProps($A129, $B129, ParametersRange), 1, COLUMN()-2 )</f>
        <v>6.3473536686415634E-4</v>
      </c>
      <c r="E129" s="2" cm="1">
        <f t="array" ref="E129">INDEX( ComputeThermoProps($A129, $B129, ParametersRange), 1, COLUMN()-2 )</f>
        <v>4.5627940932512883E-4</v>
      </c>
      <c r="F129" s="2" cm="1">
        <f t="array" ref="F129">INDEX( ComputeThermoProps($A129, $B129, ParametersRange), 1, COLUMN()-2 )</f>
        <v>1.3963068529497607E-3</v>
      </c>
      <c r="G129" s="2" cm="1">
        <f t="array" ref="G129">INDEX( ComputeThermoProps($A129, $B129, ParametersRange), 1, COLUMN()-2 )</f>
        <v>34.27750926496946</v>
      </c>
      <c r="H129" s="2" cm="1">
        <f t="array" ref="H129">INDEX( ComputeThermoProps($A129, $B129, ParametersRange), 1, COLUMN()-2 )</f>
        <v>24.640381640974695</v>
      </c>
      <c r="I129" s="2" cm="1">
        <f t="array" ref="I129">INDEX( ComputeThermoProps($A129, $B129, ParametersRange), 1, COLUMN()-2 )</f>
        <v>2.64</v>
      </c>
      <c r="J129" s="2" cm="1">
        <f t="array" ref="J129">INDEX( ComputeThermoProps($A129, $B129, ParametersRange), 1, COLUMN()-2 )</f>
        <v>2445.046473539393</v>
      </c>
      <c r="K129" s="2" cm="1">
        <f t="array" ref="K129">INDEX( ComputeThermoProps($A129, $B129, ParametersRange), 1, COLUMN()-2 )</f>
        <v>50.291101262557177</v>
      </c>
      <c r="L129" s="2" cm="1">
        <f t="array" ref="L129">INDEX( ComputeThermoProps($A129, $B129, ParametersRange), 1, COLUMN()-2 )</f>
        <v>-2890.8393704179234</v>
      </c>
      <c r="M129" s="2" cm="1">
        <f t="array" ref="M129">INDEX( ComputeThermoProps($A129, $B129, ParametersRange), 1, COLUMN()-2 )</f>
        <v>2445.8490913551009</v>
      </c>
      <c r="N129" s="2" cm="1">
        <f t="array" ref="N129">INDEX( ComputeThermoProps($A129, $B129, ParametersRange), 1, COLUMN()-2 )</f>
        <v>-2890.0367526022155</v>
      </c>
      <c r="O129" s="4">
        <f t="shared" si="4"/>
        <v>-1.5663543893858372</v>
      </c>
      <c r="P129" s="6">
        <f t="shared" si="5"/>
        <v>-2158.9588733525802</v>
      </c>
    </row>
    <row r="130" spans="1:16" x14ac:dyDescent="0.25">
      <c r="A130" s="2">
        <v>107.1</v>
      </c>
      <c r="B130" s="2">
        <f t="shared" si="3"/>
        <v>3.0414180690106686E-2</v>
      </c>
      <c r="C130" s="2" cm="1">
        <f t="array" ref="C130">INDEX( ComputeThermoProps($A130, $B130, ParametersRange), 1, COLUMN()-2 )</f>
        <v>29.612317005770628</v>
      </c>
      <c r="D130" s="2" cm="1">
        <f t="array" ref="D130">INDEX( ComputeThermoProps($A130, $B130, ParametersRange), 1, COLUMN()-2 )</f>
        <v>6.4321243497003383E-4</v>
      </c>
      <c r="E130" s="2" cm="1">
        <f t="array" ref="E130">INDEX( ComputeThermoProps($A130, $B130, ParametersRange), 1, COLUMN()-2 )</f>
        <v>4.5955268532211726E-4</v>
      </c>
      <c r="F130" s="2" cm="1">
        <f t="array" ref="F130">INDEX( ComputeThermoProps($A130, $B130, ParametersRange), 1, COLUMN()-2 )</f>
        <v>1.4134657260301037E-3</v>
      </c>
      <c r="G130" s="2" cm="1">
        <f t="array" ref="G130">INDEX( ComputeThermoProps($A130, $B130, ParametersRange), 1, COLUMN()-2 )</f>
        <v>34.499947723256383</v>
      </c>
      <c r="H130" s="2" cm="1">
        <f t="array" ref="H130">INDEX( ComputeThermoProps($A130, $B130, ParametersRange), 1, COLUMN()-2 )</f>
        <v>24.649000482140512</v>
      </c>
      <c r="I130" s="2" cm="1">
        <f t="array" ref="I130">INDEX( ComputeThermoProps($A130, $B130, ParametersRange), 1, COLUMN()-2 )</f>
        <v>2.6400000000000006</v>
      </c>
      <c r="J130" s="2" cm="1">
        <f t="array" ref="J130">INDEX( ComputeThermoProps($A130, $B130, ParametersRange), 1, COLUMN()-2 )</f>
        <v>2479.4189937307679</v>
      </c>
      <c r="K130" s="2" cm="1">
        <f t="array" ref="K130">INDEX( ComputeThermoProps($A130, $B130, ParametersRange), 1, COLUMN()-2 )</f>
        <v>50.613532834254684</v>
      </c>
      <c r="L130" s="2" cm="1">
        <f t="array" ref="L130">INDEX( ComputeThermoProps($A130, $B130, ParametersRange), 1, COLUMN()-2 )</f>
        <v>-2941.2903728179085</v>
      </c>
      <c r="M130" s="2" cm="1">
        <f t="array" ref="M130">INDEX( ComputeThermoProps($A130, $B130, ParametersRange), 1, COLUMN()-2 )</f>
        <v>2480.3196280908342</v>
      </c>
      <c r="N130" s="2" cm="1">
        <f t="array" ref="N130">INDEX( ComputeThermoProps($A130, $B130, ParametersRange), 1, COLUMN()-2 )</f>
        <v>-2940.3897384578422</v>
      </c>
      <c r="O130" s="4">
        <f t="shared" si="4"/>
        <v>-1.5169238782494956</v>
      </c>
      <c r="P130" s="6">
        <f t="shared" si="5"/>
        <v>-2124.4883366168469</v>
      </c>
    </row>
    <row r="131" spans="1:16" x14ac:dyDescent="0.25">
      <c r="A131" s="2">
        <v>108.1</v>
      </c>
      <c r="B131" s="2">
        <f t="shared" si="3"/>
        <v>3.3987350398047914E-2</v>
      </c>
      <c r="C131" s="2" cm="1">
        <f t="array" ref="C131">INDEX( ComputeThermoProps($A131, $B131, ParametersRange), 1, COLUMN()-2 )</f>
        <v>29.654395846058417</v>
      </c>
      <c r="D131" s="2" cm="1">
        <f t="array" ref="D131">INDEX( ComputeThermoProps($A131, $B131, ParametersRange), 1, COLUMN()-2 )</f>
        <v>6.5200049717700802E-4</v>
      </c>
      <c r="E131" s="2" cm="1">
        <f t="array" ref="E131">INDEX( ComputeThermoProps($A131, $B131, ParametersRange), 1, COLUMN()-2 )</f>
        <v>4.6292036263786648E-4</v>
      </c>
      <c r="F131" s="2" cm="1">
        <f t="array" ref="F131">INDEX( ComputeThermoProps($A131, $B131, ParametersRange), 1, COLUMN()-2 )</f>
        <v>1.4312318661475901E-3</v>
      </c>
      <c r="G131" s="2" cm="1">
        <f t="array" ref="G131">INDEX( ComputeThermoProps($A131, $B131, ParametersRange), 1, COLUMN()-2 )</f>
        <v>34.728727146225872</v>
      </c>
      <c r="H131" s="2" cm="1">
        <f t="array" ref="H131">INDEX( ComputeThermoProps($A131, $B131, ParametersRange), 1, COLUMN()-2 )</f>
        <v>24.657396787410487</v>
      </c>
      <c r="I131" s="2" cm="1">
        <f t="array" ref="I131">INDEX( ComputeThermoProps($A131, $B131, ParametersRange), 1, COLUMN()-2 )</f>
        <v>2.64</v>
      </c>
      <c r="J131" s="2" cm="1">
        <f t="array" ref="J131">INDEX( ComputeThermoProps($A131, $B131, ParametersRange), 1, COLUMN()-2 )</f>
        <v>2514.0152248177574</v>
      </c>
      <c r="K131" s="2" cm="1">
        <f t="array" ref="K131">INDEX( ComputeThermoProps($A131, $B131, ParametersRange), 1, COLUMN()-2 )</f>
        <v>50.935047570933889</v>
      </c>
      <c r="L131" s="2" cm="1">
        <f t="array" ref="L131">INDEX( ComputeThermoProps($A131, $B131, ParametersRange), 1, COLUMN()-2 )</f>
        <v>-2992.0634176001959</v>
      </c>
      <c r="M131" s="2" cm="1">
        <f t="array" ref="M131">INDEX( ComputeThermoProps($A131, $B131, ParametersRange), 1, COLUMN()-2 )</f>
        <v>2515.0230991602198</v>
      </c>
      <c r="N131" s="2" cm="1">
        <f t="array" ref="N131">INDEX( ComputeThermoProps($A131, $B131, ParametersRange), 1, COLUMN()-2 )</f>
        <v>-2991.0555432577335</v>
      </c>
      <c r="O131" s="4">
        <f t="shared" si="4"/>
        <v>-1.4686826910321085</v>
      </c>
      <c r="P131" s="6">
        <f t="shared" si="5"/>
        <v>-2089.7848655474613</v>
      </c>
    </row>
    <row r="132" spans="1:16" x14ac:dyDescent="0.25">
      <c r="A132" s="2">
        <v>109.1</v>
      </c>
      <c r="B132" s="2">
        <f t="shared" si="3"/>
        <v>3.7877771658710209E-2</v>
      </c>
      <c r="C132" s="2" cm="1">
        <f t="array" ref="C132">INDEX( ComputeThermoProps($A132, $B132, ParametersRange), 1, COLUMN()-2 )</f>
        <v>29.697064431732663</v>
      </c>
      <c r="D132" s="2" cm="1">
        <f t="array" ref="D132">INDEX( ComputeThermoProps($A132, $B132, ParametersRange), 1, COLUMN()-2 )</f>
        <v>6.6111891065026248E-4</v>
      </c>
      <c r="E132" s="2" cm="1">
        <f t="array" ref="E132">INDEX( ComputeThermoProps($A132, $B132, ParametersRange), 1, COLUMN()-2 )</f>
        <v>4.6638722029129288E-4</v>
      </c>
      <c r="F132" s="2" cm="1">
        <f t="array" ref="F132">INDEX( ComputeThermoProps($A132, $B132, ParametersRange), 1, COLUMN()-2 )</f>
        <v>1.449643840868811E-3</v>
      </c>
      <c r="G132" s="2" cm="1">
        <f t="array" ref="G132">INDEX( ComputeThermoProps($A132, $B132, ParametersRange), 1, COLUMN()-2 )</f>
        <v>34.964254074096381</v>
      </c>
      <c r="H132" s="2" cm="1">
        <f t="array" ref="H132">INDEX( ComputeThermoProps($A132, $B132, ParametersRange), 1, COLUMN()-2 )</f>
        <v>24.665579829107024</v>
      </c>
      <c r="I132" s="2" cm="1">
        <f t="array" ref="I132">INDEX( ComputeThermoProps($A132, $B132, ParametersRange), 1, COLUMN()-2 )</f>
        <v>2.64</v>
      </c>
      <c r="J132" s="2" cm="1">
        <f t="array" ref="J132">INDEX( ComputeThermoProps($A132, $B132, ParametersRange), 1, COLUMN()-2 )</f>
        <v>2548.8415404477032</v>
      </c>
      <c r="K132" s="2" cm="1">
        <f t="array" ref="K132">INDEX( ComputeThermoProps($A132, $B132, ParametersRange), 1, COLUMN()-2 )</f>
        <v>51.255721181844294</v>
      </c>
      <c r="L132" s="2" cm="1">
        <f t="array" ref="L132">INDEX( ComputeThermoProps($A132, $B132, ParametersRange), 1, COLUMN()-2 )</f>
        <v>-3043.157640491509</v>
      </c>
      <c r="M132" s="2" cm="1">
        <f t="array" ref="M132">INDEX( ComputeThermoProps($A132, $B132, ParametersRange), 1, COLUMN()-2 )</f>
        <v>2549.9663990731824</v>
      </c>
      <c r="N132" s="2" cm="1">
        <f t="array" ref="N132">INDEX( ComputeThermoProps($A132, $B132, ParametersRange), 1, COLUMN()-2 )</f>
        <v>-3042.0327818660298</v>
      </c>
      <c r="O132" s="4">
        <f t="shared" si="4"/>
        <v>-1.4216155783697104</v>
      </c>
      <c r="P132" s="6">
        <f t="shared" si="5"/>
        <v>-2054.8415656344987</v>
      </c>
    </row>
    <row r="133" spans="1:16" x14ac:dyDescent="0.25">
      <c r="A133" s="2">
        <v>110.1</v>
      </c>
      <c r="B133" s="2">
        <f t="shared" si="3"/>
        <v>4.2100618438173733E-2</v>
      </c>
      <c r="C133" s="2" cm="1">
        <f t="array" ref="C133">INDEX( ComputeThermoProps($A133, $B133, ParametersRange), 1, COLUMN()-2 )</f>
        <v>29.74034444598373</v>
      </c>
      <c r="D133" s="2" cm="1">
        <f t="array" ref="D133">INDEX( ComputeThermoProps($A133, $B133, ParametersRange), 1, COLUMN()-2 )</f>
        <v>6.7058876787711309E-4</v>
      </c>
      <c r="E133" s="2" cm="1">
        <f t="array" ref="E133">INDEX( ComputeThermoProps($A133, $B133, ParametersRange), 1, COLUMN()-2 )</f>
        <v>4.6995840319097358E-4</v>
      </c>
      <c r="F133" s="2" cm="1">
        <f t="array" ref="F133">INDEX( ComputeThermoProps($A133, $B133, ParametersRange), 1, COLUMN()-2 )</f>
        <v>1.4687436339253599E-3</v>
      </c>
      <c r="G133" s="2" cm="1">
        <f t="array" ref="G133">INDEX( ComputeThermoProps($A133, $B133, ParametersRange), 1, COLUMN()-2 )</f>
        <v>35.206969575615091</v>
      </c>
      <c r="H133" s="2" cm="1">
        <f t="array" ref="H133">INDEX( ComputeThermoProps($A133, $B133, ParametersRange), 1, COLUMN()-2 )</f>
        <v>24.673558513854072</v>
      </c>
      <c r="I133" s="2" cm="1">
        <f t="array" ref="I133">INDEX( ComputeThermoProps($A133, $B133, ParametersRange), 1, COLUMN()-2 )</f>
        <v>2.64</v>
      </c>
      <c r="J133" s="2" cm="1">
        <f t="array" ref="J133">INDEX( ComputeThermoProps($A133, $B133, ParametersRange), 1, COLUMN()-2 )</f>
        <v>2583.9047310196547</v>
      </c>
      <c r="K133" s="2" cm="1">
        <f t="array" ref="K133">INDEX( ComputeThermoProps($A133, $B133, ParametersRange), 1, COLUMN()-2 )</f>
        <v>51.575631118509534</v>
      </c>
      <c r="L133" s="2" cm="1">
        <f t="array" ref="L133">INDEX( ComputeThermoProps($A133, $B133, ParametersRange), 1, COLUMN()-2 )</f>
        <v>-3094.5722551282447</v>
      </c>
      <c r="M133" s="2" cm="1">
        <f t="array" ref="M133">INDEX( ComputeThermoProps($A133, $B133, ParametersRange), 1, COLUMN()-2 )</f>
        <v>2585.1568179133951</v>
      </c>
      <c r="N133" s="2" cm="1">
        <f t="array" ref="N133">INDEX( ComputeThermoProps($A133, $B133, ParametersRange), 1, COLUMN()-2 )</f>
        <v>-3093.3201682345043</v>
      </c>
      <c r="O133" s="4">
        <f t="shared" si="4"/>
        <v>-1.3757115245369314</v>
      </c>
      <c r="P133" s="6">
        <f t="shared" si="5"/>
        <v>-2019.651146794286</v>
      </c>
    </row>
    <row r="134" spans="1:16" x14ac:dyDescent="0.25">
      <c r="A134" s="2">
        <v>111.1</v>
      </c>
      <c r="B134" s="2">
        <f t="shared" si="3"/>
        <v>4.6669683755511455E-2</v>
      </c>
      <c r="C134" s="2" cm="1">
        <f t="array" ref="C134">INDEX( ComputeThermoProps($A134, $B134, ParametersRange), 1, COLUMN()-2 )</f>
        <v>29.784259029576404</v>
      </c>
      <c r="D134" s="2" cm="1">
        <f t="array" ref="D134">INDEX( ComputeThermoProps($A134, $B134, ParametersRange), 1, COLUMN()-2 )</f>
        <v>6.804331044604657E-4</v>
      </c>
      <c r="E134" s="2" cm="1">
        <f t="array" ref="E134">INDEX( ComputeThermoProps($A134, $B134, ParametersRange), 1, COLUMN()-2 )</f>
        <v>4.7363946102522915E-4</v>
      </c>
      <c r="F134" s="2" cm="1">
        <f t="array" ref="F134">INDEX( ComputeThermoProps($A134, $B134, ParametersRange), 1, COLUMN()-2 )</f>
        <v>1.4885770565868748E-3</v>
      </c>
      <c r="G134" s="2" cm="1">
        <f t="array" ref="G134">INDEX( ComputeThermoProps($A134, $B134, ParametersRange), 1, COLUMN()-2 )</f>
        <v>35.457353407157029</v>
      </c>
      <c r="H134" s="2" cm="1">
        <f t="array" ref="H134">INDEX( ComputeThermoProps($A134, $B134, ParametersRange), 1, COLUMN()-2 )</f>
        <v>24.681341408959458</v>
      </c>
      <c r="I134" s="2" cm="1">
        <f t="array" ref="I134">INDEX( ComputeThermoProps($A134, $B134, ParametersRange), 1, COLUMN()-2 )</f>
        <v>2.64</v>
      </c>
      <c r="J134" s="2" cm="1">
        <f t="array" ref="J134">INDEX( ComputeThermoProps($A134, $B134, ParametersRange), 1, COLUMN()-2 )</f>
        <v>2619.2120424446448</v>
      </c>
      <c r="K134" s="2" cm="1">
        <f t="array" ref="K134">INDEX( ComputeThermoProps($A134, $B134, ParametersRange), 1, COLUMN()-2 )</f>
        <v>51.894856862553546</v>
      </c>
      <c r="L134" s="2" cm="1">
        <f t="array" ref="L134">INDEX( ComputeThermoProps($A134, $B134, ParametersRange), 1, COLUMN()-2 )</f>
        <v>-3146.3065549850539</v>
      </c>
      <c r="M134" s="2" cm="1">
        <f t="array" ref="M134">INDEX( ComputeThermoProps($A134, $B134, ParametersRange), 1, COLUMN()-2 )</f>
        <v>2620.6020643944476</v>
      </c>
      <c r="N134" s="2" cm="1">
        <f t="array" ref="N134">INDEX( ComputeThermoProps($A134, $B134, ParametersRange), 1, COLUMN()-2 )</f>
        <v>-3144.9165330352512</v>
      </c>
      <c r="O134" s="4">
        <f t="shared" si="4"/>
        <v>-1.3309651419839601</v>
      </c>
      <c r="P134" s="6">
        <f t="shared" si="5"/>
        <v>-1984.2059003132335</v>
      </c>
    </row>
    <row r="135" spans="1:16" x14ac:dyDescent="0.25">
      <c r="A135" s="2">
        <v>112.1</v>
      </c>
      <c r="B135" s="2">
        <f t="shared" si="3"/>
        <v>5.159657431967183E-2</v>
      </c>
      <c r="C135" s="2" cm="1">
        <f t="array" ref="C135">INDEX( ComputeThermoProps($A135, $B135, ParametersRange), 1, COLUMN()-2 )</f>
        <v>29.828832931969128</v>
      </c>
      <c r="D135" s="2" cm="1">
        <f t="array" ref="D135">INDEX( ComputeThermoProps($A135, $B135, ParametersRange), 1, COLUMN()-2 )</f>
        <v>6.9067713949661706E-4</v>
      </c>
      <c r="E135" s="2" cm="1">
        <f t="array" ref="E135">INDEX( ComputeThermoProps($A135, $B135, ParametersRange), 1, COLUMN()-2 )</f>
        <v>4.7743639302136998E-4</v>
      </c>
      <c r="F135" s="2" cm="1">
        <f t="array" ref="F135">INDEX( ComputeThermoProps($A135, $B135, ParametersRange), 1, COLUMN()-2 )</f>
        <v>1.5091942235554545E-3</v>
      </c>
      <c r="G135" s="2" cm="1">
        <f t="array" ref="G135">INDEX( ComputeThermoProps($A135, $B135, ParametersRange), 1, COLUMN()-2 )</f>
        <v>35.7159288129901</v>
      </c>
      <c r="H135" s="2" cm="1">
        <f t="array" ref="H135">INDEX( ComputeThermoProps($A135, $B135, ParametersRange), 1, COLUMN()-2 )</f>
        <v>24.688936770529285</v>
      </c>
      <c r="I135" s="2" cm="1">
        <f t="array" ref="I135">INDEX( ComputeThermoProps($A135, $B135, ParametersRange), 1, COLUMN()-2 )</f>
        <v>2.64</v>
      </c>
      <c r="J135" s="2" cm="1">
        <f t="array" ref="J135">INDEX( ComputeThermoProps($A135, $B135, ParametersRange), 1, COLUMN()-2 )</f>
        <v>2654.7712210450659</v>
      </c>
      <c r="K135" s="2" cm="1">
        <f t="array" ref="K135">INDEX( ComputeThermoProps($A135, $B135, ParametersRange), 1, COLUMN()-2 )</f>
        <v>52.213480255431939</v>
      </c>
      <c r="L135" s="2" cm="1">
        <f t="array" ref="L135">INDEX( ComputeThermoProps($A135, $B135, ParametersRange), 1, COLUMN()-2 )</f>
        <v>-3198.3599155888542</v>
      </c>
      <c r="M135" s="2" cm="1">
        <f t="array" ref="M135">INDEX( ComputeThermoProps($A135, $B135, ParametersRange), 1, COLUMN()-2 )</f>
        <v>2656.3102866403092</v>
      </c>
      <c r="N135" s="2" cm="1">
        <f t="array" ref="N135">INDEX( ComputeThermoProps($A135, $B135, ParametersRange), 1, COLUMN()-2 )</f>
        <v>-3196.8208499936109</v>
      </c>
      <c r="O135" s="4">
        <f t="shared" si="4"/>
        <v>-1.2873791317729988</v>
      </c>
      <c r="P135" s="6">
        <f t="shared" si="5"/>
        <v>-1948.4976780673719</v>
      </c>
    </row>
    <row r="136" spans="1:16" x14ac:dyDescent="0.25">
      <c r="A136" s="2">
        <v>113.1</v>
      </c>
      <c r="B136" s="2">
        <f t="shared" si="3"/>
        <v>5.6889340454609978E-2</v>
      </c>
      <c r="C136" s="2" cm="1">
        <f t="array" ref="C136">INDEX( ComputeThermoProps($A136, $B136, ParametersRange), 1, COLUMN()-2 )</f>
        <v>29.874092692564769</v>
      </c>
      <c r="D136" s="2" cm="1">
        <f t="array" ref="D136">INDEX( ComputeThermoProps($A136, $B136, ParametersRange), 1, COLUMN()-2 )</f>
        <v>7.0134855599817943E-4</v>
      </c>
      <c r="E136" s="2" cm="1">
        <f t="array" ref="E136">INDEX( ComputeThermoProps($A136, $B136, ParametersRange), 1, COLUMN()-2 )</f>
        <v>4.8135570032210878E-4</v>
      </c>
      <c r="F136" s="2" cm="1">
        <f t="array" ref="F136">INDEX( ComputeThermoProps($A136, $B136, ParametersRange), 1, COLUMN()-2 )</f>
        <v>1.5306501071773767E-3</v>
      </c>
      <c r="G136" s="2" cm="1">
        <f t="array" ref="G136">INDEX( ComputeThermoProps($A136, $B136, ParametersRange), 1, COLUMN()-2 )</f>
        <v>35.983268077222938</v>
      </c>
      <c r="H136" s="2" cm="1">
        <f t="array" ref="H136">INDEX( ComputeThermoProps($A136, $B136, ParametersRange), 1, COLUMN()-2 )</f>
        <v>24.696352558305957</v>
      </c>
      <c r="I136" s="2" cm="1">
        <f t="array" ref="I136">INDEX( ComputeThermoProps($A136, $B136, ParametersRange), 1, COLUMN()-2 )</f>
        <v>2.6400000000000006</v>
      </c>
      <c r="J136" s="2" cm="1">
        <f t="array" ref="J136">INDEX( ComputeThermoProps($A136, $B136, ParametersRange), 1, COLUMN()-2 )</f>
        <v>2690.5905670170951</v>
      </c>
      <c r="K136" s="2" cm="1">
        <f t="array" ref="K136">INDEX( ComputeThermoProps($A136, $B136, ParametersRange), 1, COLUMN()-2 )</f>
        <v>52.531585889180995</v>
      </c>
      <c r="L136" s="2" cm="1">
        <f t="array" ref="L136">INDEX( ComputeThermoProps($A136, $B136, ParametersRange), 1, COLUMN()-2 )</f>
        <v>-3250.7317970492754</v>
      </c>
      <c r="M136" s="2" cm="1">
        <f t="array" ref="M136">INDEX( ComputeThermoProps($A136, $B136, ParametersRange), 1, COLUMN()-2 )</f>
        <v>2692.2900844470551</v>
      </c>
      <c r="N136" s="2" cm="1">
        <f t="array" ref="N136">INDEX( ComputeThermoProps($A136, $B136, ParametersRange), 1, COLUMN()-2 )</f>
        <v>-3249.0322796193154</v>
      </c>
      <c r="O136" s="4">
        <f t="shared" si="4"/>
        <v>-1.2449691011871211</v>
      </c>
      <c r="P136" s="6">
        <f t="shared" si="5"/>
        <v>-1912.517880260626</v>
      </c>
    </row>
    <row r="137" spans="1:16" x14ac:dyDescent="0.25">
      <c r="A137" s="2">
        <v>114.1</v>
      </c>
      <c r="B137" s="2">
        <f t="shared" si="3"/>
        <v>6.2549708908267054E-2</v>
      </c>
      <c r="C137" s="2" cm="1">
        <f t="array" ref="C137">INDEX( ComputeThermoProps($A137, $B137, ParametersRange), 1, COLUMN()-2 )</f>
        <v>29.920066874103934</v>
      </c>
      <c r="D137" s="2" cm="1">
        <f t="array" ref="D137">INDEX( ComputeThermoProps($A137, $B137, ParametersRange), 1, COLUMN()-2 )</f>
        <v>7.1247783434090755E-4</v>
      </c>
      <c r="E137" s="2" cm="1">
        <f t="array" ref="E137">INDEX( ComputeThermoProps($A137, $B137, ParametersRange), 1, COLUMN()-2 )</f>
        <v>4.8540444960381337E-4</v>
      </c>
      <c r="F137" s="2" cm="1">
        <f t="array" ref="F137">INDEX( ComputeThermoProps($A137, $B137, ParametersRange), 1, COLUMN()-2 )</f>
        <v>1.5530051973963537E-3</v>
      </c>
      <c r="G137" s="2" cm="1">
        <f t="array" ref="G137">INDEX( ComputeThermoProps($A137, $B137, ParametersRange), 1, COLUMN()-2 )</f>
        <v>36.259999108346967</v>
      </c>
      <c r="H137" s="2" cm="1">
        <f t="array" ref="H137">INDEX( ComputeThermoProps($A137, $B137, ParametersRange), 1, COLUMN()-2 )</f>
        <v>24.703596465009859</v>
      </c>
      <c r="I137" s="2" cm="1">
        <f t="array" ref="I137">INDEX( ComputeThermoProps($A137, $B137, ParametersRange), 1, COLUMN()-2 )</f>
        <v>2.64</v>
      </c>
      <c r="J137" s="2" cm="1">
        <f t="array" ref="J137">INDEX( ComputeThermoProps($A137, $B137, ParametersRange), 1, COLUMN()-2 )</f>
        <v>2726.6790022341042</v>
      </c>
      <c r="K137" s="2" cm="1">
        <f t="array" ref="K137">INDEX( ComputeThermoProps($A137, $B137, ParametersRange), 1, COLUMN()-2 )</f>
        <v>52.84926160540136</v>
      </c>
      <c r="L137" s="2" cm="1">
        <f t="array" ref="L137">INDEX( ComputeThermoProps($A137, $B137, ParametersRange), 1, COLUMN()-2 )</f>
        <v>-3303.4217469421906</v>
      </c>
      <c r="M137" s="2" cm="1">
        <f t="array" ref="M137">INDEX( ComputeThermoProps($A137, $B137, ParametersRange), 1, COLUMN()-2 )</f>
        <v>2728.5504937075953</v>
      </c>
      <c r="N137" s="2" cm="1">
        <f t="array" ref="N137">INDEX( ComputeThermoProps($A137, $B137, ParametersRange), 1, COLUMN()-2 )</f>
        <v>-3301.5502554686996</v>
      </c>
      <c r="O137" s="4">
        <f t="shared" si="4"/>
        <v>-1.203774707070921</v>
      </c>
      <c r="P137" s="6">
        <f t="shared" si="5"/>
        <v>-1876.2574710000858</v>
      </c>
    </row>
    <row r="138" spans="1:16" x14ac:dyDescent="0.25">
      <c r="A138" s="2">
        <v>115.1</v>
      </c>
      <c r="B138" s="2">
        <f t="shared" si="3"/>
        <v>6.8565388443607309E-2</v>
      </c>
      <c r="C138" s="2" cm="1">
        <f t="array" ref="C138">INDEX( ComputeThermoProps($A138, $B138, ParametersRange), 1, COLUMN()-2 )</f>
        <v>29.966786432080706</v>
      </c>
      <c r="D138" s="2" cm="1">
        <f t="array" ref="D138">INDEX( ComputeThermoProps($A138, $B138, ParametersRange), 1, COLUMN()-2 )</f>
        <v>7.2409867084115233E-4</v>
      </c>
      <c r="E138" s="2" cm="1">
        <f t="array" ref="E138">INDEX( ComputeThermoProps($A138, $B138, ParametersRange), 1, COLUMN()-2 )</f>
        <v>4.8959036004133478E-4</v>
      </c>
      <c r="F138" s="2" cm="1">
        <f t="array" ref="F138">INDEX( ComputeThermoProps($A138, $B138, ParametersRange), 1, COLUMN()-2 )</f>
        <v>1.5763263302130037E-3</v>
      </c>
      <c r="G138" s="2" cm="1">
        <f t="array" ref="G138">INDEX( ComputeThermoProps($A138, $B138, ParametersRange), 1, COLUMN()-2 )</f>
        <v>36.546813557261331</v>
      </c>
      <c r="H138" s="2" cm="1">
        <f t="array" ref="H138">INDEX( ComputeThermoProps($A138, $B138, ParametersRange), 1, COLUMN()-2 )</f>
        <v>24.710675945693517</v>
      </c>
      <c r="I138" s="2" cm="1">
        <f t="array" ref="I138">INDEX( ComputeThermoProps($A138, $B138, ParametersRange), 1, COLUMN()-2 )</f>
        <v>2.64</v>
      </c>
      <c r="J138" s="2" cm="1">
        <f t="array" ref="J138">INDEX( ComputeThermoProps($A138, $B138, ParametersRange), 1, COLUMN()-2 )</f>
        <v>2763.0461739741472</v>
      </c>
      <c r="K138" s="2" cm="1">
        <f t="array" ref="K138">INDEX( ComputeThermoProps($A138, $B138, ParametersRange), 1, COLUMN()-2 )</f>
        <v>53.166599283811635</v>
      </c>
      <c r="L138" s="2" cm="1">
        <f t="array" ref="L138">INDEX( ComputeThermoProps($A138, $B138, ParametersRange), 1, COLUMN()-2 )</f>
        <v>-3356.4294035925718</v>
      </c>
      <c r="M138" s="2" cm="1">
        <f t="array" ref="M138">INDEX( ComputeThermoProps($A138, $B138, ParametersRange), 1, COLUMN()-2 )</f>
        <v>2765.1008583262696</v>
      </c>
      <c r="N138" s="2" cm="1">
        <f t="array" ref="N138">INDEX( ComputeThermoProps($A138, $B138, ParametersRange), 1, COLUMN()-2 )</f>
        <v>-3354.3747192404494</v>
      </c>
      <c r="O138" s="4">
        <f t="shared" si="4"/>
        <v>-1.1638950592387798</v>
      </c>
      <c r="P138" s="6">
        <f t="shared" si="5"/>
        <v>-1839.7071063814114</v>
      </c>
    </row>
    <row r="139" spans="1:16" x14ac:dyDescent="0.25">
      <c r="A139" s="2">
        <v>116.1</v>
      </c>
      <c r="B139" s="2">
        <f t="shared" si="3"/>
        <v>1.1208273011596057</v>
      </c>
      <c r="C139" s="2" cm="1">
        <f t="array" ref="C139">INDEX( ComputeThermoProps($A139, $B139, ParametersRange), 1, COLUMN()-2 )</f>
        <v>29.991282842695998</v>
      </c>
      <c r="D139" s="2" cm="1">
        <f t="array" ref="D139">INDEX( ComputeThermoProps($A139, $B139, ParametersRange), 1, COLUMN()-2 )</f>
        <v>7.2979454293608463E-4</v>
      </c>
      <c r="E139" s="2" cm="1">
        <f t="array" ref="E139">INDEX( ComputeThermoProps($A139, $B139, ParametersRange), 1, COLUMN()-2 )</f>
        <v>4.9089271045838271E-4</v>
      </c>
      <c r="F139" s="2" cm="1">
        <f t="array" ref="F139">INDEX( ComputeThermoProps($A139, $B139, ParametersRange), 1, COLUMN()-2 )</f>
        <v>1.5878034867827019E-3</v>
      </c>
      <c r="G139" s="2" cm="1">
        <f t="array" ref="G139">INDEX( ComputeThermoProps($A139, $B139, ParametersRange), 1, COLUMN()-2 )</f>
        <v>36.745256556264899</v>
      </c>
      <c r="H139" s="2" cm="1">
        <f t="array" ref="H139">INDEX( ComputeThermoProps($A139, $B139, ParametersRange), 1, COLUMN()-2 )</f>
        <v>24.716516123597955</v>
      </c>
      <c r="I139" s="2" cm="1">
        <f t="array" ref="I139">INDEX( ComputeThermoProps($A139, $B139, ParametersRange), 1, COLUMN()-2 )</f>
        <v>2.6399999999999997</v>
      </c>
      <c r="J139" s="2" cm="1">
        <f t="array" ref="J139">INDEX( ComputeThermoProps($A139, $B139, ParametersRange), 1, COLUMN()-2 )</f>
        <v>2793.908095254264</v>
      </c>
      <c r="K139" s="2" cm="1">
        <f t="array" ref="K139">INDEX( ComputeThermoProps($A139, $B139, ParametersRange), 1, COLUMN()-2 )</f>
        <v>53.433672853068053</v>
      </c>
      <c r="L139" s="2" cm="1">
        <f t="array" ref="L139">INDEX( ComputeThermoProps($A139, $B139, ParametersRange), 1, COLUMN()-2 )</f>
        <v>-3409.7413229869367</v>
      </c>
      <c r="M139" s="2" cm="1">
        <f t="array" ref="M139">INDEX( ComputeThermoProps($A139, $B139, ParametersRange), 1, COLUMN()-2 )</f>
        <v>2827.5231438611572</v>
      </c>
      <c r="N139" s="2" cm="1">
        <f t="array" ref="N139">INDEX( ComputeThermoProps($A139, $B139, ParametersRange), 1, COLUMN()-2 )</f>
        <v>-3376.1262743800435</v>
      </c>
      <c r="O139" s="4">
        <f t="shared" si="4"/>
        <v>4.9538700970224989E-2</v>
      </c>
      <c r="P139" s="6">
        <f t="shared" si="5"/>
        <v>-1777.2848208465239</v>
      </c>
    </row>
    <row r="140" spans="1:16" x14ac:dyDescent="0.25">
      <c r="A140" s="2">
        <v>117.1</v>
      </c>
      <c r="B140" s="2">
        <f t="shared" si="3"/>
        <v>4.5576848760416988</v>
      </c>
      <c r="C140" s="2" cm="1">
        <f t="array" ref="C140">INDEX( ComputeThermoProps($A140, $B140, ParametersRange), 1, COLUMN()-2 )</f>
        <v>29.963880518874369</v>
      </c>
      <c r="D140" s="2" cm="1">
        <f t="array" ref="D140">INDEX( ComputeThermoProps($A140, $B140, ParametersRange), 1, COLUMN()-2 )</f>
        <v>7.2115904989823352E-4</v>
      </c>
      <c r="E140" s="2" cm="1">
        <f t="array" ref="E140">INDEX( ComputeThermoProps($A140, $B140, ParametersRange), 1, COLUMN()-2 )</f>
        <v>4.8544599938766462E-4</v>
      </c>
      <c r="F140" s="2" cm="1">
        <f t="array" ref="F140">INDEX( ComputeThermoProps($A140, $B140, ParametersRange), 1, COLUMN()-2 )</f>
        <v>1.5706589018802649E-3</v>
      </c>
      <c r="G140" s="2" cm="1">
        <f t="array" ref="G140">INDEX( ComputeThermoProps($A140, $B140, ParametersRange), 1, COLUMN()-2 )</f>
        <v>36.722740477712669</v>
      </c>
      <c r="H140" s="2" cm="1">
        <f t="array" ref="H140">INDEX( ComputeThermoProps($A140, $B140, ParametersRange), 1, COLUMN()-2 )</f>
        <v>24.719799958099006</v>
      </c>
      <c r="I140" s="2" cm="1">
        <f t="array" ref="I140">INDEX( ComputeThermoProps($A140, $B140, ParametersRange), 1, COLUMN()-2 )</f>
        <v>2.6400000000000006</v>
      </c>
      <c r="J140" s="2" cm="1">
        <f t="array" ref="J140">INDEX( ComputeThermoProps($A140, $B140, ParametersRange), 1, COLUMN()-2 )</f>
        <v>2811.7488159581444</v>
      </c>
      <c r="K140" s="2" cm="1">
        <f t="array" ref="K140">INDEX( ComputeThermoProps($A140, $B140, ParametersRange), 1, COLUMN()-2 )</f>
        <v>53.586000526995065</v>
      </c>
      <c r="L140" s="2" cm="1">
        <f t="array" ref="L140">INDEX( ComputeThermoProps($A140, $B140, ParametersRange), 1, COLUMN()-2 )</f>
        <v>-3463.1718457529773</v>
      </c>
      <c r="M140" s="2" cm="1">
        <f t="array" ref="M140">INDEX( ComputeThermoProps($A140, $B140, ParametersRange), 1, COLUMN()-2 )</f>
        <v>2948.3147410265387</v>
      </c>
      <c r="N140" s="2" cm="1">
        <f t="array" ref="N140">INDEX( ComputeThermoProps($A140, $B140, ParametersRange), 1, COLUMN()-2 )</f>
        <v>-3326.605920684583</v>
      </c>
      <c r="O140" s="4">
        <f t="shared" si="4"/>
        <v>0.65874429422581493</v>
      </c>
      <c r="P140" s="6">
        <f t="shared" si="5"/>
        <v>-1656.4932236811424</v>
      </c>
    </row>
    <row r="141" spans="1:16" x14ac:dyDescent="0.25">
      <c r="A141" s="2">
        <v>118.1</v>
      </c>
      <c r="B141" s="2">
        <f t="shared" si="3"/>
        <v>7.987177975474566</v>
      </c>
      <c r="C141" s="2" cm="1">
        <f t="array" ref="C141">INDEX( ComputeThermoProps($A141, $B141, ParametersRange), 1, COLUMN()-2 )</f>
        <v>29.937029401696027</v>
      </c>
      <c r="D141" s="2" cm="1">
        <f t="array" ref="D141">INDEX( ComputeThermoProps($A141, $B141, ParametersRange), 1, COLUMN()-2 )</f>
        <v>7.1284556687147547E-4</v>
      </c>
      <c r="E141" s="2" cm="1">
        <f t="array" ref="E141">INDEX( ComputeThermoProps($A141, $B141, ParametersRange), 1, COLUMN()-2 )</f>
        <v>4.8017340831991577E-4</v>
      </c>
      <c r="F141" s="2" cm="1">
        <f t="array" ref="F141">INDEX( ComputeThermoProps($A141, $B141, ParametersRange), 1, COLUMN()-2 )</f>
        <v>1.5541484118904378E-3</v>
      </c>
      <c r="G141" s="2" cm="1">
        <f t="array" ref="G141">INDEX( ComputeThermoProps($A141, $B141, ParametersRange), 1, COLUMN()-2 )</f>
        <v>36.702796903130256</v>
      </c>
      <c r="H141" s="2" cm="1">
        <f t="array" ref="H141">INDEX( ComputeThermoProps($A141, $B141, ParametersRange), 1, COLUMN()-2 )</f>
        <v>24.723036661638133</v>
      </c>
      <c r="I141" s="2" cm="1">
        <f t="array" ref="I141">INDEX( ComputeThermoProps($A141, $B141, ParametersRange), 1, COLUMN()-2 )</f>
        <v>2.64</v>
      </c>
      <c r="J141" s="2" cm="1">
        <f t="array" ref="J141">INDEX( ComputeThermoProps($A141, $B141, ParametersRange), 1, COLUMN()-2 )</f>
        <v>2829.7577414811785</v>
      </c>
      <c r="K141" s="2" cm="1">
        <f t="array" ref="K141">INDEX( ComputeThermoProps($A141, $B141, ParametersRange), 1, COLUMN()-2 )</f>
        <v>53.73769235307936</v>
      </c>
      <c r="L141" s="2" cm="1">
        <f t="array" ref="L141">INDEX( ComputeThermoProps($A141, $B141, ParametersRange), 1, COLUMN()-2 )</f>
        <v>-3516.6637254174934</v>
      </c>
      <c r="M141" s="2" cm="1">
        <f t="array" ref="M141">INDEX( ComputeThermoProps($A141, $B141, ParametersRange), 1, COLUMN()-2 )</f>
        <v>3068.8701233695397</v>
      </c>
      <c r="N141" s="2" cm="1">
        <f t="array" ref="N141">INDEX( ComputeThermoProps($A141, $B141, ParametersRange), 1, COLUMN()-2 )</f>
        <v>-3277.5513435291323</v>
      </c>
      <c r="O141" s="4">
        <f t="shared" si="4"/>
        <v>0.90239336177131668</v>
      </c>
      <c r="P141" s="6">
        <f t="shared" si="5"/>
        <v>-1535.9378413381414</v>
      </c>
    </row>
    <row r="142" spans="1:16" x14ac:dyDescent="0.25">
      <c r="A142" s="2">
        <v>119.1</v>
      </c>
      <c r="B142" s="2">
        <f t="shared" si="3"/>
        <v>11.423440171558967</v>
      </c>
      <c r="C142" s="2" cm="1">
        <f t="array" ref="C142">INDEX( ComputeThermoProps($A142, $B142, ParametersRange), 1, COLUMN()-2 )</f>
        <v>29.910412790575474</v>
      </c>
      <c r="D142" s="2" cm="1">
        <f t="array" ref="D142">INDEX( ComputeThermoProps($A142, $B142, ParametersRange), 1, COLUMN()-2 )</f>
        <v>7.0475721699667538E-4</v>
      </c>
      <c r="E142" s="2" cm="1">
        <f t="array" ref="E142">INDEX( ComputeThermoProps($A142, $B142, ParametersRange), 1, COLUMN()-2 )</f>
        <v>4.7502895234989416E-4</v>
      </c>
      <c r="F142" s="2" cm="1">
        <f t="array" ref="F142">INDEX( ComputeThermoProps($A142, $B142, ParametersRange), 1, COLUMN()-2 )</f>
        <v>1.5380790741200338E-3</v>
      </c>
      <c r="G142" s="2" cm="1">
        <f t="array" ref="G142">INDEX( ComputeThermoProps($A142, $B142, ParametersRange), 1, COLUMN()-2 )</f>
        <v>36.684031975042316</v>
      </c>
      <c r="H142" s="2" cm="1">
        <f t="array" ref="H142">INDEX( ComputeThermoProps($A142, $B142, ParametersRange), 1, COLUMN()-2 )</f>
        <v>24.726213306953017</v>
      </c>
      <c r="I142" s="2" cm="1">
        <f t="array" ref="I142">INDEX( ComputeThermoProps($A142, $B142, ParametersRange), 1, COLUMN()-2 )</f>
        <v>2.6400000000000006</v>
      </c>
      <c r="J142" s="2" cm="1">
        <f t="array" ref="J142">INDEX( ComputeThermoProps($A142, $B142, ParametersRange), 1, COLUMN()-2 )</f>
        <v>2847.8548312795888</v>
      </c>
      <c r="K142" s="2" cm="1">
        <f t="array" ref="K142">INDEX( ComputeThermoProps($A142, $B142, ParametersRange), 1, COLUMN()-2 )</f>
        <v>53.888090313656321</v>
      </c>
      <c r="L142" s="2" cm="1">
        <f t="array" ref="L142">INDEX( ComputeThermoProps($A142, $B142, ParametersRange), 1, COLUMN()-2 )</f>
        <v>-3570.2167250768789</v>
      </c>
      <c r="M142" s="2" cm="1">
        <f t="array" ref="M142">INDEX( ComputeThermoProps($A142, $B142, ParametersRange), 1, COLUMN()-2 )</f>
        <v>3189.5346422993598</v>
      </c>
      <c r="N142" s="2" cm="1">
        <f t="array" ref="N142">INDEX( ComputeThermoProps($A142, $B142, ParametersRange), 1, COLUMN()-2 )</f>
        <v>-3228.5369140571079</v>
      </c>
      <c r="O142" s="4">
        <f t="shared" si="4"/>
        <v>1.0577969114874037</v>
      </c>
      <c r="P142" s="6">
        <f t="shared" si="5"/>
        <v>-1415.2733224083213</v>
      </c>
    </row>
    <row r="143" spans="1:16" x14ac:dyDescent="0.25">
      <c r="A143" s="2">
        <v>120.1</v>
      </c>
      <c r="B143" s="2">
        <f t="shared" si="3"/>
        <v>14.87054957676617</v>
      </c>
      <c r="C143" s="2" cm="1">
        <f t="array" ref="C143">INDEX( ComputeThermoProps($A143, $B143, ParametersRange), 1, COLUMN()-2 )</f>
        <v>29.883938737682861</v>
      </c>
      <c r="D143" s="2" cm="1">
        <f t="array" ref="D143">INDEX( ComputeThermoProps($A143, $B143, ParametersRange), 1, COLUMN()-2 )</f>
        <v>6.9686207728780454E-4</v>
      </c>
      <c r="E143" s="2" cm="1">
        <f t="array" ref="E143">INDEX( ComputeThermoProps($A143, $B143, ParametersRange), 1, COLUMN()-2 )</f>
        <v>4.6999714024612195E-4</v>
      </c>
      <c r="F143" s="2" cm="1">
        <f t="array" ref="F143">INDEX( ComputeThermoProps($A143, $B143, ParametersRange), 1, COLUMN()-2 )</f>
        <v>1.5223875697057551E-3</v>
      </c>
      <c r="G143" s="2" cm="1">
        <f t="array" ref="G143">INDEX( ComputeThermoProps($A143, $B143, ParametersRange), 1, COLUMN()-2 )</f>
        <v>36.666032952520702</v>
      </c>
      <c r="H143" s="2" cm="1">
        <f t="array" ref="H143">INDEX( ComputeThermoProps($A143, $B143, ParametersRange), 1, COLUMN()-2 )</f>
        <v>24.729327643894141</v>
      </c>
      <c r="I143" s="2" cm="1">
        <f t="array" ref="I143">INDEX( ComputeThermoProps($A143, $B143, ParametersRange), 1, COLUMN()-2 )</f>
        <v>2.6400000000000006</v>
      </c>
      <c r="J143" s="2" cm="1">
        <f t="array" ref="J143">INDEX( ComputeThermoProps($A143, $B143, ParametersRange), 1, COLUMN()-2 )</f>
        <v>2866.0169190443912</v>
      </c>
      <c r="K143" s="2" cm="1">
        <f t="array" ref="K143">INDEX( ComputeThermoProps($A143, $B143, ParametersRange), 1, COLUMN()-2 )</f>
        <v>54.03702378142146</v>
      </c>
      <c r="L143" s="2" cm="1">
        <f t="array" ref="L143">INDEX( ComputeThermoProps($A143, $B143, ParametersRange), 1, COLUMN()-2 )</f>
        <v>-3623.8296371043257</v>
      </c>
      <c r="M143" s="2" cm="1">
        <f t="array" ref="M143">INDEX( ComputeThermoProps($A143, $B143, ParametersRange), 1, COLUMN()-2 )</f>
        <v>3310.4075115921473</v>
      </c>
      <c r="N143" s="2" cm="1">
        <f t="array" ref="N143">INDEX( ComputeThermoProps($A143, $B143, ParametersRange), 1, COLUMN()-2 )</f>
        <v>-3179.4390445565696</v>
      </c>
      <c r="O143" s="4">
        <f t="shared" si="4"/>
        <v>1.1723270192110204</v>
      </c>
      <c r="P143" s="6">
        <f t="shared" si="5"/>
        <v>-1294.4004531155338</v>
      </c>
    </row>
    <row r="144" spans="1:16" x14ac:dyDescent="0.25">
      <c r="A144" s="2">
        <v>121.1</v>
      </c>
      <c r="B144" s="2">
        <f t="shared" si="3"/>
        <v>18.330331516608819</v>
      </c>
      <c r="C144" s="2" cm="1">
        <f t="array" ref="C144">INDEX( ComputeThermoProps($A144, $B144, ParametersRange), 1, COLUMN()-2 )</f>
        <v>29.857566027103971</v>
      </c>
      <c r="D144" s="2" cm="1">
        <f t="array" ref="D144">INDEX( ComputeThermoProps($A144, $B144, ParametersRange), 1, COLUMN()-2 )</f>
        <v>6.8914321345242189E-4</v>
      </c>
      <c r="E144" s="2" cm="1">
        <f t="array" ref="E144">INDEX( ComputeThermoProps($A144, $B144, ParametersRange), 1, COLUMN()-2 )</f>
        <v>4.6506952336366298E-4</v>
      </c>
      <c r="F144" s="2" cm="1">
        <f t="array" ref="F144">INDEX( ComputeThermoProps($A144, $B144, ParametersRange), 1, COLUMN()-2 )</f>
        <v>1.5070404724821683E-3</v>
      </c>
      <c r="G144" s="2" cm="1">
        <f t="array" ref="G144">INDEX( ComputeThermoProps($A144, $B144, ParametersRange), 1, COLUMN()-2 )</f>
        <v>36.648610186680024</v>
      </c>
      <c r="H144" s="2" cm="1">
        <f t="array" ref="H144">INDEX( ComputeThermoProps($A144, $B144, ParametersRange), 1, COLUMN()-2 )</f>
        <v>24.732379770633386</v>
      </c>
      <c r="I144" s="2" cm="1">
        <f t="array" ref="I144">INDEX( ComputeThermoProps($A144, $B144, ParametersRange), 1, COLUMN()-2 )</f>
        <v>2.6399999999999997</v>
      </c>
      <c r="J144" s="2" cm="1">
        <f t="array" ref="J144">INDEX( ComputeThermoProps($A144, $B144, ParametersRange), 1, COLUMN()-2 )</f>
        <v>2884.2337045588251</v>
      </c>
      <c r="K144" s="2" cm="1">
        <f t="array" ref="K144">INDEX( ComputeThermoProps($A144, $B144, ParametersRange), 1, COLUMN()-2 )</f>
        <v>54.184431541545059</v>
      </c>
      <c r="L144" s="2" cm="1">
        <f t="array" ref="L144">INDEX( ComputeThermoProps($A144, $B144, ParametersRange), 1, COLUMN()-2 )</f>
        <v>-3677.5009551222811</v>
      </c>
      <c r="M144" s="2" cm="1">
        <f t="array" ref="M144">INDEX( ComputeThermoProps($A144, $B144, ParametersRange), 1, COLUMN()-2 )</f>
        <v>3431.5327881146777</v>
      </c>
      <c r="N144" s="2" cm="1">
        <f t="array" ref="N144">INDEX( ComputeThermoProps($A144, $B144, ParametersRange), 1, COLUMN()-2 )</f>
        <v>-3130.2018715664285</v>
      </c>
      <c r="O144" s="4">
        <f t="shared" si="4"/>
        <v>1.2631703195466089</v>
      </c>
      <c r="P144" s="6">
        <f t="shared" si="5"/>
        <v>-1173.2751765930034</v>
      </c>
    </row>
    <row r="145" spans="1:16" x14ac:dyDescent="0.25">
      <c r="A145" s="2">
        <v>122.1</v>
      </c>
      <c r="B145" s="2">
        <f t="shared" si="3"/>
        <v>21.80374968731179</v>
      </c>
      <c r="C145" s="2" cm="1">
        <f t="array" ref="C145">INDEX( ComputeThermoProps($A145, $B145, ParametersRange), 1, COLUMN()-2 )</f>
        <v>29.831272896743705</v>
      </c>
      <c r="D145" s="2" cm="1">
        <f t="array" ref="D145">INDEX( ComputeThermoProps($A145, $B145, ParametersRange), 1, COLUMN()-2 )</f>
        <v>6.8158957590193131E-4</v>
      </c>
      <c r="E145" s="2" cm="1">
        <f t="array" ref="E145">INDEX( ComputeThermoProps($A145, $B145, ParametersRange), 1, COLUMN()-2 )</f>
        <v>4.6024042614769016E-4</v>
      </c>
      <c r="F145" s="2" cm="1">
        <f t="array" ref="F145">INDEX( ComputeThermoProps($A145, $B145, ParametersRange), 1, COLUMN()-2 )</f>
        <v>1.4920160815107316E-3</v>
      </c>
      <c r="G145" s="2" cm="1">
        <f t="array" ref="G145">INDEX( ComputeThermoProps($A145, $B145, ParametersRange), 1, COLUMN()-2 )</f>
        <v>36.631659965752391</v>
      </c>
      <c r="H145" s="2" cm="1">
        <f t="array" ref="H145">INDEX( ComputeThermoProps($A145, $B145, ParametersRange), 1, COLUMN()-2 )</f>
        <v>24.735370652970385</v>
      </c>
      <c r="I145" s="2" cm="1">
        <f t="array" ref="I145">INDEX( ComputeThermoProps($A145, $B145, ParametersRange), 1, COLUMN()-2 )</f>
        <v>2.6400000000000006</v>
      </c>
      <c r="J145" s="2" cm="1">
        <f t="array" ref="J145">INDEX( ComputeThermoProps($A145, $B145, ParametersRange), 1, COLUMN()-2 )</f>
        <v>2902.4998252769033</v>
      </c>
      <c r="K145" s="2" cm="1">
        <f t="array" ref="K145">INDEX( ComputeThermoProps($A145, $B145, ParametersRange), 1, COLUMN()-2 )</f>
        <v>54.330293917268968</v>
      </c>
      <c r="L145" s="2" cm="1">
        <f t="array" ref="L145">INDEX( ComputeThermoProps($A145, $B145, ParametersRange), 1, COLUMN()-2 )</f>
        <v>-3731.2290620216372</v>
      </c>
      <c r="M145" s="2" cm="1">
        <f t="array" ref="M145">INDEX( ComputeThermoProps($A145, $B145, ParametersRange), 1, COLUMN()-2 )</f>
        <v>3552.9334323713915</v>
      </c>
      <c r="N145" s="2" cm="1">
        <f t="array" ref="N145">INDEX( ComputeThermoProps($A145, $B145, ParametersRange), 1, COLUMN()-2 )</f>
        <v>-3080.795454927149</v>
      </c>
      <c r="O145" s="4">
        <f t="shared" si="4"/>
        <v>1.3385311875712507</v>
      </c>
      <c r="P145" s="6">
        <f t="shared" si="5"/>
        <v>-1051.8745323362896</v>
      </c>
    </row>
    <row r="146" spans="1:16" x14ac:dyDescent="0.25">
      <c r="A146" s="2">
        <v>123.1</v>
      </c>
      <c r="B146" s="2">
        <f t="shared" si="3"/>
        <v>25.291356935410537</v>
      </c>
      <c r="C146" s="2" cm="1">
        <f t="array" ref="C146">INDEX( ComputeThermoProps($A146, $B146, ParametersRange), 1, COLUMN()-2 )</f>
        <v>29.805046848493259</v>
      </c>
      <c r="D146" s="2" cm="1">
        <f t="array" ref="D146">INDEX( ComputeThermoProps($A146, $B146, ParametersRange), 1, COLUMN()-2 )</f>
        <v>6.7419300378338421E-4</v>
      </c>
      <c r="E146" s="2" cm="1">
        <f t="array" ref="E146">INDEX( ComputeThermoProps($A146, $B146, ParametersRange), 1, COLUMN()-2 )</f>
        <v>4.555055416703533E-4</v>
      </c>
      <c r="F146" s="2" cm="1">
        <f t="array" ref="F146">INDEX( ComputeThermoProps($A146, $B146, ParametersRange), 1, COLUMN()-2 )</f>
        <v>1.4772984420653255E-3</v>
      </c>
      <c r="G146" s="2" cm="1">
        <f t="array" ref="G146">INDEX( ComputeThermoProps($A146, $B146, ParametersRange), 1, COLUMN()-2 )</f>
        <v>36.615119578391486</v>
      </c>
      <c r="H146" s="2" cm="1">
        <f t="array" ref="H146">INDEX( ComputeThermoProps($A146, $B146, ParametersRange), 1, COLUMN()-2 )</f>
        <v>24.738301618802737</v>
      </c>
      <c r="I146" s="2" cm="1">
        <f t="array" ref="I146">INDEX( ComputeThermoProps($A146, $B146, ParametersRange), 1, COLUMN()-2 )</f>
        <v>2.64</v>
      </c>
      <c r="J146" s="2" cm="1">
        <f t="array" ref="J146">INDEX( ComputeThermoProps($A146, $B146, ParametersRange), 1, COLUMN()-2 )</f>
        <v>2920.8122693161522</v>
      </c>
      <c r="K146" s="2" cm="1">
        <f t="array" ref="K146">INDEX( ComputeThermoProps($A146, $B146, ParametersRange), 1, COLUMN()-2 )</f>
        <v>54.474610681319518</v>
      </c>
      <c r="L146" s="2" cm="1">
        <f t="array" ref="L146">INDEX( ComputeThermoProps($A146, $B146, ParametersRange), 1, COLUMN()-2 )</f>
        <v>-3785.0123055542804</v>
      </c>
      <c r="M146" s="2" cm="1">
        <f t="array" ref="M146">INDEX( ComputeThermoProps($A146, $B146, ParametersRange), 1, COLUMN()-2 )</f>
        <v>3674.6223476380283</v>
      </c>
      <c r="N146" s="2" cm="1">
        <f t="array" ref="N146">INDEX( ComputeThermoProps($A146, $B146, ParametersRange), 1, COLUMN()-2 )</f>
        <v>-3031.2022272324043</v>
      </c>
      <c r="O146" s="4">
        <f t="shared" si="4"/>
        <v>1.4029721307976255</v>
      </c>
      <c r="P146" s="6">
        <f t="shared" si="5"/>
        <v>-930.18561706965284</v>
      </c>
    </row>
    <row r="147" spans="1:16" x14ac:dyDescent="0.25">
      <c r="A147" s="2">
        <v>124.1</v>
      </c>
      <c r="B147" s="2">
        <f t="shared" si="3"/>
        <v>28.793483589168769</v>
      </c>
      <c r="C147" s="2" cm="1">
        <f t="array" ref="C147">INDEX( ComputeThermoProps($A147, $B147, ParametersRange), 1, COLUMN()-2 )</f>
        <v>29.778880375352717</v>
      </c>
      <c r="D147" s="2" cm="1">
        <f t="array" ref="D147">INDEX( ComputeThermoProps($A147, $B147, ParametersRange), 1, COLUMN()-2 )</f>
        <v>6.6694695823742015E-4</v>
      </c>
      <c r="E147" s="2" cm="1">
        <f t="array" ref="E147">INDEX( ComputeThermoProps($A147, $B147, ParametersRange), 1, COLUMN()-2 )</f>
        <v>4.5086133760636766E-4</v>
      </c>
      <c r="F147" s="2" cm="1">
        <f t="array" ref="F147">INDEX( ComputeThermoProps($A147, $B147, ParametersRange), 1, COLUMN()-2 )</f>
        <v>1.462874818958046E-3</v>
      </c>
      <c r="G147" s="2" cm="1">
        <f t="array" ref="G147">INDEX( ComputeThermoProps($A147, $B147, ParametersRange), 1, COLUMN()-2 )</f>
        <v>36.598948437853373</v>
      </c>
      <c r="H147" s="2" cm="1">
        <f t="array" ref="H147">INDEX( ComputeThermoProps($A147, $B147, ParametersRange), 1, COLUMN()-2 )</f>
        <v>24.741174157665171</v>
      </c>
      <c r="I147" s="2" cm="1">
        <f t="array" ref="I147">INDEX( ComputeThermoProps($A147, $B147, ParametersRange), 1, COLUMN()-2 )</f>
        <v>2.64</v>
      </c>
      <c r="J147" s="2" cm="1">
        <f t="array" ref="J147">INDEX( ComputeThermoProps($A147, $B147, ParametersRange), 1, COLUMN()-2 )</f>
        <v>2939.1692894264966</v>
      </c>
      <c r="K147" s="2" cm="1">
        <f t="array" ref="K147">INDEX( ComputeThermoProps($A147, $B147, ParametersRange), 1, COLUMN()-2 )</f>
        <v>54.617391807795634</v>
      </c>
      <c r="L147" s="2" cm="1">
        <f t="array" ref="L147">INDEX( ComputeThermoProps($A147, $B147, ParametersRange), 1, COLUMN()-2 )</f>
        <v>-3838.8490339209416</v>
      </c>
      <c r="M147" s="2" cm="1">
        <f t="array" ref="M147">INDEX( ComputeThermoProps($A147, $B147, ParametersRange), 1, COLUMN()-2 )</f>
        <v>3796.606992818035</v>
      </c>
      <c r="N147" s="2" cm="1">
        <f t="array" ref="N147">INDEX( ComputeThermoProps($A147, $B147, ParametersRange), 1, COLUMN()-2 )</f>
        <v>-2981.4113305294031</v>
      </c>
      <c r="O147" s="4">
        <f t="shared" si="4"/>
        <v>1.4592942113188585</v>
      </c>
      <c r="P147" s="6">
        <f t="shared" si="5"/>
        <v>-808.2009718896461</v>
      </c>
    </row>
    <row r="148" spans="1:16" x14ac:dyDescent="0.25">
      <c r="A148" s="2">
        <v>125.1</v>
      </c>
      <c r="B148" s="2">
        <f t="shared" si="3"/>
        <v>32.310328961557893</v>
      </c>
      <c r="C148" s="2" cm="1">
        <f t="array" ref="C148">INDEX( ComputeThermoProps($A148, $B148, ParametersRange), 1, COLUMN()-2 )</f>
        <v>29.752768881239028</v>
      </c>
      <c r="D148" s="2" cm="1">
        <f t="array" ref="D148">INDEX( ComputeThermoProps($A148, $B148, ParametersRange), 1, COLUMN()-2 )</f>
        <v>6.5984590107741185E-4</v>
      </c>
      <c r="E148" s="2" cm="1">
        <f t="array" ref="E148">INDEX( ComputeThermoProps($A148, $B148, ParametersRange), 1, COLUMN()-2 )</f>
        <v>4.4630476457784869E-4</v>
      </c>
      <c r="F148" s="2" cm="1">
        <f t="array" ref="F148">INDEX( ComputeThermoProps($A148, $B148, ParametersRange), 1, COLUMN()-2 )</f>
        <v>1.4487344583190359E-3</v>
      </c>
      <c r="G148" s="2" cm="1">
        <f t="array" ref="G148">INDEX( ComputeThermoProps($A148, $B148, ParametersRange), 1, COLUMN()-2 )</f>
        <v>36.583118900540732</v>
      </c>
      <c r="H148" s="2" cm="1">
        <f t="array" ref="H148">INDEX( ComputeThermoProps($A148, $B148, ParametersRange), 1, COLUMN()-2 )</f>
        <v>24.743989834247376</v>
      </c>
      <c r="I148" s="2" cm="1">
        <f t="array" ref="I148">INDEX( ComputeThermoProps($A148, $B148, ParametersRange), 1, COLUMN()-2 )</f>
        <v>2.6399999999999997</v>
      </c>
      <c r="J148" s="2" cm="1">
        <f t="array" ref="J148">INDEX( ComputeThermoProps($A148, $B148, ParametersRange), 1, COLUMN()-2 )</f>
        <v>2957.5698738865349</v>
      </c>
      <c r="K148" s="2" cm="1">
        <f t="array" ref="K148">INDEX( ComputeThermoProps($A148, $B148, ParametersRange), 1, COLUMN()-2 )</f>
        <v>54.758652980263264</v>
      </c>
      <c r="L148" s="2" cm="1">
        <f t="array" ref="L148">INDEX( ComputeThermoProps($A148, $B148, ParametersRange), 1, COLUMN()-2 )</f>
        <v>-3892.7376139443991</v>
      </c>
      <c r="M148" s="2" cm="1">
        <f t="array" ref="M148">INDEX( ComputeThermoProps($A148, $B148, ParametersRange), 1, COLUMN()-2 )</f>
        <v>3918.8916239565706</v>
      </c>
      <c r="N148" s="2" cm="1">
        <f t="array" ref="N148">INDEX( ComputeThermoProps($A148, $B148, ParametersRange), 1, COLUMN()-2 )</f>
        <v>-2931.4158638743634</v>
      </c>
      <c r="O148" s="4">
        <f t="shared" si="4"/>
        <v>1.5093413797280144</v>
      </c>
      <c r="P148" s="6">
        <f t="shared" si="5"/>
        <v>-685.91634075111051</v>
      </c>
    </row>
    <row r="149" spans="1:16" x14ac:dyDescent="0.25">
      <c r="A149" s="2">
        <v>126.1</v>
      </c>
      <c r="B149" s="2">
        <f t="shared" si="3"/>
        <v>35.842010569488174</v>
      </c>
      <c r="C149" s="2" cm="1">
        <f t="array" ref="C149">INDEX( ComputeThermoProps($A149, $B149, ParametersRange), 1, COLUMN()-2 )</f>
        <v>29.726709561809454</v>
      </c>
      <c r="D149" s="2" cm="1">
        <f t="array" ref="D149">INDEX( ComputeThermoProps($A149, $B149, ParametersRange), 1, COLUMN()-2 )</f>
        <v>6.5288495762504952E-4</v>
      </c>
      <c r="E149" s="2" cm="1">
        <f t="array" ref="E149">INDEX( ComputeThermoProps($A149, $B149, ParametersRange), 1, COLUMN()-2 )</f>
        <v>4.4183309777458615E-4</v>
      </c>
      <c r="F149" s="2" cm="1">
        <f t="array" ref="F149">INDEX( ComputeThermoProps($A149, $B149, ParametersRange), 1, COLUMN()-2 )</f>
        <v>1.4348679147291096E-3</v>
      </c>
      <c r="G149" s="2" cm="1">
        <f t="array" ref="G149">INDEX( ComputeThermoProps($A149, $B149, ParametersRange), 1, COLUMN()-2 )</f>
        <v>36.567611279789844</v>
      </c>
      <c r="H149" s="2" cm="1">
        <f t="array" ref="H149">INDEX( ComputeThermoProps($A149, $B149, ParametersRange), 1, COLUMN()-2 )</f>
        <v>24.746750221874848</v>
      </c>
      <c r="I149" s="2" cm="1">
        <f t="array" ref="I149">INDEX( ComputeThermoProps($A149, $B149, ParametersRange), 1, COLUMN()-2 )</f>
        <v>2.64</v>
      </c>
      <c r="J149" s="2" cm="1">
        <f t="array" ref="J149">INDEX( ComputeThermoProps($A149, $B149, ParametersRange), 1, COLUMN()-2 )</f>
        <v>2976.013461748631</v>
      </c>
      <c r="K149" s="2" cm="1">
        <f t="array" ref="K149">INDEX( ComputeThermoProps($A149, $B149, ParametersRange), 1, COLUMN()-2 )</f>
        <v>54.898413183399796</v>
      </c>
      <c r="L149" s="2" cm="1">
        <f t="array" ref="L149">INDEX( ComputeThermoProps($A149, $B149, ParametersRange), 1, COLUMN()-2 )</f>
        <v>-3946.6764406780831</v>
      </c>
      <c r="M149" s="2" cm="1">
        <f t="array" ref="M149">INDEX( ComputeThermoProps($A149, $B149, ParametersRange), 1, COLUMN()-2 )</f>
        <v>4041.4785000591105</v>
      </c>
      <c r="N149" s="2" cm="1">
        <f t="array" ref="N149">INDEX( ComputeThermoProps($A149, $B149, ParametersRange), 1, COLUMN()-2 )</f>
        <v>-2881.2114023676036</v>
      </c>
      <c r="O149" s="4">
        <f t="shared" si="4"/>
        <v>1.554392363566625</v>
      </c>
      <c r="P149" s="6">
        <f t="shared" si="5"/>
        <v>-563.32946464857059</v>
      </c>
    </row>
    <row r="150" spans="1:16" x14ac:dyDescent="0.25">
      <c r="A150" s="2">
        <v>127.1</v>
      </c>
      <c r="B150" s="2">
        <f t="shared" si="3"/>
        <v>39.388592631800044</v>
      </c>
      <c r="C150" s="2" cm="1">
        <f t="array" ref="C150">INDEX( ComputeThermoProps($A150, $B150, ParametersRange), 1, COLUMN()-2 )</f>
        <v>29.700700757587615</v>
      </c>
      <c r="D150" s="2" cm="1">
        <f t="array" ref="D150">INDEX( ComputeThermoProps($A150, $B150, ParametersRange), 1, COLUMN()-2 )</f>
        <v>6.4605972045280499E-4</v>
      </c>
      <c r="E150" s="2" cm="1">
        <f t="array" ref="E150">INDEX( ComputeThermoProps($A150, $B150, ParametersRange), 1, COLUMN()-2 )</f>
        <v>4.3744384437999597E-4</v>
      </c>
      <c r="F150" s="2" cm="1">
        <f t="array" ref="F150">INDEX( ComputeThermoProps($A150, $B150, ParametersRange), 1, COLUMN()-2 )</f>
        <v>1.421266661541603E-3</v>
      </c>
      <c r="G150" s="2" cm="1">
        <f t="array" ref="G150">INDEX( ComputeThermoProps($A150, $B150, ParametersRange), 1, COLUMN()-2 )</f>
        <v>36.552411027450191</v>
      </c>
      <c r="H150" s="2" cm="1">
        <f t="array" ref="H150">INDEX( ComputeThermoProps($A150, $B150, ParametersRange), 1, COLUMN()-2 )</f>
        <v>24.749456892311585</v>
      </c>
      <c r="I150" s="2" cm="1">
        <f t="array" ref="I150">INDEX( ComputeThermoProps($A150, $B150, ParametersRange), 1, COLUMN()-2 )</f>
        <v>2.64</v>
      </c>
      <c r="J150" s="2" cm="1">
        <f t="array" ref="J150">INDEX( ComputeThermoProps($A150, $B150, ParametersRange), 1, COLUMN()-2 )</f>
        <v>2994.4997782755786</v>
      </c>
      <c r="K150" s="2" cm="1">
        <f t="array" ref="K150">INDEX( ComputeThermoProps($A150, $B150, ParametersRange), 1, COLUMN()-2 )</f>
        <v>55.036693318045707</v>
      </c>
      <c r="L150" s="2" cm="1">
        <f t="array" ref="L150">INDEX( ComputeThermoProps($A150, $B150, ParametersRange), 1, COLUMN()-2 )</f>
        <v>-4000.6639424480304</v>
      </c>
      <c r="M150" s="2" cm="1">
        <f t="array" ref="M150">INDEX( ComputeThermoProps($A150, $B150, ParametersRange), 1, COLUMN()-2 )</f>
        <v>4164.3685812951917</v>
      </c>
      <c r="N150" s="2" cm="1">
        <f t="array" ref="N150">INDEX( ComputeThermoProps($A150, $B150, ParametersRange), 1, COLUMN()-2 )</f>
        <v>-2830.7951394284173</v>
      </c>
      <c r="O150" s="4">
        <f t="shared" si="4"/>
        <v>1.5953704635925252</v>
      </c>
      <c r="P150" s="6">
        <f t="shared" si="5"/>
        <v>-440.43938341248941</v>
      </c>
    </row>
    <row r="151" spans="1:16" x14ac:dyDescent="0.25">
      <c r="A151" s="2">
        <v>128.1</v>
      </c>
      <c r="B151" s="2">
        <f t="shared" si="3"/>
        <v>42.950103516686994</v>
      </c>
      <c r="C151" s="2" cm="1">
        <f t="array" ref="C151">INDEX( ComputeThermoProps($A151, $B151, ParametersRange), 1, COLUMN()-2 )</f>
        <v>29.674741559482133</v>
      </c>
      <c r="D151" s="2" cm="1">
        <f t="array" ref="D151">INDEX( ComputeThermoProps($A151, $B151, ParametersRange), 1, COLUMN()-2 )</f>
        <v>6.3936612801250711E-4</v>
      </c>
      <c r="E151" s="2" cm="1">
        <f t="array" ref="E151">INDEX( ComputeThermoProps($A151, $B151, ParametersRange), 1, COLUMN()-2 )</f>
        <v>4.331346862951101E-4</v>
      </c>
      <c r="F151" s="2" cm="1">
        <f t="array" ref="F151">INDEX( ComputeThermoProps($A151, $B151, ParametersRange), 1, COLUMN()-2 )</f>
        <v>1.4079228484519437E-3</v>
      </c>
      <c r="G151" s="2" cm="1">
        <f t="array" ref="G151">INDEX( ComputeThermoProps($A151, $B151, ParametersRange), 1, COLUMN()-2 )</f>
        <v>36.537506959625134</v>
      </c>
      <c r="H151" s="2" cm="1">
        <f t="array" ref="H151">INDEX( ComputeThermoProps($A151, $B151, ParametersRange), 1, COLUMN()-2 )</f>
        <v>24.752111382811723</v>
      </c>
      <c r="I151" s="2" cm="1">
        <f t="array" ref="I151">INDEX( ComputeThermoProps($A151, $B151, ParametersRange), 1, COLUMN()-2 )</f>
        <v>2.64</v>
      </c>
      <c r="J151" s="2" cm="1">
        <f t="array" ref="J151">INDEX( ComputeThermoProps($A151, $B151, ParametersRange), 1, COLUMN()-2 )</f>
        <v>3013.0287346489331</v>
      </c>
      <c r="K151" s="2" cm="1">
        <f t="array" ref="K151">INDEX( ComputeThermoProps($A151, $B151, ParametersRange), 1, COLUMN()-2 )</f>
        <v>55.173515362765734</v>
      </c>
      <c r="L151" s="2" cm="1">
        <f t="array" ref="L151">INDEX( ComputeThermoProps($A151, $B151, ParametersRange), 1, COLUMN()-2 )</f>
        <v>-4054.6985833213571</v>
      </c>
      <c r="M151" s="2" cm="1">
        <f t="array" ref="M151">INDEX( ComputeThermoProps($A151, $B151, ParametersRange), 1, COLUMN()-2 )</f>
        <v>4287.5619564596245</v>
      </c>
      <c r="N151" s="2" cm="1">
        <f t="array" ref="N151">INDEX( ComputeThermoProps($A151, $B151, ParametersRange), 1, COLUMN()-2 )</f>
        <v>-2780.1653615106657</v>
      </c>
      <c r="O151" s="4">
        <f t="shared" si="4"/>
        <v>1.6329642148883734</v>
      </c>
      <c r="P151" s="6">
        <f t="shared" si="5"/>
        <v>-317.24600824805657</v>
      </c>
    </row>
    <row r="152" spans="1:16" x14ac:dyDescent="0.25">
      <c r="A152" s="2">
        <v>129.1</v>
      </c>
      <c r="B152" s="2">
        <f t="shared" ref="B152:B215" si="6">IF(
  A152 &lt;= $B$5,
  $B$6 * EXP( ($B$5/A152) * ( $B$13*(1 - A152/$B$5) + $B$14*(1 - A152/$B$5)^1.5 + $B$15*(1 - A152/$B$5)^5 ) ),
  $B$6 * ( 1 + $B$17 * MAX(A152/$B$5 - 1, 0)^$B$18 + $B$19 * MAX(A152/$B$5 - 1, 0)^$B$20 )
)</f>
        <v>46.526546900523904</v>
      </c>
      <c r="C152" s="2" cm="1">
        <f t="array" ref="C152">INDEX( ComputeThermoProps($A152, $B152, ParametersRange), 1, COLUMN()-2 )</f>
        <v>29.648831558097704</v>
      </c>
      <c r="D152" s="2" cm="1">
        <f t="array" ref="D152">INDEX( ComputeThermoProps($A152, $B152, ParametersRange), 1, COLUMN()-2 )</f>
        <v>6.3280038651842001E-4</v>
      </c>
      <c r="E152" s="2" cm="1">
        <f t="array" ref="E152">INDEX( ComputeThermoProps($A152, $B152, ParametersRange), 1, COLUMN()-2 )</f>
        <v>4.2890344303265311E-4</v>
      </c>
      <c r="F152" s="2" cm="1">
        <f t="array" ref="F152">INDEX( ComputeThermoProps($A152, $B152, ParametersRange), 1, COLUMN()-2 )</f>
        <v>1.3948291464357986E-3</v>
      </c>
      <c r="G152" s="2" cm="1">
        <f t="array" ref="G152">INDEX( ComputeThermoProps($A152, $B152, ParametersRange), 1, COLUMN()-2 )</f>
        <v>36.522890159738438</v>
      </c>
      <c r="H152" s="2" cm="1">
        <f t="array" ref="H152">INDEX( ComputeThermoProps($A152, $B152, ParametersRange), 1, COLUMN()-2 )</f>
        <v>24.754715187834734</v>
      </c>
      <c r="I152" s="2" cm="1">
        <f t="array" ref="I152">INDEX( ComputeThermoProps($A152, $B152, ParametersRange), 1, COLUMN()-2 )</f>
        <v>2.64</v>
      </c>
      <c r="J152" s="2" cm="1">
        <f t="array" ref="J152">INDEX( ComputeThermoProps($A152, $B152, ParametersRange), 1, COLUMN()-2 )</f>
        <v>3031.6003643108779</v>
      </c>
      <c r="K152" s="2" cm="1">
        <f t="array" ref="K152">INDEX( ComputeThermoProps($A152, $B152, ParametersRange), 1, COLUMN()-2 )</f>
        <v>55.30890184647788</v>
      </c>
      <c r="L152" s="2" cm="1">
        <f t="array" ref="L152">INDEX( ComputeThermoProps($A152, $B152, ParametersRange), 1, COLUMN()-2 )</f>
        <v>-4108.7788640694162</v>
      </c>
      <c r="M152" s="2" cm="1">
        <f t="array" ref="M152">INDEX( ComputeThermoProps($A152, $B152, ParametersRange), 1, COLUMN()-2 )</f>
        <v>4411.058116344444</v>
      </c>
      <c r="N152" s="2" cm="1">
        <f t="array" ref="N152">INDEX( ComputeThermoProps($A152, $B152, ParametersRange), 1, COLUMN()-2 )</f>
        <v>-2729.3211120358501</v>
      </c>
      <c r="O152" s="4">
        <f t="shared" ref="O152:O215" si="7">LOG10(B152)</f>
        <v>1.6677008213340971</v>
      </c>
      <c r="P152" s="6">
        <f t="shared" ref="P152:P215" si="8">M152-$B$11</f>
        <v>-193.74984836323711</v>
      </c>
    </row>
    <row r="153" spans="1:16" x14ac:dyDescent="0.25">
      <c r="A153" s="2">
        <v>130.1</v>
      </c>
      <c r="B153" s="2">
        <f t="shared" si="6"/>
        <v>50.117909158850196</v>
      </c>
      <c r="C153" s="2" cm="1">
        <f t="array" ref="C153">INDEX( ComputeThermoProps($A153, $B153, ParametersRange), 1, COLUMN()-2 )</f>
        <v>29.622970679209772</v>
      </c>
      <c r="D153" s="2" cm="1">
        <f t="array" ref="D153">INDEX( ComputeThermoProps($A153, $B153, ParametersRange), 1, COLUMN()-2 )</f>
        <v>6.2635891791898879E-4</v>
      </c>
      <c r="E153" s="2" cm="1">
        <f t="array" ref="E153">INDEX( ComputeThermoProps($A153, $B153, ParametersRange), 1, COLUMN()-2 )</f>
        <v>4.2474804672675047E-4</v>
      </c>
      <c r="F153" s="2" cm="1">
        <f t="array" ref="F153">INDEX( ComputeThermoProps($A153, $B153, ParametersRange), 1, COLUMN()-2 )</f>
        <v>1.3819786460104644E-3</v>
      </c>
      <c r="G153" s="2" cm="1">
        <f t="array" ref="G153">INDEX( ComputeThermoProps($A153, $B153, ParametersRange), 1, COLUMN()-2 )</f>
        <v>36.508553312624798</v>
      </c>
      <c r="H153" s="2" cm="1">
        <f t="array" ref="H153">INDEX( ComputeThermoProps($A153, $B153, ParametersRange), 1, COLUMN()-2 )</f>
        <v>24.757269777329864</v>
      </c>
      <c r="I153" s="2" cm="1">
        <f t="array" ref="I153">INDEX( ComputeThermoProps($A153, $B153, ParametersRange), 1, COLUMN()-2 )</f>
        <v>2.6400000000000006</v>
      </c>
      <c r="J153" s="2" cm="1">
        <f t="array" ref="J153">INDEX( ComputeThermoProps($A153, $B153, ParametersRange), 1, COLUMN()-2 )</f>
        <v>3050.214781262956</v>
      </c>
      <c r="K153" s="2" cm="1">
        <f t="array" ref="K153">INDEX( ComputeThermoProps($A153, $B153, ParametersRange), 1, COLUMN()-2 )</f>
        <v>55.442875507248871</v>
      </c>
      <c r="L153" s="2" cm="1">
        <f t="array" ref="L153">INDEX( ComputeThermoProps($A153, $B153, ParametersRange), 1, COLUMN()-2 )</f>
        <v>-4162.9033222301223</v>
      </c>
      <c r="M153" s="2" cm="1">
        <f t="array" ref="M153">INDEX( ComputeThermoProps($A153, $B153, ParametersRange), 1, COLUMN()-2 )</f>
        <v>4534.8561347788745</v>
      </c>
      <c r="N153" s="2" cm="1">
        <f t="array" ref="N153">INDEX( ComputeThermoProps($A153, $B153, ParametersRange), 1, COLUMN()-2 )</f>
        <v>-2678.2619687142032</v>
      </c>
      <c r="O153" s="4">
        <f t="shared" si="7"/>
        <v>1.6999929446103275</v>
      </c>
      <c r="P153" s="6">
        <f t="shared" si="8"/>
        <v>-69.951829928806546</v>
      </c>
    </row>
    <row r="154" spans="1:16" x14ac:dyDescent="0.25">
      <c r="A154" s="2">
        <v>131.1</v>
      </c>
      <c r="B154" s="2">
        <f t="shared" si="6"/>
        <v>53.724164403298822</v>
      </c>
      <c r="C154" s="2" cm="1">
        <f t="array" ref="C154">INDEX( ComputeThermoProps($A154, $B154, ParametersRange), 1, COLUMN()-2 )</f>
        <v>29.59715907301657</v>
      </c>
      <c r="D154" s="2" cm="1">
        <f t="array" ref="D154">INDEX( ComputeThermoProps($A154, $B154, ParametersRange), 1, COLUMN()-2 )</f>
        <v>6.2003832329904937E-4</v>
      </c>
      <c r="E154" s="2" cm="1">
        <f t="array" ref="E154">INDEX( ComputeThermoProps($A154, $B154, ParametersRange), 1, COLUMN()-2 )</f>
        <v>4.2066652472048753E-4</v>
      </c>
      <c r="F154" s="2" cm="1">
        <f t="array" ref="F154">INDEX( ComputeThermoProps($A154, $B154, ParametersRange), 1, COLUMN()-2 )</f>
        <v>1.369364782869881E-3</v>
      </c>
      <c r="G154" s="2" cm="1">
        <f t="array" ref="G154">INDEX( ComputeThermoProps($A154, $B154, ParametersRange), 1, COLUMN()-2 )</f>
        <v>36.494490152225666</v>
      </c>
      <c r="H154" s="2" cm="1">
        <f t="array" ref="H154">INDEX( ComputeThermoProps($A154, $B154, ParametersRange), 1, COLUMN()-2 )</f>
        <v>24.759776560421461</v>
      </c>
      <c r="I154" s="2" cm="1">
        <f t="array" ref="I154">INDEX( ComputeThermoProps($A154, $B154, ParametersRange), 1, COLUMN()-2 )</f>
        <v>2.64</v>
      </c>
      <c r="J154" s="2" cm="1">
        <f t="array" ref="J154">INDEX( ComputeThermoProps($A154, $B154, ParametersRange), 1, COLUMN()-2 )</f>
        <v>3068.8721520687286</v>
      </c>
      <c r="K154" s="2" cm="1">
        <f t="array" ref="K154">INDEX( ComputeThermoProps($A154, $B154, ParametersRange), 1, COLUMN()-2 )</f>
        <v>55.575459067086634</v>
      </c>
      <c r="L154" s="2" cm="1">
        <f t="array" ref="L154">INDEX( ComputeThermoProps($A154, $B154, ParametersRange), 1, COLUMN()-2 )</f>
        <v>-4217.0705316263284</v>
      </c>
      <c r="M154" s="2" cm="1">
        <f t="array" ref="M154">INDEX( ComputeThermoProps($A154, $B154, ParametersRange), 1, COLUMN()-2 )</f>
        <v>4658.954791978058</v>
      </c>
      <c r="N154" s="2" cm="1">
        <f t="array" ref="N154">INDEX( ComputeThermoProps($A154, $B154, ParametersRange), 1, COLUMN()-2 )</f>
        <v>-2626.9878917169995</v>
      </c>
      <c r="O154" s="4">
        <f t="shared" si="7"/>
        <v>1.7301696694336803</v>
      </c>
      <c r="P154" s="6">
        <f t="shared" si="8"/>
        <v>54.146827270376889</v>
      </c>
    </row>
    <row r="155" spans="1:16" x14ac:dyDescent="0.25">
      <c r="A155" s="2">
        <v>132.1</v>
      </c>
      <c r="B155" s="2">
        <f t="shared" si="6"/>
        <v>57.345277995867491</v>
      </c>
      <c r="C155" s="2" cm="1">
        <f t="array" ref="C155">INDEX( ComputeThermoProps($A155, $B155, ParametersRange), 1, COLUMN()-2 )</f>
        <v>29.571397038095405</v>
      </c>
      <c r="D155" s="2" cm="1">
        <f t="array" ref="D155">INDEX( ComputeThermoProps($A155, $B155, ParametersRange), 1, COLUMN()-2 )</f>
        <v>6.138353574014116E-4</v>
      </c>
      <c r="E155" s="2" cm="1">
        <f t="array" ref="E155">INDEX( ComputeThermoProps($A155, $B155, ParametersRange), 1, COLUMN()-2 )</f>
        <v>4.1665698704526562E-4</v>
      </c>
      <c r="F155" s="2" cm="1">
        <f t="array" ref="F155">INDEX( ComputeThermoProps($A155, $B155, ParametersRange), 1, COLUMN()-2 )</f>
        <v>1.3569812891838064E-3</v>
      </c>
      <c r="G155" s="2" cm="1">
        <f t="array" ref="G155">INDEX( ComputeThermoProps($A155, $B155, ParametersRange), 1, COLUMN()-2 )</f>
        <v>36.480695191563775</v>
      </c>
      <c r="H155" s="2" cm="1">
        <f t="array" ref="H155">INDEX( ComputeThermoProps($A155, $B155, ParametersRange), 1, COLUMN()-2 )</f>
        <v>24.76223691020428</v>
      </c>
      <c r="I155" s="2" cm="1">
        <f t="array" ref="I155">INDEX( ComputeThermoProps($A155, $B155, ParametersRange), 1, COLUMN()-2 )</f>
        <v>2.6400000000000006</v>
      </c>
      <c r="J155" s="2" cm="1">
        <f t="array" ref="J155">INDEX( ComputeThermoProps($A155, $B155, ParametersRange), 1, COLUMN()-2 )</f>
        <v>3087.5726766770385</v>
      </c>
      <c r="K155" s="2" cm="1">
        <f t="array" ref="K155">INDEX( ComputeThermoProps($A155, $B155, ParametersRange), 1, COLUMN()-2 )</f>
        <v>55.706675081225043</v>
      </c>
      <c r="L155" s="2" cm="1">
        <f t="array" ref="L155">INDEX( ComputeThermoProps($A155, $B155, ParametersRange), 1, COLUMN()-2 )</f>
        <v>-4271.2791015527891</v>
      </c>
      <c r="M155" s="2" cm="1">
        <f t="array" ref="M155">INDEX( ComputeThermoProps($A155, $B155, ParametersRange), 1, COLUMN()-2 )</f>
        <v>4783.3526605527923</v>
      </c>
      <c r="N155" s="2" cm="1">
        <f t="array" ref="N155">INDEX( ComputeThermoProps($A155, $B155, ParametersRange), 1, COLUMN()-2 )</f>
        <v>-2575.4991176770354</v>
      </c>
      <c r="O155" s="4">
        <f t="shared" si="7"/>
        <v>1.7584976624331294</v>
      </c>
      <c r="P155" s="6">
        <f t="shared" si="8"/>
        <v>178.54469584511116</v>
      </c>
    </row>
    <row r="156" spans="1:16" x14ac:dyDescent="0.25">
      <c r="A156" s="2">
        <v>133.1</v>
      </c>
      <c r="B156" s="2">
        <f t="shared" si="6"/>
        <v>60.981209049150564</v>
      </c>
      <c r="C156" s="2" cm="1">
        <f t="array" ref="C156">INDEX( ComputeThermoProps($A156, $B156, ParametersRange), 1, COLUMN()-2 )</f>
        <v>29.545684968384453</v>
      </c>
      <c r="D156" s="2" cm="1">
        <f t="array" ref="D156">INDEX( ComputeThermoProps($A156, $B156, ParametersRange), 1, COLUMN()-2 )</f>
        <v>6.0774690964541134E-4</v>
      </c>
      <c r="E156" s="2" cm="1">
        <f t="array" ref="E156">INDEX( ComputeThermoProps($A156, $B156, ParametersRange), 1, COLUMN()-2 )</f>
        <v>4.1271761720891429E-4</v>
      </c>
      <c r="F156" s="2" cm="1">
        <f t="array" ref="F156">INDEX( ComputeThermoProps($A156, $B156, ParametersRange), 1, COLUMN()-2 )</f>
        <v>1.3448221553324607E-3</v>
      </c>
      <c r="G156" s="2" cm="1">
        <f t="array" ref="G156">INDEX( ComputeThermoProps($A156, $B156, ParametersRange), 1, COLUMN()-2 )</f>
        <v>36.467163462448305</v>
      </c>
      <c r="H156" s="2" cm="1">
        <f t="array" ref="H156">INDEX( ComputeThermoProps($A156, $B156, ParametersRange), 1, COLUMN()-2 )</f>
        <v>24.764652146682096</v>
      </c>
      <c r="I156" s="2" cm="1">
        <f t="array" ref="I156">INDEX( ComputeThermoProps($A156, $B156, ParametersRange), 1, COLUMN()-2 )</f>
        <v>2.64</v>
      </c>
      <c r="J156" s="2" cm="1">
        <f t="array" ref="J156">INDEX( ComputeThermoProps($A156, $B156, ParametersRange), 1, COLUMN()-2 )</f>
        <v>3106.316575214948</v>
      </c>
      <c r="K156" s="2" cm="1">
        <f t="array" ref="K156">INDEX( ComputeThermoProps($A156, $B156, ParametersRange), 1, COLUMN()-2 )</f>
        <v>55.836545837817731</v>
      </c>
      <c r="L156" s="2" cm="1">
        <f t="array" ref="L156">INDEX( ComputeThermoProps($A156, $B156, ParametersRange), 1, COLUMN()-2 )</f>
        <v>-4325.5276757985921</v>
      </c>
      <c r="M156" s="2" cm="1">
        <f t="array" ref="M156">INDEX( ComputeThermoProps($A156, $B156, ParametersRange), 1, COLUMN()-2 )</f>
        <v>4908.0481667723461</v>
      </c>
      <c r="N156" s="2" cm="1">
        <f t="array" ref="N156">INDEX( ComputeThermoProps($A156, $B156, ParametersRange), 1, COLUMN()-2 )</f>
        <v>-2523.7960842411935</v>
      </c>
      <c r="O156" s="4">
        <f t="shared" si="7"/>
        <v>1.7851960306913675</v>
      </c>
      <c r="P156" s="6">
        <f t="shared" si="8"/>
        <v>303.24020206466503</v>
      </c>
    </row>
    <row r="157" spans="1:16" x14ac:dyDescent="0.25">
      <c r="A157" s="2">
        <v>134.1</v>
      </c>
      <c r="B157" s="2">
        <f t="shared" si="6"/>
        <v>64.631912234287384</v>
      </c>
      <c r="C157" s="2" cm="1">
        <f t="array" ref="C157">INDEX( ComputeThermoProps($A157, $B157, ParametersRange), 1, COLUMN()-2 )</f>
        <v>29.520023315799968</v>
      </c>
      <c r="D157" s="2" cm="1">
        <f t="array" ref="D157">INDEX( ComputeThermoProps($A157, $B157, ParametersRange), 1, COLUMN()-2 )</f>
        <v>6.0176999004143798E-4</v>
      </c>
      <c r="E157" s="2" cm="1">
        <f t="array" ref="E157">INDEX( ComputeThermoProps($A157, $B157, ParametersRange), 1, COLUMN()-2 )</f>
        <v>4.0884666510610418E-4</v>
      </c>
      <c r="F157" s="2" cm="1">
        <f t="array" ref="F157">INDEX( ComputeThermoProps($A157, $B157, ParametersRange), 1, COLUMN()-2 )</f>
        <v>1.3328816033617607E-3</v>
      </c>
      <c r="G157" s="2" cm="1">
        <f t="array" ref="G157">INDEX( ComputeThermoProps($A157, $B157, ParametersRange), 1, COLUMN()-2 )</f>
        <v>36.45389039551192</v>
      </c>
      <c r="H157" s="2" cm="1">
        <f t="array" ref="H157">INDEX( ComputeThermoProps($A157, $B157, ParametersRange), 1, COLUMN()-2 )</f>
        <v>24.76702355549866</v>
      </c>
      <c r="I157" s="2" cm="1">
        <f t="array" ref="I157">INDEX( ComputeThermoProps($A157, $B157, ParametersRange), 1, COLUMN()-2 )</f>
        <v>2.6400000000000006</v>
      </c>
      <c r="J157" s="2" cm="1">
        <f t="array" ref="J157">INDEX( ComputeThermoProps($A157, $B157, ParametersRange), 1, COLUMN()-2 )</f>
        <v>3125.1040785344539</v>
      </c>
      <c r="K157" s="2" cm="1">
        <f t="array" ref="K157">INDEX( ComputeThermoProps($A157, $B157, ParametersRange), 1, COLUMN()-2 )</f>
        <v>55.965093288939393</v>
      </c>
      <c r="L157" s="2" cm="1">
        <f t="array" ref="L157">INDEX( ComputeThermoProps($A157, $B157, ParametersRange), 1, COLUMN()-2 )</f>
        <v>-4379.8149315123183</v>
      </c>
      <c r="M157" s="2" cm="1">
        <f t="array" ref="M157">INDEX( ComputeThermoProps($A157, $B157, ParametersRange), 1, COLUMN()-2 )</f>
        <v>5033.0396346353546</v>
      </c>
      <c r="N157" s="2" cm="1">
        <f t="array" ref="N157">INDEX( ComputeThermoProps($A157, $B157, ParametersRange), 1, COLUMN()-2 )</f>
        <v>-2471.8793754114176</v>
      </c>
      <c r="O157" s="4">
        <f t="shared" si="7"/>
        <v>1.8104470053813388</v>
      </c>
      <c r="P157" s="6">
        <f t="shared" si="8"/>
        <v>428.23166992767347</v>
      </c>
    </row>
    <row r="158" spans="1:16" x14ac:dyDescent="0.25">
      <c r="A158" s="2">
        <v>135.1</v>
      </c>
      <c r="B158" s="2">
        <f t="shared" si="6"/>
        <v>68.29733910610355</v>
      </c>
      <c r="C158" s="2" cm="1">
        <f t="array" ref="C158">INDEX( ComputeThermoProps($A158, $B158, ParametersRange), 1, COLUMN()-2 )</f>
        <v>29.494412563679951</v>
      </c>
      <c r="D158" s="2" cm="1">
        <f t="array" ref="D158">INDEX( ComputeThermoProps($A158, $B158, ParametersRange), 1, COLUMN()-2 )</f>
        <v>5.9590171811369755E-4</v>
      </c>
      <c r="E158" s="2" cm="1">
        <f t="array" ref="E158">INDEX( ComputeThermoProps($A158, $B158, ParametersRange), 1, COLUMN()-2 )</f>
        <v>4.05042441582285E-4</v>
      </c>
      <c r="F158" s="2" cm="1">
        <f t="array" ref="F158">INDEX( ComputeThermoProps($A158, $B158, ParametersRange), 1, COLUMN()-2 )</f>
        <v>1.321154064110378E-3</v>
      </c>
      <c r="G158" s="2" cm="1">
        <f t="array" ref="G158">INDEX( ComputeThermoProps($A158, $B158, ParametersRange), 1, COLUMN()-2 )</f>
        <v>36.440871662238621</v>
      </c>
      <c r="H158" s="2" cm="1">
        <f t="array" ref="H158">INDEX( ComputeThermoProps($A158, $B158, ParametersRange), 1, COLUMN()-2 )</f>
        <v>24.76935236599472</v>
      </c>
      <c r="I158" s="2" cm="1">
        <f t="array" ref="I158">INDEX( ComputeThermoProps($A158, $B158, ParametersRange), 1, COLUMN()-2 )</f>
        <v>2.64</v>
      </c>
      <c r="J158" s="2" cm="1">
        <f t="array" ref="J158">INDEX( ComputeThermoProps($A158, $B158, ParametersRange), 1, COLUMN()-2 )</f>
        <v>3143.9354217437294</v>
      </c>
      <c r="K158" s="2" cm="1">
        <f t="array" ref="K158">INDEX( ComputeThermoProps($A158, $B158, ParametersRange), 1, COLUMN()-2 )</f>
        <v>56.092339006794006</v>
      </c>
      <c r="L158" s="2" cm="1">
        <f t="array" ref="L158">INDEX( ComputeThermoProps($A158, $B158, ParametersRange), 1, COLUMN()-2 )</f>
        <v>-4434.1395780741404</v>
      </c>
      <c r="M158" s="2" cm="1">
        <f t="array" ref="M158">INDEX( ComputeThermoProps($A158, $B158, ParametersRange), 1, COLUMN()-2 )</f>
        <v>5158.3253183406996</v>
      </c>
      <c r="N158" s="2" cm="1">
        <f t="array" ref="N158">INDEX( ComputeThermoProps($A158, $B158, ParametersRange), 1, COLUMN()-2 )</f>
        <v>-2419.7496814771703</v>
      </c>
      <c r="O158" s="4">
        <f t="shared" si="7"/>
        <v>1.8344037837101208</v>
      </c>
      <c r="P158" s="6">
        <f t="shared" si="8"/>
        <v>553.5173536330185</v>
      </c>
    </row>
    <row r="159" spans="1:16" x14ac:dyDescent="0.25">
      <c r="A159" s="2">
        <v>136.1</v>
      </c>
      <c r="B159" s="2">
        <f t="shared" si="6"/>
        <v>71.977439085261679</v>
      </c>
      <c r="C159" s="2" cm="1">
        <f t="array" ref="C159">INDEX( ComputeThermoProps($A159, $B159, ParametersRange), 1, COLUMN()-2 )</f>
        <v>29.468853207848287</v>
      </c>
      <c r="D159" s="2" cm="1">
        <f t="array" ref="D159">INDEX( ComputeThermoProps($A159, $B159, ParametersRange), 1, COLUMN()-2 )</f>
        <v>5.9013931450656808E-4</v>
      </c>
      <c r="E159" s="2" cm="1">
        <f t="array" ref="E159">INDEX( ComputeThermoProps($A159, $B159, ParametersRange), 1, COLUMN()-2 )</f>
        <v>4.0130331404119701E-4</v>
      </c>
      <c r="F159" s="2" cm="1">
        <f t="array" ref="F159">INDEX( ComputeThermoProps($A159, $B159, ParametersRange), 1, COLUMN()-2 )</f>
        <v>1.3096341620877198E-3</v>
      </c>
      <c r="G159" s="2" cm="1">
        <f t="array" ref="G159">INDEX( ComputeThermoProps($A159, $B159, ParametersRange), 1, COLUMN()-2 )</f>
        <v>36.428103140708629</v>
      </c>
      <c r="H159" s="2" cm="1">
        <f t="array" ref="H159">INDEX( ComputeThermoProps($A159, $B159, ParametersRange), 1, COLUMN()-2 )</f>
        <v>24.771639772591712</v>
      </c>
      <c r="I159" s="2" cm="1">
        <f t="array" ref="I159">INDEX( ComputeThermoProps($A159, $B159, ParametersRange), 1, COLUMN()-2 )</f>
        <v>2.64</v>
      </c>
      <c r="J159" s="2" cm="1">
        <f t="array" ref="J159">INDEX( ComputeThermoProps($A159, $B159, ParametersRange), 1, COLUMN()-2 )</f>
        <v>3162.810839548129</v>
      </c>
      <c r="K159" s="2" cm="1">
        <f t="array" ref="K159">INDEX( ComputeThermoProps($A159, $B159, ParametersRange), 1, COLUMN()-2 )</f>
        <v>56.218304154852213</v>
      </c>
      <c r="L159" s="2" cm="1">
        <f t="array" ref="L159">INDEX( ComputeThermoProps($A159, $B159, ParametersRange), 1, COLUMN()-2 )</f>
        <v>-4488.5003559272564</v>
      </c>
      <c r="M159" s="2" cm="1">
        <f t="array" ref="M159">INDEX( ComputeThermoProps($A159, $B159, ParametersRange), 1, COLUMN()-2 )</f>
        <v>5283.9034262285477</v>
      </c>
      <c r="N159" s="2" cm="1">
        <f t="array" ref="N159">INDEX( ComputeThermoProps($A159, $B159, ParametersRange), 1, COLUMN()-2 )</f>
        <v>-2367.4077692468381</v>
      </c>
      <c r="O159" s="4">
        <f t="shared" si="7"/>
        <v>1.8571963906508075</v>
      </c>
      <c r="P159" s="6">
        <f t="shared" si="8"/>
        <v>679.09546152086659</v>
      </c>
    </row>
    <row r="160" spans="1:16" x14ac:dyDescent="0.25">
      <c r="A160" s="2">
        <v>137.1</v>
      </c>
      <c r="B160" s="2">
        <f t="shared" si="6"/>
        <v>75.672160192802622</v>
      </c>
      <c r="C160" s="2" cm="1">
        <f t="array" ref="C160">INDEX( ComputeThermoProps($A160, $B160, ParametersRange), 1, COLUMN()-2 )</f>
        <v>29.443345743117096</v>
      </c>
      <c r="D160" s="2" cm="1">
        <f t="array" ref="D160">INDEX( ComputeThermoProps($A160, $B160, ParametersRange), 1, COLUMN()-2 )</f>
        <v>5.8448009390517461E-4</v>
      </c>
      <c r="E160" s="2" cm="1">
        <f t="array" ref="E160">INDEX( ComputeThermoProps($A160, $B160, ParametersRange), 1, COLUMN()-2 )</f>
        <v>3.9762770285824524E-4</v>
      </c>
      <c r="F160" s="2" cm="1">
        <f t="array" ref="F160">INDEX( ComputeThermoProps($A160, $B160, ParametersRange), 1, COLUMN()-2 )</f>
        <v>1.2983167011543682E-3</v>
      </c>
      <c r="G160" s="2" cm="1">
        <f t="array" ref="G160">INDEX( ComputeThermoProps($A160, $B160, ParametersRange), 1, COLUMN()-2 )</f>
        <v>36.415580836126999</v>
      </c>
      <c r="H160" s="2" cm="1">
        <f t="array" ref="H160">INDEX( ComputeThermoProps($A160, $B160, ParametersRange), 1, COLUMN()-2 )</f>
        <v>24.773886924653944</v>
      </c>
      <c r="I160" s="2" cm="1">
        <f t="array" ref="I160">INDEX( ComputeThermoProps($A160, $B160, ParametersRange), 1, COLUMN()-2 )</f>
        <v>2.64</v>
      </c>
      <c r="J160" s="2" cm="1">
        <f t="array" ref="J160">INDEX( ComputeThermoProps($A160, $B160, ParametersRange), 1, COLUMN()-2 )</f>
        <v>3181.7305629932057</v>
      </c>
      <c r="K160" s="2" cm="1">
        <f t="array" ref="K160">INDEX( ComputeThermoProps($A160, $B160, ParametersRange), 1, COLUMN()-2 )</f>
        <v>56.343009470601672</v>
      </c>
      <c r="L160" s="2" cm="1">
        <f t="array" ref="L160">INDEX( ComputeThermoProps($A160, $B160, ParametersRange), 1, COLUMN()-2 )</f>
        <v>-4542.8960354262836</v>
      </c>
      <c r="M160" s="2" cm="1">
        <f t="array" ref="M160">INDEX( ComputeThermoProps($A160, $B160, ParametersRange), 1, COLUMN()-2 )</f>
        <v>5409.772138678436</v>
      </c>
      <c r="N160" s="2" cm="1">
        <f t="array" ref="N160">INDEX( ComputeThermoProps($A160, $B160, ParametersRange), 1, COLUMN()-2 )</f>
        <v>-2314.8544597410528</v>
      </c>
      <c r="O160" s="4">
        <f t="shared" si="7"/>
        <v>1.878936131832285</v>
      </c>
      <c r="P160" s="6">
        <f t="shared" si="8"/>
        <v>804.96417397075493</v>
      </c>
    </row>
    <row r="161" spans="1:16" x14ac:dyDescent="0.25">
      <c r="A161" s="2">
        <v>138.1</v>
      </c>
      <c r="B161" s="2">
        <f t="shared" si="6"/>
        <v>79.381449603399602</v>
      </c>
      <c r="C161" s="2" cm="1">
        <f t="array" ref="C161">INDEX( ComputeThermoProps($A161, $B161, ParametersRange), 1, COLUMN()-2 )</f>
        <v>29.417890653714458</v>
      </c>
      <c r="D161" s="2" cm="1">
        <f t="array" ref="D161">INDEX( ComputeThermoProps($A161, $B161, ParametersRange), 1, COLUMN()-2 )</f>
        <v>5.789214593195463E-4</v>
      </c>
      <c r="E161" s="2" cm="1">
        <f t="array" ref="E161">INDEX( ComputeThermoProps($A161, $B161, ParametersRange), 1, COLUMN()-2 )</f>
        <v>3.9401407837725741E-4</v>
      </c>
      <c r="F161" s="2" cm="1">
        <f t="array" ref="F161">INDEX( ComputeThermoProps($A161, $B161, ParametersRange), 1, COLUMN()-2 )</f>
        <v>1.287196653658145E-3</v>
      </c>
      <c r="G161" s="2" cm="1">
        <f t="array" ref="G161">INDEX( ComputeThermoProps($A161, $B161, ParametersRange), 1, COLUMN()-2 )</f>
        <v>36.403300846715162</v>
      </c>
      <c r="H161" s="2" cm="1">
        <f t="array" ref="H161">INDEX( ComputeThermoProps($A161, $B161, ParametersRange), 1, COLUMN()-2 )</f>
        <v>24.776094929815685</v>
      </c>
      <c r="I161" s="2" cm="1">
        <f t="array" ref="I161">INDEX( ComputeThermoProps($A161, $B161, ParametersRange), 1, COLUMN()-2 )</f>
        <v>2.6400000000000006</v>
      </c>
      <c r="J161" s="2" cm="1">
        <f t="array" ref="J161">INDEX( ComputeThermoProps($A161, $B161, ParametersRange), 1, COLUMN()-2 )</f>
        <v>3200.6948171982067</v>
      </c>
      <c r="K161" s="2" cm="1">
        <f t="array" ref="K161">INDEX( ComputeThermoProps($A161, $B161, ParametersRange), 1, COLUMN()-2 )</f>
        <v>56.466475256406746</v>
      </c>
      <c r="L161" s="2" cm="1">
        <f t="array" ref="L161">INDEX( ComputeThermoProps($A161, $B161, ParametersRange), 1, COLUMN()-2 )</f>
        <v>-4597.3254157115643</v>
      </c>
      <c r="M161" s="2" cm="1">
        <f t="array" ref="M161">INDEX( ComputeThermoProps($A161, $B161, ParametersRange), 1, COLUMN()-2 )</f>
        <v>5535.9296215643608</v>
      </c>
      <c r="N161" s="2" cm="1">
        <f t="array" ref="N161">INDEX( ComputeThermoProps($A161, $B161, ParametersRange), 1, COLUMN()-2 )</f>
        <v>-2262.0906113454103</v>
      </c>
      <c r="O161" s="4">
        <f t="shared" si="7"/>
        <v>1.8997190253976644</v>
      </c>
      <c r="P161" s="6">
        <f t="shared" si="8"/>
        <v>931.12165685667969</v>
      </c>
    </row>
    <row r="162" spans="1:16" x14ac:dyDescent="0.25">
      <c r="A162" s="2">
        <v>139.1</v>
      </c>
      <c r="B162" s="2">
        <f t="shared" si="6"/>
        <v>83.105254064239219</v>
      </c>
      <c r="C162" s="2" cm="1">
        <f t="array" ref="C162">INDEX( ComputeThermoProps($A162, $B162, ParametersRange), 1, COLUMN()-2 )</f>
        <v>29.392488406571946</v>
      </c>
      <c r="D162" s="2" cm="1">
        <f t="array" ref="D162">INDEX( ComputeThermoProps($A162, $B162, ParametersRange), 1, COLUMN()-2 )</f>
        <v>5.7346089731993225E-4</v>
      </c>
      <c r="E162" s="2" cm="1">
        <f t="array" ref="E162">INDEX( ComputeThermoProps($A162, $B162, ParametersRange), 1, COLUMN()-2 )</f>
        <v>3.9046095834265737E-4</v>
      </c>
      <c r="F162" s="2" cm="1">
        <f t="array" ref="F162">INDEX( ComputeThermoProps($A162, $B162, ParametersRange), 1, COLUMN()-2 )</f>
        <v>1.276269151724823E-3</v>
      </c>
      <c r="G162" s="2" cm="1">
        <f t="array" ref="G162">INDEX( ComputeThermoProps($A162, $B162, ParametersRange), 1, COLUMN()-2 )</f>
        <v>36.391259352755768</v>
      </c>
      <c r="H162" s="2" cm="1">
        <f t="array" ref="H162">INDEX( ComputeThermoProps($A162, $B162, ParametersRange), 1, COLUMN()-2 )</f>
        <v>24.778264862662194</v>
      </c>
      <c r="I162" s="2" cm="1">
        <f t="array" ref="I162">INDEX( ComputeThermoProps($A162, $B162, ParametersRange), 1, COLUMN()-2 )</f>
        <v>2.64</v>
      </c>
      <c r="J162" s="2" cm="1">
        <f t="array" ref="J162">INDEX( ComputeThermoProps($A162, $B162, ParametersRange), 1, COLUMN()-2 )</f>
        <v>3219.7038198085538</v>
      </c>
      <c r="K162" s="2" cm="1">
        <f t="array" ref="K162">INDEX( ComputeThermoProps($A162, $B162, ParametersRange), 1, COLUMN()-2 )</f>
        <v>56.588721376183528</v>
      </c>
      <c r="L162" s="2" cm="1">
        <f t="array" ref="L162">INDEX( ComputeThermoProps($A162, $B162, ParametersRange), 1, COLUMN()-2 )</f>
        <v>-4651.7873236185751</v>
      </c>
      <c r="M162" s="2" cm="1">
        <f t="array" ref="M162">INDEX( ComputeThermoProps($A162, $B162, ParametersRange), 1, COLUMN()-2 )</f>
        <v>5662.3740364169207</v>
      </c>
      <c r="N162" s="2" cm="1">
        <f t="array" ref="N162">INDEX( ComputeThermoProps($A162, $B162, ParametersRange), 1, COLUMN()-2 )</f>
        <v>-2209.1171070102077</v>
      </c>
      <c r="O162" s="4">
        <f t="shared" si="7"/>
        <v>1.9196284815335096</v>
      </c>
      <c r="P162" s="6">
        <f t="shared" si="8"/>
        <v>1057.5660717092396</v>
      </c>
    </row>
    <row r="163" spans="1:16" x14ac:dyDescent="0.25">
      <c r="A163" s="2">
        <v>140.1</v>
      </c>
      <c r="B163" s="2">
        <f t="shared" si="6"/>
        <v>86.843520213217232</v>
      </c>
      <c r="C163" s="2" cm="1">
        <f t="array" ref="C163">INDEX( ComputeThermoProps($A163, $B163, ParametersRange), 1, COLUMN()-2 )</f>
        <v>29.367139446710929</v>
      </c>
      <c r="D163" s="2" cm="1">
        <f t="array" ref="D163">INDEX( ComputeThermoProps($A163, $B163, ParametersRange), 1, COLUMN()-2 )</f>
        <v>5.6809597370373192E-4</v>
      </c>
      <c r="E163" s="2" cm="1">
        <f t="array" ref="E163">INDEX( ComputeThermoProps($A163, $B163, ParametersRange), 1, COLUMN()-2 )</f>
        <v>3.8696690566174995E-4</v>
      </c>
      <c r="F163" s="2" cm="1">
        <f t="array" ref="F163">INDEX( ComputeThermoProps($A163, $B163, ParametersRange), 1, COLUMN()-2 )</f>
        <v>1.2655294781896301E-3</v>
      </c>
      <c r="G163" s="2" cm="1">
        <f t="array" ref="G163">INDEX( ComputeThermoProps($A163, $B163, ParametersRange), 1, COLUMN()-2 )</f>
        <v>36.379452566593116</v>
      </c>
      <c r="H163" s="2" cm="1">
        <f t="array" ref="H163">INDEX( ComputeThermoProps($A163, $B163, ParametersRange), 1, COLUMN()-2 )</f>
        <v>24.780397751427451</v>
      </c>
      <c r="I163" s="2" cm="1">
        <f t="array" ref="I163">INDEX( ComputeThermoProps($A163, $B163, ParametersRange), 1, COLUMN()-2 )</f>
        <v>2.6400000000000006</v>
      </c>
      <c r="J163" s="2" cm="1">
        <f t="array" ref="J163">INDEX( ComputeThermoProps($A163, $B163, ParametersRange), 1, COLUMN()-2 )</f>
        <v>3238.7577799736919</v>
      </c>
      <c r="K163" s="2" cm="1">
        <f t="array" ref="K163">INDEX( ComputeThermoProps($A163, $B163, ParametersRange), 1, COLUMN()-2 )</f>
        <v>56.709767256256406</v>
      </c>
      <c r="L163" s="2" cm="1">
        <f t="array" ref="L163">INDEX( ComputeThermoProps($A163, $B163, ParametersRange), 1, COLUMN()-2 )</f>
        <v>-4706.2806126278301</v>
      </c>
      <c r="M163" s="2" cm="1">
        <f t="array" ref="M163">INDEX( ComputeThermoProps($A163, $B163, ParametersRange), 1, COLUMN()-2 )</f>
        <v>5789.1035481185017</v>
      </c>
      <c r="N163" s="2" cm="1">
        <f t="array" ref="N163">INDEX( ComputeThermoProps($A163, $B163, ParametersRange), 1, COLUMN()-2 )</f>
        <v>-2155.9348444830202</v>
      </c>
      <c r="O163" s="4">
        <f t="shared" si="7"/>
        <v>1.9387374193216467</v>
      </c>
      <c r="P163" s="6">
        <f t="shared" si="8"/>
        <v>1184.2955834108207</v>
      </c>
    </row>
    <row r="164" spans="1:16" x14ac:dyDescent="0.25">
      <c r="A164" s="2">
        <v>141.1</v>
      </c>
      <c r="B164" s="2">
        <f t="shared" si="6"/>
        <v>90.596194820972087</v>
      </c>
      <c r="C164" s="2" cm="1">
        <f t="array" ref="C164">INDEX( ComputeThermoProps($A164, $B164, ParametersRange), 1, COLUMN()-2 )</f>
        <v>29.341844194177408</v>
      </c>
      <c r="D164" s="2" cm="1">
        <f t="array" ref="D164">INDEX( ComputeThermoProps($A164, $B164, ParametersRange), 1, COLUMN()-2 )</f>
        <v>5.6282433002844128E-4</v>
      </c>
      <c r="E164" s="2" cm="1">
        <f t="array" ref="E164">INDEX( ComputeThermoProps($A164, $B164, ParametersRange), 1, COLUMN()-2 )</f>
        <v>3.8353052642120538E-4</v>
      </c>
      <c r="F164" s="2" cm="1">
        <f t="array" ref="F164">INDEX( ComputeThermoProps($A164, $B164, ParametersRange), 1, COLUMN()-2 )</f>
        <v>1.2549730609893949E-3</v>
      </c>
      <c r="G164" s="2" cm="1">
        <f t="array" ref="G164">INDEX( ComputeThermoProps($A164, $B164, ParametersRange), 1, COLUMN()-2 )</f>
        <v>36.367876758398175</v>
      </c>
      <c r="H164" s="2" cm="1">
        <f t="array" ref="H164">INDEX( ComputeThermoProps($A164, $B164, ParametersRange), 1, COLUMN()-2 )</f>
        <v>24.78249459696443</v>
      </c>
      <c r="I164" s="2" cm="1">
        <f t="array" ref="I164">INDEX( ComputeThermoProps($A164, $B164, ParametersRange), 1, COLUMN()-2 )</f>
        <v>2.64</v>
      </c>
      <c r="J164" s="2" cm="1">
        <f t="array" ref="J164">INDEX( ComputeThermoProps($A164, $B164, ParametersRange), 1, COLUMN()-2 )</f>
        <v>3257.8568977103532</v>
      </c>
      <c r="K164" s="2" cm="1">
        <f t="array" ref="K164">INDEX( ComputeThermoProps($A164, $B164, ParametersRange), 1, COLUMN()-2 )</f>
        <v>56.829631889217225</v>
      </c>
      <c r="L164" s="2" cm="1">
        <f t="array" ref="L164">INDEX( ComputeThermoProps($A164, $B164, ParametersRange), 1, COLUMN()-2 )</f>
        <v>-4760.8041618581965</v>
      </c>
      <c r="M164" s="2" cm="1">
        <f t="array" ref="M164">INDEX( ComputeThermoProps($A164, $B164, ParametersRange), 1, COLUMN()-2 )</f>
        <v>5916.1163307326588</v>
      </c>
      <c r="N164" s="2" cm="1">
        <f t="array" ref="N164">INDEX( ComputeThermoProps($A164, $B164, ParametersRange), 1, COLUMN()-2 )</f>
        <v>-2102.5447288358914</v>
      </c>
      <c r="O164" s="4">
        <f t="shared" si="7"/>
        <v>1.9571099570260493</v>
      </c>
      <c r="P164" s="6">
        <f t="shared" si="8"/>
        <v>1311.3083660249777</v>
      </c>
    </row>
    <row r="165" spans="1:16" x14ac:dyDescent="0.25">
      <c r="A165" s="2">
        <v>142.1</v>
      </c>
      <c r="B165" s="2">
        <f t="shared" si="6"/>
        <v>94.363224974827261</v>
      </c>
      <c r="C165" s="2" cm="1">
        <f t="array" ref="C165">INDEX( ComputeThermoProps($A165, $B165, ParametersRange), 1, COLUMN()-2 )</f>
        <v>29.316603042123297</v>
      </c>
      <c r="D165" s="2" cm="1">
        <f t="array" ref="D165">INDEX( ComputeThermoProps($A165, $B165, ParametersRange), 1, COLUMN()-2 )</f>
        <v>5.5764368019630296E-4</v>
      </c>
      <c r="E165" s="2" cm="1">
        <f t="array" ref="E165">INDEX( ComputeThermoProps($A165, $B165, ParametersRange), 1, COLUMN()-2 )</f>
        <v>3.8015046810243008E-4</v>
      </c>
      <c r="F165" s="2" cm="1">
        <f t="array" ref="F165">INDEX( ComputeThermoProps($A165, $B165, ParametersRange), 1, COLUMN()-2 )</f>
        <v>1.244595465919669E-3</v>
      </c>
      <c r="G165" s="2" cm="1">
        <f t="array" ref="G165">INDEX( ComputeThermoProps($A165, $B165, ParametersRange), 1, COLUMN()-2 )</f>
        <v>36.356528217872849</v>
      </c>
      <c r="H165" s="2" cm="1">
        <f t="array" ref="H165">INDEX( ComputeThermoProps($A165, $B165, ParametersRange), 1, COLUMN()-2 )</f>
        <v>24.784556359965006</v>
      </c>
      <c r="I165" s="2" cm="1">
        <f t="array" ref="I165">INDEX( ComputeThermoProps($A165, $B165, ParametersRange), 1, COLUMN()-2 )</f>
        <v>2.64</v>
      </c>
      <c r="J165" s="2" cm="1">
        <f t="array" ref="J165">INDEX( ComputeThermoProps($A165, $B165, ParametersRange), 1, COLUMN()-2 )</f>
        <v>3277.0013635492564</v>
      </c>
      <c r="K165" s="2" cm="1">
        <f t="array" ref="K165">INDEX( ComputeThermoProps($A165, $B165, ParametersRange), 1, COLUMN()-2 )</f>
        <v>56.948333839929361</v>
      </c>
      <c r="L165" s="2" cm="1">
        <f t="array" ref="L165">INDEX( ComputeThermoProps($A165, $B165, ParametersRange), 1, COLUMN()-2 )</f>
        <v>-4815.3568751047051</v>
      </c>
      <c r="M165" s="2" cm="1">
        <f t="array" ref="M165">INDEX( ComputeThermoProps($A165, $B165, ParametersRange), 1, COLUMN()-2 )</f>
        <v>6043.410571910842</v>
      </c>
      <c r="N165" s="2" cm="1">
        <f t="array" ref="N165">INDEX( ComputeThermoProps($A165, $B165, ParametersRange), 1, COLUMN()-2 )</f>
        <v>-2048.94766674312</v>
      </c>
      <c r="O165" s="4">
        <f t="shared" si="7"/>
        <v>1.9748027749948009</v>
      </c>
      <c r="P165" s="6">
        <f t="shared" si="8"/>
        <v>1438.6026072031609</v>
      </c>
    </row>
    <row r="166" spans="1:16" x14ac:dyDescent="0.25">
      <c r="A166" s="2">
        <v>143.1</v>
      </c>
      <c r="B166" s="2">
        <f t="shared" si="6"/>
        <v>98.144558218102503</v>
      </c>
      <c r="C166" s="2" cm="1">
        <f t="array" ref="C166">INDEX( ComputeThermoProps($A166, $B166, ParametersRange), 1, COLUMN()-2 )</f>
        <v>29.291416355737621</v>
      </c>
      <c r="D166" s="2" cm="1">
        <f t="array" ref="D166">INDEX( ComputeThermoProps($A166, $B166, ParametersRange), 1, COLUMN()-2 )</f>
        <v>5.5255180757060574E-4</v>
      </c>
      <c r="E166" s="2" cm="1">
        <f t="array" ref="E166">INDEX( ComputeThermoProps($A166, $B166, ParametersRange), 1, COLUMN()-2 )</f>
        <v>3.7682541795507068E-4</v>
      </c>
      <c r="F166" s="2" cm="1">
        <f t="array" ref="F166">INDEX( ComputeThermoProps($A166, $B166, ParametersRange), 1, COLUMN()-2 )</f>
        <v>1.2343923915266476E-3</v>
      </c>
      <c r="G166" s="2" cm="1">
        <f t="array" ref="G166">INDEX( ComputeThermoProps($A166, $B166, ParametersRange), 1, COLUMN()-2 )</f>
        <v>36.345403262700678</v>
      </c>
      <c r="H166" s="2" cm="1">
        <f t="array" ref="H166">INDEX( ComputeThermoProps($A166, $B166, ParametersRange), 1, COLUMN()-2 )</f>
        <v>24.786583968350691</v>
      </c>
      <c r="I166" s="2" cm="1">
        <f t="array" ref="I166">INDEX( ComputeThermoProps($A166, $B166, ParametersRange), 1, COLUMN()-2 )</f>
        <v>2.6400000000000006</v>
      </c>
      <c r="J166" s="2" cm="1">
        <f t="array" ref="J166">INDEX( ComputeThermoProps($A166, $B166, ParametersRange), 1, COLUMN()-2 )</f>
        <v>3296.1913583900769</v>
      </c>
      <c r="K166" s="2" cm="1">
        <f t="array" ref="K166">INDEX( ComputeThermoProps($A166, $B166, ParametersRange), 1, COLUMN()-2 )</f>
        <v>57.065891253046438</v>
      </c>
      <c r="L166" s="2" cm="1">
        <f t="array" ref="L166">INDEX( ComputeThermoProps($A166, $B166, ParametersRange), 1, COLUMN()-2 )</f>
        <v>-4869.9376799208685</v>
      </c>
      <c r="M166" s="2" cm="1">
        <f t="array" ref="M166">INDEX( ComputeThermoProps($A166, $B166, ParametersRange), 1, COLUMN()-2 )</f>
        <v>6170.9844762064477</v>
      </c>
      <c r="N166" s="2" cm="1">
        <f t="array" ref="N166">INDEX( ComputeThermoProps($A166, $B166, ParametersRange), 1, COLUMN()-2 )</f>
        <v>-1995.1445621044973</v>
      </c>
      <c r="O166" s="4">
        <f t="shared" si="7"/>
        <v>1.9918662244518879</v>
      </c>
      <c r="P166" s="6">
        <f t="shared" si="8"/>
        <v>1566.1765114987666</v>
      </c>
    </row>
    <row r="167" spans="1:16" x14ac:dyDescent="0.25">
      <c r="A167" s="2">
        <v>144.1</v>
      </c>
      <c r="B167" s="2">
        <f t="shared" si="6"/>
        <v>101.940142654925</v>
      </c>
      <c r="C167" s="2" cm="1">
        <f t="array" ref="C167">INDEX( ComputeThermoProps($A167, $B167, ParametersRange), 1, COLUMN()-2 )</f>
        <v>29.266284471807108</v>
      </c>
      <c r="D167" s="2" cm="1">
        <f t="array" ref="D167">INDEX( ComputeThermoProps($A167, $B167, ParametersRange), 1, COLUMN()-2 )</f>
        <v>5.4754656231331136E-4</v>
      </c>
      <c r="E167" s="2" cm="1">
        <f t="array" ref="E167">INDEX( ComputeThermoProps($A167, $B167, ParametersRange), 1, COLUMN()-2 )</f>
        <v>3.7355410149834934E-4</v>
      </c>
      <c r="F167" s="2" cm="1">
        <f t="array" ref="F167">INDEX( ComputeThermoProps($A167, $B167, ParametersRange), 1, COLUMN()-2 )</f>
        <v>1.2243596642877593E-3</v>
      </c>
      <c r="G167" s="2" cm="1">
        <f t="array" ref="G167">INDEX( ComputeThermoProps($A167, $B167, ParametersRange), 1, COLUMN()-2 )</f>
        <v>36.334498244237857</v>
      </c>
      <c r="H167" s="2" cm="1">
        <f t="array" ref="H167">INDEX( ComputeThermoProps($A167, $B167, ParametersRange), 1, COLUMN()-2 )</f>
        <v>24.788578322318241</v>
      </c>
      <c r="I167" s="2" cm="1">
        <f t="array" ref="I167">INDEX( ComputeThermoProps($A167, $B167, ParametersRange), 1, COLUMN()-2 )</f>
        <v>2.6400000000000006</v>
      </c>
      <c r="J167" s="2" cm="1">
        <f t="array" ref="J167">INDEX( ComputeThermoProps($A167, $B167, ParametersRange), 1, COLUMN()-2 )</f>
        <v>3315.4270535089686</v>
      </c>
      <c r="K167" s="2" cm="1">
        <f t="array" ref="K167">INDEX( ComputeThermoProps($A167, $B167, ParametersRange), 1, COLUMN()-2 )</f>
        <v>57.182321861580199</v>
      </c>
      <c r="L167" s="2" cm="1">
        <f t="array" ref="L167">INDEX( ComputeThermoProps($A167, $B167, ParametersRange), 1, COLUMN()-2 )</f>
        <v>-4924.5455267447378</v>
      </c>
      <c r="M167" s="2" cm="1">
        <f t="array" ref="M167">INDEX( ComputeThermoProps($A167, $B167, ParametersRange), 1, COLUMN()-2 )</f>
        <v>6298.8362675446015</v>
      </c>
      <c r="N167" s="2" cm="1">
        <f t="array" ref="N167">INDEX( ComputeThermoProps($A167, $B167, ParametersRange), 1, COLUMN()-2 )</f>
        <v>-1941.1363127091049</v>
      </c>
      <c r="O167" s="4">
        <f t="shared" si="7"/>
        <v>2.0083452370043413</v>
      </c>
      <c r="P167" s="6">
        <f t="shared" si="8"/>
        <v>1694.0283028369204</v>
      </c>
    </row>
    <row r="168" spans="1:16" x14ac:dyDescent="0.25">
      <c r="A168" s="2">
        <v>145.1</v>
      </c>
      <c r="B168" s="2">
        <f t="shared" si="6"/>
        <v>105.74992702822948</v>
      </c>
      <c r="C168" s="2" cm="1">
        <f t="array" ref="C168">INDEX( ComputeThermoProps($A168, $B168, ParametersRange), 1, COLUMN()-2 )</f>
        <v>29.241207698741249</v>
      </c>
      <c r="D168" s="2" cm="1">
        <f t="array" ref="D168">INDEX( ComputeThermoProps($A168, $B168, ParametersRange), 1, COLUMN()-2 )</f>
        <v>5.4262585878105628E-4</v>
      </c>
      <c r="E168" s="2" cm="1">
        <f t="array" ref="E168">INDEX( ComputeThermoProps($A168, $B168, ParametersRange), 1, COLUMN()-2 )</f>
        <v>3.7033528112747645E-4</v>
      </c>
      <c r="F168" s="2" cm="1">
        <f t="array" ref="F168">INDEX( ComputeThermoProps($A168, $B168, ParametersRange), 1, COLUMN()-2 )</f>
        <v>1.2144932331680856E-3</v>
      </c>
      <c r="G168" s="2" cm="1">
        <f t="array" ref="G168">INDEX( ComputeThermoProps($A168, $B168, ParametersRange), 1, COLUMN()-2 )</f>
        <v>36.323809524939314</v>
      </c>
      <c r="H168" s="2" cm="1">
        <f t="array" ref="H168">INDEX( ComputeThermoProps($A168, $B168, ParametersRange), 1, COLUMN()-2 )</f>
        <v>24.790540285451161</v>
      </c>
      <c r="I168" s="2" cm="1">
        <f t="array" ref="I168">INDEX( ComputeThermoProps($A168, $B168, ParametersRange), 1, COLUMN()-2 )</f>
        <v>2.64</v>
      </c>
      <c r="J168" s="2" cm="1">
        <f t="array" ref="J168">INDEX( ComputeThermoProps($A168, $B168, ParametersRange), 1, COLUMN()-2 )</f>
        <v>3334.7086106770548</v>
      </c>
      <c r="K168" s="2" cm="1">
        <f t="array" ref="K168">INDEX( ComputeThermoProps($A168, $B168, ParametersRange), 1, COLUMN()-2 )</f>
        <v>57.29764299617112</v>
      </c>
      <c r="L168" s="2" cm="1">
        <f t="array" ref="L168">INDEX( ComputeThermoProps($A168, $B168, ParametersRange), 1, COLUMN()-2 )</f>
        <v>-4979.179388067374</v>
      </c>
      <c r="M168" s="2" cm="1">
        <f t="array" ref="M168">INDEX( ComputeThermoProps($A168, $B168, ParametersRange), 1, COLUMN()-2 )</f>
        <v>6426.9641910362443</v>
      </c>
      <c r="N168" s="2" cm="1">
        <f t="array" ref="N168">INDEX( ComputeThermoProps($A168, $B168, ParametersRange), 1, COLUMN()-2 )</f>
        <v>-1886.923807708185</v>
      </c>
      <c r="O168" s="4">
        <f t="shared" si="7"/>
        <v>2.0242800763662459</v>
      </c>
      <c r="P168" s="6">
        <f t="shared" si="8"/>
        <v>1822.1562263285632</v>
      </c>
    </row>
    <row r="169" spans="1:16" x14ac:dyDescent="0.25">
      <c r="A169" s="2">
        <v>146.1</v>
      </c>
      <c r="B169" s="2">
        <f t="shared" si="6"/>
        <v>109.57386077683286</v>
      </c>
      <c r="C169" s="2" cm="1">
        <f t="array" ref="C169">INDEX( ComputeThermoProps($A169, $B169, ParametersRange), 1, COLUMN()-2 )</f>
        <v>29.216186316937453</v>
      </c>
      <c r="D169" s="2" cm="1">
        <f t="array" ref="D169">INDEX( ComputeThermoProps($A169, $B169, ParametersRange), 1, COLUMN()-2 )</f>
        <v>5.3778767328894268E-4</v>
      </c>
      <c r="E169" s="2" cm="1">
        <f t="array" ref="E169">INDEX( ComputeThermoProps($A169, $B169, ParametersRange), 1, COLUMN()-2 )</f>
        <v>3.6716775480791507E-4</v>
      </c>
      <c r="F169" s="2" cm="1">
        <f t="array" ref="F169">INDEX( ComputeThermoProps($A169, $B169, ParametersRange), 1, COLUMN()-2 )</f>
        <v>1.2047891659049262E-3</v>
      </c>
      <c r="G169" s="2" cm="1">
        <f t="array" ref="G169">INDEX( ComputeThermoProps($A169, $B169, ParametersRange), 1, COLUMN()-2 )</f>
        <v>36.313333498381169</v>
      </c>
      <c r="H169" s="2" cm="1">
        <f t="array" ref="H169">INDEX( ComputeThermoProps($A169, $B169, ParametersRange), 1, COLUMN()-2 )</f>
        <v>24.792470695080553</v>
      </c>
      <c r="I169" s="2" cm="1">
        <f t="array" ref="I169">INDEX( ComputeThermoProps($A169, $B169, ParametersRange), 1, COLUMN()-2 )</f>
        <v>2.6399999999999997</v>
      </c>
      <c r="J169" s="2" cm="1">
        <f t="array" ref="J169">INDEX( ComputeThermoProps($A169, $B169, ParametersRange), 1, COLUMN()-2 )</f>
        <v>3354.0361823586841</v>
      </c>
      <c r="K169" s="2" cm="1">
        <f t="array" ref="K169">INDEX( ComputeThermoProps($A169, $B169, ParametersRange), 1, COLUMN()-2 )</f>
        <v>57.411871594804012</v>
      </c>
      <c r="L169" s="2" cm="1">
        <f t="array" ref="L169">INDEX( ComputeThermoProps($A169, $B169, ParametersRange), 1, COLUMN()-2 )</f>
        <v>-5033.8382576421818</v>
      </c>
      <c r="M169" s="2" cm="1">
        <f t="array" ref="M169">INDEX( ComputeThermoProps($A169, $B169, ParametersRange), 1, COLUMN()-2 )</f>
        <v>6555.3665142807977</v>
      </c>
      <c r="N169" s="2" cm="1">
        <f t="array" ref="N169">INDEX( ComputeThermoProps($A169, $B169, ParametersRange), 1, COLUMN()-2 )</f>
        <v>-1832.5079257200682</v>
      </c>
      <c r="O169" s="4">
        <f t="shared" si="7"/>
        <v>2.0397069640542003</v>
      </c>
      <c r="P169" s="6">
        <f t="shared" si="8"/>
        <v>1950.5585495731166</v>
      </c>
    </row>
    <row r="170" spans="1:16" x14ac:dyDescent="0.25">
      <c r="A170" s="2">
        <v>147.1</v>
      </c>
      <c r="B170" s="2">
        <f t="shared" si="6"/>
        <v>113.41189407612273</v>
      </c>
      <c r="C170" s="2" cm="1">
        <f t="array" ref="C170">INDEX( ComputeThermoProps($A170, $B170, ParametersRange), 1, COLUMN()-2 )</f>
        <v>29.191220579392532</v>
      </c>
      <c r="D170" s="2" cm="1">
        <f t="array" ref="D170">INDEX( ComputeThermoProps($A170, $B170, ParametersRange), 1, COLUMN()-2 )</f>
        <v>5.3303004188038565E-4</v>
      </c>
      <c r="E170" s="2" cm="1">
        <f t="array" ref="E170">INDEX( ComputeThermoProps($A170, $B170, ParametersRange), 1, COLUMN()-2 )</f>
        <v>3.6405035484430676E-4</v>
      </c>
      <c r="F170" s="2" cm="1">
        <f t="array" ref="F170">INDEX( ComputeThermoProps($A170, $B170, ParametersRange), 1, COLUMN()-2 )</f>
        <v>1.195243644616115E-3</v>
      </c>
      <c r="G170" s="2" cm="1">
        <f t="array" ref="G170">INDEX( ComputeThermoProps($A170, $B170, ParametersRange), 1, COLUMN()-2 )</f>
        <v>36.303066582381</v>
      </c>
      <c r="H170" s="2" cm="1">
        <f t="array" ref="H170">INDEX( ComputeThermoProps($A170, $B170, ParametersRange), 1, COLUMN()-2 )</f>
        <v>24.794370359744303</v>
      </c>
      <c r="I170" s="2" cm="1">
        <f t="array" ref="I170">INDEX( ComputeThermoProps($A170, $B170, ParametersRange), 1, COLUMN()-2 )</f>
        <v>2.64</v>
      </c>
      <c r="J170" s="2" cm="1">
        <f t="array" ref="J170">INDEX( ComputeThermoProps($A170, $B170, ParametersRange), 1, COLUMN()-2 )</f>
        <v>3373.4099119659377</v>
      </c>
      <c r="K170" s="2" cm="1">
        <f t="array" ref="K170">INDEX( ComputeThermoProps($A170, $B170, ParametersRange), 1, COLUMN()-2 )</f>
        <v>57.525024212775087</v>
      </c>
      <c r="L170" s="2" cm="1">
        <f t="array" ref="L170">INDEX( ComputeThermoProps($A170, $B170, ParametersRange), 1, COLUMN()-2 )</f>
        <v>-5088.5211497332775</v>
      </c>
      <c r="M170" s="2" cm="1">
        <f t="array" ref="M170">INDEX( ComputeThermoProps($A170, $B170, ParametersRange), 1, COLUMN()-2 )</f>
        <v>6684.0415282687372</v>
      </c>
      <c r="N170" s="2" cm="1">
        <f t="array" ref="N170">INDEX( ComputeThermoProps($A170, $B170, ParametersRange), 1, COLUMN()-2 )</f>
        <v>-1777.8895334304777</v>
      </c>
      <c r="O170" s="4">
        <f t="shared" si="7"/>
        <v>2.0546586035934866</v>
      </c>
      <c r="P170" s="6">
        <f t="shared" si="8"/>
        <v>2079.2335635610561</v>
      </c>
    </row>
    <row r="171" spans="1:16" x14ac:dyDescent="0.25">
      <c r="A171" s="2">
        <v>148.1</v>
      </c>
      <c r="B171" s="2">
        <f t="shared" si="6"/>
        <v>117.26397786588015</v>
      </c>
      <c r="C171" s="2" cm="1">
        <f t="array" ref="C171">INDEX( ComputeThermoProps($A171, $B171, ParametersRange), 1, COLUMN()-2 )</f>
        <v>29.16631071248915</v>
      </c>
      <c r="D171" s="2" cm="1">
        <f t="array" ref="D171">INDEX( ComputeThermoProps($A171, $B171, ParametersRange), 1, COLUMN()-2 )</f>
        <v>5.2835105826136875E-4</v>
      </c>
      <c r="E171" s="2" cm="1">
        <f t="array" ref="E171">INDEX( ComputeThermoProps($A171, $B171, ParametersRange), 1, COLUMN()-2 )</f>
        <v>3.6098194671391155E-4</v>
      </c>
      <c r="F171" s="2" cm="1">
        <f t="array" ref="F171">INDEX( ComputeThermoProps($A171, $B171, ParametersRange), 1, COLUMN()-2 )</f>
        <v>1.1858529619475314E-3</v>
      </c>
      <c r="G171" s="2" cm="1">
        <f t="array" ref="G171">INDEX( ComputeThermoProps($A171, $B171, ParametersRange), 1, COLUMN()-2 )</f>
        <v>36.293005221841526</v>
      </c>
      <c r="H171" s="2" cm="1">
        <f t="array" ref="H171">INDEX( ComputeThermoProps($A171, $B171, ParametersRange), 1, COLUMN()-2 )</f>
        <v>24.796240060898203</v>
      </c>
      <c r="I171" s="2" cm="1">
        <f t="array" ref="I171">INDEX( ComputeThermoProps($A171, $B171, ParametersRange), 1, COLUMN()-2 )</f>
        <v>2.64</v>
      </c>
      <c r="J171" s="2" cm="1">
        <f t="array" ref="J171">INDEX( ComputeThermoProps($A171, $B171, ParametersRange), 1, COLUMN()-2 )</f>
        <v>3392.8299341516645</v>
      </c>
      <c r="K171" s="2" cm="1">
        <f t="array" ref="K171">INDEX( ComputeThermoProps($A171, $B171, ParametersRange), 1, COLUMN()-2 )</f>
        <v>57.637117032766746</v>
      </c>
      <c r="L171" s="2" cm="1">
        <f t="array" ref="L171">INDEX( ComputeThermoProps($A171, $B171, ParametersRange), 1, COLUMN()-2 )</f>
        <v>-5143.2270984010902</v>
      </c>
      <c r="M171" s="2" cm="1">
        <f t="array" ref="M171">INDEX( ComputeThermoProps($A171, $B171, ParametersRange), 1, COLUMN()-2 )</f>
        <v>6812.9875479703751</v>
      </c>
      <c r="N171" s="2" cm="1">
        <f t="array" ref="N171">INDEX( ComputeThermoProps($A171, $B171, ParametersRange), 1, COLUMN()-2 )</f>
        <v>-1723.0694845823796</v>
      </c>
      <c r="O171" s="4">
        <f t="shared" si="7"/>
        <v>2.0691646223739335</v>
      </c>
      <c r="P171" s="6">
        <f t="shared" si="8"/>
        <v>2208.179583262694</v>
      </c>
    </row>
    <row r="172" spans="1:16" x14ac:dyDescent="0.25">
      <c r="A172" s="2">
        <v>149.1</v>
      </c>
      <c r="B172" s="2">
        <f t="shared" si="6"/>
        <v>121.1300638679876</v>
      </c>
      <c r="C172" s="2" cm="1">
        <f t="array" ref="C172">INDEX( ComputeThermoProps($A172, $B172, ParametersRange), 1, COLUMN()-2 )</f>
        <v>29.141456916903142</v>
      </c>
      <c r="D172" s="2" cm="1">
        <f t="array" ref="D172">INDEX( ComputeThermoProps($A172, $B172, ParametersRange), 1, COLUMN()-2 )</f>
        <v>5.2374887182284307E-4</v>
      </c>
      <c r="E172" s="2" cm="1">
        <f t="array" ref="E172">INDEX( ComputeThermoProps($A172, $B172, ParametersRange), 1, COLUMN()-2 )</f>
        <v>3.5796142795662815E-4</v>
      </c>
      <c r="F172" s="2" cm="1">
        <f t="array" ref="F172">INDEX( ComputeThermoProps($A172, $B172, ParametersRange), 1, COLUMN()-2 )</f>
        <v>1.1766135173038688E-3</v>
      </c>
      <c r="G172" s="2" cm="1">
        <f t="array" ref="G172">INDEX( ComputeThermoProps($A172, $B172, ParametersRange), 1, COLUMN()-2 )</f>
        <v>36.283145888521588</v>
      </c>
      <c r="H172" s="2" cm="1">
        <f t="array" ref="H172">INDEX( ComputeThermoProps($A172, $B172, ParametersRange), 1, COLUMN()-2 )</f>
        <v>24.798080553015492</v>
      </c>
      <c r="I172" s="2" cm="1">
        <f t="array" ref="I172">INDEX( ComputeThermoProps($A172, $B172, ParametersRange), 1, COLUMN()-2 )</f>
        <v>2.64</v>
      </c>
      <c r="J172" s="2" cm="1">
        <f t="array" ref="J172">INDEX( ComputeThermoProps($A172, $B172, ParametersRange), 1, COLUMN()-2 )</f>
        <v>3412.2963751276484</v>
      </c>
      <c r="K172" s="2" cm="1">
        <f t="array" ref="K172">INDEX( ComputeThermoProps($A172, $B172, ParametersRange), 1, COLUMN()-2 )</f>
        <v>57.748165874922201</v>
      </c>
      <c r="L172" s="2" cm="1">
        <f t="array" ref="L172">INDEX( ComputeThermoProps($A172, $B172, ParametersRange), 1, COLUMN()-2 )</f>
        <v>-5197.9551568232519</v>
      </c>
      <c r="M172" s="2" cm="1">
        <f t="array" ref="M172">INDEX( ComputeThermoProps($A172, $B172, ParametersRange), 1, COLUMN()-2 )</f>
        <v>6942.2029126783355</v>
      </c>
      <c r="N172" s="2" cm="1">
        <f t="array" ref="N172">INDEX( ComputeThermoProps($A172, $B172, ParametersRange), 1, COLUMN()-2 )</f>
        <v>-1668.0486192725643</v>
      </c>
      <c r="O172" s="4">
        <f t="shared" si="7"/>
        <v>2.0832519462111789</v>
      </c>
      <c r="P172" s="6">
        <f t="shared" si="8"/>
        <v>2337.3949479706544</v>
      </c>
    </row>
    <row r="173" spans="1:16" x14ac:dyDescent="0.25">
      <c r="A173" s="2">
        <v>150.1</v>
      </c>
      <c r="B173" s="2">
        <f t="shared" si="6"/>
        <v>125.01010459618139</v>
      </c>
      <c r="C173" s="2" cm="1">
        <f t="array" ref="C173">INDEX( ComputeThermoProps($A173, $B173, ParametersRange), 1, COLUMN()-2 )</f>
        <v>29.116659368590398</v>
      </c>
      <c r="D173" s="2" cm="1">
        <f t="array" ref="D173">INDEX( ComputeThermoProps($A173, $B173, ParametersRange), 1, COLUMN()-2 )</f>
        <v>5.192216858108693E-4</v>
      </c>
      <c r="E173" s="2" cm="1">
        <f t="array" ref="E173">INDEX( ComputeThermoProps($A173, $B173, ParametersRange), 1, COLUMN()-2 )</f>
        <v>3.5498772711536902E-4</v>
      </c>
      <c r="F173" s="2" cm="1">
        <f t="array" ref="F173">INDEX( ComputeThermoProps($A173, $B173, ParametersRange), 1, COLUMN()-2 )</f>
        <v>1.1675218136485382E-3</v>
      </c>
      <c r="G173" s="2" cm="1">
        <f t="array" ref="G173">INDEX( ComputeThermoProps($A173, $B173, ParametersRange), 1, COLUMN()-2 )</f>
        <v>36.273485093245121</v>
      </c>
      <c r="H173" s="2" cm="1">
        <f t="array" ref="H173">INDEX( ComputeThermoProps($A173, $B173, ParametersRange), 1, COLUMN()-2 )</f>
        <v>24.799892569384564</v>
      </c>
      <c r="I173" s="2" cm="1">
        <f t="array" ref="I173">INDEX( ComputeThermoProps($A173, $B173, ParametersRange), 1, COLUMN()-2 )</f>
        <v>2.64</v>
      </c>
      <c r="J173" s="2" cm="1">
        <f t="array" ref="J173">INDEX( ComputeThermoProps($A173, $B173, ParametersRange), 1, COLUMN()-2 )</f>
        <v>3431.8093529977496</v>
      </c>
      <c r="K173" s="2" cm="1">
        <f t="array" ref="K173">INDEX( ComputeThermoProps($A173, $B173, ParametersRange), 1, COLUMN()-2 )</f>
        <v>57.858186206839875</v>
      </c>
      <c r="L173" s="2" cm="1">
        <f t="array" ref="L173">INDEX( ComputeThermoProps($A173, $B173, ParametersRange), 1, COLUMN()-2 )</f>
        <v>-5252.7043966489155</v>
      </c>
      <c r="M173" s="2" cm="1">
        <f t="array" ref="M173">INDEX( ComputeThermoProps($A173, $B173, ParametersRange), 1, COLUMN()-2 )</f>
        <v>7071.6859861566199</v>
      </c>
      <c r="N173" s="2" cm="1">
        <f t="array" ref="N173">INDEX( ComputeThermoProps($A173, $B173, ParametersRange), 1, COLUMN()-2 )</f>
        <v>-1612.8277634900448</v>
      </c>
      <c r="O173" s="4">
        <f t="shared" si="7"/>
        <v>2.0969451185520738</v>
      </c>
      <c r="P173" s="6">
        <f t="shared" si="8"/>
        <v>2466.8780214489389</v>
      </c>
    </row>
    <row r="174" spans="1:16" x14ac:dyDescent="0.25">
      <c r="A174" s="2">
        <v>151.1</v>
      </c>
      <c r="B174" s="2">
        <f t="shared" si="6"/>
        <v>128.90405335954918</v>
      </c>
      <c r="C174" s="2" cm="1">
        <f t="array" ref="C174">INDEX( ComputeThermoProps($A174, $B174, ParametersRange), 1, COLUMN()-2 )</f>
        <v>29.091918219822038</v>
      </c>
      <c r="D174" s="2" cm="1">
        <f t="array" ref="D174">INDEX( ComputeThermoProps($A174, $B174, ParametersRange), 1, COLUMN()-2 )</f>
        <v>5.1476775542630589E-4</v>
      </c>
      <c r="E174" s="2" cm="1">
        <f t="array" ref="E174">INDEX( ComputeThermoProps($A174, $B174, ParametersRange), 1, COLUMN()-2 )</f>
        <v>3.5205980272183231E-4</v>
      </c>
      <c r="F174" s="2" cm="1">
        <f t="array" ref="F174">INDEX( ComputeThermoProps($A174, $B174, ParametersRange), 1, COLUMN()-2 )</f>
        <v>1.1585744533738596E-3</v>
      </c>
      <c r="G174" s="2" cm="1">
        <f t="array" ref="G174">INDEX( ComputeThermoProps($A174, $B174, ParametersRange), 1, COLUMN()-2 )</f>
        <v>36.264019364757772</v>
      </c>
      <c r="H174" s="2" cm="1">
        <f t="array" ref="H174">INDEX( ComputeThermoProps($A174, $B174, ParametersRange), 1, COLUMN()-2 )</f>
        <v>24.801676812263089</v>
      </c>
      <c r="I174" s="2" cm="1">
        <f t="array" ref="I174">INDEX( ComputeThermoProps($A174, $B174, ParametersRange), 1, COLUMN()-2 )</f>
        <v>2.64</v>
      </c>
      <c r="J174" s="2" cm="1">
        <f t="array" ref="J174">INDEX( ComputeThermoProps($A174, $B174, ParametersRange), 1, COLUMN()-2 )</f>
        <v>3451.3689780984023</v>
      </c>
      <c r="K174" s="2" cm="1">
        <f t="array" ref="K174">INDEX( ComputeThermoProps($A174, $B174, ParametersRange), 1, COLUMN()-2 )</f>
        <v>57.967193153428667</v>
      </c>
      <c r="L174" s="2" cm="1">
        <f t="array" ref="L174">INDEX( ComputeThermoProps($A174, $B174, ParametersRange), 1, COLUMN()-2 )</f>
        <v>-5307.4739073846686</v>
      </c>
      <c r="M174" s="2" cm="1">
        <f t="array" ref="M174">INDEX( ComputeThermoProps($A174, $B174, ParametersRange), 1, COLUMN()-2 )</f>
        <v>7201.4351566379828</v>
      </c>
      <c r="N174" s="2" cm="1">
        <f t="array" ref="N174">INDEX( ComputeThermoProps($A174, $B174, ParametersRange), 1, COLUMN()-2 )</f>
        <v>-1557.4077288450885</v>
      </c>
      <c r="O174" s="4">
        <f t="shared" si="7"/>
        <v>2.110266573862388</v>
      </c>
      <c r="P174" s="6">
        <f t="shared" si="8"/>
        <v>2596.6271919303017</v>
      </c>
    </row>
    <row r="175" spans="1:16" x14ac:dyDescent="0.25">
      <c r="A175" s="2">
        <v>152.1</v>
      </c>
      <c r="B175" s="2">
        <f t="shared" si="6"/>
        <v>132.81186426112416</v>
      </c>
      <c r="C175" s="2" cm="1">
        <f t="array" ref="C175">INDEX( ComputeThermoProps($A175, $B175, ParametersRange), 1, COLUMN()-2 )</f>
        <v>29.067233600244084</v>
      </c>
      <c r="D175" s="2" cm="1">
        <f t="array" ref="D175">INDEX( ComputeThermoProps($A175, $B175, ParametersRange), 1, COLUMN()-2 )</f>
        <v>5.1038538624691165E-4</v>
      </c>
      <c r="E175" s="2" cm="1">
        <f t="array" ref="E175">INDEX( ComputeThermoProps($A175, $B175, ParametersRange), 1, COLUMN()-2 )</f>
        <v>3.4917664232367318E-4</v>
      </c>
      <c r="F175" s="2" cm="1">
        <f t="array" ref="F175">INDEX( ComputeThermoProps($A175, $B175, ParametersRange), 1, COLUMN()-2 )</f>
        <v>1.1497681360711958E-3</v>
      </c>
      <c r="G175" s="2" cm="1">
        <f t="array" ref="G175">INDEX( ComputeThermoProps($A175, $B175, ParametersRange), 1, COLUMN()-2 )</f>
        <v>36.254745283090294</v>
      </c>
      <c r="H175" s="2" cm="1">
        <f t="array" ref="H175">INDEX( ComputeThermoProps($A175, $B175, ParametersRange), 1, COLUMN()-2 )</f>
        <v>24.803433968474248</v>
      </c>
      <c r="I175" s="2" cm="1">
        <f t="array" ref="I175">INDEX( ComputeThermoProps($A175, $B175, ParametersRange), 1, COLUMN()-2 )</f>
        <v>2.64</v>
      </c>
      <c r="J175" s="2" cm="1">
        <f t="array" ref="J175">INDEX( ComputeThermoProps($A175, $B175, ParametersRange), 1, COLUMN()-2 )</f>
        <v>3470.9753533407534</v>
      </c>
      <c r="K175" s="2" cm="1">
        <f t="array" ref="K175">INDEX( ComputeThermoProps($A175, $B175, ParametersRange), 1, COLUMN()-2 )</f>
        <v>58.0752015065815</v>
      </c>
      <c r="L175" s="2" cm="1">
        <f t="array" ref="L175">INDEX( ComputeThermoProps($A175, $B175, ParametersRange), 1, COLUMN()-2 )</f>
        <v>-5362.2627958102921</v>
      </c>
      <c r="M175" s="2" cm="1">
        <f t="array" ref="M175">INDEX( ComputeThermoProps($A175, $B175, ParametersRange), 1, COLUMN()-2 )</f>
        <v>7331.4488367027579</v>
      </c>
      <c r="N175" s="2" cm="1">
        <f t="array" ref="N175">INDEX( ComputeThermoProps($A175, $B175, ParametersRange), 1, COLUMN()-2 )</f>
        <v>-1501.789312448288</v>
      </c>
      <c r="O175" s="4">
        <f t="shared" si="7"/>
        <v>2.1232368728707613</v>
      </c>
      <c r="P175" s="6">
        <f t="shared" si="8"/>
        <v>2726.6408719950768</v>
      </c>
    </row>
    <row r="176" spans="1:16" x14ac:dyDescent="0.25">
      <c r="A176" s="2">
        <v>153.1</v>
      </c>
      <c r="B176" s="2">
        <f t="shared" si="6"/>
        <v>136.73349219264543</v>
      </c>
      <c r="C176" s="2" cm="1">
        <f t="array" ref="C176">INDEX( ComputeThermoProps($A176, $B176, ParametersRange), 1, COLUMN()-2 )</f>
        <v>29.042605617943593</v>
      </c>
      <c r="D176" s="2" cm="1">
        <f t="array" ref="D176">INDEX( ComputeThermoProps($A176, $B176, ParametersRange), 1, COLUMN()-2 )</f>
        <v>5.0607293245068122E-4</v>
      </c>
      <c r="E176" s="2" cm="1">
        <f t="array" ref="E176">INDEX( ComputeThermoProps($A176, $B176, ParametersRange), 1, COLUMN()-2 )</f>
        <v>3.4633726154982564E-4</v>
      </c>
      <c r="F176" s="2" cm="1">
        <f t="array" ref="F176">INDEX( ComputeThermoProps($A176, $B176, ParametersRange), 1, COLUMN()-2 )</f>
        <v>1.1410996545304015E-3</v>
      </c>
      <c r="G176" s="2" cm="1">
        <f t="array" ref="G176">INDEX( ComputeThermoProps($A176, $B176, ParametersRange), 1, COLUMN()-2 )</f>
        <v>36.245659454013271</v>
      </c>
      <c r="H176" s="2" cm="1">
        <f t="array" ref="H176">INDEX( ComputeThermoProps($A176, $B176, ParametersRange), 1, COLUMN()-2 )</f>
        <v>24.8051646974695</v>
      </c>
      <c r="I176" s="2" cm="1">
        <f t="array" ref="I176">INDEX( ComputeThermoProps($A176, $B176, ParametersRange), 1, COLUMN()-2 )</f>
        <v>2.6399999999999997</v>
      </c>
      <c r="J176" s="2" cm="1">
        <f t="array" ref="J176">INDEX( ComputeThermoProps($A176, $B176, ParametersRange), 1, COLUMN()-2 )</f>
        <v>3490.6285745501377</v>
      </c>
      <c r="K176" s="2" cm="1">
        <f t="array" ref="K176">INDEX( ComputeThermoProps($A176, $B176, ParametersRange), 1, COLUMN()-2 )</f>
        <v>58.182225734635779</v>
      </c>
      <c r="L176" s="2" cm="1">
        <f t="array" ref="L176">INDEX( ComputeThermoProps($A176, $B176, ParametersRange), 1, COLUMN()-2 )</f>
        <v>-5417.0701854225999</v>
      </c>
      <c r="M176" s="2" cm="1">
        <f t="array" ref="M176">INDEX( ComputeThermoProps($A176, $B176, ParametersRange), 1, COLUMN()-2 )</f>
        <v>7461.7254630653078</v>
      </c>
      <c r="N176" s="2" cm="1">
        <f t="array" ref="N176">INDEX( ComputeThermoProps($A176, $B176, ParametersRange), 1, COLUMN()-2 )</f>
        <v>-1445.9732969074296</v>
      </c>
      <c r="O176" s="4">
        <f t="shared" si="7"/>
        <v>2.1358749058837425</v>
      </c>
      <c r="P176" s="6">
        <f t="shared" si="8"/>
        <v>2856.9174983576268</v>
      </c>
    </row>
    <row r="177" spans="1:16" x14ac:dyDescent="0.25">
      <c r="A177" s="2">
        <v>154.1</v>
      </c>
      <c r="B177" s="2">
        <f t="shared" si="6"/>
        <v>140.6688928263406</v>
      </c>
      <c r="C177" s="2" cm="1">
        <f t="array" ref="C177">INDEX( ComputeThermoProps($A177, $B177, ParametersRange), 1, COLUMN()-2 )</f>
        <v>29.018034360507848</v>
      </c>
      <c r="D177" s="2" cm="1">
        <f t="array" ref="D177">INDEX( ComputeThermoProps($A177, $B177, ParametersRange), 1, COLUMN()-2 )</f>
        <v>5.018287952787264E-4</v>
      </c>
      <c r="E177" s="2" cm="1">
        <f t="array" ref="E177">INDEX( ComputeThermoProps($A177, $B177, ParametersRange), 1, COLUMN()-2 )</f>
        <v>3.4354070321128774E-4</v>
      </c>
      <c r="F177" s="2" cm="1">
        <f t="array" ref="F177">INDEX( ComputeThermoProps($A177, $B177, ParametersRange), 1, COLUMN()-2 )</f>
        <v>1.1325658921096601E-3</v>
      </c>
      <c r="G177" s="2" cm="1">
        <f t="array" ref="G177">INDEX( ComputeThermoProps($A177, $B177, ParametersRange), 1, COLUMN()-2 )</f>
        <v>36.236758522274783</v>
      </c>
      <c r="H177" s="2" cm="1">
        <f t="array" ref="H177">INDEX( ComputeThermoProps($A177, $B177, ParametersRange), 1, COLUMN()-2 )</f>
        <v>24.806869637533602</v>
      </c>
      <c r="I177" s="2" cm="1">
        <f t="array" ref="I177">INDEX( ComputeThermoProps($A177, $B177, ParametersRange), 1, COLUMN()-2 )</f>
        <v>2.6399999999999997</v>
      </c>
      <c r="J177" s="2" cm="1">
        <f t="array" ref="J177">INDEX( ComputeThermoProps($A177, $B177, ParametersRange), 1, COLUMN()-2 )</f>
        <v>3510.3287307997889</v>
      </c>
      <c r="K177" s="2" cm="1">
        <f t="array" ref="K177">INDEX( ComputeThermoProps($A177, $B177, ParametersRange), 1, COLUMN()-2 )</f>
        <v>58.288279991600518</v>
      </c>
      <c r="L177" s="2" cm="1">
        <f t="array" ref="L177">INDEX( ComputeThermoProps($A177, $B177, ParametersRange), 1, COLUMN()-2 )</f>
        <v>-5471.8952159058508</v>
      </c>
      <c r="M177" s="2" cm="1">
        <f t="array" ref="M177">INDEX( ComputeThermoProps($A177, $B177, ParametersRange), 1, COLUMN()-2 )</f>
        <v>7592.2634962891361</v>
      </c>
      <c r="N177" s="2" cm="1">
        <f t="array" ref="N177">INDEX( ComputeThermoProps($A177, $B177, ParametersRange), 1, COLUMN()-2 )</f>
        <v>-1389.9604504165034</v>
      </c>
      <c r="O177" s="4">
        <f t="shared" si="7"/>
        <v>2.1481980692364098</v>
      </c>
      <c r="P177" s="6">
        <f t="shared" si="8"/>
        <v>2987.455531581455</v>
      </c>
    </row>
    <row r="178" spans="1:16" x14ac:dyDescent="0.25">
      <c r="A178" s="2">
        <v>155.1</v>
      </c>
      <c r="B178" s="2">
        <f t="shared" si="6"/>
        <v>144.61802260441493</v>
      </c>
      <c r="C178" s="2" cm="1">
        <f t="array" ref="C178">INDEX( ComputeThermoProps($A178, $B178, ParametersRange), 1, COLUMN()-2 )</f>
        <v>28.993519896066552</v>
      </c>
      <c r="D178" s="2" cm="1">
        <f t="array" ref="D178">INDEX( ComputeThermoProps($A178, $B178, ParametersRange), 1, COLUMN()-2 )</f>
        <v>4.9765142151548581E-4</v>
      </c>
      <c r="E178" s="2" cm="1">
        <f t="array" ref="E178">INDEX( ComputeThermoProps($A178, $B178, ParametersRange), 1, COLUMN()-2 )</f>
        <v>3.4078603643511142E-4</v>
      </c>
      <c r="F178" s="2" cm="1">
        <f t="array" ref="F178">INDEX( ComputeThermoProps($A178, $B178, ParametersRange), 1, COLUMN()-2 )</f>
        <v>1.124163819919513E-3</v>
      </c>
      <c r="G178" s="2" cm="1">
        <f t="array" ref="G178">INDEX( ComputeThermoProps($A178, $B178, ParametersRange), 1, COLUMN()-2 )</f>
        <v>36.228039175730387</v>
      </c>
      <c r="H178" s="2" cm="1">
        <f t="array" ref="H178">INDEX( ComputeThermoProps($A178, $B178, ParametersRange), 1, COLUMN()-2 )</f>
        <v>24.808549407768382</v>
      </c>
      <c r="I178" s="2" cm="1">
        <f t="array" ref="I178">INDEX( ComputeThermoProps($A178, $B178, ParametersRange), 1, COLUMN()-2 )</f>
        <v>2.6399999999999997</v>
      </c>
      <c r="J178" s="2" cm="1">
        <f t="array" ref="J178">INDEX( ComputeThermoProps($A178, $B178, ParametersRange), 1, COLUMN()-2 )</f>
        <v>3530.07590473646</v>
      </c>
      <c r="K178" s="2" cm="1">
        <f t="array" ref="K178">INDEX( ComputeThermoProps($A178, $B178, ParametersRange), 1, COLUMN()-2 )</f>
        <v>58.393378126135111</v>
      </c>
      <c r="L178" s="2" cm="1">
        <f t="array" ref="L178">INDEX( ComputeThermoProps($A178, $B178, ParametersRange), 1, COLUMN()-2 )</f>
        <v>-5526.7370426270954</v>
      </c>
      <c r="M178" s="2" cm="1">
        <f t="array" ref="M178">INDEX( ComputeThermoProps($A178, $B178, ParametersRange), 1, COLUMN()-2 )</f>
        <v>7723.0614204473668</v>
      </c>
      <c r="N178" s="2" cm="1">
        <f t="array" ref="N178">INDEX( ComputeThermoProps($A178, $B178, ParametersRange), 1, COLUMN()-2 )</f>
        <v>-1333.7515269161886</v>
      </c>
      <c r="O178" s="4">
        <f t="shared" si="7"/>
        <v>2.1602224190298167</v>
      </c>
      <c r="P178" s="6">
        <f t="shared" si="8"/>
        <v>3118.2534557396857</v>
      </c>
    </row>
    <row r="179" spans="1:16" x14ac:dyDescent="0.25">
      <c r="A179" s="2">
        <v>156.1</v>
      </c>
      <c r="B179" s="2">
        <f t="shared" si="6"/>
        <v>148.58083872679319</v>
      </c>
      <c r="C179" s="2" cm="1">
        <f t="array" ref="C179">INDEX( ComputeThermoProps($A179, $B179, ParametersRange), 1, COLUMN()-2 )</f>
        <v>28.969062274309678</v>
      </c>
      <c r="D179" s="2" cm="1">
        <f t="array" ref="D179">INDEX( ComputeThermoProps($A179, $B179, ParametersRange), 1, COLUMN()-2 )</f>
        <v>4.9353930203748658E-4</v>
      </c>
      <c r="E179" s="2" cm="1">
        <f t="array" ref="E179">INDEX( ComputeThermoProps($A179, $B179, ParametersRange), 1, COLUMN()-2 )</f>
        <v>3.3807235582968974E-4</v>
      </c>
      <c r="F179" s="2" cm="1">
        <f t="array" ref="F179">INDEX( ComputeThermoProps($A179, $B179, ParametersRange), 1, COLUMN()-2 )</f>
        <v>1.1158904942038448E-3</v>
      </c>
      <c r="G179" s="2" cm="1">
        <f t="array" ref="G179">INDEX( ComputeThermoProps($A179, $B179, ParametersRange), 1, COLUMN()-2 )</f>
        <v>36.219498152506254</v>
      </c>
      <c r="H179" s="2" cm="1">
        <f t="array" ref="H179">INDEX( ComputeThermoProps($A179, $B179, ParametersRange), 1, COLUMN()-2 )</f>
        <v>24.810204611540406</v>
      </c>
      <c r="I179" s="2" cm="1">
        <f t="array" ref="I179">INDEX( ComputeThermoProps($A179, $B179, ParametersRange), 1, COLUMN()-2 )</f>
        <v>2.640000000000001</v>
      </c>
      <c r="J179" s="2" cm="1">
        <f t="array" ref="J179">INDEX( ComputeThermoProps($A179, $B179, ParametersRange), 1, COLUMN()-2 )</f>
        <v>3549.8701728963583</v>
      </c>
      <c r="K179" s="2" cm="1">
        <f t="array" ref="K179">INDEX( ComputeThermoProps($A179, $B179, ParametersRange), 1, COLUMN()-2 )</f>
        <v>58.497533690272014</v>
      </c>
      <c r="L179" s="2" cm="1">
        <f t="array" ref="L179">INDEX( ComputeThermoProps($A179, $B179, ParametersRange), 1, COLUMN()-2 )</f>
        <v>-5581.5948361551027</v>
      </c>
      <c r="M179" s="2" cm="1">
        <f t="array" ref="M179">INDEX( ComputeThermoProps($A179, $B179, ParametersRange), 1, COLUMN()-2 )</f>
        <v>7854.1177427419934</v>
      </c>
      <c r="N179" s="2" cm="1">
        <f t="array" ref="N179">INDEX( ComputeThermoProps($A179, $B179, ParametersRange), 1, COLUMN()-2 )</f>
        <v>-1277.3472663094676</v>
      </c>
      <c r="O179" s="4">
        <f t="shared" si="7"/>
        <v>2.1719628055767504</v>
      </c>
      <c r="P179" s="6">
        <f t="shared" si="8"/>
        <v>3249.3097780343123</v>
      </c>
    </row>
    <row r="180" spans="1:16" x14ac:dyDescent="0.25">
      <c r="A180" s="2">
        <v>157.1</v>
      </c>
      <c r="B180" s="2">
        <f t="shared" si="6"/>
        <v>152.55729913755565</v>
      </c>
      <c r="C180" s="2" cm="1">
        <f t="array" ref="C180">INDEX( ComputeThermoProps($A180, $B180, ParametersRange), 1, COLUMN()-2 )</f>
        <v>28.944661527475805</v>
      </c>
      <c r="D180" s="2" cm="1">
        <f t="array" ref="D180">INDEX( ComputeThermoProps($A180, $B180, ParametersRange), 1, COLUMN()-2 )</f>
        <v>4.8949097028504348E-4</v>
      </c>
      <c r="E180" s="2" cm="1">
        <f t="array" ref="E180">INDEX( ComputeThermoProps($A180, $B180, ParametersRange), 1, COLUMN()-2 )</f>
        <v>3.3539878067968636E-4</v>
      </c>
      <c r="F180" s="2" cm="1">
        <f t="array" ref="F180">INDEX( ComputeThermoProps($A180, $B180, ParametersRange), 1, COLUMN()-2 )</f>
        <v>1.1077430528879779E-3</v>
      </c>
      <c r="G180" s="2" cm="1">
        <f t="array" ref="G180">INDEX( ComputeThermoProps($A180, $B180, ParametersRange), 1, COLUMN()-2 )</f>
        <v>36.211132217855713</v>
      </c>
      <c r="H180" s="2" cm="1">
        <f t="array" ref="H180">INDEX( ComputeThermoProps($A180, $B180, ParametersRange), 1, COLUMN()-2 )</f>
        <v>24.811835825750293</v>
      </c>
      <c r="I180" s="2" cm="1">
        <f t="array" ref="I180">INDEX( ComputeThermoProps($A180, $B180, ParametersRange), 1, COLUMN()-2 )</f>
        <v>2.64</v>
      </c>
      <c r="J180" s="2" cm="1">
        <f t="array" ref="J180">INDEX( ComputeThermoProps($A180, $B180, ParametersRange), 1, COLUMN()-2 )</f>
        <v>3569.7116060103044</v>
      </c>
      <c r="K180" s="2" cm="1">
        <f t="array" ref="K180">INDEX( ComputeThermoProps($A180, $B180, ParametersRange), 1, COLUMN()-2 )</f>
        <v>58.600759947878608</v>
      </c>
      <c r="L180" s="2" cm="1">
        <f t="array" ref="L180">INDEX( ComputeThermoProps($A180, $B180, ParametersRange), 1, COLUMN()-2 )</f>
        <v>-5636.4677818014243</v>
      </c>
      <c r="M180" s="2" cm="1">
        <f t="array" ref="M180">INDEX( ComputeThermoProps($A180, $B180, ParametersRange), 1, COLUMN()-2 )</f>
        <v>7985.4309930927293</v>
      </c>
      <c r="N180" s="2" cm="1">
        <f t="array" ref="N180">INDEX( ComputeThermoProps($A180, $B180, ParametersRange), 1, COLUMN()-2 )</f>
        <v>-1220.7483947189996</v>
      </c>
      <c r="O180" s="4">
        <f t="shared" si="7"/>
        <v>2.1834329913906041</v>
      </c>
      <c r="P180" s="6">
        <f t="shared" si="8"/>
        <v>3380.6230283850482</v>
      </c>
    </row>
    <row r="181" spans="1:16" x14ac:dyDescent="0.25">
      <c r="A181" s="2">
        <v>158.1</v>
      </c>
      <c r="B181" s="2">
        <f t="shared" si="6"/>
        <v>156.54736251042027</v>
      </c>
      <c r="C181" s="2" cm="1">
        <f t="array" ref="C181">INDEX( ComputeThermoProps($A181, $B181, ParametersRange), 1, COLUMN()-2 )</f>
        <v>28.920317671307185</v>
      </c>
      <c r="D181" s="2" cm="1">
        <f t="array" ref="D181">INDEX( ComputeThermoProps($A181, $B181, ParametersRange), 1, COLUMN()-2 )</f>
        <v>4.8550500102184847E-4</v>
      </c>
      <c r="E181" s="2" cm="1">
        <f t="array" ref="E181">INDEX( ComputeThermoProps($A181, $B181, ParametersRange), 1, COLUMN()-2 )</f>
        <v>3.3276445416916185E-4</v>
      </c>
      <c r="F181" s="2" cm="1">
        <f t="array" ref="F181">INDEX( ComputeThermoProps($A181, $B181, ParametersRange), 1, COLUMN()-2 )</f>
        <v>1.099718713925213E-3</v>
      </c>
      <c r="G181" s="2" cm="1">
        <f t="array" ref="G181">INDEX( ComputeThermoProps($A181, $B181, ParametersRange), 1, COLUMN()-2 )</f>
        <v>36.202938195980977</v>
      </c>
      <c r="H181" s="2" cm="1">
        <f t="array" ref="H181">INDEX( ComputeThermoProps($A181, $B181, ParametersRange), 1, COLUMN()-2 )</f>
        <v>24.813443615925543</v>
      </c>
      <c r="I181" s="2" cm="1">
        <f t="array" ref="I181">INDEX( ComputeThermoProps($A181, $B181, ParametersRange), 1, COLUMN()-2 )</f>
        <v>2.64</v>
      </c>
      <c r="J181" s="2" cm="1">
        <f t="array" ref="J181">INDEX( ComputeThermoProps($A181, $B181, ParametersRange), 1, COLUMN()-2 )</f>
        <v>3589.6002692973766</v>
      </c>
      <c r="K181" s="2" cm="1">
        <f t="array" ref="K181">INDEX( ComputeThermoProps($A181, $B181, ParametersRange), 1, COLUMN()-2 )</f>
        <v>58.703069882857449</v>
      </c>
      <c r="L181" s="2" cm="1">
        <f t="array" ref="L181">INDEX( ComputeThermoProps($A181, $B181, ParametersRange), 1, COLUMN()-2 )</f>
        <v>-5691.3550791823855</v>
      </c>
      <c r="M181" s="2" cm="1">
        <f t="array" ref="M181">INDEX( ComputeThermoProps($A181, $B181, ParametersRange), 1, COLUMN()-2 )</f>
        <v>8116.9997237040161</v>
      </c>
      <c r="N181" s="2" cm="1">
        <f t="array" ref="N181">INDEX( ComputeThermoProps($A181, $B181, ParametersRange), 1, COLUMN()-2 )</f>
        <v>-1163.9556247757462</v>
      </c>
      <c r="O181" s="4">
        <f t="shared" si="7"/>
        <v>2.1946457550776888</v>
      </c>
      <c r="P181" s="6">
        <f t="shared" si="8"/>
        <v>3512.191758996335</v>
      </c>
    </row>
    <row r="182" spans="1:16" x14ac:dyDescent="0.25">
      <c r="A182" s="2">
        <v>159.1</v>
      </c>
      <c r="B182" s="2">
        <f t="shared" si="6"/>
        <v>160.55098823355462</v>
      </c>
      <c r="C182" s="2" cm="1">
        <f t="array" ref="C182">INDEX( ComputeThermoProps($A182, $B182, ParametersRange), 1, COLUMN()-2 )</f>
        <v>28.896030705969292</v>
      </c>
      <c r="D182" s="2" cm="1">
        <f t="array" ref="D182">INDEX( ComputeThermoProps($A182, $B182, ParametersRange), 1, COLUMN()-2 )</f>
        <v>4.8158000890543027E-4</v>
      </c>
      <c r="E182" s="2" cm="1">
        <f t="array" ref="E182">INDEX( ComputeThermoProps($A182, $B182, ParametersRange), 1, COLUMN()-2 )</f>
        <v>3.3016854263161644E-4</v>
      </c>
      <c r="F182" s="2" cm="1">
        <f t="array" ref="F182">INDEX( ComputeThermoProps($A182, $B182, ParametersRange), 1, COLUMN()-2 )</f>
        <v>1.0918147720327459E-3</v>
      </c>
      <c r="G182" s="2" cm="1">
        <f t="array" ref="G182">INDEX( ComputeThermoProps($A182, $B182, ParametersRange), 1, COLUMN()-2 )</f>
        <v>36.194912946703504</v>
      </c>
      <c r="H182" s="2" cm="1">
        <f t="array" ref="H182">INDEX( ComputeThermoProps($A182, $B182, ParametersRange), 1, COLUMN()-2 )</f>
        <v>24.815028525484479</v>
      </c>
      <c r="I182" s="2" cm="1">
        <f t="array" ref="I182">INDEX( ComputeThermoProps($A182, $B182, ParametersRange), 1, COLUMN()-2 )</f>
        <v>2.6399999999999997</v>
      </c>
      <c r="J182" s="2" cm="1">
        <f t="array" ref="J182">INDEX( ComputeThermoProps($A182, $B182, ParametersRange), 1, COLUMN()-2 )</f>
        <v>3609.5362227466603</v>
      </c>
      <c r="K182" s="2" cm="1">
        <f t="array" ref="K182">INDEX( ComputeThermoProps($A182, $B182, ParametersRange), 1, COLUMN()-2 )</f>
        <v>58.804476207086232</v>
      </c>
      <c r="L182" s="2" cm="1">
        <f t="array" ref="L182">INDEX( ComputeThermoProps($A182, $B182, ParametersRange), 1, COLUMN()-2 )</f>
        <v>-5746.2559418007586</v>
      </c>
      <c r="M182" s="2" cm="1">
        <f t="array" ref="M182">INDEX( ComputeThermoProps($A182, $B182, ParametersRange), 1, COLUMN()-2 )</f>
        <v>8248.8225086171697</v>
      </c>
      <c r="N182" s="2" cm="1">
        <f t="array" ref="N182">INDEX( ComputeThermoProps($A182, $B182, ParametersRange), 1, COLUMN()-2 )</f>
        <v>-1106.9696559302495</v>
      </c>
      <c r="O182" s="4">
        <f t="shared" si="7"/>
        <v>2.2056129831074962</v>
      </c>
      <c r="P182" s="6">
        <f t="shared" si="8"/>
        <v>3644.0145439094886</v>
      </c>
    </row>
    <row r="183" spans="1:16" x14ac:dyDescent="0.25">
      <c r="A183" s="2">
        <v>160.1</v>
      </c>
      <c r="B183" s="2">
        <f t="shared" si="6"/>
        <v>164.56813639394559</v>
      </c>
      <c r="C183" s="2" cm="1">
        <f t="array" ref="C183">INDEX( ComputeThermoProps($A183, $B183, ParametersRange), 1, COLUMN()-2 )</f>
        <v>28.871800616933367</v>
      </c>
      <c r="D183" s="2" cm="1">
        <f t="array" ref="D183">INDEX( ComputeThermoProps($A183, $B183, ParametersRange), 1, COLUMN()-2 )</f>
        <v>4.7771464727363298E-4</v>
      </c>
      <c r="E183" s="2" cm="1">
        <f t="array" ref="E183">INDEX( ComputeThermoProps($A183, $B183, ParametersRange), 1, COLUMN()-2 )</f>
        <v>3.2761023482579313E-4</v>
      </c>
      <c r="F183" s="2" cm="1">
        <f t="array" ref="F183">INDEX( ComputeThermoProps($A183, $B183, ParametersRange), 1, COLUMN()-2 )</f>
        <v>1.084028596735537E-3</v>
      </c>
      <c r="G183" s="2" cm="1">
        <f t="array" ref="G183">INDEX( ComputeThermoProps($A183, $B183, ParametersRange), 1, COLUMN()-2 )</f>
        <v>36.18705338178944</v>
      </c>
      <c r="H183" s="2" cm="1">
        <f t="array" ref="H183">INDEX( ComputeThermoProps($A183, $B183, ParametersRange), 1, COLUMN()-2 )</f>
        <v>24.81659108365357</v>
      </c>
      <c r="I183" s="2" cm="1">
        <f t="array" ref="I183">INDEX( ComputeThermoProps($A183, $B183, ParametersRange), 1, COLUMN()-2 )</f>
        <v>2.6399999999999997</v>
      </c>
      <c r="J183" s="2" cm="1">
        <f t="array" ref="J183">INDEX( ComputeThermoProps($A183, $B183, ParametersRange), 1, COLUMN()-2 )</f>
        <v>3629.5195213869233</v>
      </c>
      <c r="K183" s="2" cm="1">
        <f t="array" ref="K183">INDEX( ComputeThermoProps($A183, $B183, ParametersRange), 1, COLUMN()-2 )</f>
        <v>58.90499136810071</v>
      </c>
      <c r="L183" s="2" cm="1">
        <f t="array" ref="L183">INDEX( ComputeThermoProps($A183, $B183, ParametersRange), 1, COLUMN()-2 )</f>
        <v>-5801.1695966460002</v>
      </c>
      <c r="M183" s="2" cm="1">
        <f t="array" ref="M183">INDEX( ComputeThermoProps($A183, $B183, ParametersRange), 1, COLUMN()-2 )</f>
        <v>8380.897943253216</v>
      </c>
      <c r="N183" s="2" cm="1">
        <f t="array" ref="N183">INDEX( ComputeThermoProps($A183, $B183, ParametersRange), 1, COLUMN()-2 )</f>
        <v>-1049.7911747797073</v>
      </c>
      <c r="O183" s="4">
        <f t="shared" si="7"/>
        <v>2.2163457511200644</v>
      </c>
      <c r="P183" s="6">
        <f t="shared" si="8"/>
        <v>3776.0899785455349</v>
      </c>
    </row>
    <row r="184" spans="1:16" x14ac:dyDescent="0.25">
      <c r="A184" s="2">
        <v>161.1</v>
      </c>
      <c r="B184" s="2">
        <f t="shared" si="6"/>
        <v>168.5987677615102</v>
      </c>
      <c r="C184" s="2" cm="1">
        <f t="array" ref="C184">INDEX( ComputeThermoProps($A184, $B184, ParametersRange), 1, COLUMN()-2 )</f>
        <v>28.847627375821286</v>
      </c>
      <c r="D184" s="2" cm="1">
        <f t="array" ref="D184">INDEX( ComputeThermoProps($A184, $B184, ParametersRange), 1, COLUMN()-2 )</f>
        <v>4.7390760686174388E-4</v>
      </c>
      <c r="E184" s="2" cm="1">
        <f t="array" ref="E184">INDEX( ComputeThermoProps($A184, $B184, ParametersRange), 1, COLUMN()-2 )</f>
        <v>3.2508874123619581E-4</v>
      </c>
      <c r="F184" s="2" cm="1">
        <f t="array" ref="F184">INDEX( ComputeThermoProps($A184, $B184, ParametersRange), 1, COLUMN()-2 )</f>
        <v>1.0763576296771052E-3</v>
      </c>
      <c r="G184" s="2" cm="1">
        <f t="array" ref="G184">INDEX( ComputeThermoProps($A184, $B184, ParametersRange), 1, COLUMN()-2 )</f>
        <v>36.179356454419249</v>
      </c>
      <c r="H184" s="2" cm="1">
        <f t="array" ref="H184">INDEX( ComputeThermoProps($A184, $B184, ParametersRange), 1, COLUMN()-2 )</f>
        <v>24.818131800813333</v>
      </c>
      <c r="I184" s="2" cm="1">
        <f t="array" ref="I184">INDEX( ComputeThermoProps($A184, $B184, ParametersRange), 1, COLUMN()-2 )</f>
        <v>2.6400000000000006</v>
      </c>
      <c r="J184" s="2" cm="1">
        <f t="array" ref="J184">INDEX( ComputeThermoProps($A184, $B184, ParametersRange), 1, COLUMN()-2 )</f>
        <v>3649.5502155442186</v>
      </c>
      <c r="K184" s="2" cm="1">
        <f t="array" ref="K184">INDEX( ComputeThermoProps($A184, $B184, ParametersRange), 1, COLUMN()-2 )</f>
        <v>59.004627556525378</v>
      </c>
      <c r="L184" s="2" cm="1">
        <f t="array" ref="L184">INDEX( ComputeThermoProps($A184, $B184, ParametersRange), 1, COLUMN()-2 )</f>
        <v>-5856.0952838120193</v>
      </c>
      <c r="M184" s="2" cm="1">
        <f t="array" ref="M184">INDEX( ComputeThermoProps($A184, $B184, ParametersRange), 1, COLUMN()-2 )</f>
        <v>8513.2246439508963</v>
      </c>
      <c r="N184" s="2" cm="1">
        <f t="array" ref="N184">INDEX( ComputeThermoProps($A184, $B184, ParametersRange), 1, COLUMN()-2 )</f>
        <v>-992.42085540534174</v>
      </c>
      <c r="O184" s="4">
        <f t="shared" si="7"/>
        <v>2.2268543961705021</v>
      </c>
      <c r="P184" s="6">
        <f t="shared" si="8"/>
        <v>3908.4166792432152</v>
      </c>
    </row>
    <row r="185" spans="1:16" x14ac:dyDescent="0.25">
      <c r="A185" s="2">
        <v>162.1</v>
      </c>
      <c r="B185" s="2">
        <f t="shared" si="6"/>
        <v>172.64284377309255</v>
      </c>
      <c r="C185" s="2" cm="1">
        <f t="array" ref="C185">INDEX( ComputeThermoProps($A185, $B185, ParametersRange), 1, COLUMN()-2 )</f>
        <v>28.823510941212703</v>
      </c>
      <c r="D185" s="2" cm="1">
        <f t="array" ref="D185">INDEX( ComputeThermoProps($A185, $B185, ParametersRange), 1, COLUMN()-2 )</f>
        <v>4.701576146423333E-4</v>
      </c>
      <c r="E185" s="2" cm="1">
        <f t="array" ref="E185">INDEX( ComputeThermoProps($A185, $B185, ParametersRange), 1, COLUMN()-2 )</f>
        <v>3.22603293397348E-4</v>
      </c>
      <c r="F185" s="2" cm="1">
        <f t="array" ref="F185">INDEX( ComputeThermoProps($A185, $B185, ParametersRange), 1, COLUMN()-2 )</f>
        <v>1.0687993825890401E-3</v>
      </c>
      <c r="G185" s="2" cm="1">
        <f t="array" ref="G185">INDEX( ComputeThermoProps($A185, $B185, ParametersRange), 1, COLUMN()-2 )</f>
        <v>36.171819167698786</v>
      </c>
      <c r="H185" s="2" cm="1">
        <f t="array" ref="H185">INDEX( ComputeThermoProps($A185, $B185, ParametersRange), 1, COLUMN()-2 )</f>
        <v>24.819651172830859</v>
      </c>
      <c r="I185" s="2" cm="1">
        <f t="array" ref="I185">INDEX( ComputeThermoProps($A185, $B185, ParametersRange), 1, COLUMN()-2 )</f>
        <v>2.64</v>
      </c>
      <c r="J185" s="2" cm="1">
        <f t="array" ref="J185">INDEX( ComputeThermoProps($A185, $B185, ParametersRange), 1, COLUMN()-2 )</f>
        <v>3669.6283510875519</v>
      </c>
      <c r="K185" s="2" cm="1">
        <f t="array" ref="K185">INDEX( ComputeThermoProps($A185, $B185, ParametersRange), 1, COLUMN()-2 )</f>
        <v>59.103396713257176</v>
      </c>
      <c r="L185" s="2" cm="1">
        <f t="array" ref="L185">INDEX( ComputeThermoProps($A185, $B185, ParametersRange), 1, COLUMN()-2 )</f>
        <v>-5911.032256131436</v>
      </c>
      <c r="M185" s="2" cm="1">
        <f t="array" ref="M185">INDEX( ComputeThermoProps($A185, $B185, ParametersRange), 1, COLUMN()-2 )</f>
        <v>8645.8012475033611</v>
      </c>
      <c r="N185" s="2" cm="1">
        <f t="array" ref="N185">INDEX( ComputeThermoProps($A185, $B185, ParametersRange), 1, COLUMN()-2 )</f>
        <v>-934.85935971562685</v>
      </c>
      <c r="O185" s="4">
        <f t="shared" si="7"/>
        <v>2.2371485810968874</v>
      </c>
      <c r="P185" s="6">
        <f t="shared" si="8"/>
        <v>4040.99328279568</v>
      </c>
    </row>
    <row r="186" spans="1:16" x14ac:dyDescent="0.25">
      <c r="A186" s="2">
        <v>163.1</v>
      </c>
      <c r="B186" s="2">
        <f t="shared" si="6"/>
        <v>176.70032651646463</v>
      </c>
      <c r="C186" s="2" cm="1">
        <f t="array" ref="C186">INDEX( ComputeThermoProps($A186, $B186, ParametersRange), 1, COLUMN()-2 )</f>
        <v>28.799451259414717</v>
      </c>
      <c r="D186" s="2" cm="1">
        <f t="array" ref="D186">INDEX( ComputeThermoProps($A186, $B186, ParametersRange), 1, COLUMN()-2 )</f>
        <v>4.664634326905973E-4</v>
      </c>
      <c r="E186" s="2" cm="1">
        <f t="array" ref="E186">INDEX( ComputeThermoProps($A186, $B186, ParametersRange), 1, COLUMN()-2 )</f>
        <v>3.2015314324090568E-4</v>
      </c>
      <c r="F186" s="2" cm="1">
        <f t="array" ref="F186">INDEX( ComputeThermoProps($A186, $B186, ParametersRange), 1, COLUMN()-2 )</f>
        <v>1.0613514352285575E-3</v>
      </c>
      <c r="G186" s="2" cm="1">
        <f t="array" ref="G186">INDEX( ComputeThermoProps($A186, $B186, ParametersRange), 1, COLUMN()-2 )</f>
        <v>36.16443857971646</v>
      </c>
      <c r="H186" s="2" cm="1">
        <f t="array" ref="H186">INDEX( ComputeThermoProps($A186, $B186, ParametersRange), 1, COLUMN()-2 )</f>
        <v>24.821149683813758</v>
      </c>
      <c r="I186" s="2" cm="1">
        <f t="array" ref="I186">INDEX( ComputeThermoProps($A186, $B186, ParametersRange), 1, COLUMN()-2 )</f>
        <v>2.64</v>
      </c>
      <c r="J186" s="2" cm="1">
        <f t="array" ref="J186">INDEX( ComputeThermoProps($A186, $B186, ParametersRange), 1, COLUMN()-2 )</f>
        <v>3689.7539696628414</v>
      </c>
      <c r="K186" s="2" cm="1">
        <f t="array" ref="K186">INDEX( ComputeThermoProps($A186, $B186, ParametersRange), 1, COLUMN()-2 )</f>
        <v>59.201310536409004</v>
      </c>
      <c r="L186" s="2" cm="1">
        <f t="array" ref="L186">INDEX( ComputeThermoProps($A186, $B186, ParametersRange), 1, COLUMN()-2 )</f>
        <v>-5965.9797788254664</v>
      </c>
      <c r="M186" s="2" cm="1">
        <f t="array" ref="M186">INDEX( ComputeThermoProps($A186, $B186, ParametersRange), 1, COLUMN()-2 )</f>
        <v>8778.62641069643</v>
      </c>
      <c r="N186" s="2" cm="1">
        <f t="array" ref="N186">INDEX( ComputeThermoProps($A186, $B186, ParametersRange), 1, COLUMN()-2 )</f>
        <v>-877.10733779187819</v>
      </c>
      <c r="O186" s="4">
        <f t="shared" si="7"/>
        <v>2.2472373520204472</v>
      </c>
      <c r="P186" s="6">
        <f t="shared" si="8"/>
        <v>4173.8184459887489</v>
      </c>
    </row>
    <row r="187" spans="1:16" x14ac:dyDescent="0.25">
      <c r="A187" s="2">
        <v>164.1</v>
      </c>
      <c r="B187" s="2">
        <f t="shared" si="6"/>
        <v>180.7711787144228</v>
      </c>
      <c r="C187" s="2" cm="1">
        <f t="array" ref="C187">INDEX( ComputeThermoProps($A187, $B187, ParametersRange), 1, COLUMN()-2 )</f>
        <v>28.775448265194793</v>
      </c>
      <c r="D187" s="2" cm="1">
        <f t="array" ref="D187">INDEX( ComputeThermoProps($A187, $B187, ParametersRange), 1, COLUMN()-2 )</f>
        <v>4.6282385701253473E-4</v>
      </c>
      <c r="E187" s="2" cm="1">
        <f t="array" ref="E187">INDEX( ComputeThermoProps($A187, $B187, ParametersRange), 1, COLUMN()-2 )</f>
        <v>3.177375624647742E-4</v>
      </c>
      <c r="F187" s="2" cm="1">
        <f t="array" ref="F187">INDEX( ComputeThermoProps($A187, $B187, ParametersRange), 1, COLUMN()-2 )</f>
        <v>1.0540114328356938E-3</v>
      </c>
      <c r="G187" s="2" cm="1">
        <f t="array" ref="G187">INDEX( ComputeThermoProps($A187, $B187, ParametersRange), 1, COLUMN()-2 )</f>
        <v>36.157211789689505</v>
      </c>
      <c r="H187" s="2" cm="1">
        <f t="array" ref="H187">INDEX( ComputeThermoProps($A187, $B187, ParametersRange), 1, COLUMN()-2 )</f>
        <v>24.822627799991292</v>
      </c>
      <c r="I187" s="2" cm="1">
        <f t="array" ref="I187">INDEX( ComputeThermoProps($A187, $B187, ParametersRange), 1, COLUMN()-2 )</f>
        <v>2.64</v>
      </c>
      <c r="J187" s="2" cm="1">
        <f t="array" ref="J187">INDEX( ComputeThermoProps($A187, $B187, ParametersRange), 1, COLUMN()-2 )</f>
        <v>3709.9271089154963</v>
      </c>
      <c r="K187" s="2" cm="1">
        <f t="array" ref="K187">INDEX( ComputeThermoProps($A187, $B187, ParametersRange), 1, COLUMN()-2 )</f>
        <v>59.298380488019568</v>
      </c>
      <c r="L187" s="2" cm="1">
        <f t="array" ref="L187">INDEX( ComputeThermoProps($A187, $B187, ParametersRange), 1, COLUMN()-2 )</f>
        <v>-6020.9371291685147</v>
      </c>
      <c r="M187" s="2" cm="1">
        <f t="array" ref="M187">INDEX( ComputeThermoProps($A187, $B187, ParametersRange), 1, COLUMN()-2 )</f>
        <v>8911.6988098506517</v>
      </c>
      <c r="N187" s="2" cm="1">
        <f t="array" ref="N187">INDEX( ComputeThermoProps($A187, $B187, ParametersRange), 1, COLUMN()-2 )</f>
        <v>-819.16542823335897</v>
      </c>
      <c r="O187" s="4">
        <f t="shared" si="7"/>
        <v>2.2571291898392691</v>
      </c>
      <c r="P187" s="6">
        <f t="shared" si="8"/>
        <v>4306.8908451429706</v>
      </c>
    </row>
    <row r="188" spans="1:16" x14ac:dyDescent="0.25">
      <c r="A188" s="2">
        <v>165.1</v>
      </c>
      <c r="B188" s="2">
        <f t="shared" si="6"/>
        <v>184.85536370905368</v>
      </c>
      <c r="C188" s="2" cm="1">
        <f t="array" ref="C188">INDEX( ComputeThermoProps($A188, $B188, ParametersRange), 1, COLUMN()-2 )</f>
        <v>28.751501882477779</v>
      </c>
      <c r="D188" s="2" cm="1">
        <f t="array" ref="D188">INDEX( ComputeThermoProps($A188, $B188, ParametersRange), 1, COLUMN()-2 )</f>
        <v>4.5923771650166462E-4</v>
      </c>
      <c r="E188" s="2" cm="1">
        <f t="array" ref="E188">INDEX( ComputeThermoProps($A188, $B188, ParametersRange), 1, COLUMN()-2 )</f>
        <v>3.1535584192344428E-4</v>
      </c>
      <c r="F188" s="2" cm="1">
        <f t="array" ref="F188">INDEX( ComputeThermoProps($A188, $B188, ParametersRange), 1, COLUMN()-2 )</f>
        <v>1.046777084317517E-3</v>
      </c>
      <c r="G188" s="2" cm="1">
        <f t="array" ref="G188">INDEX( ComputeThermoProps($A188, $B188, ParametersRange), 1, COLUMN()-2 )</f>
        <v>36.150135946095496</v>
      </c>
      <c r="H188" s="2" cm="1">
        <f t="array" ref="H188">INDEX( ComputeThermoProps($A188, $B188, ParametersRange), 1, COLUMN()-2 )</f>
        <v>24.824085973972021</v>
      </c>
      <c r="I188" s="2" cm="1">
        <f t="array" ref="I188">INDEX( ComputeThermoProps($A188, $B188, ParametersRange), 1, COLUMN()-2 )</f>
        <v>2.64</v>
      </c>
      <c r="J188" s="2" cm="1">
        <f t="array" ref="J188">INDEX( ComputeThermoProps($A188, $B188, ParametersRange), 1, COLUMN()-2 )</f>
        <v>3730.1478027019402</v>
      </c>
      <c r="K188" s="2" cm="1">
        <f t="array" ref="K188">INDEX( ComputeThermoProps($A188, $B188, ParametersRange), 1, COLUMN()-2 )</f>
        <v>59.394617800536842</v>
      </c>
      <c r="L188" s="2" cm="1">
        <f t="array" ref="L188">INDEX( ComputeThermoProps($A188, $B188, ParametersRange), 1, COLUMN()-2 )</f>
        <v>-6075.9035961666923</v>
      </c>
      <c r="M188" s="2" cm="1">
        <f t="array" ref="M188">INDEX( ComputeThermoProps($A188, $B188, ParametersRange), 1, COLUMN()-2 )</f>
        <v>9045.017140368911</v>
      </c>
      <c r="N188" s="2" cm="1">
        <f t="array" ref="N188">INDEX( ComputeThermoProps($A188, $B188, ParametersRange), 1, COLUMN()-2 )</f>
        <v>-761.03425849972132</v>
      </c>
      <c r="O188" s="4">
        <f t="shared" si="7"/>
        <v>2.2668320564533464</v>
      </c>
      <c r="P188" s="6">
        <f t="shared" si="8"/>
        <v>4440.2091756612299</v>
      </c>
    </row>
    <row r="189" spans="1:16" x14ac:dyDescent="0.25">
      <c r="A189" s="2">
        <v>166.1</v>
      </c>
      <c r="B189" s="2">
        <f t="shared" si="6"/>
        <v>188.95284544622527</v>
      </c>
      <c r="C189" s="2" cm="1">
        <f t="array" ref="C189">INDEX( ComputeThermoProps($A189, $B189, ParametersRange), 1, COLUMN()-2 )</f>
        <v>28.727612025008124</v>
      </c>
      <c r="D189" s="2" cm="1">
        <f t="array" ref="D189">INDEX( ComputeThermoProps($A189, $B189, ParametersRange), 1, COLUMN()-2 )</f>
        <v>4.5570387189735863E-4</v>
      </c>
      <c r="E189" s="2" cm="1">
        <f t="array" ref="E189">INDEX( ComputeThermoProps($A189, $B189, ParametersRange), 1, COLUMN()-2 )</f>
        <v>3.1300729103878874E-4</v>
      </c>
      <c r="F189" s="2" cm="1">
        <f t="array" ref="F189">INDEX( ComputeThermoProps($A189, $B189, ParametersRange), 1, COLUMN()-2 )</f>
        <v>1.0396461602485676E-3</v>
      </c>
      <c r="G189" s="2" cm="1">
        <f t="array" ref="G189">INDEX( ComputeThermoProps($A189, $B189, ParametersRange), 1, COLUMN()-2 )</f>
        <v>36.143208246275577</v>
      </c>
      <c r="H189" s="2" cm="1">
        <f t="array" ref="H189">INDEX( ComputeThermoProps($A189, $B189, ParametersRange), 1, COLUMN()-2 )</f>
        <v>24.825524645016959</v>
      </c>
      <c r="I189" s="2" cm="1">
        <f t="array" ref="I189">INDEX( ComputeThermoProps($A189, $B189, ParametersRange), 1, COLUMN()-2 )</f>
        <v>2.64</v>
      </c>
      <c r="J189" s="2" cm="1">
        <f t="array" ref="J189">INDEX( ComputeThermoProps($A189, $B189, ParametersRange), 1, COLUMN()-2 )</f>
        <v>3750.4160812905025</v>
      </c>
      <c r="K189" s="2" cm="1">
        <f t="array" ref="K189">INDEX( ComputeThermoProps($A189, $B189, ParametersRange), 1, COLUMN()-2 )</f>
        <v>59.490033483082428</v>
      </c>
      <c r="L189" s="2" cm="1">
        <f t="array" ref="L189">INDEX( ComputeThermoProps($A189, $B189, ParametersRange), 1, COLUMN()-2 )</f>
        <v>-6130.8784802494883</v>
      </c>
      <c r="M189" s="2" cm="1">
        <f t="array" ref="M189">INDEX( ComputeThermoProps($A189, $B189, ParametersRange), 1, COLUMN()-2 )</f>
        <v>9178.5801162909847</v>
      </c>
      <c r="N189" s="2" cm="1">
        <f t="array" ref="N189">INDEX( ComputeThermoProps($A189, $B189, ParametersRange), 1, COLUMN()-2 )</f>
        <v>-702.71444524900619</v>
      </c>
      <c r="O189" s="4">
        <f t="shared" si="7"/>
        <v>2.2763534363551208</v>
      </c>
      <c r="P189" s="6">
        <f t="shared" si="8"/>
        <v>4573.7721515833036</v>
      </c>
    </row>
    <row r="190" spans="1:16" x14ac:dyDescent="0.25">
      <c r="A190" s="2">
        <v>167.1</v>
      </c>
      <c r="B190" s="2">
        <f t="shared" si="6"/>
        <v>193.06358846034917</v>
      </c>
      <c r="C190" s="2" cm="1">
        <f t="array" ref="C190">INDEX( ComputeThermoProps($A190, $B190, ParametersRange), 1, COLUMN()-2 )</f>
        <v>28.703778596978403</v>
      </c>
      <c r="D190" s="2" cm="1">
        <f t="array" ref="D190">INDEX( ComputeThermoProps($A190, $B190, ParametersRange), 1, COLUMN()-2 )</f>
        <v>4.5222121478664089E-4</v>
      </c>
      <c r="E190" s="2" cm="1">
        <f t="array" ref="E190">INDEX( ComputeThermoProps($A190, $B190, ParametersRange), 1, COLUMN()-2 )</f>
        <v>3.1069123723061187E-4</v>
      </c>
      <c r="F190" s="2" cm="1">
        <f t="array" ref="F190">INDEX( ComputeThermoProps($A190, $B190, ParametersRange), 1, COLUMN()-2 )</f>
        <v>1.032616490997084E-3</v>
      </c>
      <c r="G190" s="2" cm="1">
        <f t="array" ref="G190">INDEX( ComputeThermoProps($A190, $B190, ParametersRange), 1, COLUMN()-2 )</f>
        <v>36.136425938021105</v>
      </c>
      <c r="H190" s="2" cm="1">
        <f t="array" ref="H190">INDEX( ComputeThermoProps($A190, $B190, ParametersRange), 1, COLUMN()-2 )</f>
        <v>24.826944240272333</v>
      </c>
      <c r="I190" s="2" cm="1">
        <f t="array" ref="I190">INDEX( ComputeThermoProps($A190, $B190, ParametersRange), 1, COLUMN()-2 )</f>
        <v>2.64</v>
      </c>
      <c r="J190" s="2" cm="1">
        <f t="array" ref="J190">INDEX( ComputeThermoProps($A190, $B190, ParametersRange), 1, COLUMN()-2 )</f>
        <v>3770.7319715520653</v>
      </c>
      <c r="K190" s="2" cm="1">
        <f t="array" ref="K190">INDEX( ComputeThermoProps($A190, $B190, ParametersRange), 1, COLUMN()-2 )</f>
        <v>59.584638327504173</v>
      </c>
      <c r="L190" s="2" cm="1">
        <f t="array" ref="L190">INDEX( ComputeThermoProps($A190, $B190, ParametersRange), 1, COLUMN()-2 )</f>
        <v>-6185.8610929738816</v>
      </c>
      <c r="M190" s="2" cm="1">
        <f t="array" ref="M190">INDEX( ComputeThermoProps($A190, $B190, ParametersRange), 1, COLUMN()-2 )</f>
        <v>9312.3864698560828</v>
      </c>
      <c r="N190" s="2" cm="1">
        <f t="array" ref="N190">INDEX( ComputeThermoProps($A190, $B190, ParametersRange), 1, COLUMN()-2 )</f>
        <v>-644.2065946698641</v>
      </c>
      <c r="O190" s="4">
        <f t="shared" si="7"/>
        <v>2.2857003741323676</v>
      </c>
      <c r="P190" s="6">
        <f t="shared" si="8"/>
        <v>4707.5785051484017</v>
      </c>
    </row>
    <row r="191" spans="1:16" x14ac:dyDescent="0.25">
      <c r="A191" s="2">
        <v>168.1</v>
      </c>
      <c r="B191" s="2">
        <f t="shared" si="6"/>
        <v>197.18755785944589</v>
      </c>
      <c r="C191" s="2" cm="1">
        <f t="array" ref="C191">INDEX( ComputeThermoProps($A191, $B191, ParametersRange), 1, COLUMN()-2 )</f>
        <v>28.680001493625507</v>
      </c>
      <c r="D191" s="2" cm="1">
        <f t="array" ref="D191">INDEX( ComputeThermoProps($A191, $B191, ParametersRange), 1, COLUMN()-2 )</f>
        <v>4.4878866661582394E-4</v>
      </c>
      <c r="E191" s="2" cm="1">
        <f t="array" ref="E191">INDEX( ComputeThermoProps($A191, $B191, ParametersRange), 1, COLUMN()-2 )</f>
        <v>3.0840702536625593E-4</v>
      </c>
      <c r="F191" s="2" cm="1">
        <f t="array" ref="F191">INDEX( ComputeThermoProps($A191, $B191, ParametersRange), 1, COLUMN()-2 )</f>
        <v>1.0256859647385763E-3</v>
      </c>
      <c r="G191" s="2" cm="1">
        <f t="array" ref="G191">INDEX( ComputeThermoProps($A191, $B191, ParametersRange), 1, COLUMN()-2 )</f>
        <v>36.129786314926541</v>
      </c>
      <c r="H191" s="2" cm="1">
        <f t="array" ref="H191">INDEX( ComputeThermoProps($A191, $B191, ParametersRange), 1, COLUMN()-2 )</f>
        <v>24.828345173082123</v>
      </c>
      <c r="I191" s="2" cm="1">
        <f t="array" ref="I191">INDEX( ComputeThermoProps($A191, $B191, ParametersRange), 1, COLUMN()-2 )</f>
        <v>2.6400000000000006</v>
      </c>
      <c r="J191" s="2" cm="1">
        <f t="array" ref="J191">INDEX( ComputeThermoProps($A191, $B191, ParametersRange), 1, COLUMN()-2 )</f>
        <v>3791.0954971409051</v>
      </c>
      <c r="K191" s="2" cm="1">
        <f t="array" ref="K191">INDEX( ComputeThermoProps($A191, $B191, ParametersRange), 1, COLUMN()-2 )</f>
        <v>59.678442914224568</v>
      </c>
      <c r="L191" s="2" cm="1">
        <f t="array" ref="L191">INDEX( ComputeThermoProps($A191, $B191, ParametersRange), 1, COLUMN()-2 )</f>
        <v>-6240.8507567402448</v>
      </c>
      <c r="M191" s="2" cm="1">
        <f t="array" ref="M191">INDEX( ComputeThermoProps($A191, $B191, ParametersRange), 1, COLUMN()-2 )</f>
        <v>9446.4349510741795</v>
      </c>
      <c r="N191" s="2" cm="1">
        <f t="array" ref="N191">INDEX( ComputeThermoProps($A191, $B191, ParametersRange), 1, COLUMN()-2 )</f>
        <v>-585.51130280697009</v>
      </c>
      <c r="O191" s="4">
        <f t="shared" si="7"/>
        <v>2.2948795083564155</v>
      </c>
      <c r="P191" s="6">
        <f t="shared" si="8"/>
        <v>4841.6269863664984</v>
      </c>
    </row>
    <row r="192" spans="1:16" x14ac:dyDescent="0.25">
      <c r="A192" s="2">
        <v>169.1</v>
      </c>
      <c r="B192" s="2">
        <f t="shared" si="6"/>
        <v>201.32471931053908</v>
      </c>
      <c r="C192" s="2" cm="1">
        <f t="array" ref="C192">INDEX( ComputeThermoProps($A192, $B192, ParametersRange), 1, COLUMN()-2 )</f>
        <v>28.656280601795739</v>
      </c>
      <c r="D192" s="2" cm="1">
        <f t="array" ref="D192">INDEX( ComputeThermoProps($A192, $B192, ParametersRange), 1, COLUMN()-2 )</f>
        <v>4.4540517779514217E-4</v>
      </c>
      <c r="E192" s="2" cm="1">
        <f t="array" ref="E192">INDEX( ComputeThermoProps($A192, $B192, ParametersRange), 1, COLUMN()-2 )</f>
        <v>3.0615401722861886E-4</v>
      </c>
      <c r="F192" s="2" cm="1">
        <f t="array" ref="F192">INDEX( ComputeThermoProps($A192, $B192, ParametersRange), 1, COLUMN()-2 )</f>
        <v>1.0188525259696712E-3</v>
      </c>
      <c r="G192" s="2" cm="1">
        <f t="array" ref="G192">INDEX( ComputeThermoProps($A192, $B192, ParametersRange), 1, COLUMN()-2 )</f>
        <v>36.123286727035158</v>
      </c>
      <c r="H192" s="2" cm="1">
        <f t="array" ref="H192">INDEX( ComputeThermoProps($A192, $B192, ParametersRange), 1, COLUMN()-2 )</f>
        <v>24.829727848538003</v>
      </c>
      <c r="I192" s="2" cm="1">
        <f t="array" ref="I192">INDEX( ComputeThermoProps($A192, $B192, ParametersRange), 1, COLUMN()-2 )</f>
        <v>2.6399999999999997</v>
      </c>
      <c r="J192" s="2" cm="1">
        <f t="array" ref="J192">INDEX( ComputeThermoProps($A192, $B192, ParametersRange), 1, COLUMN()-2 )</f>
        <v>3811.5066786661646</v>
      </c>
      <c r="K192" s="2" cm="1">
        <f t="array" ref="K192">INDEX( ComputeThermoProps($A192, $B192, ParametersRange), 1, COLUMN()-2 )</f>
        <v>59.771457617892054</v>
      </c>
      <c r="L192" s="2" cm="1">
        <f t="array" ref="L192">INDEX( ComputeThermoProps($A192, $B192, ParametersRange), 1, COLUMN()-2 )</f>
        <v>-6295.8468045193813</v>
      </c>
      <c r="M192" s="2" cm="1">
        <f t="array" ref="M192">INDEX( ComputeThermoProps($A192, $B192, ParametersRange), 1, COLUMN()-2 )</f>
        <v>9580.7243273067379</v>
      </c>
      <c r="N192" s="2" cm="1">
        <f t="array" ref="N192">INDEX( ComputeThermoProps($A192, $B192, ParametersRange), 1, COLUMN()-2 )</f>
        <v>-526.62915587880809</v>
      </c>
      <c r="O192" s="4">
        <f t="shared" si="7"/>
        <v>2.3038971022660468</v>
      </c>
      <c r="P192" s="6">
        <f t="shared" si="8"/>
        <v>4975.9163625990568</v>
      </c>
    </row>
    <row r="193" spans="1:16" x14ac:dyDescent="0.25">
      <c r="A193" s="2">
        <v>170.1</v>
      </c>
      <c r="B193" s="2">
        <f t="shared" si="6"/>
        <v>205.47503902539546</v>
      </c>
      <c r="C193" s="2" cm="1">
        <f t="array" ref="C193">INDEX( ComputeThermoProps($A193, $B193, ParametersRange), 1, COLUMN()-2 )</f>
        <v>28.63261580048016</v>
      </c>
      <c r="D193" s="2" cm="1">
        <f t="array" ref="D193">INDEX( ComputeThermoProps($A193, $B193, ParametersRange), 1, COLUMN()-2 )</f>
        <v>4.4206972670834558E-4</v>
      </c>
      <c r="E193" s="2" cm="1">
        <f t="array" ref="E193">INDEX( ComputeThermoProps($A193, $B193, ParametersRange), 1, COLUMN()-2 )</f>
        <v>3.039315910019406E-4</v>
      </c>
      <c r="F193" s="2" cm="1">
        <f t="array" ref="F193">INDEX( ComputeThermoProps($A193, $B193, ParametersRange), 1, COLUMN()-2 )</f>
        <v>1.0121141731550935E-3</v>
      </c>
      <c r="G193" s="2" cm="1">
        <f t="array" ref="G193">INDEX( ComputeThermoProps($A193, $B193, ParametersRange), 1, COLUMN()-2 )</f>
        <v>36.116924558777733</v>
      </c>
      <c r="H193" s="2" cm="1">
        <f t="array" ref="H193">INDEX( ComputeThermoProps($A193, $B193, ParametersRange), 1, COLUMN()-2 )</f>
        <v>24.83109265359959</v>
      </c>
      <c r="I193" s="2" cm="1">
        <f t="array" ref="I193">INDEX( ComputeThermoProps($A193, $B193, ParametersRange), 1, COLUMN()-2 )</f>
        <v>2.64</v>
      </c>
      <c r="J193" s="2" cm="1">
        <f t="array" ref="J193">INDEX( ComputeThermoProps($A193, $B193, ParametersRange), 1, COLUMN()-2 )</f>
        <v>3831.9655338543589</v>
      </c>
      <c r="K193" s="2" cm="1">
        <f t="array" ref="K193">INDEX( ComputeThermoProps($A193, $B193, ParametersRange), 1, COLUMN()-2 )</f>
        <v>59.863692612842478</v>
      </c>
      <c r="L193" s="2" cm="1">
        <f t="array" ref="L193">INDEX( ComputeThermoProps($A193, $B193, ParametersRange), 1, COLUMN()-2 )</f>
        <v>-6350.8485795901461</v>
      </c>
      <c r="M193" s="2" cm="1">
        <f t="array" ref="M193">INDEX( ComputeThermoProps($A193, $B193, ParametersRange), 1, COLUMN()-2 )</f>
        <v>9715.2533828571741</v>
      </c>
      <c r="N193" s="2" cm="1">
        <f t="array" ref="N193">INDEX( ComputeThermoProps($A193, $B193, ParametersRange), 1, COLUMN()-2 )</f>
        <v>-467.56073058733102</v>
      </c>
      <c r="O193" s="4">
        <f t="shared" si="7"/>
        <v>2.3127590716040576</v>
      </c>
      <c r="P193" s="6">
        <f t="shared" si="8"/>
        <v>5110.445418149493</v>
      </c>
    </row>
    <row r="194" spans="1:16" x14ac:dyDescent="0.25">
      <c r="A194" s="2">
        <v>171.1</v>
      </c>
      <c r="B194" s="2">
        <f t="shared" si="6"/>
        <v>209.63848374662396</v>
      </c>
      <c r="C194" s="2" cm="1">
        <f t="array" ref="C194">INDEX( ComputeThermoProps($A194, $B194, ParametersRange), 1, COLUMN()-2 )</f>
        <v>28.609006961321501</v>
      </c>
      <c r="D194" s="2" cm="1">
        <f t="array" ref="D194">INDEX( ComputeThermoProps($A194, $B194, ParametersRange), 1, COLUMN()-2 )</f>
        <v>4.387813189349684E-4</v>
      </c>
      <c r="E194" s="2" cm="1">
        <f t="array" ref="E194">INDEX( ComputeThermoProps($A194, $B194, ParametersRange), 1, COLUMN()-2 )</f>
        <v>3.0173914077475858E-4</v>
      </c>
      <c r="F194" s="2" cm="1">
        <f t="array" ref="F194">INDEX( ComputeThermoProps($A194, $B194, ParametersRange), 1, COLUMN()-2 )</f>
        <v>1.0054689577622116E-3</v>
      </c>
      <c r="G194" s="2" cm="1">
        <f t="array" ref="G194">INDEX( ComputeThermoProps($A194, $B194, ParametersRange), 1, COLUMN()-2 )</f>
        <v>36.110697253755681</v>
      </c>
      <c r="H194" s="2" cm="1">
        <f t="array" ref="H194">INDEX( ComputeThermoProps($A194, $B194, ParametersRange), 1, COLUMN()-2 )</f>
        <v>24.832439969351945</v>
      </c>
      <c r="I194" s="2" cm="1">
        <f t="array" ref="I194">INDEX( ComputeThermoProps($A194, $B194, ParametersRange), 1, COLUMN()-2 )</f>
        <v>2.640000000000001</v>
      </c>
      <c r="J194" s="2" cm="1">
        <f t="array" ref="J194">INDEX( ComputeThermoProps($A194, $B194, ParametersRange), 1, COLUMN()-2 )</f>
        <v>3852.472077703374</v>
      </c>
      <c r="K194" s="2" cm="1">
        <f t="array" ref="K194">INDEX( ComputeThermoProps($A194, $B194, ParametersRange), 1, COLUMN()-2 )</f>
        <v>59.955157878377847</v>
      </c>
      <c r="L194" s="2" cm="1">
        <f t="array" ref="L194">INDEX( ComputeThermoProps($A194, $B194, ParametersRange), 1, COLUMN()-2 )</f>
        <v>-6405.8554352870751</v>
      </c>
      <c r="M194" s="2" cm="1">
        <f t="array" ref="M194">INDEX( ComputeThermoProps($A194, $B194, ParametersRange), 1, COLUMN()-2 )</f>
        <v>9850.020918571423</v>
      </c>
      <c r="N194" s="2" cm="1">
        <f t="array" ref="N194">INDEX( ComputeThermoProps($A194, $B194, ParametersRange), 1, COLUMN()-2 )</f>
        <v>-408.30659441902628</v>
      </c>
      <c r="O194" s="4">
        <f t="shared" si="7"/>
        <v>2.3214710099179068</v>
      </c>
      <c r="P194" s="6">
        <f t="shared" si="8"/>
        <v>5245.2129538637419</v>
      </c>
    </row>
    <row r="195" spans="1:16" x14ac:dyDescent="0.25">
      <c r="A195" s="2">
        <v>172.1</v>
      </c>
      <c r="B195" s="2">
        <f t="shared" si="6"/>
        <v>213.81502073413986</v>
      </c>
      <c r="C195" s="2" cm="1">
        <f t="array" ref="C195">INDEX( ComputeThermoProps($A195, $B195, ParametersRange), 1, COLUMN()-2 )</f>
        <v>28.585453949094045</v>
      </c>
      <c r="D195" s="2" cm="1">
        <f t="array" ref="D195">INDEX( ComputeThermoProps($A195, $B195, ParametersRange), 1, COLUMN()-2 )</f>
        <v>4.3553898635186457E-4</v>
      </c>
      <c r="E195" s="2" cm="1">
        <f t="array" ref="E195">INDEX( ComputeThermoProps($A195, $B195, ParametersRange), 1, COLUMN()-2 )</f>
        <v>2.995760760594353E-4</v>
      </c>
      <c r="F195" s="2" cm="1">
        <f t="array" ref="F195">INDEX( ComputeThermoProps($A195, $B195, ParametersRange), 1, COLUMN()-2 )</f>
        <v>9.9891498225238668E-4</v>
      </c>
      <c r="G195" s="2" cm="1">
        <f t="array" ref="G195">INDEX( ComputeThermoProps($A195, $B195, ParametersRange), 1, COLUMN()-2 )</f>
        <v>36.104602300725354</v>
      </c>
      <c r="H195" s="2" cm="1">
        <f t="array" ref="H195">INDEX( ComputeThermoProps($A195, $B195, ParametersRange), 1, COLUMN()-2 )</f>
        <v>24.833770164950604</v>
      </c>
      <c r="I195" s="2" cm="1">
        <f t="array" ref="I195">INDEX( ComputeThermoProps($A195, $B195, ParametersRange), 1, COLUMN()-2 )</f>
        <v>2.64</v>
      </c>
      <c r="J195" s="2" cm="1">
        <f t="array" ref="J195">INDEX( ComputeThermoProps($A195, $B195, ParametersRange), 1, COLUMN()-2 )</f>
        <v>3873.0263226283391</v>
      </c>
      <c r="K195" s="2" cm="1">
        <f t="array" ref="K195">INDEX( ComputeThermoProps($A195, $B195, ParametersRange), 1, COLUMN()-2 )</f>
        <v>60.045863203869096</v>
      </c>
      <c r="L195" s="2" cm="1">
        <f t="array" ref="L195">INDEX( ComputeThermoProps($A195, $B195, ParametersRange), 1, COLUMN()-2 )</f>
        <v>-6460.866734757532</v>
      </c>
      <c r="M195" s="2" cm="1">
        <f t="array" ref="M195">INDEX( ComputeThermoProps($A195, $B195, ParametersRange), 1, COLUMN()-2 )</f>
        <v>9985.0257514486821</v>
      </c>
      <c r="N195" s="2" cm="1">
        <f t="array" ref="N195">INDEX( ComputeThermoProps($A195, $B195, ParametersRange), 1, COLUMN()-2 )</f>
        <v>-348.86730593718909</v>
      </c>
      <c r="O195" s="4">
        <f t="shared" si="7"/>
        <v>2.3300382115968334</v>
      </c>
      <c r="P195" s="6">
        <f t="shared" si="8"/>
        <v>5380.217786741001</v>
      </c>
    </row>
    <row r="196" spans="1:16" x14ac:dyDescent="0.25">
      <c r="A196" s="2">
        <v>173.1</v>
      </c>
      <c r="B196" s="2">
        <f t="shared" si="6"/>
        <v>218.0046177519996</v>
      </c>
      <c r="C196" s="2" cm="1">
        <f t="array" ref="C196">INDEX( ComputeThermoProps($A196, $B196, ParametersRange), 1, COLUMN()-2 )</f>
        <v>28.561956622157595</v>
      </c>
      <c r="D196" s="2" cm="1">
        <f t="array" ref="D196">INDEX( ComputeThermoProps($A196, $B196, ParametersRange), 1, COLUMN()-2 )</f>
        <v>4.3234178632690722E-4</v>
      </c>
      <c r="E196" s="2" cm="1">
        <f t="array" ref="E196">INDEX( ComputeThermoProps($A196, $B196, ParametersRange), 1, COLUMN()-2 )</f>
        <v>2.9744182132769955E-4</v>
      </c>
      <c r="F196" s="2" cm="1">
        <f t="array" ref="F196">INDEX( ComputeThermoProps($A196, $B196, ParametersRange), 1, COLUMN()-2 )</f>
        <v>9.9245039859022677E-4</v>
      </c>
      <c r="G196" s="2" cm="1">
        <f t="array" ref="G196">INDEX( ComputeThermoProps($A196, $B196, ParametersRange), 1, COLUMN()-2 )</f>
        <v>36.098637235870569</v>
      </c>
      <c r="H196" s="2" cm="1">
        <f t="array" ref="H196">INDEX( ComputeThermoProps($A196, $B196, ParametersRange), 1, COLUMN()-2 )</f>
        <v>24.835083599267197</v>
      </c>
      <c r="I196" s="2" cm="1">
        <f t="array" ref="I196">INDEX( ComputeThermoProps($A196, $B196, ParametersRange), 1, COLUMN()-2 )</f>
        <v>2.6399999999999997</v>
      </c>
      <c r="J196" s="2" cm="1">
        <f t="array" ref="J196">INDEX( ComputeThermoProps($A196, $B196, ParametersRange), 1, COLUMN()-2 )</f>
        <v>3893.6282785998023</v>
      </c>
      <c r="K196" s="2" cm="1">
        <f t="array" ref="K196">INDEX( ComputeThermoProps($A196, $B196, ParametersRange), 1, COLUMN()-2 )</f>
        <v>60.135818193689552</v>
      </c>
      <c r="L196" s="2" cm="1">
        <f t="array" ref="L196">INDEX( ComputeThermoProps($A196, $B196, ParametersRange), 1, COLUMN()-2 )</f>
        <v>-6515.8818507278584</v>
      </c>
      <c r="M196" s="2" cm="1">
        <f t="array" ref="M196">INDEX( ComputeThermoProps($A196, $B196, ParametersRange), 1, COLUMN()-2 )</f>
        <v>10120.266714262463</v>
      </c>
      <c r="N196" s="2" cm="1">
        <f t="array" ref="N196">INDEX( ComputeThermoProps($A196, $B196, ParametersRange), 1, COLUMN()-2 )</f>
        <v>-289.24341506519789</v>
      </c>
      <c r="O196" s="4">
        <f t="shared" si="7"/>
        <v>2.3384656928842942</v>
      </c>
      <c r="P196" s="6">
        <f t="shared" si="8"/>
        <v>5515.4587495547821</v>
      </c>
    </row>
    <row r="197" spans="1:16" x14ac:dyDescent="0.25">
      <c r="A197" s="2">
        <v>174.1</v>
      </c>
      <c r="B197" s="2">
        <f t="shared" si="6"/>
        <v>222.20724305560501</v>
      </c>
      <c r="C197" s="2" cm="1">
        <f t="array" ref="C197">INDEX( ComputeThermoProps($A197, $B197, ParametersRange), 1, COLUMN()-2 )</f>
        <v>28.538514832887</v>
      </c>
      <c r="D197" s="2" cm="1">
        <f t="array" ref="D197">INDEX( ComputeThermoProps($A197, $B197, ParametersRange), 1, COLUMN()-2 )</f>
        <v>4.2918880090647216E-4</v>
      </c>
      <c r="E197" s="2" cm="1">
        <f t="array" ref="E197">INDEX( ComputeThermoProps($A197, $B197, ParametersRange), 1, COLUMN()-2 )</f>
        <v>2.9533581556164516E-4</v>
      </c>
      <c r="F197" s="2" cm="1">
        <f t="array" ref="F197">INDEX( ComputeThermoProps($A197, $B197, ParametersRange), 1, COLUMN()-2 )</f>
        <v>9.8607340655593135E-4</v>
      </c>
      <c r="G197" s="2" cm="1">
        <f t="array" ref="G197">INDEX( ComputeThermoProps($A197, $B197, ParametersRange), 1, COLUMN()-2 )</f>
        <v>36.092799636016586</v>
      </c>
      <c r="H197" s="2" cm="1">
        <f t="array" ref="H197">INDEX( ComputeThermoProps($A197, $B197, ParametersRange), 1, COLUMN()-2 )</f>
        <v>24.83638061825593</v>
      </c>
      <c r="I197" s="2" cm="1">
        <f t="array" ref="I197">INDEX( ComputeThermoProps($A197, $B197, ParametersRange), 1, COLUMN()-2 )</f>
        <v>2.6399999999999997</v>
      </c>
      <c r="J197" s="2" cm="1">
        <f t="array" ref="J197">INDEX( ComputeThermoProps($A197, $B197, ParametersRange), 1, COLUMN()-2 )</f>
        <v>3914.277953274569</v>
      </c>
      <c r="K197" s="2" cm="1">
        <f t="array" ref="K197">INDEX( ComputeThermoProps($A197, $B197, ParametersRange), 1, COLUMN()-2 )</f>
        <v>60.225032271985548</v>
      </c>
      <c r="L197" s="2" cm="1">
        <f t="array" ref="L197">INDEX( ComputeThermoProps($A197, $B197, ParametersRange), 1, COLUMN()-2 )</f>
        <v>-6570.9001652781144</v>
      </c>
      <c r="M197" s="2" cm="1">
        <f t="array" ref="M197">INDEX( ComputeThermoProps($A197, $B197, ParametersRange), 1, COLUMN()-2 )</f>
        <v>10255.74265519188</v>
      </c>
      <c r="N197" s="2" cm="1">
        <f t="array" ref="N197">INDEX( ComputeThermoProps($A197, $B197, ParametersRange), 1, COLUMN()-2 )</f>
        <v>-229.43546336080374</v>
      </c>
      <c r="O197" s="4">
        <f t="shared" si="7"/>
        <v>2.3467582110756573</v>
      </c>
      <c r="P197" s="6">
        <f t="shared" si="8"/>
        <v>5650.9346904841987</v>
      </c>
    </row>
    <row r="198" spans="1:16" x14ac:dyDescent="0.25">
      <c r="A198" s="2">
        <v>175.1</v>
      </c>
      <c r="B198" s="2">
        <f t="shared" si="6"/>
        <v>226.42286537927629</v>
      </c>
      <c r="C198" s="2" cm="1">
        <f t="array" ref="C198">INDEX( ComputeThermoProps($A198, $B198, ParametersRange), 1, COLUMN()-2 )</f>
        <v>28.515128428078309</v>
      </c>
      <c r="D198" s="2" cm="1">
        <f t="array" ref="D198">INDEX( ComputeThermoProps($A198, $B198, ParametersRange), 1, COLUMN()-2 )</f>
        <v>4.2607913608972353E-4</v>
      </c>
      <c r="E198" s="2" cm="1">
        <f t="array" ref="E198">INDEX( ComputeThermoProps($A198, $B198, ParametersRange), 1, COLUMN()-2 )</f>
        <v>2.9325751181966581E-4</v>
      </c>
      <c r="F198" s="2" cm="1">
        <f t="array" ref="F198">INDEX( ComputeThermoProps($A198, $B198, ParametersRange), 1, COLUMN()-2 )</f>
        <v>9.7978225254972636E-4</v>
      </c>
      <c r="G198" s="2" cm="1">
        <f t="array" ref="G198">INDEX( ComputeThermoProps($A198, $B198, ParametersRange), 1, COLUMN()-2 )</f>
        <v>36.087087127830316</v>
      </c>
      <c r="H198" s="2" cm="1">
        <f t="array" ref="H198">INDEX( ComputeThermoProps($A198, $B198, ParametersRange), 1, COLUMN()-2 )</f>
        <v>24.837661559890336</v>
      </c>
      <c r="I198" s="2" cm="1">
        <f t="array" ref="I198">INDEX( ComputeThermoProps($A198, $B198, ParametersRange), 1, COLUMN()-2 )</f>
        <v>2.64</v>
      </c>
      <c r="J198" s="2" cm="1">
        <f t="array" ref="J198">INDEX( ComputeThermoProps($A198, $B198, ParametersRange), 1, COLUMN()-2 )</f>
        <v>3934.9753521196244</v>
      </c>
      <c r="K198" s="2" cm="1">
        <f t="array" ref="K198">INDEX( ComputeThermoProps($A198, $B198, ParametersRange), 1, COLUMN()-2 )</f>
        <v>60.313514687290485</v>
      </c>
      <c r="L198" s="2" cm="1">
        <f t="array" ref="L198">INDEX( ComputeThermoProps($A198, $B198, ParametersRange), 1, COLUMN()-2 )</f>
        <v>-6625.9210696249393</v>
      </c>
      <c r="M198" s="2" cm="1">
        <f t="array" ref="M198">INDEX( ComputeThermoProps($A198, $B198, ParametersRange), 1, COLUMN()-2 )</f>
        <v>10391.452437463175</v>
      </c>
      <c r="N198" s="2" cm="1">
        <f t="array" ref="N198">INDEX( ComputeThermoProps($A198, $B198, ParametersRange), 1, COLUMN()-2 )</f>
        <v>-169.44398428138902</v>
      </c>
      <c r="O198" s="4">
        <f t="shared" si="7"/>
        <v>2.3549202820861184</v>
      </c>
      <c r="P198" s="6">
        <f t="shared" si="8"/>
        <v>5786.6444727554936</v>
      </c>
    </row>
    <row r="199" spans="1:16" x14ac:dyDescent="0.25">
      <c r="A199" s="2">
        <v>176.1</v>
      </c>
      <c r="B199" s="2">
        <f t="shared" si="6"/>
        <v>230.65145392418998</v>
      </c>
      <c r="C199" s="2" cm="1">
        <f t="array" ref="C199">INDEX( ComputeThermoProps($A199, $B199, ParametersRange), 1, COLUMN()-2 )</f>
        <v>28.491797249332805</v>
      </c>
      <c r="D199" s="2" cm="1">
        <f t="array" ref="D199">INDEX( ComputeThermoProps($A199, $B199, ParametersRange), 1, COLUMN()-2 )</f>
        <v>4.2301192109019798E-4</v>
      </c>
      <c r="E199" s="2" cm="1">
        <f t="array" ref="E199">INDEX( ComputeThermoProps($A199, $B199, ParametersRange), 1, COLUMN()-2 )</f>
        <v>2.9120637681680271E-4</v>
      </c>
      <c r="F199" s="2" cm="1">
        <f t="array" ref="F199">INDEX( ComputeThermoProps($A199, $B199, ParametersRange), 1, COLUMN()-2 )</f>
        <v>9.7357522816270213E-4</v>
      </c>
      <c r="G199" s="2" cm="1">
        <f t="array" ref="G199">INDEX( ComputeThermoProps($A199, $B199, ParametersRange), 1, COLUMN()-2 )</f>
        <v>36.081497386888877</v>
      </c>
      <c r="H199" s="2" cm="1">
        <f t="array" ref="H199">INDEX( ComputeThermoProps($A199, $B199, ParametersRange), 1, COLUMN()-2 )</f>
        <v>24.838926754313441</v>
      </c>
      <c r="I199" s="2" cm="1">
        <f t="array" ref="I199">INDEX( ComputeThermoProps($A199, $B199, ParametersRange), 1, COLUMN()-2 )</f>
        <v>2.6400000000000006</v>
      </c>
      <c r="J199" s="2" cm="1">
        <f t="array" ref="J199">INDEX( ComputeThermoProps($A199, $B199, ParametersRange), 1, COLUMN()-2 )</f>
        <v>3955.7204785294448</v>
      </c>
      <c r="K199" s="2" cm="1">
        <f t="array" ref="K199">INDEX( ComputeThermoProps($A199, $B199, ParametersRange), 1, COLUMN()-2 )</f>
        <v>60.401274516988224</v>
      </c>
      <c r="L199" s="2" cm="1">
        <f t="array" ref="L199">INDEX( ComputeThermoProps($A199, $B199, ParametersRange), 1, COLUMN()-2 )</f>
        <v>-6680.9439639121811</v>
      </c>
      <c r="M199" s="2" cm="1">
        <f t="array" ref="M199">INDEX( ComputeThermoProps($A199, $B199, ParametersRange), 1, COLUMN()-2 )</f>
        <v>10527.394939001293</v>
      </c>
      <c r="N199" s="2" cm="1">
        <f t="array" ref="N199">INDEX( ComputeThermoProps($A199, $B199, ParametersRange), 1, COLUMN()-2 )</f>
        <v>-109.26950344033276</v>
      </c>
      <c r="O199" s="4">
        <f t="shared" si="7"/>
        <v>2.3629561965521879</v>
      </c>
      <c r="P199" s="6">
        <f t="shared" si="8"/>
        <v>5922.586974293612</v>
      </c>
    </row>
    <row r="200" spans="1:16" x14ac:dyDescent="0.25">
      <c r="A200" s="2">
        <v>177.1</v>
      </c>
      <c r="B200" s="2">
        <f t="shared" si="6"/>
        <v>234.89297834667585</v>
      </c>
      <c r="C200" s="2" cm="1">
        <f t="array" ref="C200">INDEX( ComputeThermoProps($A200, $B200, ParametersRange), 1, COLUMN()-2 )</f>
        <v>28.468521133420051</v>
      </c>
      <c r="D200" s="2" cm="1">
        <f t="array" ref="D200">INDEX( ComputeThermoProps($A200, $B200, ParametersRange), 1, COLUMN()-2 )</f>
        <v>4.1998630762963451E-4</v>
      </c>
      <c r="E200" s="2" cm="1">
        <f t="array" ref="E200">INDEX( ComputeThermoProps($A200, $B200, ParametersRange), 1, COLUMN()-2 )</f>
        <v>2.8918189051901894E-4</v>
      </c>
      <c r="F200" s="2" cm="1">
        <f t="array" ref="F200">INDEX( ComputeThermoProps($A200, $B200, ParametersRange), 1, COLUMN()-2 )</f>
        <v>9.6745066884868717E-4</v>
      </c>
      <c r="G200" s="2" cm="1">
        <f t="array" ref="G200">INDEX( ComputeThermoProps($A200, $B200, ParametersRange), 1, COLUMN()-2 )</f>
        <v>36.07602813870578</v>
      </c>
      <c r="H200" s="2" cm="1">
        <f t="array" ref="H200">INDEX( ComputeThermoProps($A200, $B200, ParametersRange), 1, COLUMN()-2 )</f>
        <v>24.840176524917108</v>
      </c>
      <c r="I200" s="2" cm="1">
        <f t="array" ref="I200">INDEX( ComputeThermoProps($A200, $B200, ParametersRange), 1, COLUMN()-2 )</f>
        <v>2.64</v>
      </c>
      <c r="J200" s="2" cm="1">
        <f t="array" ref="J200">INDEX( ComputeThermoProps($A200, $B200, ParametersRange), 1, COLUMN()-2 )</f>
        <v>3976.5133339370914</v>
      </c>
      <c r="K200" s="2" cm="1">
        <f t="array" ref="K200">INDEX( ComputeThermoProps($A200, $B200, ParametersRange), 1, COLUMN()-2 )</f>
        <v>60.488320671631577</v>
      </c>
      <c r="L200" s="2" cm="1">
        <f t="array" ref="L200">INDEX( ComputeThermoProps($A200, $B200, ParametersRange), 1, COLUMN()-2 )</f>
        <v>-6735.9682570088607</v>
      </c>
      <c r="M200" s="2" cm="1">
        <f t="array" ref="M200">INDEX( ComputeThermoProps($A200, $B200, ParametersRange), 1, COLUMN()-2 )</f>
        <v>10663.56905209141</v>
      </c>
      <c r="N200" s="2" cm="1">
        <f t="array" ref="N200">INDEX( ComputeThermoProps($A200, $B200, ParametersRange), 1, COLUMN()-2 )</f>
        <v>-48.912538854541509</v>
      </c>
      <c r="O200" s="4">
        <f t="shared" si="7"/>
        <v>2.3708700346112761</v>
      </c>
      <c r="P200" s="6">
        <f t="shared" si="8"/>
        <v>6058.7610873837293</v>
      </c>
    </row>
    <row r="201" spans="1:16" x14ac:dyDescent="0.25">
      <c r="A201" s="2">
        <v>178.1</v>
      </c>
      <c r="B201" s="2">
        <f t="shared" si="6"/>
        <v>239.147408746868</v>
      </c>
      <c r="C201" s="2" cm="1">
        <f t="array" ref="C201">INDEX( ComputeThermoProps($A201, $B201, ParametersRange), 1, COLUMN()-2 )</f>
        <v>28.445299912621003</v>
      </c>
      <c r="D201" s="2" cm="1">
        <f t="array" ref="D201">INDEX( ComputeThermoProps($A201, $B201, ParametersRange), 1, COLUMN()-2 )</f>
        <v>4.1700146916386435E-4</v>
      </c>
      <c r="E201" s="2" cm="1">
        <f t="array" ref="E201">INDEX( ComputeThermoProps($A201, $B201, ParametersRange), 1, COLUMN()-2 )</f>
        <v>2.871835457509164E-4</v>
      </c>
      <c r="F201" s="2" cm="1">
        <f t="array" ref="F201">INDEX( ComputeThermoProps($A201, $B201, ParametersRange), 1, COLUMN()-2 )</f>
        <v>9.614069519605032E-4</v>
      </c>
      <c r="G201" s="2" cm="1">
        <f t="array" ref="G201">INDEX( ComputeThermoProps($A201, $B201, ParametersRange), 1, COLUMN()-2 )</f>
        <v>36.07067713422655</v>
      </c>
      <c r="H201" s="2" cm="1">
        <f t="array" ref="H201">INDEX( ComputeThermoProps($A201, $B201, ParametersRange), 1, COLUMN()-2 )</f>
        <v>24.841411177314253</v>
      </c>
      <c r="I201" s="2" cm="1">
        <f t="array" ref="I201">INDEX( ComputeThermoProps($A201, $B201, ParametersRange), 1, COLUMN()-2 )</f>
        <v>2.64</v>
      </c>
      <c r="J201" s="2" cm="1">
        <f t="array" ref="J201">INDEX( ComputeThermoProps($A201, $B201, ParametersRange), 1, COLUMN()-2 )</f>
        <v>3997.3539179193899</v>
      </c>
      <c r="K201" s="2" cm="1">
        <f t="array" ref="K201">INDEX( ComputeThermoProps($A201, $B201, ParametersRange), 1, COLUMN()-2 )</f>
        <v>60.574661899121693</v>
      </c>
      <c r="L201" s="2" cm="1">
        <f t="array" ref="L201">INDEX( ComputeThermoProps($A201, $B201, ParametersRange), 1, COLUMN()-2 )</f>
        <v>-6790.9933663141837</v>
      </c>
      <c r="M201" s="2" cm="1">
        <f t="array" ref="M201">INDEX( ComputeThermoProps($A201, $B201, ParametersRange), 1, COLUMN()-2 )</f>
        <v>10799.973683050213</v>
      </c>
      <c r="N201" s="2" cm="1">
        <f t="array" ref="N201">INDEX( ComputeThermoProps($A201, $B201, ParametersRange), 1, COLUMN()-2 )</f>
        <v>11.626398816640116</v>
      </c>
      <c r="O201" s="4">
        <f t="shared" si="7"/>
        <v>2.3786656794875842</v>
      </c>
      <c r="P201" s="6">
        <f t="shared" si="8"/>
        <v>6195.1657183425323</v>
      </c>
    </row>
    <row r="202" spans="1:16" x14ac:dyDescent="0.25">
      <c r="A202" s="2">
        <v>179.1</v>
      </c>
      <c r="B202" s="2">
        <f t="shared" si="6"/>
        <v>243.41471565770061</v>
      </c>
      <c r="C202" s="2" cm="1">
        <f t="array" ref="C202">INDEX( ComputeThermoProps($A202, $B202, ParametersRange), 1, COLUMN()-2 )</f>
        <v>28.422133415052318</v>
      </c>
      <c r="D202" s="2" cm="1">
        <f t="array" ref="D202">INDEX( ComputeThermoProps($A202, $B202, ParametersRange), 1, COLUMN()-2 )</f>
        <v>4.1405660036444722E-4</v>
      </c>
      <c r="E202" s="2" cm="1">
        <f t="array" ref="E202">INDEX( ComputeThermoProps($A202, $B202, ParametersRange), 1, COLUMN()-2 )</f>
        <v>2.8521084781642735E-4</v>
      </c>
      <c r="F202" s="2" cm="1">
        <f t="array" ref="F202">INDEX( ComputeThermoProps($A202, $B202, ParametersRange), 1, COLUMN()-2 )</f>
        <v>9.5544249654938649E-4</v>
      </c>
      <c r="G202" s="2" cm="1">
        <f t="array" ref="G202">INDEX( ComputeThermoProps($A202, $B202, ParametersRange), 1, COLUMN()-2 )</f>
        <v>36.065442189313252</v>
      </c>
      <c r="H202" s="2" cm="1">
        <f t="array" ref="H202">INDEX( ComputeThermoProps($A202, $B202, ParametersRange), 1, COLUMN()-2 )</f>
        <v>24.842631018644678</v>
      </c>
      <c r="I202" s="2" cm="1">
        <f t="array" ref="I202">INDEX( ComputeThermoProps($A202, $B202, ParametersRange), 1, COLUMN()-2 )</f>
        <v>2.6400000000000006</v>
      </c>
      <c r="J202" s="2" cm="1">
        <f t="array" ref="J202">INDEX( ComputeThermoProps($A202, $B202, ParametersRange), 1, COLUMN()-2 )</f>
        <v>4018.242228296514</v>
      </c>
      <c r="K202" s="2" cm="1">
        <f t="array" ref="K202">INDEX( ComputeThermoProps($A202, $B202, ParametersRange), 1, COLUMN()-2 )</f>
        <v>60.660306788753296</v>
      </c>
      <c r="L202" s="2" cm="1">
        <f t="array" ref="L202">INDEX( ComputeThermoProps($A202, $B202, ParametersRange), 1, COLUMN()-2 )</f>
        <v>-6846.0187175692008</v>
      </c>
      <c r="M202" s="2" cm="1">
        <f t="array" ref="M202">INDEX( ComputeThermoProps($A202, $B202, ParametersRange), 1, COLUMN()-2 )</f>
        <v>10936.607751906706</v>
      </c>
      <c r="N202" s="2" cm="1">
        <f t="array" ref="N202">INDEX( ComputeThermoProps($A202, $B202, ParametersRange), 1, COLUMN()-2 )</f>
        <v>72.346806040990799</v>
      </c>
      <c r="O202" s="4">
        <f t="shared" si="7"/>
        <v>2.3863468299981996</v>
      </c>
      <c r="P202" s="6">
        <f t="shared" si="8"/>
        <v>6331.7997871990246</v>
      </c>
    </row>
    <row r="203" spans="1:16" x14ac:dyDescent="0.25">
      <c r="A203" s="2">
        <v>180.1</v>
      </c>
      <c r="B203" s="2">
        <f t="shared" si="6"/>
        <v>247.69487003424194</v>
      </c>
      <c r="C203" s="2" cm="1">
        <f t="array" ref="C203">INDEX( ComputeThermoProps($A203, $B203, ParametersRange), 1, COLUMN()-2 )</f>
        <v>28.399021464972751</v>
      </c>
      <c r="D203" s="2" cm="1">
        <f t="array" ref="D203">INDEX( ComputeThermoProps($A203, $B203, ParametersRange), 1, COLUMN()-2 )</f>
        <v>4.1115091633035626E-4</v>
      </c>
      <c r="E203" s="2" cm="1">
        <f t="array" ref="E203">INDEX( ComputeThermoProps($A203, $B203, ParametersRange), 1, COLUMN()-2 )</f>
        <v>2.8326331413204298E-4</v>
      </c>
      <c r="F203" s="2" cm="1">
        <f t="array" ref="F203">INDEX( ComputeThermoProps($A203, $B203, ParametersRange), 1, COLUMN()-2 )</f>
        <v>9.4955576104429251E-4</v>
      </c>
      <c r="G203" s="2" cm="1">
        <f t="array" ref="G203">INDEX( ComputeThermoProps($A203, $B203, ParametersRange), 1, COLUMN()-2 )</f>
        <v>36.060321143557658</v>
      </c>
      <c r="H203" s="2" cm="1">
        <f t="array" ref="H203">INDEX( ComputeThermoProps($A203, $B203, ParametersRange), 1, COLUMN()-2 )</f>
        <v>24.843836338631938</v>
      </c>
      <c r="I203" s="2" cm="1">
        <f t="array" ref="I203">INDEX( ComputeThermoProps($A203, $B203, ParametersRange), 1, COLUMN()-2 )</f>
        <v>2.64</v>
      </c>
      <c r="J203" s="2" cm="1">
        <f t="array" ref="J203">INDEX( ComputeThermoProps($A203, $B203, ParametersRange), 1, COLUMN()-2 )</f>
        <v>4039.1782612262828</v>
      </c>
      <c r="K203" s="2" cm="1">
        <f t="array" ref="K203">INDEX( ComputeThermoProps($A203, $B203, ParametersRange), 1, COLUMN()-2 )</f>
        <v>60.745263775131271</v>
      </c>
      <c r="L203" s="2" cm="1">
        <f t="array" ref="L203">INDEX( ComputeThermoProps($A203, $B203, ParametersRange), 1, COLUMN()-2 )</f>
        <v>-6901.0437446748583</v>
      </c>
      <c r="M203" s="2" cm="1">
        <f t="array" ref="M203">INDEX( ComputeThermoProps($A203, $B203, ParametersRange), 1, COLUMN()-2 )</f>
        <v>11073.470192092356</v>
      </c>
      <c r="N203" s="2" cm="1">
        <f t="array" ref="N203">INDEX( ComputeThermoProps($A203, $B203, ParametersRange), 1, COLUMN()-2 )</f>
        <v>133.24818619121473</v>
      </c>
      <c r="O203" s="4">
        <f t="shared" si="7"/>
        <v>2.3939170120808231</v>
      </c>
      <c r="P203" s="6">
        <f t="shared" si="8"/>
        <v>6468.6622273846751</v>
      </c>
    </row>
    <row r="204" spans="1:16" x14ac:dyDescent="0.25">
      <c r="A204" s="2">
        <v>181.1</v>
      </c>
      <c r="B204" s="2">
        <f t="shared" si="6"/>
        <v>251.98784324335776</v>
      </c>
      <c r="C204" s="2" cm="1">
        <f t="array" ref="C204">INDEX( ComputeThermoProps($A204, $B204, ParametersRange), 1, COLUMN()-2 )</f>
        <v>28.37596388307265</v>
      </c>
      <c r="D204" s="2" cm="1">
        <f t="array" ref="D204">INDEX( ComputeThermoProps($A204, $B204, ParametersRange), 1, COLUMN()-2 )</f>
        <v>4.0828365211065926E-4</v>
      </c>
      <c r="E204" s="2" cm="1">
        <f t="array" ref="E204">INDEX( ComputeThermoProps($A204, $B204, ParametersRange), 1, COLUMN()-2 )</f>
        <v>2.8134047387213211E-4</v>
      </c>
      <c r="F204" s="2" cm="1">
        <f t="array" ref="F204">INDEX( ComputeThermoProps($A204, $B204, ParametersRange), 1, COLUMN()-2 )</f>
        <v>9.4374524311502937E-4</v>
      </c>
      <c r="G204" s="2" cm="1">
        <f t="array" ref="G204">INDEX( ComputeThermoProps($A204, $B204, ParametersRange), 1, COLUMN()-2 )</f>
        <v>36.055311899451205</v>
      </c>
      <c r="H204" s="2" cm="1">
        <f t="array" ref="H204">INDEX( ComputeThermoProps($A204, $B204, ParametersRange), 1, COLUMN()-2 )</f>
        <v>24.845027428748953</v>
      </c>
      <c r="I204" s="2" cm="1">
        <f t="array" ref="I204">INDEX( ComputeThermoProps($A204, $B204, ParametersRange), 1, COLUMN()-2 )</f>
        <v>2.64</v>
      </c>
      <c r="J204" s="2" cm="1">
        <f t="array" ref="J204">INDEX( ComputeThermoProps($A204, $B204, ParametersRange), 1, COLUMN()-2 )</f>
        <v>4060.1620112934429</v>
      </c>
      <c r="K204" s="2" cm="1">
        <f t="array" ref="K204">INDEX( ComputeThermoProps($A204, $B204, ParametersRange), 1, COLUMN()-2 )</f>
        <v>60.829541141963247</v>
      </c>
      <c r="L204" s="2" cm="1">
        <f t="array" ref="L204">INDEX( ComputeThermoProps($A204, $B204, ParametersRange), 1, COLUMN()-2 )</f>
        <v>-6956.0678895161009</v>
      </c>
      <c r="M204" s="2" cm="1">
        <f t="array" ref="M204">INDEX( ComputeThermoProps($A204, $B204, ParametersRange), 1, COLUMN()-2 )</f>
        <v>11210.559950140336</v>
      </c>
      <c r="N204" s="2" cm="1">
        <f t="array" ref="N204">INDEX( ComputeThermoProps($A204, $B204, ParametersRange), 1, COLUMN()-2 )</f>
        <v>194.33004933079206</v>
      </c>
      <c r="O204" s="4">
        <f t="shared" si="7"/>
        <v>2.4013795894336125</v>
      </c>
      <c r="P204" s="6">
        <f t="shared" si="8"/>
        <v>6605.7519854326547</v>
      </c>
    </row>
    <row r="205" spans="1:16" x14ac:dyDescent="0.25">
      <c r="A205" s="2">
        <v>182.1</v>
      </c>
      <c r="B205" s="2">
        <f t="shared" si="6"/>
        <v>256.29360705369407</v>
      </c>
      <c r="C205" s="2" cm="1">
        <f t="array" ref="C205">INDEX( ComputeThermoProps($A205, $B205, ParametersRange), 1, COLUMN()-2 )</f>
        <v>28.352960486747477</v>
      </c>
      <c r="D205" s="2" cm="1">
        <f t="array" ref="D205">INDEX( ComputeThermoProps($A205, $B205, ParametersRange), 1, COLUMN()-2 )</f>
        <v>4.054540619824363E-4</v>
      </c>
      <c r="E205" s="2" cm="1">
        <f t="array" ref="E205">INDEX( ComputeThermoProps($A205, $B205, ParametersRange), 1, COLUMN()-2 )</f>
        <v>2.7944186762593926E-4</v>
      </c>
      <c r="F205" s="2" cm="1">
        <f t="array" ref="F205">INDEX( ComputeThermoProps($A205, $B205, ParametersRange), 1, COLUMN()-2 )</f>
        <v>9.3800947760561886E-4</v>
      </c>
      <c r="G205" s="2" cm="1">
        <f t="array" ref="G205">INDEX( ComputeThermoProps($A205, $B205, ParametersRange), 1, COLUMN()-2 )</f>
        <v>36.050412387298373</v>
      </c>
      <c r="H205" s="2" cm="1">
        <f t="array" ref="H205">INDEX( ComputeThermoProps($A205, $B205, ParametersRange), 1, COLUMN()-2 )</f>
        <v>24.846204566149702</v>
      </c>
      <c r="I205" s="2" cm="1">
        <f t="array" ref="I205">INDEX( ComputeThermoProps($A205, $B205, ParametersRange), 1, COLUMN()-2 )</f>
        <v>2.6399999999999997</v>
      </c>
      <c r="J205" s="2" cm="1">
        <f t="array" ref="J205">INDEX( ComputeThermoProps($A205, $B205, ParametersRange), 1, COLUMN()-2 )</f>
        <v>4081.1934715942139</v>
      </c>
      <c r="K205" s="2" cm="1">
        <f t="array" ref="K205">INDEX( ComputeThermoProps($A205, $B205, ParametersRange), 1, COLUMN()-2 )</f>
        <v>60.913147025733103</v>
      </c>
      <c r="L205" s="2" cm="1">
        <f t="array" ref="L205">INDEX( ComputeThermoProps($A205, $B205, ParametersRange), 1, COLUMN()-2 )</f>
        <v>-7011.0906017917841</v>
      </c>
      <c r="M205" s="2" cm="1">
        <f t="array" ref="M205">INDEX( ComputeThermoProps($A205, $B205, ParametersRange), 1, COLUMN()-2 )</f>
        <v>11347.875985393586</v>
      </c>
      <c r="N205" s="2" cm="1">
        <f t="array" ref="N205">INDEX( ComputeThermoProps($A205, $B205, ParametersRange), 1, COLUMN()-2 )</f>
        <v>255.59191200758849</v>
      </c>
      <c r="O205" s="4">
        <f t="shared" si="7"/>
        <v>2.4087377733479944</v>
      </c>
      <c r="P205" s="6">
        <f t="shared" si="8"/>
        <v>6743.0680206859051</v>
      </c>
    </row>
    <row r="206" spans="1:16" x14ac:dyDescent="0.25">
      <c r="A206" s="2">
        <v>183.1</v>
      </c>
      <c r="B206" s="2">
        <f t="shared" si="6"/>
        <v>260.61213362597226</v>
      </c>
      <c r="C206" s="2" cm="1">
        <f t="array" ref="C206">INDEX( ComputeThermoProps($A206, $B206, ParametersRange), 1, COLUMN()-2 )</f>
        <v>28.330011090356159</v>
      </c>
      <c r="D206" s="2" cm="1">
        <f t="array" ref="D206">INDEX( ComputeThermoProps($A206, $B206, ParametersRange), 1, COLUMN()-2 )</f>
        <v>4.0266141893371439E-4</v>
      </c>
      <c r="E206" s="2" cm="1">
        <f t="array" ref="E206">INDEX( ComputeThermoProps($A206, $B206, ParametersRange), 1, COLUMN()-2 )</f>
        <v>2.7756704706585278E-4</v>
      </c>
      <c r="F206" s="2" cm="1">
        <f t="array" ref="F206">INDEX( ComputeThermoProps($A206, $B206, ParametersRange), 1, COLUMN()-2 )</f>
        <v>9.3234703587674887E-4</v>
      </c>
      <c r="G206" s="2" cm="1">
        <f t="array" ref="G206">INDEX( ComputeThermoProps($A206, $B206, ParametersRange), 1, COLUMN()-2 )</f>
        <v>36.045620581863616</v>
      </c>
      <c r="H206" s="2" cm="1">
        <f t="array" ref="H206">INDEX( ComputeThermoProps($A206, $B206, ParametersRange), 1, COLUMN()-2 )</f>
        <v>24.84736802214228</v>
      </c>
      <c r="I206" s="2" cm="1">
        <f t="array" ref="I206">INDEX( ComputeThermoProps($A206, $B206, ParametersRange), 1, COLUMN()-2 )</f>
        <v>2.6399999999999997</v>
      </c>
      <c r="J206" s="2" cm="1">
        <f t="array" ref="J206">INDEX( ComputeThermoProps($A206, $B206, ParametersRange), 1, COLUMN()-2 )</f>
        <v>4102.2726338163538</v>
      </c>
      <c r="K206" s="2" cm="1">
        <f t="array" ref="K206">INDEX( ComputeThermoProps($A206, $B206, ParametersRange), 1, COLUMN()-2 )</f>
        <v>60.996089419259718</v>
      </c>
      <c r="L206" s="2" cm="1">
        <f t="array" ref="L206">INDEX( ComputeThermoProps($A206, $B206, ParametersRange), 1, COLUMN()-2 )</f>
        <v>-7066.1113388500999</v>
      </c>
      <c r="M206" s="2" cm="1">
        <f t="array" ref="M206">INDEX( ComputeThermoProps($A206, $B206, ParametersRange), 1, COLUMN()-2 )</f>
        <v>11485.417269721529</v>
      </c>
      <c r="N206" s="2" cm="1">
        <f t="array" ref="N206">INDEX( ComputeThermoProps($A206, $B206, ParametersRange), 1, COLUMN()-2 )</f>
        <v>317.03329705507497</v>
      </c>
      <c r="O206" s="4">
        <f t="shared" si="7"/>
        <v>2.4159946318068521</v>
      </c>
      <c r="P206" s="6">
        <f t="shared" si="8"/>
        <v>6880.6093050138479</v>
      </c>
    </row>
    <row r="207" spans="1:16" x14ac:dyDescent="0.25">
      <c r="A207" s="2">
        <v>184.1</v>
      </c>
      <c r="B207" s="2">
        <f t="shared" si="6"/>
        <v>264.94339550358535</v>
      </c>
      <c r="C207" s="2" cm="1">
        <f t="array" ref="C207">INDEX( ComputeThermoProps($A207, $B207, ParametersRange), 1, COLUMN()-2 )</f>
        <v>28.307115505465095</v>
      </c>
      <c r="D207" s="2" cm="1">
        <f t="array" ref="D207">INDEX( ComputeThermoProps($A207, $B207, ParametersRange), 1, COLUMN()-2 )</f>
        <v>3.9990501409260175E-4</v>
      </c>
      <c r="E207" s="2" cm="1">
        <f t="array" ref="E207">INDEX( ComputeThermoProps($A207, $B207, ParametersRange), 1, COLUMN()-2 )</f>
        <v>2.7571557462655218E-4</v>
      </c>
      <c r="F207" s="2" cm="1">
        <f t="array" ref="F207">INDEX( ComputeThermoProps($A207, $B207, ParametersRange), 1, COLUMN()-2 )</f>
        <v>9.2675652464203233E-4</v>
      </c>
      <c r="G207" s="2" cm="1">
        <f t="array" ref="G207">INDEX( ComputeThermoProps($A207, $B207, ParametersRange), 1, COLUMN()-2 )</f>
        <v>36.040934498512804</v>
      </c>
      <c r="H207" s="2" cm="1">
        <f t="array" ref="H207">INDEX( ComputeThermoProps($A207, $B207, ParametersRange), 1, COLUMN()-2 )</f>
        <v>24.848518060927262</v>
      </c>
      <c r="I207" s="2" cm="1">
        <f t="array" ref="I207">INDEX( ComputeThermoProps($A207, $B207, ParametersRange), 1, COLUMN()-2 )</f>
        <v>2.64</v>
      </c>
      <c r="J207" s="2" cm="1">
        <f t="array" ref="J207">INDEX( ComputeThermoProps($A207, $B207, ParametersRange), 1, COLUMN()-2 )</f>
        <v>4123.3994883149817</v>
      </c>
      <c r="K207" s="2" cm="1">
        <f t="array" ref="K207">INDEX( ComputeThermoProps($A207, $B207, ParametersRange), 1, COLUMN()-2 )</f>
        <v>61.078376175145493</v>
      </c>
      <c r="L207" s="2" cm="1">
        <f t="array" ref="L207">INDEX( ComputeThermoProps($A207, $B207, ParametersRange), 1, COLUMN()-2 )</f>
        <v>-7121.1295655293034</v>
      </c>
      <c r="M207" s="2" cm="1">
        <f t="array" ref="M207">INDEX( ComputeThermoProps($A207, $B207, ParametersRange), 1, COLUMN()-2 )</f>
        <v>11623.182787245094</v>
      </c>
      <c r="N207" s="2" cm="1">
        <f t="array" ref="N207">INDEX( ComputeThermoProps($A207, $B207, ParametersRange), 1, COLUMN()-2 )</f>
        <v>378.65373340080907</v>
      </c>
      <c r="O207" s="4">
        <f t="shared" si="7"/>
        <v>2.4231530979130067</v>
      </c>
      <c r="P207" s="6">
        <f t="shared" si="8"/>
        <v>7018.3748225374129</v>
      </c>
    </row>
    <row r="208" spans="1:16" x14ac:dyDescent="0.25">
      <c r="A208" s="2">
        <v>185.1</v>
      </c>
      <c r="B208" s="2">
        <f t="shared" si="6"/>
        <v>269.28736560348693</v>
      </c>
      <c r="C208" s="2" cm="1">
        <f t="array" ref="C208">INDEX( ComputeThermoProps($A208, $B208, ParametersRange), 1, COLUMN()-2 )</f>
        <v>28.284273541078658</v>
      </c>
      <c r="D208" s="2" cm="1">
        <f t="array" ref="D208">INDEX( ComputeThermoProps($A208, $B208, ParametersRange), 1, COLUMN()-2 )</f>
        <v>3.9718415619880966E-4</v>
      </c>
      <c r="E208" s="2" cm="1">
        <f t="array" ref="E208">INDEX( ComputeThermoProps($A208, $B208, ParametersRange), 1, COLUMN()-2 )</f>
        <v>2.7388702319465518E-4</v>
      </c>
      <c r="F208" s="2" cm="1">
        <f t="array" ref="F208">INDEX( ComputeThermoProps($A208, $B208, ParametersRange), 1, COLUMN()-2 )</f>
        <v>9.2123658501580379E-4</v>
      </c>
      <c r="G208" s="2" cm="1">
        <f t="array" ref="G208">INDEX( ComputeThermoProps($A208, $B208, ParametersRange), 1, COLUMN()-2 )</f>
        <v>36.036352196108837</v>
      </c>
      <c r="H208" s="2" cm="1">
        <f t="array" ref="H208">INDEX( ComputeThermoProps($A208, $B208, ParametersRange), 1, COLUMN()-2 )</f>
        <v>24.84965494153818</v>
      </c>
      <c r="I208" s="2" cm="1">
        <f t="array" ref="I208">INDEX( ComputeThermoProps($A208, $B208, ParametersRange), 1, COLUMN()-2 )</f>
        <v>2.64</v>
      </c>
      <c r="J208" s="2" cm="1">
        <f t="array" ref="J208">INDEX( ComputeThermoProps($A208, $B208, ParametersRange), 1, COLUMN()-2 )</f>
        <v>4144.5740241843869</v>
      </c>
      <c r="K208" s="2" cm="1">
        <f t="array" ref="K208">INDEX( ComputeThermoProps($A208, $B208, ParametersRange), 1, COLUMN()-2 )</f>
        <v>61.160015009118553</v>
      </c>
      <c r="L208" s="2" cm="1">
        <f t="array" ref="L208">INDEX( ComputeThermoProps($A208, $B208, ParametersRange), 1, COLUMN()-2 )</f>
        <v>-7176.1447540034569</v>
      </c>
      <c r="M208" s="2" cm="1">
        <f t="array" ref="M208">INDEX( ComputeThermoProps($A208, $B208, ParametersRange), 1, COLUMN()-2 )</f>
        <v>11761.171534069868</v>
      </c>
      <c r="N208" s="2" cm="1">
        <f t="array" ref="N208">INDEX( ComputeThermoProps($A208, $B208, ParametersRange), 1, COLUMN()-2 )</f>
        <v>440.45275588202463</v>
      </c>
      <c r="O208" s="4">
        <f t="shared" si="7"/>
        <v>2.4302159777063261</v>
      </c>
      <c r="P208" s="6">
        <f t="shared" si="8"/>
        <v>7156.3635693621873</v>
      </c>
    </row>
    <row r="209" spans="1:16" x14ac:dyDescent="0.25">
      <c r="A209" s="2">
        <v>186.1</v>
      </c>
      <c r="B209" s="2">
        <f t="shared" si="6"/>
        <v>273.64401720736373</v>
      </c>
      <c r="C209" s="2" cm="1">
        <f t="array" ref="C209">INDEX( ComputeThermoProps($A209, $B209, ParametersRange), 1, COLUMN()-2 )</f>
        <v>28.261485003225872</v>
      </c>
      <c r="D209" s="2" cm="1">
        <f t="array" ref="D209">INDEX( ComputeThermoProps($A209, $B209, ParametersRange), 1, COLUMN()-2 )</f>
        <v>3.9449817107917396E-4</v>
      </c>
      <c r="E209" s="2" cm="1">
        <f t="array" ref="E209">INDEX( ComputeThermoProps($A209, $B209, ParametersRange), 1, COLUMN()-2 )</f>
        <v>2.7208097579133262E-4</v>
      </c>
      <c r="F209" s="2" cm="1">
        <f t="array" ref="F209">INDEX( ComputeThermoProps($A209, $B209, ParametersRange), 1, COLUMN()-2 )</f>
        <v>9.1578589167671588E-4</v>
      </c>
      <c r="G209" s="2" cm="1">
        <f t="array" ref="G209">INDEX( ComputeThermoProps($A209, $B209, ParametersRange), 1, COLUMN()-2 )</f>
        <v>36.031871784694737</v>
      </c>
      <c r="H209" s="2" cm="1">
        <f t="array" ref="H209">INDEX( ComputeThermoProps($A209, $B209, ParametersRange), 1, COLUMN()-2 )</f>
        <v>24.850778922370203</v>
      </c>
      <c r="I209" s="2" cm="1">
        <f t="array" ref="I209">INDEX( ComputeThermoProps($A209, $B209, ParametersRange), 1, COLUMN()-2 )</f>
        <v>2.64</v>
      </c>
      <c r="J209" s="2" cm="1">
        <f t="array" ref="J209">INDEX( ComputeThermoProps($A209, $B209, ParametersRange), 1, COLUMN()-2 )</f>
        <v>4165.7962286203074</v>
      </c>
      <c r="K209" s="2" cm="1">
        <f t="array" ref="K209">INDEX( ComputeThermoProps($A209, $B209, ParametersRange), 1, COLUMN()-2 )</f>
        <v>61.241013497468046</v>
      </c>
      <c r="L209" s="2" cm="1">
        <f t="array" ref="L209">INDEX( ComputeThermoProps($A209, $B209, ParametersRange), 1, COLUMN()-2 )</f>
        <v>-7231.1563832584952</v>
      </c>
      <c r="M209" s="2" cm="1">
        <f t="array" ref="M209">INDEX( ComputeThermoProps($A209, $B209, ParametersRange), 1, COLUMN()-2 )</f>
        <v>11899.382517148701</v>
      </c>
      <c r="N209" s="2" cm="1">
        <f t="array" ref="N209">INDEX( ComputeThermoProps($A209, $B209, ParametersRange), 1, COLUMN()-2 )</f>
        <v>502.42990526989757</v>
      </c>
      <c r="O209" s="4">
        <f t="shared" si="7"/>
        <v>2.4371859574219483</v>
      </c>
      <c r="P209" s="6">
        <f t="shared" si="8"/>
        <v>7294.5745524410195</v>
      </c>
    </row>
    <row r="210" spans="1:16" x14ac:dyDescent="0.25">
      <c r="A210" s="2">
        <v>187.1</v>
      </c>
      <c r="B210" s="2">
        <f t="shared" si="6"/>
        <v>278.01332395308191</v>
      </c>
      <c r="C210" s="2" cm="1">
        <f t="array" ref="C210">INDEX( ComputeThermoProps($A210, $B210, ParametersRange), 1, COLUMN()-2 )</f>
        <v>28.238749697698577</v>
      </c>
      <c r="D210" s="2" cm="1">
        <f t="array" ref="D210">INDEX( ComputeThermoProps($A210, $B210, ParametersRange), 1, COLUMN()-2 )</f>
        <v>3.9184640101903439E-4</v>
      </c>
      <c r="E210" s="2" cm="1">
        <f t="array" ref="E210">INDEX( ComputeThermoProps($A210, $B210, ParametersRange), 1, COLUMN()-2 )</f>
        <v>2.7029702535100625E-4</v>
      </c>
      <c r="F210" s="2" cm="1">
        <f t="array" ref="F210">INDEX( ComputeThermoProps($A210, $B210, ParametersRange), 1, COLUMN()-2 )</f>
        <v>9.1040315021774856E-4</v>
      </c>
      <c r="G210" s="2" cm="1">
        <f t="array" ref="G210">INDEX( ComputeThermoProps($A210, $B210, ParametersRange), 1, COLUMN()-2 )</f>
        <v>36.027491352940132</v>
      </c>
      <c r="H210" s="2" cm="1">
        <f t="array" ref="H210">INDEX( ComputeThermoProps($A210, $B210, ParametersRange), 1, COLUMN()-2 )</f>
        <v>24.851890225950491</v>
      </c>
      <c r="I210" s="2" cm="1">
        <f t="array" ref="I210">INDEX( ComputeThermoProps($A210, $B210, ParametersRange), 1, COLUMN()-2 )</f>
        <v>2.64</v>
      </c>
      <c r="J210" s="2" cm="1">
        <f t="array" ref="J210">INDEX( ComputeThermoProps($A210, $B210, ParametersRange), 1, COLUMN()-2 )</f>
        <v>4187.0660898142023</v>
      </c>
      <c r="K210" s="2" cm="1">
        <f t="array" ref="K210">INDEX( ComputeThermoProps($A210, $B210, ParametersRange), 1, COLUMN()-2 )</f>
        <v>61.321379103479288</v>
      </c>
      <c r="L210" s="2" cm="1">
        <f t="array" ref="L210">INDEX( ComputeThermoProps($A210, $B210, ParametersRange), 1, COLUMN()-2 )</f>
        <v>-7286.1639404467724</v>
      </c>
      <c r="M210" s="2" cm="1">
        <f t="array" ref="M210">INDEX( ComputeThermoProps($A210, $B210, ParametersRange), 1, COLUMN()-2 )</f>
        <v>12037.81475755047</v>
      </c>
      <c r="N210" s="2" cm="1">
        <f t="array" ref="N210">INDEX( ComputeThermoProps($A210, $B210, ParametersRange), 1, COLUMN()-2 )</f>
        <v>564.58472728949562</v>
      </c>
      <c r="O210" s="4">
        <f t="shared" si="7"/>
        <v>2.4440656102369154</v>
      </c>
      <c r="P210" s="6">
        <f t="shared" si="8"/>
        <v>7433.0067928427889</v>
      </c>
    </row>
    <row r="211" spans="1:16" x14ac:dyDescent="0.25">
      <c r="A211" s="2">
        <v>188.1</v>
      </c>
      <c r="B211" s="2">
        <f t="shared" si="6"/>
        <v>282.39525982639958</v>
      </c>
      <c r="C211" s="2" cm="1">
        <f t="array" ref="C211">INDEX( ComputeThermoProps($A211, $B211, ParametersRange), 1, COLUMN()-2 )</f>
        <v>28.216067426433142</v>
      </c>
      <c r="D211" s="2" cm="1">
        <f t="array" ref="D211">INDEX( ComputeThermoProps($A211, $B211, ParametersRange), 1, COLUMN()-2 )</f>
        <v>3.8922820455580083E-4</v>
      </c>
      <c r="E211" s="2" cm="1">
        <f t="array" ref="E211">INDEX( ComputeThermoProps($A211, $B211, ParametersRange), 1, COLUMN()-2 )</f>
        <v>2.6853477433592352E-4</v>
      </c>
      <c r="F211" s="2" cm="1">
        <f t="array" ref="F211">INDEX( ComputeThermoProps($A211, $B211, ParametersRange), 1, COLUMN()-2 )</f>
        <v>9.0508709944305823E-4</v>
      </c>
      <c r="G211" s="2" cm="1">
        <f t="array" ref="G211">INDEX( ComputeThermoProps($A211, $B211, ParametersRange), 1, COLUMN()-2 )</f>
        <v>36.023209103746503</v>
      </c>
      <c r="H211" s="2" cm="1">
        <f t="array" ref="H211">INDEX( ComputeThermoProps($A211, $B211, ParametersRange), 1, COLUMN()-2 )</f>
        <v>24.852989105889769</v>
      </c>
      <c r="I211" s="2" cm="1">
        <f t="array" ref="I211">INDEX( ComputeThermoProps($A211, $B211, ParametersRange), 1, COLUMN()-2 )</f>
        <v>2.6399999999999997</v>
      </c>
      <c r="J211" s="2" cm="1">
        <f t="array" ref="J211">INDEX( ComputeThermoProps($A211, $B211, ParametersRange), 1, COLUMN()-2 )</f>
        <v>4208.3835927591163</v>
      </c>
      <c r="K211" s="2" cm="1">
        <f t="array" ref="K211">INDEX( ComputeThermoProps($A211, $B211, ParametersRange), 1, COLUMN()-2 )</f>
        <v>61.401119145428069</v>
      </c>
      <c r="L211" s="2" cm="1">
        <f t="array" ref="L211">INDEX( ComputeThermoProps($A211, $B211, ParametersRange), 1, COLUMN()-2 )</f>
        <v>-7341.1669184959028</v>
      </c>
      <c r="M211" s="2" cm="1">
        <f t="array" ref="M211">INDEX( ComputeThermoProps($A211, $B211, ParametersRange), 1, COLUMN()-2 )</f>
        <v>12176.467284925913</v>
      </c>
      <c r="N211" s="2" cm="1">
        <f t="array" ref="N211">INDEX( ComputeThermoProps($A211, $B211, ParametersRange), 1, COLUMN()-2 )</f>
        <v>626.91677367089369</v>
      </c>
      <c r="O211" s="4">
        <f t="shared" si="7"/>
        <v>2.4508574025479124</v>
      </c>
      <c r="P211" s="6">
        <f t="shared" si="8"/>
        <v>7571.6593202182321</v>
      </c>
    </row>
    <row r="212" spans="1:16" x14ac:dyDescent="0.25">
      <c r="A212" s="2">
        <v>189.1</v>
      </c>
      <c r="B212" s="2">
        <f t="shared" si="6"/>
        <v>286.78979915293428</v>
      </c>
      <c r="C212" s="2" cm="1">
        <f t="array" ref="C212">INDEX( ComputeThermoProps($A212, $B212, ParametersRange), 1, COLUMN()-2 )</f>
        <v>28.193437990244348</v>
      </c>
      <c r="D212" s="2" cm="1">
        <f t="array" ref="D212">INDEX( ComputeThermoProps($A212, $B212, ParametersRange), 1, COLUMN()-2 )</f>
        <v>3.8664295575421294E-4</v>
      </c>
      <c r="E212" s="2" cm="1">
        <f t="array" ref="E212">INDEX( ComputeThermoProps($A212, $B212, ParametersRange), 1, COLUMN()-2 )</f>
        <v>2.6679383453437913E-4</v>
      </c>
      <c r="F212" s="2" cm="1">
        <f t="array" ref="F212">INDEX( ComputeThermoProps($A212, $B212, ParametersRange), 1, COLUMN()-2 )</f>
        <v>8.9983650780570243E-4</v>
      </c>
      <c r="G212" s="2" cm="1">
        <f t="array" ref="G212">INDEX( ComputeThermoProps($A212, $B212, ParametersRange), 1, COLUMN()-2 )</f>
        <v>36.019023243589558</v>
      </c>
      <c r="H212" s="2" cm="1">
        <f t="array" ref="H212">INDEX( ComputeThermoProps($A212, $B212, ParametersRange), 1, COLUMN()-2 )</f>
        <v>24.854075793505466</v>
      </c>
      <c r="I212" s="2" cm="1">
        <f t="array" ref="I212">INDEX( ComputeThermoProps($A212, $B212, ParametersRange), 1, COLUMN()-2 )</f>
        <v>2.6399999999999997</v>
      </c>
      <c r="J212" s="2" cm="1">
        <f t="array" ref="J212">INDEX( ComputeThermoProps($A212, $B212, ParametersRange), 1, COLUMN()-2 )</f>
        <v>4229.7487221513311</v>
      </c>
      <c r="K212" s="2" cm="1">
        <f t="array" ref="K212">INDEX( ComputeThermoProps($A212, $B212, ParametersRange), 1, COLUMN()-2 )</f>
        <v>61.480240822980768</v>
      </c>
      <c r="L212" s="2" cm="1">
        <f t="array" ref="L212">INDEX( ComputeThermoProps($A212, $B212, ParametersRange), 1, COLUMN()-2 )</f>
        <v>-7396.1648174743323</v>
      </c>
      <c r="M212" s="2" cm="1">
        <f t="array" ref="M212">INDEX( ComputeThermoProps($A212, $B212, ParametersRange), 1, COLUMN()-2 )</f>
        <v>12315.339140804215</v>
      </c>
      <c r="N212" s="2" cm="1">
        <f t="array" ref="N212">INDEX( ComputeThermoProps($A212, $B212, ParametersRange), 1, COLUMN()-2 )</f>
        <v>689.42560117855237</v>
      </c>
      <c r="O212" s="4">
        <f t="shared" si="7"/>
        <v>2.4575636998187087</v>
      </c>
      <c r="P212" s="6">
        <f t="shared" si="8"/>
        <v>7710.5311760965342</v>
      </c>
    </row>
    <row r="213" spans="1:16" x14ac:dyDescent="0.25">
      <c r="A213" s="2">
        <v>190.1</v>
      </c>
      <c r="B213" s="2">
        <f t="shared" si="6"/>
        <v>291.19691659037858</v>
      </c>
      <c r="C213" s="2" cm="1">
        <f t="array" ref="C213">INDEX( ComputeThermoProps($A213, $B213, ParametersRange), 1, COLUMN()-2 )</f>
        <v>28.170861188358352</v>
      </c>
      <c r="D213" s="2" cm="1">
        <f t="array" ref="D213">INDEX( ComputeThermoProps($A213, $B213, ParametersRange), 1, COLUMN()-2 )</f>
        <v>3.8409004379271096E-4</v>
      </c>
      <c r="E213" s="2" cm="1">
        <f t="array" ref="E213">INDEX( ComputeThermoProps($A213, $B213, ParametersRange), 1, COLUMN()-2 )</f>
        <v>2.650738267799647E-4</v>
      </c>
      <c r="F213" s="2" cm="1">
        <f t="array" ref="F213">INDEX( ComputeThermoProps($A213, $B213, ParametersRange), 1, COLUMN()-2 )</f>
        <v>8.9465017303350949E-4</v>
      </c>
      <c r="G213" s="2" cm="1">
        <f t="array" ref="G213">INDEX( ComputeThermoProps($A213, $B213, ParametersRange), 1, COLUMN()-2 )</f>
        <v>36.014932002876314</v>
      </c>
      <c r="H213" s="2" cm="1">
        <f t="array" ref="H213">INDEX( ComputeThermoProps($A213, $B213, ParametersRange), 1, COLUMN()-2 )</f>
        <v>24.855150508339765</v>
      </c>
      <c r="I213" s="2" cm="1">
        <f t="array" ref="I213">INDEX( ComputeThermoProps($A213, $B213, ParametersRange), 1, COLUMN()-2 )</f>
        <v>2.64</v>
      </c>
      <c r="J213" s="2" cm="1">
        <f t="array" ref="J213">INDEX( ComputeThermoProps($A213, $B213, ParametersRange), 1, COLUMN()-2 )</f>
        <v>4251.1614617324121</v>
      </c>
      <c r="K213" s="2" cm="1">
        <f t="array" ref="K213">INDEX( ComputeThermoProps($A213, $B213, ParametersRange), 1, COLUMN()-2 )</f>
        <v>61.558751214181633</v>
      </c>
      <c r="L213" s="2" cm="1">
        <f t="array" ref="L213">INDEX( ComputeThermoProps($A213, $B213, ParametersRange), 1, COLUMN()-2 )</f>
        <v>-7451.157144083516</v>
      </c>
      <c r="M213" s="2" cm="1">
        <f t="array" ref="M213">INDEX( ComputeThermoProps($A213, $B213, ParametersRange), 1, COLUMN()-2 )</f>
        <v>12454.429377477933</v>
      </c>
      <c r="N213" s="2" cm="1">
        <f t="array" ref="N213">INDEX( ComputeThermoProps($A213, $B213, ParametersRange), 1, COLUMN()-2 )</f>
        <v>752.11077166200448</v>
      </c>
      <c r="O213" s="4">
        <f t="shared" si="7"/>
        <v>2.4641867720322299</v>
      </c>
      <c r="P213" s="6">
        <f t="shared" si="8"/>
        <v>7849.6214127702515</v>
      </c>
    </row>
    <row r="214" spans="1:16" x14ac:dyDescent="0.25">
      <c r="A214" s="2">
        <v>191.1</v>
      </c>
      <c r="B214" s="2">
        <f t="shared" si="6"/>
        <v>295.6165871209555</v>
      </c>
      <c r="C214" s="2" cm="1">
        <f t="array" ref="C214">INDEX( ComputeThermoProps($A214, $B214, ParametersRange), 1, COLUMN()-2 )</f>
        <v>28.148336818575988</v>
      </c>
      <c r="D214" s="2" cm="1">
        <f t="array" ref="D214">INDEX( ComputeThermoProps($A214, $B214, ParametersRange), 1, COLUMN()-2 )</f>
        <v>3.8156887266174917E-4</v>
      </c>
      <c r="E214" s="2" cm="1">
        <f t="array" ref="E214">INDEX( ComputeThermoProps($A214, $B214, ParametersRange), 1, COLUMN()-2 )</f>
        <v>2.6337438069695625E-4</v>
      </c>
      <c r="F214" s="2" cm="1">
        <f t="array" ref="F214">INDEX( ComputeThermoProps($A214, $B214, ParametersRange), 1, COLUMN()-2 )</f>
        <v>8.8952692232359073E-4</v>
      </c>
      <c r="G214" s="2" cm="1">
        <f t="array" ref="G214">INDEX( ComputeThermoProps($A214, $B214, ParametersRange), 1, COLUMN()-2 )</f>
        <v>36.010933677342635</v>
      </c>
      <c r="H214" s="2" cm="1">
        <f t="array" ref="H214">INDEX( ComputeThermoProps($A214, $B214, ParametersRange), 1, COLUMN()-2 )</f>
        <v>24.856213478390618</v>
      </c>
      <c r="I214" s="2" cm="1">
        <f t="array" ref="I214">INDEX( ComputeThermoProps($A214, $B214, ParametersRange), 1, COLUMN()-2 )</f>
        <v>2.6400000000000006</v>
      </c>
      <c r="J214" s="2" cm="1">
        <f t="array" ref="J214">INDEX( ComputeThermoProps($A214, $B214, ParametersRange), 1, COLUMN()-2 )</f>
        <v>4272.6217943411539</v>
      </c>
      <c r="K214" s="2" cm="1">
        <f t="array" ref="K214">INDEX( ComputeThermoProps($A214, $B214, ParametersRange), 1, COLUMN()-2 )</f>
        <v>61.636657278235987</v>
      </c>
      <c r="L214" s="2" cm="1">
        <f t="array" ref="L214">INDEX( ComputeThermoProps($A214, $B214, ParametersRange), 1, COLUMN()-2 )</f>
        <v>-7506.1434115297425</v>
      </c>
      <c r="M214" s="2" cm="1">
        <f t="array" ref="M214">INDEX( ComputeThermoProps($A214, $B214, ParametersRange), 1, COLUMN()-2 )</f>
        <v>12593.737057779721</v>
      </c>
      <c r="N214" s="2" cm="1">
        <f t="array" ref="N214">INDEX( ComputeThermoProps($A214, $B214, ParametersRange), 1, COLUMN()-2 )</f>
        <v>814.97185190882431</v>
      </c>
      <c r="O214" s="4">
        <f t="shared" si="7"/>
        <v>2.4707287987789357</v>
      </c>
      <c r="P214" s="6">
        <f t="shared" si="8"/>
        <v>7988.9290930720399</v>
      </c>
    </row>
    <row r="215" spans="1:16" x14ac:dyDescent="0.25">
      <c r="A215" s="2">
        <v>192.1</v>
      </c>
      <c r="B215" s="2">
        <f t="shared" si="6"/>
        <v>300.048786044103</v>
      </c>
      <c r="C215" s="2" cm="1">
        <f t="array" ref="C215">INDEX( ComputeThermoProps($A215, $B215, ParametersRange), 1, COLUMN()-2 )</f>
        <v>28.125864677426868</v>
      </c>
      <c r="D215" s="2" cm="1">
        <f t="array" ref="D215">INDEX( ComputeThermoProps($A215, $B215, ParametersRange), 1, COLUMN()-2 )</f>
        <v>3.7907886053116681E-4</v>
      </c>
      <c r="E215" s="2" cm="1">
        <f t="array" ref="E215">INDEX( ComputeThermoProps($A215, $B215, ParametersRange), 1, COLUMN()-2 )</f>
        <v>2.6169513445389137E-4</v>
      </c>
      <c r="F215" s="2" cm="1">
        <f t="array" ref="F215">INDEX( ComputeThermoProps($A215, $B215, ParametersRange), 1, COLUMN()-2 )</f>
        <v>8.8446560996871819E-4</v>
      </c>
      <c r="G215" s="2" cm="1">
        <f t="array" ref="G215">INDEX( ComputeThermoProps($A215, $B215, ParametersRange), 1, COLUMN()-2 )</f>
        <v>36.007026565198217</v>
      </c>
      <c r="H215" s="2" cm="1">
        <f t="array" ref="H215">INDEX( ComputeThermoProps($A215, $B215, ParametersRange), 1, COLUMN()-2 )</f>
        <v>24.857264910686478</v>
      </c>
      <c r="I215" s="2" cm="1">
        <f t="array" ref="I215">INDEX( ComputeThermoProps($A215, $B215, ParametersRange), 1, COLUMN()-2 )</f>
        <v>2.64</v>
      </c>
      <c r="J215" s="2" cm="1">
        <f t="array" ref="J215">INDEX( ComputeThermoProps($A215, $B215, ParametersRange), 1, COLUMN()-2 )</f>
        <v>4294.1297019627746</v>
      </c>
      <c r="K215" s="2" cm="1">
        <f t="array" ref="K215">INDEX( ComputeThermoProps($A215, $B215, ParametersRange), 1, COLUMN()-2 )</f>
        <v>61.713965858211509</v>
      </c>
      <c r="L215" s="2" cm="1">
        <f t="array" ref="L215">INDEX( ComputeThermoProps($A215, $B215, ParametersRange), 1, COLUMN()-2 )</f>
        <v>-7561.1231393996559</v>
      </c>
      <c r="M215" s="2" cm="1">
        <f t="array" ref="M215">INDEX( ComputeThermoProps($A215, $B215, ParametersRange), 1, COLUMN()-2 )</f>
        <v>12733.261254865423</v>
      </c>
      <c r="N215" s="2" cm="1">
        <f t="array" ref="N215">INDEX( ComputeThermoProps($A215, $B215, ParametersRange), 1, COLUMN()-2 )</f>
        <v>878.00841350299277</v>
      </c>
      <c r="O215" s="4">
        <f t="shared" si="7"/>
        <v>2.4771918740102512</v>
      </c>
      <c r="P215" s="6">
        <f t="shared" si="8"/>
        <v>8128.4532901577422</v>
      </c>
    </row>
    <row r="216" spans="1:16" x14ac:dyDescent="0.25">
      <c r="A216" s="2">
        <v>193.1</v>
      </c>
      <c r="B216" s="2">
        <f t="shared" ref="B216:B279" si="9">IF(
  A216 &lt;= $B$5,
  $B$6 * EXP( ($B$5/A216) * ( $B$13*(1 - A216/$B$5) + $B$14*(1 - A216/$B$5)^1.5 + $B$15*(1 - A216/$B$5)^5 ) ),
  $B$6 * ( 1 + $B$17 * MAX(A216/$B$5 - 1, 0)^$B$18 + $B$19 * MAX(A216/$B$5 - 1, 0)^$B$20 )
)</f>
        <v>304.49348896938352</v>
      </c>
      <c r="C216" s="2" cm="1">
        <f t="array" ref="C216">INDEX( ComputeThermoProps($A216, $B216, ParametersRange), 1, COLUMN()-2 )</f>
        <v>28.103444560314816</v>
      </c>
      <c r="D216" s="2" cm="1">
        <f t="array" ref="D216">INDEX( ComputeThermoProps($A216, $B216, ParametersRange), 1, COLUMN()-2 )</f>
        <v>3.7661943954386649E-4</v>
      </c>
      <c r="E216" s="2" cm="1">
        <f t="array" ref="E216">INDEX( ComputeThermoProps($A216, $B216, ParametersRange), 1, COLUMN()-2 )</f>
        <v>2.6003573452504754E-4</v>
      </c>
      <c r="F216" s="2" cm="1">
        <f t="array" ref="F216">INDEX( ComputeThermoProps($A216, $B216, ParametersRange), 1, COLUMN()-2 )</f>
        <v>8.7946511810945089E-4</v>
      </c>
      <c r="G216" s="2" cm="1">
        <f t="array" ref="G216">INDEX( ComputeThermoProps($A216, $B216, ParametersRange), 1, COLUMN()-2 )</f>
        <v>36.003209029024028</v>
      </c>
      <c r="H216" s="2" cm="1">
        <f t="array" ref="H216">INDEX( ComputeThermoProps($A216, $B216, ParametersRange), 1, COLUMN()-2 )</f>
        <v>24.858305021269729</v>
      </c>
      <c r="I216" s="2" cm="1">
        <f t="array" ref="I216">INDEX( ComputeThermoProps($A216, $B216, ParametersRange), 1, COLUMN()-2 )</f>
        <v>2.6400000000000006</v>
      </c>
      <c r="J216" s="2" cm="1">
        <f t="array" ref="J216">INDEX( ComputeThermoProps($A216, $B216, ParametersRange), 1, COLUMN()-2 )</f>
        <v>4315.6851657755569</v>
      </c>
      <c r="K216" s="2" cm="1">
        <f t="array" ref="K216">INDEX( ComputeThermoProps($A216, $B216, ParametersRange), 1, COLUMN()-2 )</f>
        <v>61.790683683660838</v>
      </c>
      <c r="L216" s="2" cm="1">
        <f t="array" ref="L216">INDEX( ComputeThermoProps($A216, $B216, ParametersRange), 1, COLUMN()-2 )</f>
        <v>-7616.0958535393502</v>
      </c>
      <c r="M216" s="2" cm="1">
        <f t="array" ref="M216">INDEX( ComputeThermoProps($A216, $B216, ParametersRange), 1, COLUMN()-2 )</f>
        <v>12873.001052003458</v>
      </c>
      <c r="N216" s="2" cm="1">
        <f t="array" ref="N216">INDEX( ComputeThermoProps($A216, $B216, ParametersRange), 1, COLUMN()-2 )</f>
        <v>941.22003268855008</v>
      </c>
      <c r="O216" s="4">
        <f t="shared" ref="O216:O279" si="10">LOG10(B216)</f>
        <v>2.4835780104831779</v>
      </c>
      <c r="P216" s="6">
        <f t="shared" ref="P216:P222" si="11">M216-$B$11</f>
        <v>8268.1930872957764</v>
      </c>
    </row>
    <row r="217" spans="1:16" x14ac:dyDescent="0.25">
      <c r="A217" s="2">
        <v>194.1</v>
      </c>
      <c r="B217" s="2">
        <f t="shared" si="9"/>
        <v>308.95067180960655</v>
      </c>
      <c r="C217" s="2" cm="1">
        <f t="array" ref="C217">INDEX( ComputeThermoProps($A217, $B217, ParametersRange), 1, COLUMN()-2 )</f>
        <v>28.081076261655092</v>
      </c>
      <c r="D217" s="2" cm="1">
        <f t="array" ref="D217">INDEX( ComputeThermoProps($A217, $B217, ParametersRange), 1, COLUMN()-2 )</f>
        <v>3.7419005523874819E-4</v>
      </c>
      <c r="E217" s="2" cm="1">
        <f t="array" ref="E217">INDEX( ComputeThermoProps($A217, $B217, ParametersRange), 1, COLUMN()-2 )</f>
        <v>2.5839583545955302E-4</v>
      </c>
      <c r="F217" s="2" cm="1">
        <f t="array" ref="F217">INDEX( ComputeThermoProps($A217, $B217, ParametersRange), 1, COLUMN()-2 )</f>
        <v>8.745243546206563E-4</v>
      </c>
      <c r="G217" s="2" cm="1">
        <f t="array" ref="G217">INDEX( ComputeThermoProps($A217, $B217, ParametersRange), 1, COLUMN()-2 )</f>
        <v>35.999479440757518</v>
      </c>
      <c r="H217" s="2" cm="1">
        <f t="array" ref="H217">INDEX( ComputeThermoProps($A217, $B217, ParametersRange), 1, COLUMN()-2 )</f>
        <v>24.859334009473926</v>
      </c>
      <c r="I217" s="2" cm="1">
        <f t="array" ref="I217">INDEX( ComputeThermoProps($A217, $B217, ParametersRange), 1, COLUMN()-2 )</f>
        <v>2.6400000000000006</v>
      </c>
      <c r="J217" s="2" cm="1">
        <f t="array" ref="J217">INDEX( ComputeThermoProps($A217, $B217, ParametersRange), 1, COLUMN()-2 )</f>
        <v>4337.2881661950696</v>
      </c>
      <c r="K217" s="2" cm="1">
        <f t="array" ref="K217">INDEX( ComputeThermoProps($A217, $B217, ParametersRange), 1, COLUMN()-2 )</f>
        <v>61.866817373168615</v>
      </c>
      <c r="L217" s="2" cm="1">
        <f t="array" ref="L217">INDEX( ComputeThermoProps($A217, $B217, ParametersRange), 1, COLUMN()-2 )</f>
        <v>-7671.0610859369581</v>
      </c>
      <c r="M217" s="2" cm="1">
        <f t="array" ref="M217">INDEX( ComputeThermoProps($A217, $B217, ParametersRange), 1, COLUMN()-2 )</f>
        <v>13012.955542370204</v>
      </c>
      <c r="N217" s="2" cm="1">
        <f t="array" ref="N217">INDEX( ComputeThermoProps($A217, $B217, ParametersRange), 1, COLUMN()-2 )</f>
        <v>1004.6062902381761</v>
      </c>
      <c r="O217" s="4">
        <f t="shared" si="10"/>
        <v>2.4898891439198731</v>
      </c>
      <c r="P217" s="6">
        <f t="shared" si="11"/>
        <v>8408.147577662523</v>
      </c>
    </row>
    <row r="218" spans="1:16" x14ac:dyDescent="0.25">
      <c r="A218" s="2">
        <v>195.1</v>
      </c>
      <c r="B218" s="2">
        <f t="shared" si="9"/>
        <v>313.42031077415999</v>
      </c>
      <c r="C218" s="2" cm="1">
        <f t="array" ref="C218">INDEX( ComputeThermoProps($A218, $B218, ParametersRange), 1, COLUMN()-2 )</f>
        <v>28.058759575003869</v>
      </c>
      <c r="D218" s="2" cm="1">
        <f t="array" ref="D218">INDEX( ComputeThermoProps($A218, $B218, ParametersRange), 1, COLUMN()-2 )</f>
        <v>3.7179016630963939E-4</v>
      </c>
      <c r="E218" s="2" cm="1">
        <f t="array" ref="E218">INDEX( ComputeThermoProps($A218, $B218, ParametersRange), 1, COLUMN()-2 )</f>
        <v>2.5677509965785358E-4</v>
      </c>
      <c r="F218" s="2" cm="1">
        <f t="array" ref="F218">INDEX( ComputeThermoProps($A218, $B218, ParametersRange), 1, COLUMN()-2 )</f>
        <v>8.6964225345534038E-4</v>
      </c>
      <c r="G218" s="2" cm="1">
        <f t="array" ref="G218">INDEX( ComputeThermoProps($A218, $B218, ParametersRange), 1, COLUMN()-2 )</f>
        <v>35.995836225532088</v>
      </c>
      <c r="H218" s="2" cm="1">
        <f t="array" ref="H218">INDEX( ComputeThermoProps($A218, $B218, ParametersRange), 1, COLUMN()-2 )</f>
        <v>24.860352079299034</v>
      </c>
      <c r="I218" s="2" cm="1">
        <f t="array" ref="I218">INDEX( ComputeThermoProps($A218, $B218, ParametersRange), 1, COLUMN()-2 )</f>
        <v>2.64</v>
      </c>
      <c r="J218" s="2" cm="1">
        <f t="array" ref="J218">INDEX( ComputeThermoProps($A218, $B218, ParametersRange), 1, COLUMN()-2 )</f>
        <v>4358.9386829160558</v>
      </c>
      <c r="K218" s="2" cm="1">
        <f t="array" ref="K218">INDEX( ComputeThermoProps($A218, $B218, ParametersRange), 1, COLUMN()-2 )</f>
        <v>61.942373436824731</v>
      </c>
      <c r="L218" s="2" cm="1">
        <f t="array" ref="L218">INDEX( ComputeThermoProps($A218, $B218, ParametersRange), 1, COLUMN()-2 )</f>
        <v>-7726.0183746084485</v>
      </c>
      <c r="M218" s="2" cm="1">
        <f t="array" ref="M218">INDEX( ComputeThermoProps($A218, $B218, ParametersRange), 1, COLUMN()-2 )</f>
        <v>13153.123828851205</v>
      </c>
      <c r="N218" s="2" cm="1">
        <f t="array" ref="N218">INDEX( ComputeThermoProps($A218, $B218, ParametersRange), 1, COLUMN()-2 )</f>
        <v>1068.1667713267002</v>
      </c>
      <c r="O218" s="4">
        <f t="shared" si="10"/>
        <v>2.4961271369038633</v>
      </c>
      <c r="P218" s="6">
        <f t="shared" si="11"/>
        <v>8548.3158641435239</v>
      </c>
    </row>
    <row r="219" spans="1:16" x14ac:dyDescent="0.25">
      <c r="A219" s="2">
        <v>196.1</v>
      </c>
      <c r="B219" s="2">
        <f t="shared" si="9"/>
        <v>317.90238236254083</v>
      </c>
      <c r="C219" s="2" cm="1">
        <f t="array" ref="C219">INDEX( ComputeThermoProps($A219, $B219, ParametersRange), 1, COLUMN()-2 )</f>
        <v>28.036494293180386</v>
      </c>
      <c r="D219" s="2" cm="1">
        <f t="array" ref="D219">INDEX( ComputeThermoProps($A219, $B219, ParametersRange), 1, COLUMN()-2 )</f>
        <v>3.6941924410283924E-4</v>
      </c>
      <c r="E219" s="2" cm="1">
        <f t="array" ref="E219">INDEX( ComputeThermoProps($A219, $B219, ParametersRange), 1, COLUMN()-2 )</f>
        <v>2.5517319715528822E-4</v>
      </c>
      <c r="F219" s="2" cm="1">
        <f t="array" ref="F219">INDEX( ComputeThermoProps($A219, $B219, ParametersRange), 1, COLUMN()-2 )</f>
        <v>8.6481777294606635E-4</v>
      </c>
      <c r="G219" s="2" cm="1">
        <f t="array" ref="G219">INDEX( ComputeThermoProps($A219, $B219, ParametersRange), 1, COLUMN()-2 )</f>
        <v>35.992277821000705</v>
      </c>
      <c r="H219" s="2" cm="1">
        <f t="array" ref="H219">INDEX( ComputeThermoProps($A219, $B219, ParametersRange), 1, COLUMN()-2 )</f>
        <v>24.861359420489197</v>
      </c>
      <c r="I219" s="2" cm="1">
        <f t="array" ref="I219">INDEX( ComputeThermoProps($A219, $B219, ParametersRange), 1, COLUMN()-2 )</f>
        <v>2.64</v>
      </c>
      <c r="J219" s="2" cm="1">
        <f t="array" ref="J219">INDEX( ComputeThermoProps($A219, $B219, ParametersRange), 1, COLUMN()-2 )</f>
        <v>4380.6366949521798</v>
      </c>
      <c r="K219" s="2" cm="1">
        <f t="array" ref="K219">INDEX( ComputeThermoProps($A219, $B219, ParametersRange), 1, COLUMN()-2 )</f>
        <v>62.017358278627512</v>
      </c>
      <c r="L219" s="2" cm="1">
        <f t="array" ref="L219">INDEX( ComputeThermoProps($A219, $B219, ParametersRange), 1, COLUMN()-2 )</f>
        <v>-7780.9672634866747</v>
      </c>
      <c r="M219" s="2" cm="1">
        <f t="array" ref="M219">INDEX( ComputeThermoProps($A219, $B219, ParametersRange), 1, COLUMN()-2 )</f>
        <v>13293.505023848005</v>
      </c>
      <c r="N219" s="2" cm="1">
        <f t="array" ref="N219">INDEX( ComputeThermoProps($A219, $B219, ParametersRange), 1, COLUMN()-2 )</f>
        <v>1131.9010654091505</v>
      </c>
      <c r="O219" s="4">
        <f t="shared" si="10"/>
        <v>2.502293782532667</v>
      </c>
      <c r="P219" s="6">
        <f t="shared" si="11"/>
        <v>8688.6970591403242</v>
      </c>
    </row>
    <row r="220" spans="1:16" x14ac:dyDescent="0.25">
      <c r="A220" s="2">
        <v>197.1</v>
      </c>
      <c r="B220" s="2">
        <f t="shared" si="9"/>
        <v>322.39686335807897</v>
      </c>
      <c r="C220" s="2" cm="1">
        <f t="array" ref="C220">INDEX( ComputeThermoProps($A220, $B220, ParametersRange), 1, COLUMN()-2 )</f>
        <v>28.014280208382136</v>
      </c>
      <c r="D220" s="2" cm="1">
        <f t="array" ref="D220">INDEX( ComputeThermoProps($A220, $B220, ParametersRange), 1, COLUMN()-2 )</f>
        <v>3.6707677235108915E-4</v>
      </c>
      <c r="E220" s="2" cm="1">
        <f t="array" ref="E220">INDEX( ComputeThermoProps($A220, $B220, ParametersRange), 1, COLUMN()-2 )</f>
        <v>2.5358980541252425E-4</v>
      </c>
      <c r="F220" s="2" cm="1">
        <f t="array" ref="F220">INDEX( ComputeThermoProps($A220, $B220, ParametersRange), 1, COLUMN()-2 )</f>
        <v>8.6004989582247229E-4</v>
      </c>
      <c r="G220" s="2" cm="1">
        <f t="array" ref="G220">INDEX( ComputeThermoProps($A220, $B220, ParametersRange), 1, COLUMN()-2 )</f>
        <v>35.988802706172876</v>
      </c>
      <c r="H220" s="2" cm="1">
        <f t="array" ref="H220">INDEX( ComputeThermoProps($A220, $B220, ParametersRange), 1, COLUMN()-2 )</f>
        <v>24.862356222744605</v>
      </c>
      <c r="I220" s="2" cm="1">
        <f t="array" ref="I220">INDEX( ComputeThermoProps($A220, $B220, ParametersRange), 1, COLUMN()-2 )</f>
        <v>2.64</v>
      </c>
      <c r="J220" s="2" cm="1">
        <f t="array" ref="J220">INDEX( ComputeThermoProps($A220, $B220, ParametersRange), 1, COLUMN()-2 )</f>
        <v>4402.3821806736887</v>
      </c>
      <c r="K220" s="2" cm="1">
        <f t="array" ref="K220">INDEX( ComputeThermoProps($A220, $B220, ParametersRange), 1, COLUMN()-2 )</f>
        <v>62.091778198818453</v>
      </c>
      <c r="L220" s="2" cm="1">
        <f t="array" ref="L220">INDEX( ComputeThermoProps($A220, $B220, ParametersRange), 1, COLUMN()-2 )</f>
        <v>-7835.9073023134279</v>
      </c>
      <c r="M220" s="2" cm="1">
        <f t="array" ref="M220">INDEX( ComputeThermoProps($A220, $B220, ParametersRange), 1, COLUMN()-2 )</f>
        <v>13434.098249090401</v>
      </c>
      <c r="N220" s="2" cm="1">
        <f t="array" ref="N220">INDEX( ComputeThermoProps($A220, $B220, ParametersRange), 1, COLUMN()-2 )</f>
        <v>1195.8087661032839</v>
      </c>
      <c r="O220" s="4">
        <f t="shared" si="10"/>
        <v>2.5083908078448873</v>
      </c>
      <c r="P220" s="6">
        <f t="shared" si="11"/>
        <v>8829.2902843827196</v>
      </c>
    </row>
    <row r="221" spans="1:16" x14ac:dyDescent="0.25">
      <c r="A221" s="2">
        <v>198.1</v>
      </c>
      <c r="B221" s="2">
        <f t="shared" si="9"/>
        <v>326.9037308218484</v>
      </c>
      <c r="C221" s="2" cm="1">
        <f t="array" ref="C221">INDEX( ComputeThermoProps($A221, $B221, ParametersRange), 1, COLUMN()-2 )</f>
        <v>27.992117112293514</v>
      </c>
      <c r="D221" s="2" cm="1">
        <f t="array" ref="D221">INDEX( ComputeThermoProps($A221, $B221, ParametersRange), 1, COLUMN()-2 )</f>
        <v>3.6476224680505846E-4</v>
      </c>
      <c r="E221" s="2" cm="1">
        <f t="array" ref="E221">INDEX( ComputeThermoProps($A221, $B221, ParametersRange), 1, COLUMN()-2 )</f>
        <v>2.5202460911260871E-4</v>
      </c>
      <c r="F221" s="2" cm="1">
        <f t="array" ref="F221">INDEX( ComputeThermoProps($A221, $B221, ParametersRange), 1, COLUMN()-2 )</f>
        <v>8.553376283896699E-4</v>
      </c>
      <c r="G221" s="2" cm="1">
        <f t="array" ref="G221">INDEX( ComputeThermoProps($A221, $B221, ParametersRange), 1, COLUMN()-2 )</f>
        <v>35.98540939498551</v>
      </c>
      <c r="H221" s="2" cm="1">
        <f t="array" ref="H221">INDEX( ComputeThermoProps($A221, $B221, ParametersRange), 1, COLUMN()-2 )</f>
        <v>24.863342673111994</v>
      </c>
      <c r="I221" s="2" cm="1">
        <f t="array" ref="I221">INDEX( ComputeThermoProps($A221, $B221, ParametersRange), 1, COLUMN()-2 )</f>
        <v>2.64</v>
      </c>
      <c r="J221" s="2" cm="1">
        <f t="array" ref="J221">INDEX( ComputeThermoProps($A221, $B221, ParametersRange), 1, COLUMN()-2 )</f>
        <v>4424.1751178431186</v>
      </c>
      <c r="K221" s="2" cm="1">
        <f t="array" ref="K221">INDEX( ComputeThermoProps($A221, $B221, ParametersRange), 1, COLUMN()-2 )</f>
        <v>62.1656393961511</v>
      </c>
      <c r="L221" s="2" cm="1">
        <f t="array" ref="L221">INDEX( ComputeThermoProps($A221, $B221, ParametersRange), 1, COLUMN()-2 )</f>
        <v>-7890.8380465344135</v>
      </c>
      <c r="M221" s="2" cm="1">
        <f t="array" ref="M221">INDEX( ComputeThermoProps($A221, $B221, ParametersRange), 1, COLUMN()-2 )</f>
        <v>13574.902635453973</v>
      </c>
      <c r="N221" s="2" cm="1">
        <f t="array" ref="N221">INDEX( ComputeThermoProps($A221, $B221, ParametersRange), 1, COLUMN()-2 )</f>
        <v>1259.8894710764403</v>
      </c>
      <c r="O221" s="4">
        <f t="shared" si="10"/>
        <v>2.5144198770382946</v>
      </c>
      <c r="P221" s="6">
        <f t="shared" si="11"/>
        <v>8970.0946707462917</v>
      </c>
    </row>
    <row r="222" spans="1:16" x14ac:dyDescent="0.25">
      <c r="A222" s="2">
        <v>199.1</v>
      </c>
      <c r="B222" s="2">
        <f t="shared" si="9"/>
        <v>331.42296208675623</v>
      </c>
      <c r="C222" s="2" cm="1">
        <f t="array" ref="C222">INDEX( ComputeThermoProps($A222, $B222, ParametersRange), 1, COLUMN()-2 )</f>
        <v>27.970004796188235</v>
      </c>
      <c r="D222" s="2" cm="1">
        <f t="array" ref="D222">INDEX( ComputeThermoProps($A222, $B222, ParametersRange), 1, COLUMN()-2 )</f>
        <v>3.6247517487160896E-4</v>
      </c>
      <c r="E222" s="2" cm="1">
        <f t="array" ref="E222">INDEX( ComputeThermoProps($A222, $B222, ParametersRange), 1, COLUMN()-2 )</f>
        <v>2.5047729996441489E-4</v>
      </c>
      <c r="F222" s="2" cm="1">
        <f t="array" ref="F222">INDEX( ComputeThermoProps($A222, $B222, ParametersRange), 1, COLUMN()-2 )</f>
        <v>8.5067999969281975E-4</v>
      </c>
      <c r="G222" s="2" cm="1">
        <f t="array" ref="G222">INDEX( ComputeThermoProps($A222, $B222, ParametersRange), 1, COLUMN()-2 )</f>
        <v>35.982096428180988</v>
      </c>
      <c r="H222" s="2" cm="1">
        <f t="array" ref="H222">INDEX( ComputeThermoProps($A222, $B222, ParametersRange), 1, COLUMN()-2 )</f>
        <v>24.864318952552672</v>
      </c>
      <c r="I222" s="2" cm="1">
        <f t="array" ref="I222">INDEX( ComputeThermoProps($A222, $B222, ParametersRange), 1, COLUMN()-2 )</f>
        <v>2.6399999999999997</v>
      </c>
      <c r="J222" s="2" cm="1">
        <f t="array" ref="J222">INDEX( ComputeThermoProps($A222, $B222, ParametersRange), 1, COLUMN()-2 )</f>
        <v>4446.0154836491938</v>
      </c>
      <c r="K222" s="2" cm="1">
        <f t="array" ref="K222">INDEX( ComputeThermoProps($A222, $B222, ParametersRange), 1, COLUMN()-2 )</f>
        <v>62.238947970096909</v>
      </c>
      <c r="L222" s="2" cm="1">
        <f t="array" ref="L222">INDEX( ComputeThermoProps($A222, $B222, ParametersRange), 1, COLUMN()-2 )</f>
        <v>-7945.7590571971004</v>
      </c>
      <c r="M222" s="2" cm="1">
        <f t="array" ref="M222">INDEX( ComputeThermoProps($A222, $B222, ParametersRange), 1, COLUMN()-2 )</f>
        <v>13715.917322782678</v>
      </c>
      <c r="N222" s="2" cm="1">
        <f t="array" ref="N222">INDEX( ComputeThermoProps($A222, $B222, ParametersRange), 1, COLUMN()-2 )</f>
        <v>1324.1427819363835</v>
      </c>
      <c r="O222" s="4">
        <f t="shared" si="10"/>
        <v>2.5203825944940177</v>
      </c>
      <c r="P222" s="6">
        <f t="shared" si="11"/>
        <v>9111.1093580749966</v>
      </c>
    </row>
    <row r="223" spans="1:16" x14ac:dyDescent="0.25">
      <c r="A223">
        <v>200.1</v>
      </c>
      <c r="B223" s="2">
        <f t="shared" si="9"/>
        <v>335.95453475180699</v>
      </c>
      <c r="C223" s="2" cm="1">
        <f t="array" ref="C223">INDEX( ComputeThermoProps($A223, $B223, ParametersRange), 1, COLUMN()-2 )</f>
        <v>27.947943051025895</v>
      </c>
      <c r="M223" s="2" cm="1">
        <f t="array" ref="M223">INDEX( ComputeThermoProps($A223, $B223, ParametersRange), 1, COLUMN()-2 )</f>
        <v>13857.14145971632</v>
      </c>
      <c r="O223" s="4">
        <f t="shared" si="10"/>
        <v>2.526280507620708</v>
      </c>
      <c r="P223" s="5"/>
    </row>
    <row r="224" spans="1:16" x14ac:dyDescent="0.25">
      <c r="A224">
        <v>201.1</v>
      </c>
      <c r="B224" s="2">
        <f t="shared" si="9"/>
        <v>340.49842667653269</v>
      </c>
      <c r="C224" s="2" cm="1">
        <f t="array" ref="C224">INDEX( ComputeThermoProps($A224, $B224, ParametersRange), 1, COLUMN()-2 )</f>
        <v>27.925931667542969</v>
      </c>
      <c r="M224" s="2" cm="1">
        <f t="array" ref="M224">INDEX( ComputeThermoProps($A224, $B224, ParametersRange), 1, COLUMN()-2 )</f>
        <v>13998.574203522798</v>
      </c>
      <c r="O224" s="4">
        <f t="shared" si="10"/>
        <v>2.5321151095313921</v>
      </c>
      <c r="P224" s="5"/>
    </row>
    <row r="225" spans="1:16" x14ac:dyDescent="0.25">
      <c r="A225">
        <v>202.1</v>
      </c>
      <c r="B225" s="2">
        <f t="shared" si="9"/>
        <v>345.05461597558474</v>
      </c>
      <c r="C225" s="2" cm="1">
        <f t="array" ref="C225">INDEX( ComputeThermoProps($A225, $B225, ParametersRange), 1, COLUMN()-2 )</f>
        <v>27.903970436338529</v>
      </c>
      <c r="M225" s="2" cm="1">
        <f t="array" ref="M225">INDEX( ComputeThermoProps($A225, $B225, ParametersRange), 1, COLUMN()-2 )</f>
        <v>14140.214719934882</v>
      </c>
      <c r="O225" s="4">
        <f t="shared" si="10"/>
        <v>2.5378878415646984</v>
      </c>
      <c r="P225" s="5"/>
    </row>
    <row r="226" spans="1:16" x14ac:dyDescent="0.25">
      <c r="A226">
        <v>203.1</v>
      </c>
      <c r="B226" s="2">
        <f t="shared" si="9"/>
        <v>349.62308101348214</v>
      </c>
      <c r="C226" s="2" cm="1">
        <f t="array" ref="C226">INDEX( ComputeThermoProps($A226, $B226, ParametersRange), 1, COLUMN()-2 )</f>
        <v>27.882059147955019</v>
      </c>
      <c r="M226" s="2" cm="1">
        <f t="array" ref="M226">INDEX( ComputeThermoProps($A226, $B226, ParametersRange), 1, COLUMN()-2 )</f>
        <v>14282.062182991473</v>
      </c>
      <c r="O226" s="4">
        <f t="shared" si="10"/>
        <v>2.5436000956611919</v>
      </c>
      <c r="P226" s="5"/>
    </row>
    <row r="227" spans="1:16" x14ac:dyDescent="0.25">
      <c r="A227">
        <v>204.1</v>
      </c>
      <c r="B227" s="2">
        <f t="shared" si="9"/>
        <v>354.20380039950885</v>
      </c>
      <c r="C227" s="2" cm="1">
        <f t="array" ref="C227">INDEX( ComputeThermoProps($A227, $B227, ParametersRange), 1, COLUMN()-2 )</f>
        <v>27.860197592954297</v>
      </c>
      <c r="M227" s="2" cm="1">
        <f t="array" ref="M227">INDEX( ComputeThermoProps($A227, $B227, ParametersRange), 1, COLUMN()-2 )</f>
        <v>14424.115774883074</v>
      </c>
      <c r="O227" s="4">
        <f t="shared" si="10"/>
        <v>2.549253216604709</v>
      </c>
      <c r="P227" s="5"/>
    </row>
    <row r="228" spans="1:16" x14ac:dyDescent="0.25">
      <c r="A228">
        <v>205.1</v>
      </c>
      <c r="B228" s="2">
        <f t="shared" si="9"/>
        <v>358.79675298275714</v>
      </c>
      <c r="C228" s="2" cm="1">
        <f t="array" ref="C228">INDEX( ComputeThermoProps($A228, $B228, ParametersRange), 1, COLUMN()-2 )</f>
        <v>27.838385561989213</v>
      </c>
      <c r="M228" s="2" cm="1">
        <f t="array" ref="M228">INDEX( ComputeThermoProps($A228, $B228, ParametersRange), 1, COLUMN()-2 )</f>
        <v>14566.374685801438</v>
      </c>
      <c r="O228" s="4">
        <f t="shared" si="10"/>
        <v>2.5548485041377957</v>
      </c>
      <c r="P228" s="5"/>
    </row>
    <row r="229" spans="1:16" x14ac:dyDescent="0.25">
      <c r="A229">
        <v>206.1</v>
      </c>
      <c r="B229" s="2">
        <f t="shared" si="9"/>
        <v>363.40191784731007</v>
      </c>
      <c r="C229" s="2" cm="1">
        <f t="array" ref="C229">INDEX( ComputeThermoProps($A229, $B229, ParametersRange), 1, COLUMN()-2 )</f>
        <v>27.816622845870977</v>
      </c>
      <c r="M229" s="2" cm="1">
        <f t="array" ref="M229">INDEX( ComputeThermoProps($A229, $B229, ParametersRange), 1, COLUMN()-2 )</f>
        <v>14708.838113793196</v>
      </c>
      <c r="O229" s="4">
        <f t="shared" si="10"/>
        <v>2.5603872149596492</v>
      </c>
      <c r="P229" s="5"/>
    </row>
    <row r="230" spans="1:16" x14ac:dyDescent="0.25">
      <c r="A230">
        <v>207.1</v>
      </c>
      <c r="B230" s="2">
        <f t="shared" si="9"/>
        <v>368.01927430755984</v>
      </c>
      <c r="C230" s="2" cm="1">
        <f t="array" ref="C230">INDEX( ComputeThermoProps($A230, $B230, ParametersRange), 1, COLUMN()-2 )</f>
        <v>27.794909235632552</v>
      </c>
      <c r="M230" s="2" cm="1">
        <f t="array" ref="M230">INDEX( ComputeThermoProps($A230, $B230, ParametersRange), 1, COLUMN()-2 )</f>
        <v>14851.505264617341</v>
      </c>
      <c r="O230" s="4">
        <f t="shared" si="10"/>
        <v>2.5658705646143098</v>
      </c>
      <c r="P230" s="5"/>
    </row>
    <row r="231" spans="1:16" x14ac:dyDescent="0.25">
      <c r="A231">
        <v>208.1</v>
      </c>
      <c r="B231" s="2">
        <f t="shared" si="9"/>
        <v>372.64880190365528</v>
      </c>
      <c r="C231" s="2" cm="1">
        <f t="array" ref="C231">INDEX( ComputeThermoProps($A231, $B231, ParametersRange), 1, COLUMN()-2 )</f>
        <v>27.773244522588218</v>
      </c>
      <c r="M231" s="2" cm="1">
        <f t="array" ref="M231">INDEX( ComputeThermoProps($A231, $B231, ParametersRange), 1, COLUMN()-2 )</f>
        <v>14994.375351606455</v>
      </c>
      <c r="O231" s="4">
        <f t="shared" si="10"/>
        <v>2.5712997292762716</v>
      </c>
      <c r="P231" s="5"/>
    </row>
    <row r="232" spans="1:16" x14ac:dyDescent="0.25">
      <c r="A232">
        <v>209.1</v>
      </c>
      <c r="B232" s="2">
        <f t="shared" si="9"/>
        <v>377.29048039707737</v>
      </c>
      <c r="C232" s="2" cm="1">
        <f t="array" ref="C232">INDEX( ComputeThermoProps($A232, $B232, ParametersRange), 1, COLUMN()-2 )</f>
        <v>27.751628498389593</v>
      </c>
      <c r="M232" s="2" cm="1">
        <f t="array" ref="M232">INDEX( ComputeThermoProps($A232, $B232, ParametersRange), 1, COLUMN()-2 )</f>
        <v>15137.447595531556</v>
      </c>
      <c r="O232" s="4">
        <f t="shared" si="10"/>
        <v>2.5766758474401259</v>
      </c>
      <c r="P232" s="5"/>
    </row>
    <row r="233" spans="1:16" x14ac:dyDescent="0.25">
      <c r="A233">
        <v>210.1</v>
      </c>
      <c r="B233" s="2">
        <f t="shared" si="9"/>
        <v>381.94428976633395</v>
      </c>
      <c r="C233" s="2" cm="1">
        <f t="array" ref="C233">INDEX( ComputeThermoProps($A233, $B233, ParametersRange), 1, COLUMN()-2 )</f>
        <v>27.730060955078248</v>
      </c>
      <c r="M233" s="2" cm="1">
        <f t="array" ref="M233">INDEX( ComputeThermoProps($A233, $B233, ParametersRange), 1, COLUMN()-2 )</f>
        <v>15280.72122447041</v>
      </c>
      <c r="O233" s="4">
        <f t="shared" si="10"/>
        <v>2.5820000215203698</v>
      </c>
      <c r="P233" s="5"/>
    </row>
    <row r="234" spans="1:16" x14ac:dyDescent="0.25">
      <c r="A234">
        <v>211.1</v>
      </c>
      <c r="B234" s="2">
        <f t="shared" si="9"/>
        <v>386.61021020277389</v>
      </c>
      <c r="C234" s="2" cm="1">
        <f t="array" ref="C234">INDEX( ComputeThermoProps($A234, $B234, ParametersRange), 1, COLUMN()-2 )</f>
        <v>27.708541685135121</v>
      </c>
      <c r="M234" s="2" cm="1">
        <f t="array" ref="M234">INDEX( ComputeThermoProps($A234, $B234, ParametersRange), 1, COLUMN()-2 )</f>
        <v>15424.195473679269</v>
      </c>
      <c r="O234" s="4">
        <f t="shared" si="10"/>
        <v>2.5872733193670561</v>
      </c>
      <c r="P234" s="5"/>
    </row>
    <row r="235" spans="1:16" x14ac:dyDescent="0.25">
      <c r="A235">
        <v>212.1</v>
      </c>
      <c r="B235" s="2">
        <f t="shared" si="9"/>
        <v>391.28822210651367</v>
      </c>
      <c r="C235" s="2" cm="1">
        <f t="array" ref="C235">INDEX( ComputeThermoProps($A235, $B235, ParametersRange), 1, COLUMN()-2 )</f>
        <v>27.687070481526874</v>
      </c>
      <c r="M235" s="2" cm="1">
        <f t="array" ref="M235">INDEX( ComputeThermoProps($A235, $B235, ParametersRange), 1, COLUMN()-2 )</f>
        <v>15567.869585467841</v>
      </c>
      <c r="O235" s="4">
        <f t="shared" si="10"/>
        <v>2.5924967757025419</v>
      </c>
      <c r="P235" s="5"/>
    </row>
    <row r="236" spans="1:16" x14ac:dyDescent="0.25">
      <c r="A236">
        <v>213.1</v>
      </c>
      <c r="B236" s="2">
        <f t="shared" si="9"/>
        <v>395.97830608247352</v>
      </c>
      <c r="C236" s="2" cm="1">
        <f t="array" ref="C236">INDEX( ComputeThermoProps($A236, $B236, ParametersRange), 1, COLUMN()-2 )</f>
        <v>27.665647137749392</v>
      </c>
      <c r="M236" s="2" cm="1">
        <f t="array" ref="M236">INDEX( ComputeThermoProps($A236, $B236, ParametersRange), 1, COLUMN()-2 )</f>
        <v>15711.742809077423</v>
      </c>
      <c r="O236" s="4">
        <f t="shared" si="10"/>
        <v>2.597671393484223</v>
      </c>
      <c r="P236" s="5"/>
    </row>
    <row r="237" spans="1:16" x14ac:dyDescent="0.25">
      <c r="A237">
        <v>214.1</v>
      </c>
      <c r="B237" s="2">
        <f t="shared" si="9"/>
        <v>400.68044293652042</v>
      </c>
      <c r="C237" s="2" cm="1">
        <f t="array" ref="C237">INDEX( ComputeThermoProps($A237, $B237, ParametersRange), 1, COLUMN()-2 )</f>
        <v>27.644271447868547</v>
      </c>
      <c r="M237" s="2" cm="1">
        <f t="array" ref="M237">INDEX( ComputeThermoProps($A237, $B237, ParametersRange), 1, COLUMN()-2 )</f>
        <v>15855.814400562153</v>
      </c>
      <c r="O237" s="4">
        <f t="shared" si="10"/>
        <v>2.6027981451977835</v>
      </c>
      <c r="P237" s="5"/>
    </row>
    <row r="238" spans="1:16" x14ac:dyDescent="0.25">
      <c r="A238">
        <v>215.1</v>
      </c>
      <c r="B238" s="2">
        <f t="shared" si="9"/>
        <v>405.39461367171276</v>
      </c>
      <c r="C238" s="2" cm="1">
        <f t="array" ref="C238">INDEX( ComputeThermoProps($A238, $B238, ParametersRange), 1, COLUMN()-2 )</f>
        <v>27.622943206558368</v>
      </c>
      <c r="M238" s="2" cm="1">
        <f t="array" ref="M238">INDEX( ComputeThermoProps($A238, $B238, ParametersRange), 1, COLUMN()-2 )</f>
        <v>16000.083622673155</v>
      </c>
      <c r="O238" s="4">
        <f t="shared" si="10"/>
        <v>2.6078779740851763</v>
      </c>
      <c r="P238" s="5"/>
    </row>
    <row r="239" spans="1:16" x14ac:dyDescent="0.25">
      <c r="A239">
        <v>216.1</v>
      </c>
      <c r="B239" s="2">
        <f t="shared" si="9"/>
        <v>410.1207994846439</v>
      </c>
      <c r="C239" s="2" cm="1">
        <f t="array" ref="C239">INDEX( ComputeThermoProps($A239, $B239, ParametersRange), 1, COLUMN()-2 )</f>
        <v>27.601662209136784</v>
      </c>
      <c r="M239" s="2" cm="1">
        <f t="array" ref="M239">INDEX( ComputeThermoProps($A239, $B239, ParametersRange), 1, COLUMN()-2 )</f>
        <v>16144.549744745607</v>
      </c>
      <c r="O239" s="4">
        <f t="shared" si="10"/>
        <v>2.6129117953112453</v>
      </c>
      <c r="P239" s="5"/>
    </row>
    <row r="240" spans="1:16" x14ac:dyDescent="0.25">
      <c r="A240">
        <v>217.1</v>
      </c>
      <c r="B240" s="2">
        <f t="shared" si="9"/>
        <v>414.85898176188226</v>
      </c>
      <c r="C240" s="2" cm="1">
        <f t="array" ref="C240">INDEX( ComputeThermoProps($A240, $B240, ParametersRange), 1, COLUMN()-2 )</f>
        <v>27.580428251599031</v>
      </c>
      <c r="M240" s="2" cm="1">
        <f t="array" ref="M240">INDEX( ComputeThermoProps($A240, $B240, ParametersRange), 1, COLUMN()-2 )</f>
        <v>16289.212042588568</v>
      </c>
      <c r="O240" s="4">
        <f t="shared" si="10"/>
        <v>2.6179004970726414</v>
      </c>
      <c r="P240" s="5"/>
    </row>
    <row r="241" spans="1:16" x14ac:dyDescent="0.25">
      <c r="A241">
        <v>218.1</v>
      </c>
      <c r="B241" s="2">
        <f t="shared" si="9"/>
        <v>419.60914207650302</v>
      </c>
      <c r="C241" s="2" cm="1">
        <f t="array" ref="C241">INDEX( ComputeThermoProps($A241, $B241, ParametersRange), 1, COLUMN()-2 )</f>
        <v>27.559241130648896</v>
      </c>
      <c r="M241" s="2" cm="1">
        <f t="array" ref="M241">INDEX( ComputeThermoProps($A241, $B241, ParametersRange), 1, COLUMN()-2 )</f>
        <v>16434.069798377503</v>
      </c>
      <c r="O241" s="4">
        <f t="shared" si="10"/>
        <v>2.6228449416524229</v>
      </c>
      <c r="P241" s="5"/>
    </row>
    <row r="242" spans="1:16" x14ac:dyDescent="0.25">
      <c r="A242">
        <v>219.1</v>
      </c>
      <c r="B242" s="2">
        <f t="shared" si="9"/>
        <v>424.37126218471019</v>
      </c>
      <c r="C242" s="2" cm="1">
        <f t="array" ref="C242">INDEX( ComputeThermoProps($A242, $B242, ParametersRange), 1, COLUMN()-2 )</f>
        <v>27.538100643727834</v>
      </c>
      <c r="M242" s="2" cm="1">
        <f t="array" ref="M242">INDEX( ComputeThermoProps($A242, $B242, ParametersRange), 1, COLUMN()-2 )</f>
        <v>16579.122300549421</v>
      </c>
      <c r="O242" s="4">
        <f t="shared" si="10"/>
        <v>2.6277459664235079</v>
      </c>
      <c r="P242" s="5"/>
    </row>
    <row r="243" spans="1:16" x14ac:dyDescent="0.25">
      <c r="A243">
        <v>220.1</v>
      </c>
      <c r="B243" s="2">
        <f t="shared" si="9"/>
        <v>429.14532402254474</v>
      </c>
      <c r="C243" s="2" cm="1">
        <f t="array" ref="C243">INDEX( ComputeThermoProps($A243, $B243, ParametersRange), 1, COLUMN()-2 )</f>
        <v>27.517006589042172</v>
      </c>
      <c r="M243" s="2" cm="1">
        <f t="array" ref="M243">INDEX( ComputeThermoProps($A243, $B243, ParametersRange), 1, COLUMN()-2 )</f>
        <v>16724.368843700555</v>
      </c>
      <c r="O243" s="4">
        <f t="shared" si="10"/>
        <v>2.6326043848039244</v>
      </c>
      <c r="P243" s="5"/>
    </row>
    <row r="244" spans="1:16" x14ac:dyDescent="0.25">
      <c r="A244">
        <v>221.1</v>
      </c>
      <c r="B244" s="2">
        <f t="shared" si="9"/>
        <v>433.93130970267697</v>
      </c>
      <c r="C244" s="2" cm="1">
        <f t="array" ref="C244">INDEX( ComputeThermoProps($A244, $B244, ParametersRange), 1, COLUMN()-2 )</f>
        <v>27.495958765588391</v>
      </c>
      <c r="M244" s="2" cm="1">
        <f t="array" ref="M244">INDEX( ComputeThermoProps($A244, $B244, ParametersRange), 1, COLUMN()-2 )</f>
        <v>16869.808728451557</v>
      </c>
      <c r="O244" s="4">
        <f t="shared" si="10"/>
        <v>2.637420987166621</v>
      </c>
      <c r="P244" s="5"/>
    </row>
    <row r="245" spans="1:16" x14ac:dyDescent="0.25">
      <c r="A245">
        <v>222.1</v>
      </c>
      <c r="B245" s="2">
        <f t="shared" si="9"/>
        <v>438.72920151127965</v>
      </c>
      <c r="C245" s="2" cm="1">
        <f t="array" ref="C245">INDEX( ComputeThermoProps($A245, $B245, ParametersRange), 1, COLUMN()-2 )</f>
        <v>27.474956973176685</v>
      </c>
      <c r="M245" s="2" cm="1">
        <f t="array" ref="M245">INDEX( ComputeThermoProps($A245, $B245, ParametersRange), 1, COLUMN()-2 )</f>
        <v>17015.441261494834</v>
      </c>
      <c r="O245" s="4">
        <f t="shared" si="10"/>
        <v>2.6421965417063999</v>
      </c>
      <c r="P245" s="5"/>
    </row>
    <row r="246" spans="1:16" x14ac:dyDescent="0.25">
      <c r="A246">
        <v>223.1</v>
      </c>
      <c r="B246" s="2">
        <f t="shared" si="9"/>
        <v>443.53898190497961</v>
      </c>
      <c r="C246" s="2" cm="1">
        <f t="array" ref="C246">INDEX( ComputeThermoProps($A246, $B246, ParametersRange), 1, COLUMN()-2 )</f>
        <v>27.454001012452842</v>
      </c>
      <c r="M246" s="2" cm="1">
        <f t="array" ref="M246">INDEX( ComputeThermoProps($A246, $B246, ParametersRange), 1, COLUMN()-2 )</f>
        <v>17161.265755273474</v>
      </c>
      <c r="O246" s="4">
        <f t="shared" si="10"/>
        <v>2.6469317952663847</v>
      </c>
      <c r="P246" s="5"/>
    </row>
    <row r="247" spans="1:16" x14ac:dyDescent="0.25">
      <c r="A247">
        <v>224.1</v>
      </c>
      <c r="B247" s="2">
        <f t="shared" si="9"/>
        <v>448.36063350788646</v>
      </c>
      <c r="C247" s="2" cm="1">
        <f t="array" ref="C247">INDEX( ComputeThermoProps($A247, $B247, ParametersRange), 1, COLUMN()-2 )</f>
        <v>27.433090684918504</v>
      </c>
      <c r="M247" s="2" cm="1">
        <f t="array" ref="M247">INDEX( ComputeThermoProps($A247, $B247, ParametersRange), 1, COLUMN()-2 )</f>
        <v>17307.28152804522</v>
      </c>
      <c r="O247" s="4">
        <f t="shared" si="10"/>
        <v>2.6516274741262675</v>
      </c>
      <c r="P247" s="5"/>
    </row>
    <row r="248" spans="1:16" x14ac:dyDescent="0.25">
      <c r="A248">
        <v>225.1</v>
      </c>
      <c r="B248" s="2">
        <f t="shared" si="9"/>
        <v>453.19413910869298</v>
      </c>
      <c r="C248" s="2" cm="1">
        <f t="array" ref="C248">INDEX( ComputeThermoProps($A248, $B248, ParametersRange), 1, COLUMN()-2 )</f>
        <v>27.412225792949958</v>
      </c>
      <c r="M248" s="2" cm="1">
        <f t="array" ref="M248">INDEX( ComputeThermoProps($A248, $B248, ParametersRange), 1, COLUMN()-2 )</f>
        <v>17453.487903750625</v>
      </c>
      <c r="O248" s="4">
        <f t="shared" si="10"/>
        <v>2.656284284754439</v>
      </c>
      <c r="P248" s="5"/>
    </row>
    <row r="249" spans="1:16" x14ac:dyDescent="0.25">
      <c r="A249">
        <v>226.1</v>
      </c>
      <c r="B249" s="2">
        <f t="shared" si="9"/>
        <v>458.03948165784874</v>
      </c>
      <c r="C249" s="2" cm="1">
        <f t="array" ref="C249">INDEX( ComputeThermoProps($A249, $B249, ParametersRange), 1, COLUMN()-2 )</f>
        <v>27.391406139815508</v>
      </c>
      <c r="M249" s="2" cm="1">
        <f t="array" ref="M249">INDEX( ComputeThermoProps($A249, $B249, ParametersRange), 1, COLUMN()-2 )</f>
        <v>17599.884211924378</v>
      </c>
      <c r="O249" s="4">
        <f t="shared" si="10"/>
        <v>2.6609029145259711</v>
      </c>
      <c r="P249" s="5"/>
    </row>
    <row r="250" spans="1:16" x14ac:dyDescent="0.25">
      <c r="A250">
        <v>227.1</v>
      </c>
      <c r="B250" s="2">
        <f t="shared" si="9"/>
        <v>462.89664426480203</v>
      </c>
      <c r="C250" s="2" cm="1">
        <f t="array" ref="C250">INDEX( ComputeThermoProps($A250, $B250, ParametersRange), 1, COLUMN()-2 )</f>
        <v>27.370631529691472</v>
      </c>
      <c r="M250" s="2" cm="1">
        <f t="array" ref="M250">INDEX( ComputeThermoProps($A250, $B250, ParametersRange), 1, COLUMN()-2 )</f>
        <v>17746.469787608636</v>
      </c>
      <c r="O250" s="4">
        <f t="shared" si="10"/>
        <v>2.6654840324082985</v>
      </c>
      <c r="P250" s="5"/>
    </row>
    <row r="251" spans="1:16" x14ac:dyDescent="0.25">
      <c r="A251">
        <v>228.1</v>
      </c>
      <c r="B251" s="2">
        <f t="shared" si="9"/>
        <v>467.76561019530749</v>
      </c>
      <c r="C251" s="2" cm="1">
        <f t="array" ref="C251">INDEX( ComputeThermoProps($A251, $B251, ParametersRange), 1, COLUMN()-2 )</f>
        <v>27.349901767676922</v>
      </c>
      <c r="M251" s="2" cm="1">
        <f t="array" ref="M251">INDEX( ComputeThermoProps($A251, $B251, ParametersRange), 1, COLUMN()-2 )</f>
        <v>17893.243971268286</v>
      </c>
      <c r="O251" s="4">
        <f t="shared" si="10"/>
        <v>2.6700282896163263</v>
      </c>
      <c r="P251" s="5"/>
    </row>
    <row r="252" spans="1:16" x14ac:dyDescent="0.25">
      <c r="A252">
        <v>229.1</v>
      </c>
      <c r="B252" s="2">
        <f t="shared" si="9"/>
        <v>472.64636286880159</v>
      </c>
      <c r="C252" s="2" cm="1">
        <f t="array" ref="C252">INDEX( ComputeThermoProps($A252, $B252, ParametersRange), 1, COLUMN()-2 )</f>
        <v>27.329216659807216</v>
      </c>
      <c r="M252" s="2" cm="1">
        <f t="array" ref="M252">INDEX( ComputeThermoProps($A252, $B252, ParametersRange), 1, COLUMN()-2 )</f>
        <v>18040.206108708269</v>
      </c>
      <c r="O252" s="4">
        <f t="shared" si="10"/>
        <v>2.6745363202385941</v>
      </c>
      <c r="P252" s="5"/>
    </row>
    <row r="253" spans="1:16" x14ac:dyDescent="0.25">
      <c r="A253">
        <v>230.1</v>
      </c>
      <c r="B253" s="2">
        <f t="shared" si="9"/>
        <v>477.53888585583786</v>
      </c>
      <c r="C253" s="2" cm="1">
        <f t="array" ref="C253">INDEX( ComputeThermoProps($A253, $B253, ParametersRange), 1, COLUMN()-2 )</f>
        <v>27.308576013066372</v>
      </c>
      <c r="M253" s="2" cm="1">
        <f t="array" ref="M253">INDEX( ComputeThermoProps($A253, $B253, ParametersRange), 1, COLUMN()-2 )</f>
        <v>18187.355550992601</v>
      </c>
      <c r="O253" s="4">
        <f t="shared" si="10"/>
        <v>2.67900874183601</v>
      </c>
      <c r="P253" s="5"/>
    </row>
    <row r="254" spans="1:16" x14ac:dyDescent="0.25">
      <c r="A254">
        <v>231.1</v>
      </c>
      <c r="B254" s="2">
        <f t="shared" si="9"/>
        <v>482.44316287558507</v>
      </c>
      <c r="C254" s="2" cm="1">
        <f t="array" ref="C254">INDEX( ComputeThermoProps($A254, $B254, ParametersRange), 1, COLUMN()-2 )</f>
        <v>27.287979635398372</v>
      </c>
      <c r="M254" s="2" cm="1">
        <f t="array" ref="M254">INDEX( ComputeThermoProps($A254, $B254, ParametersRange), 1, COLUMN()-2 )</f>
        <v>18334.691654365299</v>
      </c>
      <c r="O254" s="4">
        <f t="shared" si="10"/>
        <v>2.6834461560145884</v>
      </c>
      <c r="P254" s="5"/>
    </row>
    <row r="255" spans="1:16" x14ac:dyDescent="0.25">
      <c r="A255">
        <v>232.1</v>
      </c>
      <c r="B255" s="2">
        <f t="shared" si="9"/>
        <v>487.35917779338359</v>
      </c>
      <c r="C255" s="2" cm="1">
        <f t="array" ref="C255">INDEX( ComputeThermoProps($A255, $B255, ParametersRange), 1, COLUMN()-2 )</f>
        <v>27.267427335717436</v>
      </c>
      <c r="M255" s="2" cm="1">
        <f t="array" ref="M255">INDEX( ComputeThermoProps($A255, $B255, ParametersRange), 1, COLUMN()-2 )</f>
        <v>18482.213780173075</v>
      </c>
      <c r="O255" s="4">
        <f t="shared" si="10"/>
        <v>2.6878491489735419</v>
      </c>
      <c r="P255" s="5"/>
    </row>
    <row r="256" spans="1:16" x14ac:dyDescent="0.25">
      <c r="A256">
        <v>233.1</v>
      </c>
      <c r="B256" s="2">
        <f t="shared" si="9"/>
        <v>492.28691461835945</v>
      </c>
      <c r="C256" s="2" cm="1">
        <f t="array" ref="C256">INDEX( ComputeThermoProps($A256, $B256, ParametersRange), 1, COLUMN()-2 )</f>
        <v>27.24691892391731</v>
      </c>
      <c r="M256" s="2" cm="1">
        <f t="array" ref="M256">INDEX( ComputeThermoProps($A256, $B256, ParametersRange), 1, COLUMN()-2 )</f>
        <v>18629.921294789652</v>
      </c>
      <c r="O256" s="4">
        <f t="shared" si="10"/>
        <v>2.692218292029982</v>
      </c>
      <c r="P256" s="5"/>
    </row>
    <row r="257" spans="1:16" x14ac:dyDescent="0.25">
      <c r="A257">
        <v>234.1</v>
      </c>
      <c r="B257" s="2">
        <f t="shared" si="9"/>
        <v>497.22635750109356</v>
      </c>
      <c r="C257" s="2" cm="1">
        <f t="array" ref="C257">INDEX( ComputeThermoProps($A257, $B257, ParametersRange), 1, COLUMN()-2 )</f>
        <v>27.226454210879659</v>
      </c>
      <c r="M257" s="2" cm="1">
        <f t="array" ref="M257">INDEX( ComputeThermoProps($A257, $B257, ParametersRange), 1, COLUMN()-2 )</f>
        <v>18777.813569541828</v>
      </c>
      <c r="O257" s="4">
        <f t="shared" si="10"/>
        <v>2.6965541421214199</v>
      </c>
      <c r="P257" s="5"/>
    </row>
    <row r="258" spans="1:16" x14ac:dyDescent="0.25">
      <c r="A258">
        <v>235.1</v>
      </c>
      <c r="B258" s="2">
        <f t="shared" si="9"/>
        <v>502.17749073134638</v>
      </c>
      <c r="C258" s="2" cm="1">
        <f t="array" ref="C258">INDEX( ComputeThermoProps($A258, $B258, ParametersRange), 1, COLUMN()-2 )</f>
        <v>27.206033008481562</v>
      </c>
      <c r="M258" s="2" cm="1">
        <f t="array" ref="M258">INDEX( ComputeThermoProps($A258, $B258, ParametersRange), 1, COLUMN()-2 )</f>
        <v>18925.889980637108</v>
      </c>
      <c r="O258" s="4">
        <f t="shared" si="10"/>
        <v>2.7008572422871917</v>
      </c>
      <c r="P258" s="5"/>
    </row>
    <row r="259" spans="1:16" x14ac:dyDescent="0.25">
      <c r="A259">
        <v>236.1</v>
      </c>
      <c r="B259" s="2">
        <f t="shared" si="9"/>
        <v>507.140298735832</v>
      </c>
      <c r="C259" s="2" cm="1">
        <f t="array" ref="C259">INDEX( ComputeThermoProps($A259, $B259, ParametersRange), 1, COLUMN()-2 )</f>
        <v>27.185655129602203</v>
      </c>
      <c r="M259" s="2" cm="1">
        <f t="array" ref="M259">INDEX( ComputeThermoProps($A259, $B259, ParametersRange), 1, COLUMN()-2 )</f>
        <v>19074.149909092888</v>
      </c>
      <c r="O259" s="4">
        <f t="shared" si="10"/>
        <v>2.7051281221298535</v>
      </c>
      <c r="P259" s="5"/>
    </row>
    <row r="260" spans="1:16" x14ac:dyDescent="0.25">
      <c r="A260">
        <v>237.1</v>
      </c>
      <c r="B260" s="2">
        <f t="shared" si="9"/>
        <v>512.11476607604595</v>
      </c>
      <c r="C260" s="2" cm="1">
        <f t="array" ref="C260">INDEX( ComputeThermoProps($A260, $B260, ParametersRange), 1, COLUMN()-2 )</f>
        <v>27.165320388128784</v>
      </c>
      <c r="M260" s="2" cm="1">
        <f t="array" ref="M260">INDEX( ComputeThermoProps($A260, $B260, ParametersRange), 1, COLUMN()-2 )</f>
        <v>19222.592740667191</v>
      </c>
      <c r="O260" s="4">
        <f t="shared" si="10"/>
        <v>2.7093672982575421</v>
      </c>
      <c r="P260" s="5"/>
    </row>
    <row r="261" spans="1:16" x14ac:dyDescent="0.25">
      <c r="A261">
        <v>238.1</v>
      </c>
      <c r="B261" s="2">
        <f t="shared" si="9"/>
        <v>517.10087744614191</v>
      </c>
      <c r="C261" s="2" cm="1">
        <f t="array" ref="C261">INDEX( ComputeThermoProps($A261, $B261, ParametersRange), 1, COLUMN()-2 )</f>
        <v>27.145028598961659</v>
      </c>
      <c r="M261" s="2" cm="1">
        <f t="array" ref="M261">INDEX( ComputeThermoProps($A261, $B261, ParametersRange), 1, COLUMN()-2 )</f>
        <v>19371.217865790881</v>
      </c>
      <c r="O261" s="4">
        <f t="shared" si="10"/>
        <v>2.7135752747082411</v>
      </c>
      <c r="P261" s="5"/>
    </row>
    <row r="262" spans="1:16" x14ac:dyDescent="0.25">
      <c r="A262">
        <v>239.1</v>
      </c>
      <c r="B262" s="2">
        <f t="shared" si="9"/>
        <v>522.09861767085351</v>
      </c>
      <c r="C262" s="2" cm="1">
        <f t="array" ref="C262">INDEX( ComputeThermoProps($A262, $B262, ParametersRange), 1, COLUMN()-2 )</f>
        <v>27.124779578018838</v>
      </c>
      <c r="M262" s="2" cm="1">
        <f t="array" ref="M262">INDEX( ComputeThermoProps($A262, $B262, ParametersRange), 1, COLUMN()-2 )</f>
        <v>19520.024679501264</v>
      </c>
      <c r="O262" s="4">
        <f t="shared" si="10"/>
        <v>2.717752543356827</v>
      </c>
      <c r="P262" s="5"/>
    </row>
    <row r="263" spans="1:16" x14ac:dyDescent="0.25">
      <c r="A263">
        <v>240.1</v>
      </c>
      <c r="B263" s="2">
        <f t="shared" si="9"/>
        <v>527.10797170346677</v>
      </c>
      <c r="C263" s="2" cm="1">
        <f t="array" ref="C263">INDEX( ComputeThermoProps($A263, $B263, ParametersRange), 1, COLUMN()-2 )</f>
        <v>27.104573142239772</v>
      </c>
      <c r="M263" s="2" cm="1">
        <f t="array" ref="M263">INDEX( ComputeThermoProps($A263, $B263, ParametersRange), 1, COLUMN()-2 )</f>
        <v>19669.012581377177</v>
      </c>
      <c r="O263" s="4">
        <f t="shared" si="10"/>
        <v>2.7218995843057328</v>
      </c>
      <c r="P263" s="5"/>
    </row>
    <row r="264" spans="1:16" x14ac:dyDescent="0.25">
      <c r="A264">
        <v>241.1</v>
      </c>
      <c r="B264" s="2">
        <f t="shared" si="9"/>
        <v>532.12892462383445</v>
      </c>
      <c r="C264" s="2" cm="1">
        <f t="array" ref="C264">INDEX( ComputeThermoProps($A264, $B264, ParametersRange), 1, COLUMN()-2 )</f>
        <v>27.084409109588542</v>
      </c>
      <c r="M264" s="2" cm="1">
        <f t="array" ref="M264">INDEX( ComputeThermoProps($A264, $B264, ParametersRange), 1, COLUMN()-2 )</f>
        <v>19818.180975475345</v>
      </c>
      <c r="O264" s="4">
        <f t="shared" si="10"/>
        <v>2.7260168662600144</v>
      </c>
      <c r="P264" s="5"/>
    </row>
    <row r="265" spans="1:16" x14ac:dyDescent="0.25">
      <c r="A265">
        <v>242.1</v>
      </c>
      <c r="B265" s="2">
        <f t="shared" si="9"/>
        <v>537.16146163643521</v>
      </c>
      <c r="C265" s="2" cm="1">
        <f t="array" ref="C265">INDEX( ComputeThermoProps($A265, $B265, ParametersRange), 1, COLUMN()-2 )</f>
        <v>27.064287299056435</v>
      </c>
      <c r="M265" s="2" cm="1">
        <f t="array" ref="M265">INDEX( ComputeThermoProps($A265, $B265, ParametersRange), 1, COLUMN()-2 )</f>
        <v>19967.529270268082</v>
      </c>
      <c r="O265" s="4">
        <f t="shared" si="10"/>
        <v>2.7301048468875622</v>
      </c>
      <c r="P265" s="5"/>
    </row>
    <row r="266" spans="1:16" x14ac:dyDescent="0.25">
      <c r="A266">
        <v>243.1</v>
      </c>
      <c r="B266" s="2">
        <f t="shared" si="9"/>
        <v>542.20556806847765</v>
      </c>
      <c r="C266" s="2" cm="1">
        <f t="array" ref="C266">INDEX( ComputeThermoProps($A266, $B266, ParametersRange), 1, COLUMN()-2 )</f>
        <v>27.044207530663989</v>
      </c>
      <c r="M266" s="2" cm="1">
        <f t="array" ref="M266">INDEX( ComputeThermoProps($A266, $B266, ParametersRange), 1, COLUMN()-2 )</f>
        <v>20117.056878582371</v>
      </c>
      <c r="O266" s="4">
        <f t="shared" si="10"/>
        <v>2.734163973165157</v>
      </c>
      <c r="P266" s="5"/>
    </row>
    <row r="267" spans="1:16" x14ac:dyDescent="0.25">
      <c r="A267">
        <v>244.1</v>
      </c>
      <c r="B267" s="2">
        <f t="shared" si="9"/>
        <v>547.26122936804074</v>
      </c>
      <c r="C267" s="2" cm="1">
        <f t="array" ref="C267">INDEX( ComputeThermoProps($A267, $B267, ParametersRange), 1, COLUMN()-2 )</f>
        <v>27.024169625462516</v>
      </c>
      <c r="M267" s="2" cm="1">
        <f t="array" ref="M267">INDEX( ComputeThermoProps($A267, $B267, ParametersRange), 1, COLUMN()-2 )</f>
        <v>20266.763217540043</v>
      </c>
      <c r="O267" s="4">
        <f t="shared" si="10"/>
        <v>2.7381946817110343</v>
      </c>
      <c r="P267" s="5"/>
    </row>
    <row r="268" spans="1:16" x14ac:dyDescent="0.25">
      <c r="A268">
        <v>245.1</v>
      </c>
      <c r="B268" s="2">
        <f t="shared" si="9"/>
        <v>552.32843110226111</v>
      </c>
      <c r="C268" s="2" cm="1">
        <f t="array" ref="C268">INDEX( ComputeThermoProps($A268, $B268, ParametersRange), 1, COLUMN()-2 )</f>
        <v>27.004173405535052</v>
      </c>
      <c r="M268" s="2" cm="1">
        <f t="array" ref="M268">INDEX( ComputeThermoProps($A268, $B268, ParametersRange), 1, COLUMN()-2 )</f>
        <v>20416.647708499317</v>
      </c>
      <c r="O268" s="4">
        <f t="shared" si="10"/>
        <v>2.7421973991045898</v>
      </c>
      <c r="P268" s="5"/>
    </row>
    <row r="269" spans="1:16" x14ac:dyDescent="0.25">
      <c r="A269">
        <v>246.1</v>
      </c>
      <c r="B269" s="2">
        <f t="shared" si="9"/>
        <v>557.4071589555524</v>
      </c>
      <c r="C269" s="2" cm="1">
        <f t="array" ref="C269">INDEX( ComputeThermoProps($A269, $B269, ParametersRange), 1, COLUMN()-2 )</f>
        <v>26.984218693996976</v>
      </c>
      <c r="M269" s="2" cm="1">
        <f t="array" ref="M269">INDEX( ComputeThermoProps($A269, $B269, ParametersRange), 1, COLUMN()-2 )</f>
        <v>20566.709776997413</v>
      </c>
      <c r="O269" s="4">
        <f t="shared" si="10"/>
        <v>2.7461725421938032</v>
      </c>
      <c r="P269" s="5"/>
    </row>
    <row r="270" spans="1:16" x14ac:dyDescent="0.25">
      <c r="A270">
        <v>247.1</v>
      </c>
      <c r="B270" s="2">
        <f t="shared" si="9"/>
        <v>562.49739872786836</v>
      </c>
      <c r="C270" s="2" cm="1">
        <f t="array" ref="C270">INDEX( ComputeThermoProps($A270, $B270, ParametersRange), 1, COLUMN()-2 )</f>
        <v>26.964305314996025</v>
      </c>
      <c r="M270" s="2" cm="1">
        <f t="array" ref="M270">INDEX( ComputeThermoProps($A270, $B270, ParametersRange), 1, COLUMN()-2 )</f>
        <v>20716.94885269439</v>
      </c>
      <c r="O270" s="4">
        <f t="shared" si="10"/>
        <v>2.7501205183909647</v>
      </c>
      <c r="P270" s="5"/>
    </row>
    <row r="271" spans="1:16" x14ac:dyDescent="0.25">
      <c r="A271">
        <v>248.1</v>
      </c>
      <c r="B271" s="2">
        <f t="shared" si="9"/>
        <v>567.59913633300084</v>
      </c>
      <c r="C271" s="2" cm="1">
        <f t="array" ref="C271">INDEX( ComputeThermoProps($A271, $B271, ParametersRange), 1, COLUMN()-2 )</f>
        <v>26.944433093711993</v>
      </c>
      <c r="M271" s="2" cm="1">
        <f t="array" ref="M271">INDEX( ComputeThermoProps($A271, $B271, ParametersRange), 1, COLUMN()-2 )</f>
        <v>20867.364369318093</v>
      </c>
      <c r="O271" s="4">
        <f t="shared" si="10"/>
        <v>2.754041725957217</v>
      </c>
      <c r="P271" s="5"/>
    </row>
    <row r="272" spans="1:16" x14ac:dyDescent="0.25">
      <c r="A272">
        <v>249.1</v>
      </c>
      <c r="B272" s="2">
        <f t="shared" si="9"/>
        <v>572.71235779691233</v>
      </c>
      <c r="C272" s="2" cm="1">
        <f t="array" ref="C272">INDEX( ComputeThermoProps($A272, $B272, ParametersRange), 1, COLUMN()-2 )</f>
        <v>26.924601856356045</v>
      </c>
      <c r="M272" s="2" cm="1">
        <f t="array" ref="M272">INDEX( ComputeThermoProps($A272, $B272, ParametersRange), 1, COLUMN()-2 )</f>
        <v>21017.955764610186</v>
      </c>
      <c r="O272" s="4">
        <f t="shared" si="10"/>
        <v>2.7579365542764238</v>
      </c>
      <c r="P272" s="5"/>
    </row>
    <row r="273" spans="1:16" x14ac:dyDescent="0.25">
      <c r="A273">
        <v>250.1</v>
      </c>
      <c r="B273" s="2">
        <f t="shared" si="9"/>
        <v>577.83704925610652</v>
      </c>
      <c r="C273" s="2" cm="1">
        <f t="array" ref="C273">INDEX( ComputeThermoProps($A273, $B273, ParametersRange), 1, COLUMN()-2 )</f>
        <v>26.904811430169545</v>
      </c>
      <c r="M273" s="2" cm="1">
        <f t="array" ref="M273">INDEX( ComputeThermoProps($A273, $B273, ParametersRange), 1, COLUMN()-2 )</f>
        <v>21168.722480273242</v>
      </c>
      <c r="O273" s="4">
        <f t="shared" si="10"/>
        <v>2.7618053841188446</v>
      </c>
      <c r="P273" s="5"/>
    </row>
    <row r="274" spans="1:16" x14ac:dyDescent="0.25">
      <c r="A274">
        <v>251.1</v>
      </c>
      <c r="B274" s="2">
        <f t="shared" si="9"/>
        <v>582.97319695602982</v>
      </c>
      <c r="C274" s="2" cm="1">
        <f t="array" ref="C274">INDEX( ComputeThermoProps($A274, $B274, ParametersRange), 1, COLUMN()-2 )</f>
        <v>26.885061643422691</v>
      </c>
      <c r="M274" s="2" cm="1">
        <f t="array" ref="M274">INDEX( ComputeThermoProps($A274, $B274, ParametersRange), 1, COLUMN()-2 )</f>
        <v>21319.663961918915</v>
      </c>
      <c r="O274" s="4">
        <f t="shared" si="10"/>
        <v>2.7656485878950638</v>
      </c>
      <c r="P274" s="5"/>
    </row>
    <row r="275" spans="1:16" x14ac:dyDescent="0.25">
      <c r="A275">
        <v>252.1</v>
      </c>
      <c r="B275" s="2">
        <f t="shared" si="9"/>
        <v>588.12078724950857</v>
      </c>
      <c r="C275" s="2" cm="1">
        <f t="array" ref="C275">INDEX( ComputeThermoProps($A275, $B275, ParametersRange), 1, COLUMN()-2 )</f>
        <v>26.865352325412658</v>
      </c>
      <c r="M275" s="2" cm="1">
        <f t="array" ref="M275">INDEX( ComputeThermoProps($A275, $B275, ParametersRange), 1, COLUMN()-2 )</f>
        <v>21470.779659017044</v>
      </c>
      <c r="O275" s="4">
        <f t="shared" si="10"/>
        <v>2.7694665299006078</v>
      </c>
      <c r="P275" s="5"/>
    </row>
    <row r="276" spans="1:16" x14ac:dyDescent="0.25">
      <c r="A276">
        <v>253.1</v>
      </c>
      <c r="B276" s="2">
        <f t="shared" si="9"/>
        <v>593.27980659521711</v>
      </c>
      <c r="C276" s="2" cm="1">
        <f t="array" ref="C276">INDEX( ComputeThermoProps($A276, $B276, ParametersRange), 1, COLUMN()-2 )</f>
        <v>26.845683306461574</v>
      </c>
      <c r="M276" s="2" cm="1">
        <f t="array" ref="M276">INDEX( ComputeThermoProps($A276, $B276, ParametersRange), 1, COLUMN()-2 )</f>
        <v>21622.069024845863</v>
      </c>
      <c r="O276" s="4">
        <f t="shared" si="10"/>
        <v>2.7732595665516522</v>
      </c>
      <c r="P276" s="5"/>
    </row>
    <row r="277" spans="1:16" x14ac:dyDescent="0.25">
      <c r="A277">
        <v>254.1</v>
      </c>
      <c r="B277" s="2">
        <f t="shared" si="9"/>
        <v>598.45024155617716</v>
      </c>
      <c r="C277" s="2" cm="1">
        <f t="array" ref="C277">INDEX( ComputeThermoProps($A277, $B277, ParametersRange), 1, COLUMN()-2 )</f>
        <v>26.826054417914097</v>
      </c>
      <c r="M277" s="2" cm="1">
        <f t="array" ref="M277">INDEX( ComputeThermoProps($A277, $B277, ParametersRange), 1, COLUMN()-2 )</f>
        <v>21773.531516443043</v>
      </c>
      <c r="O277" s="4">
        <f t="shared" si="10"/>
        <v>2.7770280466122124</v>
      </c>
      <c r="P277" s="5"/>
    </row>
    <row r="278" spans="1:16" x14ac:dyDescent="0.25">
      <c r="A278">
        <v>255.1</v>
      </c>
      <c r="B278" s="2">
        <f t="shared" si="9"/>
        <v>603.6320787982894</v>
      </c>
      <c r="C278" s="2" cm="1">
        <f t="array" ref="C278">INDEX( ComputeThermoProps($A278, $B278, ParametersRange), 1, COLUMN()-2 )</f>
        <v>26.806465492134759</v>
      </c>
      <c r="M278" s="2" cm="1">
        <f t="array" ref="M278">INDEX( ComputeThermoProps($A278, $B278, ParametersRange), 1, COLUMN()-2 )</f>
        <v>21925.16659455777</v>
      </c>
      <c r="O278" s="4">
        <f t="shared" si="10"/>
        <v>2.7807723114131813</v>
      </c>
      <c r="P278" s="5"/>
    </row>
    <row r="279" spans="1:16" x14ac:dyDescent="0.25">
      <c r="A279">
        <v>256.10000000000002</v>
      </c>
      <c r="B279" s="2">
        <f t="shared" si="9"/>
        <v>608.82530508889204</v>
      </c>
      <c r="C279" s="2" cm="1">
        <f t="array" ref="C279">INDEX( ComputeThermoProps($A279, $B279, ParametersRange), 1, COLUMN()-2 )</f>
        <v>26.786916362505046</v>
      </c>
      <c r="M279" s="2" cm="1">
        <f t="array" ref="M279">INDEX( ComputeThermoProps($A279, $B279, ParametersRange), 1, COLUMN()-2 )</f>
        <v>22076.973723603653</v>
      </c>
      <c r="O279" s="4">
        <f t="shared" si="10"/>
        <v>2.784492695063562</v>
      </c>
      <c r="P279" s="5"/>
    </row>
    <row r="280" spans="1:16" x14ac:dyDescent="0.25">
      <c r="A280">
        <v>257.10000000000002</v>
      </c>
      <c r="B280" s="2">
        <f t="shared" ref="B280:B343" si="12">IF(
  A280 &lt;= $B$5,
  $B$6 * EXP( ($B$5/A280) * ( $B$13*(1 - A280/$B$5) + $B$14*(1 - A280/$B$5)^1.5 + $B$15*(1 - A280/$B$5)^5 ) ),
  $B$6 * ( 1 + $B$17 * MAX(A280/$B$5 - 1, 0)^$B$18 + $B$19 * MAX(A280/$B$5 - 1, 0)^$B$20 )
)</f>
        <v>614.02990729535099</v>
      </c>
      <c r="C280" s="2" cm="1">
        <f t="array" ref="C280">INDEX( ComputeThermoProps($A280, $B280, ParametersRange), 1, COLUMN()-2 )</f>
        <v>26.767406863420245</v>
      </c>
      <c r="M280" s="2" cm="1">
        <f t="array" ref="M280">INDEX( ComputeThermoProps($A280, $B280, ParametersRange), 1, COLUMN()-2 )</f>
        <v>22228.95237161262</v>
      </c>
      <c r="O280" s="4">
        <f t="shared" ref="O280:O343" si="13">LOG10(B280)</f>
        <v>2.7881895246542294</v>
      </c>
      <c r="P280" s="5"/>
    </row>
    <row r="281" spans="1:16" x14ac:dyDescent="0.25">
      <c r="A281">
        <v>258.10000000000002</v>
      </c>
      <c r="B281" s="2">
        <f t="shared" si="12"/>
        <v>619.24587238367633</v>
      </c>
      <c r="C281" s="2" cm="1">
        <f t="array" ref="C281">INDEX( ComputeThermoProps($A281, $B281, ParametersRange), 1, COLUMN()-2 )</f>
        <v>26.747936830286051</v>
      </c>
      <c r="M281" s="2" cm="1">
        <f t="array" ref="M281">INDEX( ComputeThermoProps($A281, $B281, ParametersRange), 1, COLUMN()-2 )</f>
        <v>22381.102010189592</v>
      </c>
      <c r="O281" s="4">
        <f t="shared" si="13"/>
        <v>2.7918631204545363</v>
      </c>
      <c r="P281" s="5"/>
    </row>
    <row r="282" spans="1:16" x14ac:dyDescent="0.25">
      <c r="A282">
        <v>259.10000000000002</v>
      </c>
      <c r="B282" s="2">
        <f t="shared" si="12"/>
        <v>624.47318741716902</v>
      </c>
      <c r="C282" s="2" cm="1">
        <f t="array" ref="C282">INDEX( ComputeThermoProps($A282, $B282, ParametersRange), 1, COLUMN()-2 )</f>
        <v>26.728506099514938</v>
      </c>
      <c r="M282" s="2" cm="1">
        <f t="array" ref="M282">INDEX( ComputeThermoProps($A282, $B282, ParametersRange), 1, COLUMN()-2 )</f>
        <v>22533.422114468071</v>
      </c>
      <c r="O282" s="4">
        <f t="shared" si="13"/>
        <v>2.7955137961020635</v>
      </c>
      <c r="P282" s="5"/>
    </row>
    <row r="283" spans="1:16" x14ac:dyDescent="0.25">
      <c r="A283">
        <v>260.10000000000002</v>
      </c>
      <c r="B283" s="2">
        <f t="shared" si="12"/>
        <v>629.71183955509036</v>
      </c>
      <c r="C283" s="2" cm="1">
        <f t="array" ref="C283">INDEX( ComputeThermoProps($A283, $B283, ParametersRange), 1, COLUMN()-2 )</f>
        <v>26.709114508522372</v>
      </c>
      <c r="M283" s="2" cm="1">
        <f t="array" ref="M283">INDEX( ComputeThermoProps($A283, $B283, ParametersRange), 1, COLUMN()-2 )</f>
        <v>22685.912163066496</v>
      </c>
      <c r="O283" s="4">
        <f t="shared" si="13"/>
        <v>2.799141858785795</v>
      </c>
      <c r="P283" s="5"/>
    </row>
    <row r="284" spans="1:16" x14ac:dyDescent="0.25">
      <c r="A284">
        <v>261.10000000000002</v>
      </c>
      <c r="B284" s="2">
        <f t="shared" si="12"/>
        <v>634.96181605136053</v>
      </c>
      <c r="C284" s="2" cm="1">
        <f t="array" ref="C284">INDEX( ComputeThermoProps($A284, $B284, ParametersRange), 1, COLUMN()-2 )</f>
        <v>26.689761895722814</v>
      </c>
      <c r="M284" s="2" cm="1">
        <f t="array" ref="M284">INDEX( ComputeThermoProps($A284, $B284, ParametersRange), 1, COLUMN()-2 )</f>
        <v>22838.571638045447</v>
      </c>
      <c r="O284" s="4">
        <f t="shared" si="13"/>
        <v>2.8027476094229993</v>
      </c>
      <c r="P284" s="5"/>
    </row>
    <row r="285" spans="1:16" x14ac:dyDescent="0.25">
      <c r="A285">
        <v>262.10000000000002</v>
      </c>
      <c r="B285" s="2">
        <f t="shared" si="12"/>
        <v>640.22310425328249</v>
      </c>
      <c r="C285" s="2" cm="1">
        <f t="array" ref="C285">INDEX( ComputeThermoProps($A285, $B285, ParametersRange), 1, COLUMN()-2 )</f>
        <v>26.670448100525526</v>
      </c>
      <c r="M285" s="2" cm="1">
        <f t="array" ref="M285">INDEX( ComputeThermoProps($A285, $B285, ParametersRange), 1, COLUMN()-2 )</f>
        <v>22991.400024865638</v>
      </c>
      <c r="O285" s="4">
        <f t="shared" si="13"/>
        <v>2.8063313428300654</v>
      </c>
      <c r="P285" s="5"/>
    </row>
    <row r="286" spans="1:16" x14ac:dyDescent="0.25">
      <c r="A286">
        <v>263.10000000000002</v>
      </c>
      <c r="B286" s="2">
        <f t="shared" si="12"/>
        <v>645.49569160028886</v>
      </c>
      <c r="C286" s="2" cm="1">
        <f t="array" ref="C286">INDEX( ComputeThermoProps($A286, $B286, ParametersRange), 1, COLUMN()-2 )</f>
        <v>26.651172963330271</v>
      </c>
      <c r="M286" s="2" cm="1">
        <f t="array" ref="M286">INDEX( ComputeThermoProps($A286, $B286, ParametersRange), 1, COLUMN()-2 )</f>
        <v>23144.396812346629</v>
      </c>
      <c r="O286" s="4">
        <f t="shared" si="13"/>
        <v>2.8098933478875439</v>
      </c>
      <c r="P286" s="5"/>
    </row>
    <row r="287" spans="1:16" x14ac:dyDescent="0.25">
      <c r="A287">
        <v>264.10000000000002</v>
      </c>
      <c r="B287" s="2">
        <f t="shared" si="12"/>
        <v>650.77956562271538</v>
      </c>
      <c r="C287" s="2" cm="1">
        <f t="array" ref="C287">INDEX( ComputeThermoProps($A287, $B287, ParametersRange), 1, COLUMN()-2 )</f>
        <v>26.63193632552278</v>
      </c>
      <c r="M287" s="2" cm="1">
        <f t="array" ref="M287">INDEX( ComputeThermoProps($A287, $B287, ParametersRange), 1, COLUMN()-2 )</f>
        <v>23297.561492626366</v>
      </c>
      <c r="O287" s="4">
        <f t="shared" si="13"/>
        <v>2.813433907699634</v>
      </c>
      <c r="P287" s="5"/>
    </row>
    <row r="288" spans="1:16" x14ac:dyDescent="0.25">
      <c r="A288">
        <v>265.10000000000002</v>
      </c>
      <c r="B288" s="2">
        <f t="shared" si="12"/>
        <v>656.0747139405953</v>
      </c>
      <c r="C288" s="2" cm="1">
        <f t="array" ref="C288">INDEX( ComputeThermoProps($A288, $B288, ParametersRange), 1, COLUMN()-2 )</f>
        <v>26.612738029470147</v>
      </c>
      <c r="M288" s="2" cm="1">
        <f t="array" ref="M288">INDEX( ComputeThermoProps($A288, $B288, ParametersRange), 1, COLUMN()-2 )</f>
        <v>23450.89356112136</v>
      </c>
      <c r="O288" s="4">
        <f t="shared" si="13"/>
        <v>2.8169532997483238</v>
      </c>
      <c r="P288" s="5"/>
    </row>
    <row r="289" spans="1:16" x14ac:dyDescent="0.25">
      <c r="A289">
        <v>266.10000000000002</v>
      </c>
      <c r="B289" s="2">
        <f t="shared" si="12"/>
        <v>661.38112426247858</v>
      </c>
      <c r="C289" s="2" cm="1">
        <f t="array" ref="C289">INDEX( ComputeThermoProps($A289, $B289, ParametersRange), 1, COLUMN()-2 )</f>
        <v>26.593577918516047</v>
      </c>
      <c r="M289" s="2" cm="1">
        <f t="array" ref="M289">INDEX( ComputeThermoProps($A289, $B289, ParametersRange), 1, COLUMN()-2 )</f>
        <v>23604.392516487635</v>
      </c>
      <c r="O289" s="4">
        <f t="shared" si="13"/>
        <v>2.8204517960424167</v>
      </c>
      <c r="P289" s="5"/>
    </row>
    <row r="290" spans="1:16" x14ac:dyDescent="0.25">
      <c r="A290">
        <v>267.10000000000002</v>
      </c>
      <c r="B290" s="2">
        <f t="shared" si="12"/>
        <v>666.69878438427395</v>
      </c>
      <c r="C290" s="2" cm="1">
        <f t="array" ref="C290">INDEX( ComputeThermoProps($A290, $B290, ParametersRange), 1, COLUMN()-2 )</f>
        <v>26.574455836975879</v>
      </c>
      <c r="M290" s="2" cm="1">
        <f t="array" ref="M290">INDEX( ComputeThermoProps($A290, $B290, ParametersRange), 1, COLUMN()-2 )</f>
        <v>23758.057860582423</v>
      </c>
      <c r="O290" s="4">
        <f t="shared" si="13"/>
        <v>2.8239296632616324</v>
      </c>
      <c r="P290" s="5"/>
    </row>
    <row r="291" spans="1:16" x14ac:dyDescent="0.25">
      <c r="A291">
        <v>268.10000000000002</v>
      </c>
      <c r="B291" s="2">
        <f t="shared" si="12"/>
        <v>672.02768218811059</v>
      </c>
      <c r="C291" s="2" cm="1">
        <f t="array" ref="C291">INDEX( ComputeThermoProps($A291, $B291, ParametersRange), 1, COLUMN()-2 )</f>
        <v>26.555371630131695</v>
      </c>
      <c r="M291" s="2" cm="1">
        <f t="array" ref="M291">INDEX( ComputeThermoProps($A291, $B291, ParametersRange), 1, COLUMN()-2 )</f>
        <v>23911.889098426382</v>
      </c>
      <c r="O291" s="4">
        <f t="shared" si="13"/>
        <v>2.8273871628959832</v>
      </c>
      <c r="P291" s="5"/>
    </row>
    <row r="292" spans="1:16" x14ac:dyDescent="0.25">
      <c r="A292">
        <v>269.10000000000002</v>
      </c>
      <c r="B292" s="2">
        <f t="shared" si="12"/>
        <v>677.36780564122375</v>
      </c>
      <c r="C292" s="2" cm="1">
        <f t="array" ref="C292">INDEX( ComputeThermoProps($A292, $B292, ParametersRange), 1, COLUMN()-2 )</f>
        <v>26.53632514422717</v>
      </c>
      <c r="M292" s="2" cm="1">
        <f t="array" ref="M292">INDEX( ComputeThermoProps($A292, $B292, ParametersRange), 1, COLUMN()-2 )</f>
        <v>24065.885738166693</v>
      </c>
      <c r="O292" s="4">
        <f t="shared" si="13"/>
        <v>2.8308245513806098</v>
      </c>
      <c r="P292" s="5"/>
    </row>
    <row r="293" spans="1:16" x14ac:dyDescent="0.25">
      <c r="A293">
        <v>270.10000000000002</v>
      </c>
      <c r="B293" s="2">
        <f t="shared" si="12"/>
        <v>682.7191427948585</v>
      </c>
      <c r="C293" s="2" cm="1">
        <f t="array" ref="C293">INDEX( ComputeThermoProps($A293, $B293, ParametersRange), 1, COLUMN()-2 )</f>
        <v>26.517316226462324</v>
      </c>
      <c r="M293" s="2" cm="1">
        <f t="array" ref="M293">INDEX( ComputeThermoProps($A293, $B293, ParametersRange), 1, COLUMN()-2 )</f>
        <v>24220.04729104057</v>
      </c>
      <c r="O293" s="4">
        <f t="shared" si="13"/>
        <v>2.8342420802262507</v>
      </c>
      <c r="P293" s="5"/>
    </row>
    <row r="294" spans="1:16" x14ac:dyDescent="0.25">
      <c r="A294">
        <v>271.10000000000002</v>
      </c>
      <c r="B294" s="2">
        <f t="shared" si="12"/>
        <v>688.0816817831967</v>
      </c>
      <c r="C294" s="2" cm="1">
        <f t="array" ref="C294">INDEX( ComputeThermoProps($A294, $B294, ParametersRange), 1, COLUMN()-2 )</f>
        <v>26.498344724988264</v>
      </c>
      <c r="M294" s="2" cm="1">
        <f t="array" ref="M294">INDEX( ComputeThermoProps($A294, $B294, ParametersRange), 1, COLUMN()-2 )</f>
        <v>24374.373271339631</v>
      </c>
      <c r="O294" s="4">
        <f t="shared" si="13"/>
        <v>2.8376399961455188</v>
      </c>
      <c r="P294" s="5"/>
    </row>
    <row r="295" spans="1:16" x14ac:dyDescent="0.25">
      <c r="A295">
        <v>272.10000000000002</v>
      </c>
      <c r="B295" s="2">
        <f t="shared" si="12"/>
        <v>693.45541082230113</v>
      </c>
      <c r="C295" s="2" cm="1">
        <f t="array" ref="C295">INDEX( ComputeThermoProps($A295, $B295, ParametersRange), 1, COLUMN()-2 )</f>
        <v>26.479410488901785</v>
      </c>
      <c r="M295" s="2" cm="1">
        <f t="array" ref="M295">INDEX( ComputeThermoProps($A295, $B295, ParametersRange), 1, COLUMN()-2 )</f>
        <v>24528.863196374714</v>
      </c>
      <c r="O295" s="4">
        <f t="shared" si="13"/>
        <v>2.841018541175139</v>
      </c>
      <c r="P295" s="5"/>
    </row>
    <row r="296" spans="1:16" x14ac:dyDescent="0.25">
      <c r="A296">
        <v>273.10000000000002</v>
      </c>
      <c r="B296" s="2">
        <f t="shared" si="12"/>
        <v>698.84031820908081</v>
      </c>
      <c r="C296" s="2" cm="1">
        <f t="array" ref="C296">INDEX( ComputeThermoProps($A296, $B296, ParametersRange), 1, COLUMN()-2 )</f>
        <v>26.460513368239916</v>
      </c>
      <c r="M296" s="2" cm="1">
        <f t="array" ref="M296">INDEX( ComputeThermoProps($A296, $B296, ParametersRange), 1, COLUMN()-2 )</f>
        <v>24683.516586441394</v>
      </c>
      <c r="O296" s="4">
        <f t="shared" si="13"/>
        <v>2.8443779527943116</v>
      </c>
      <c r="P296" s="5"/>
    </row>
    <row r="297" spans="1:16" x14ac:dyDescent="0.25">
      <c r="A297">
        <v>274.10000000000002</v>
      </c>
      <c r="B297" s="2">
        <f t="shared" si="12"/>
        <v>704.23639232027483</v>
      </c>
      <c r="C297" s="2" cm="1">
        <f t="array" ref="C297">INDEX( ComputeThermoProps($A297, $B297, ParametersRange), 1, COLUMN()-2 )</f>
        <v>26.441653213974394</v>
      </c>
      <c r="M297" s="2" cm="1">
        <f t="array" ref="M297">INDEX( ComputeThermoProps($A297, $B297, ParametersRange), 1, COLUMN()-2 )</f>
        <v>24838.332964786092</v>
      </c>
      <c r="O297" s="4">
        <f t="shared" si="13"/>
        <v>2.8477184640393354</v>
      </c>
      <c r="P297" s="5"/>
    </row>
    <row r="298" spans="1:16" x14ac:dyDescent="0.25">
      <c r="A298">
        <v>275.10000000000002</v>
      </c>
      <c r="B298" s="2">
        <f t="shared" si="12"/>
        <v>709.643621611453</v>
      </c>
      <c r="C298" s="2" cm="1">
        <f t="array" ref="C298">INDEX( ComputeThermoProps($A298, $B298, ParametersRange), 1, COLUMN()-2 )</f>
        <v>26.422829878006066</v>
      </c>
      <c r="M298" s="2" cm="1">
        <f t="array" ref="M298">INDEX( ComputeThermoProps($A298, $B298, ParametersRange), 1, COLUMN()-2 )</f>
        <v>24993.311857572666</v>
      </c>
      <c r="O298" s="4">
        <f t="shared" si="13"/>
        <v>2.8510403036146412</v>
      </c>
      <c r="P298" s="5"/>
    </row>
    <row r="299" spans="1:16" x14ac:dyDescent="0.25">
      <c r="A299">
        <v>276.10000000000002</v>
      </c>
      <c r="B299" s="2">
        <f t="shared" si="12"/>
        <v>715.06199461603705</v>
      </c>
      <c r="C299" s="2" cm="1">
        <f t="array" ref="C299">INDEX( ComputeThermoProps($A299, $B299, ParametersRange), 1, COLUMN()-2 )</f>
        <v>26.404043213159252</v>
      </c>
      <c r="M299" s="2" cm="1">
        <f t="array" ref="M299">INDEX( ComputeThermoProps($A299, $B299, ParametersRange), 1, COLUMN()-2 )</f>
        <v>25148.452793849709</v>
      </c>
      <c r="O299" s="4">
        <f t="shared" si="13"/>
        <v>2.8543436960003681</v>
      </c>
      <c r="P299" s="5"/>
    </row>
    <row r="300" spans="1:16" x14ac:dyDescent="0.25">
      <c r="A300">
        <v>277.10000000000002</v>
      </c>
      <c r="B300" s="2">
        <f t="shared" si="12"/>
        <v>720.4914999443389</v>
      </c>
      <c r="C300" s="2" cm="1">
        <f t="array" ref="C300">INDEX( ComputeThermoProps($A300, $B300, ParametersRange), 1, COLUMN()-2 )</f>
        <v>26.385293073176022</v>
      </c>
      <c r="M300" s="2" cm="1">
        <f t="array" ref="M300">INDEX( ComputeThermoProps($A300, $B300, ParametersRange), 1, COLUMN()-2 )</f>
        <v>25303.755305518313</v>
      </c>
      <c r="O300" s="4">
        <f t="shared" si="13"/>
        <v>2.8576288615566079</v>
      </c>
      <c r="P300" s="5"/>
    </row>
    <row r="301" spans="1:16" x14ac:dyDescent="0.25">
      <c r="A301">
        <v>278.10000000000002</v>
      </c>
      <c r="B301" s="2">
        <f t="shared" si="12"/>
        <v>725.93212628261267</v>
      </c>
      <c r="C301" s="2" cm="1">
        <f t="array" ref="C301">INDEX( ComputeThermoProps($A301, $B301, ParametersRange), 1, COLUMN()-2 )</f>
        <v>26.366579312710481</v>
      </c>
      <c r="M301" s="2" cm="1">
        <f t="array" ref="M301">INDEX( ComputeThermoProps($A301, $B301, ParametersRange), 1, COLUMN()-2 )</f>
        <v>25459.218927300339</v>
      </c>
      <c r="O301" s="4">
        <f t="shared" si="13"/>
        <v>2.8608960166244413</v>
      </c>
      <c r="P301" s="5"/>
    </row>
    <row r="302" spans="1:16" x14ac:dyDescent="0.25">
      <c r="A302">
        <v>279.10000000000002</v>
      </c>
      <c r="B302" s="2">
        <f t="shared" si="12"/>
        <v>731.38386239212946</v>
      </c>
      <c r="C302" s="2" cm="1">
        <f t="array" ref="C302">INDEX( ComputeThermoProps($A302, $B302, ParametersRange), 1, COLUMN()-2 )</f>
        <v>26.347901787322943</v>
      </c>
      <c r="M302" s="2" cm="1">
        <f t="array" ref="M302">INDEX( ComputeThermoProps($A302, $B302, ParametersRange), 1, COLUMN()-2 )</f>
        <v>25614.843196707319</v>
      </c>
      <c r="O302" s="4">
        <f t="shared" si="13"/>
        <v>2.8641453736238907</v>
      </c>
      <c r="P302" s="5"/>
    </row>
    <row r="303" spans="1:16" x14ac:dyDescent="0.25">
      <c r="A303">
        <v>280.10000000000002</v>
      </c>
      <c r="B303" s="2">
        <f t="shared" si="12"/>
        <v>736.84669710826302</v>
      </c>
      <c r="C303" s="2" cm="1">
        <f t="array" ref="C303">INDEX( ComputeThermoProps($A303, $B303, ParametersRange), 1, COLUMN()-2 )</f>
        <v>26.32926035347414</v>
      </c>
      <c r="M303" s="2" cm="1">
        <f t="array" ref="M303">INDEX( ComputeThermoProps($A303, $B303, ParametersRange), 1, COLUMN()-2 )</f>
        <v>25770.627654009801</v>
      </c>
      <c r="O303" s="4">
        <f t="shared" si="13"/>
        <v>2.8673771411488924</v>
      </c>
      <c r="P303" s="5"/>
    </row>
    <row r="304" spans="1:16" x14ac:dyDescent="0.25">
      <c r="A304">
        <v>281.10000000000002</v>
      </c>
      <c r="B304" s="2">
        <f t="shared" si="12"/>
        <v>742.32061933959415</v>
      </c>
      <c r="C304" s="2" cm="1">
        <f t="array" ref="C304">INDEX( ComputeThermoProps($A304, $B304, ParametersRange), 1, COLUMN()-2 )</f>
        <v>26.310654868519361</v>
      </c>
      <c r="M304" s="2" cm="1">
        <f t="array" ref="M304">INDEX( ComputeThermoProps($A304, $B304, ParametersRange), 1, COLUMN()-2 )</f>
        <v>25926.571842207231</v>
      </c>
      <c r="O304" s="4">
        <f t="shared" si="13"/>
        <v>2.8705915240594018</v>
      </c>
      <c r="P304" s="5"/>
    </row>
    <row r="305" spans="1:16" x14ac:dyDescent="0.25">
      <c r="A305">
        <v>282.10000000000002</v>
      </c>
      <c r="B305" s="2">
        <f t="shared" si="12"/>
        <v>747.80561806703156</v>
      </c>
      <c r="C305" s="2" cm="1">
        <f t="array" ref="C305">INDEX( ComputeThermoProps($A305, $B305, ParametersRange), 1, COLUMN()-2 )</f>
        <v>26.292085190702522</v>
      </c>
      <c r="M305" s="2" cm="1">
        <f t="array" ref="M305">INDEX( ComputeThermoProps($A305, $B305, ParametersRange), 1, COLUMN()-2 )</f>
        <v>26082.675306998291</v>
      </c>
      <c r="O305" s="4">
        <f t="shared" si="13"/>
        <v>2.8737887235707356</v>
      </c>
      <c r="P305" s="5"/>
    </row>
    <row r="306" spans="1:16" x14ac:dyDescent="0.25">
      <c r="A306">
        <v>283.10000000000002</v>
      </c>
      <c r="B306" s="2">
        <f t="shared" si="12"/>
        <v>753.30168234294501</v>
      </c>
      <c r="C306" s="2" cm="1">
        <f t="array" ref="C306">INDEX( ComputeThermoProps($A306, $B306, ParametersRange), 1, COLUMN()-2 )</f>
        <v>26.273551179150331</v>
      </c>
      <c r="M306" s="2" cm="1">
        <f t="array" ref="M306">INDEX( ComputeThermoProps($A306, $B306, ParametersRange), 1, COLUMN()-2 )</f>
        <v>26238.937596751781</v>
      </c>
      <c r="O306" s="4">
        <f t="shared" si="13"/>
        <v>2.8769689373402469</v>
      </c>
      <c r="P306" s="5"/>
    </row>
    <row r="307" spans="1:16" x14ac:dyDescent="0.25">
      <c r="A307">
        <v>284.10000000000002</v>
      </c>
      <c r="B307" s="2">
        <f t="shared" si="12"/>
        <v>758.80880129031652</v>
      </c>
      <c r="C307" s="2" cm="1">
        <f t="array" ref="C307">INDEX( ComputeThermoProps($A307, $B307, ParametersRange), 1, COLUMN()-2 )</f>
        <v>26.25505269386629</v>
      </c>
      <c r="M307" s="2" cm="1">
        <f t="array" ref="M307">INDEX( ComputeThermoProps($A307, $B307, ParametersRange), 1, COLUMN()-2 )</f>
        <v>26395.358262477916</v>
      </c>
      <c r="O307" s="4">
        <f t="shared" si="13"/>
        <v>2.8801323595514305</v>
      </c>
      <c r="P307" s="5"/>
    </row>
    <row r="308" spans="1:16" x14ac:dyDescent="0.25">
      <c r="A308">
        <v>285.10000000000002</v>
      </c>
      <c r="B308" s="2">
        <f t="shared" si="12"/>
        <v>764.3269641019034</v>
      </c>
      <c r="C308" s="2" cm="1">
        <f t="array" ref="C308">INDEX( ComputeThermoProps($A308, $B308, ParametersRange), 1, COLUMN()-2 )</f>
        <v>26.236589595724801</v>
      </c>
      <c r="M308" s="2" cm="1">
        <f t="array" ref="M308">INDEX( ComputeThermoProps($A308, $B308, ParametersRange), 1, COLUMN()-2 )</f>
        <v>26551.936857800109</v>
      </c>
      <c r="O308" s="4">
        <f t="shared" si="13"/>
        <v>2.88327918099555</v>
      </c>
      <c r="P308" s="5"/>
    </row>
    <row r="309" spans="1:16" x14ac:dyDescent="0.25">
      <c r="A309">
        <v>286.10000000000002</v>
      </c>
      <c r="B309" s="2">
        <f t="shared" si="12"/>
        <v>769.85616003941811</v>
      </c>
      <c r="C309" s="2" cm="1">
        <f t="array" ref="C309">INDEX( ComputeThermoProps($A309, $B309, ParametersRange), 1, COLUMN()-2 )</f>
        <v>26.218161746465185</v>
      </c>
      <c r="M309" s="2" cm="1">
        <f t="array" ref="M309">INDEX( ComputeThermoProps($A309, $B309, ParametersRange), 1, COLUMN()-2 )</f>
        <v>26708.672938927226</v>
      </c>
      <c r="O309" s="4">
        <f t="shared" si="13"/>
        <v>2.8864095891508708</v>
      </c>
      <c r="P309" s="5"/>
    </row>
    <row r="310" spans="1:16" x14ac:dyDescent="0.25">
      <c r="A310">
        <v>287.10000000000002</v>
      </c>
      <c r="B310" s="2">
        <f t="shared" si="12"/>
        <v>775.3963784327218</v>
      </c>
      <c r="C310" s="2" cm="1">
        <f t="array" ref="C310">INDEX( ComputeThermoProps($A310, $B310, ParametersRange), 1, COLUMN()-2 )</f>
        <v>26.19976900868571</v>
      </c>
      <c r="M310" s="2" cm="1">
        <f t="array" ref="M310">INDEX( ComputeThermoProps($A310, $B310, ParametersRange), 1, COLUMN()-2 )</f>
        <v>26865.566064626288</v>
      </c>
      <c r="O310" s="4">
        <f t="shared" si="13"/>
        <v>2.8895237682595871</v>
      </c>
      <c r="P310" s="5"/>
    </row>
    <row r="311" spans="1:16" x14ac:dyDescent="0.25">
      <c r="A311">
        <v>288.10000000000002</v>
      </c>
      <c r="B311" s="2">
        <f t="shared" si="12"/>
        <v>780.94760867902744</v>
      </c>
      <c r="C311" s="2" cm="1">
        <f t="array" ref="C311">INDEX( ComputeThermoProps($A311, $B311, ParametersRange), 1, COLUMN()-2 )</f>
        <v>26.181411245837637</v>
      </c>
      <c r="M311" s="2" cm="1">
        <f t="array" ref="M311">INDEX( ComputeThermoProps($A311, $B311, ParametersRange), 1, COLUMN()-2 )</f>
        <v>27022.615796195492</v>
      </c>
      <c r="O311" s="4">
        <f t="shared" si="13"/>
        <v>2.8926218994025201</v>
      </c>
      <c r="P311" s="5"/>
    </row>
    <row r="312" spans="1:16" x14ac:dyDescent="0.25">
      <c r="A312">
        <v>289.10000000000002</v>
      </c>
      <c r="B312" s="2">
        <f t="shared" si="12"/>
        <v>786.5098402421238</v>
      </c>
      <c r="C312" s="2" cm="1">
        <f t="array" ref="C312">INDEX( ComputeThermoProps($A312, $B312, ParametersRange), 1, COLUMN()-2 )</f>
        <v>26.163088322219227</v>
      </c>
      <c r="M312" s="2" cm="1">
        <f t="array" ref="M312">INDEX( ComputeThermoProps($A312, $B312, ParametersRange), 1, COLUMN()-2 )</f>
        <v>27179.821697437888</v>
      </c>
      <c r="O312" s="4">
        <f t="shared" si="13"/>
        <v>2.8957041605716656</v>
      </c>
      <c r="P312" s="5"/>
    </row>
    <row r="313" spans="1:16" x14ac:dyDescent="0.25">
      <c r="A313">
        <v>290.10000000000002</v>
      </c>
      <c r="B313" s="2">
        <f t="shared" si="12"/>
        <v>792.08306265160445</v>
      </c>
      <c r="C313" s="2" cm="1">
        <f t="array" ref="C313">INDEX( ComputeThermoProps($A313, $B313, ParametersRange), 1, COLUMN()-2 )</f>
        <v>26.144800102969782</v>
      </c>
      <c r="M313" s="2" cm="1">
        <f t="array" ref="M313">INDEX( ComputeThermoProps($A313, $B313, ParametersRange), 1, COLUMN()-2 )</f>
        <v>27337.183334635225</v>
      </c>
      <c r="O313" s="4">
        <f t="shared" si="13"/>
        <v>2.8987707267406635</v>
      </c>
      <c r="P313" s="5"/>
    </row>
    <row r="314" spans="1:16" x14ac:dyDescent="0.25">
      <c r="A314">
        <v>291.10000000000002</v>
      </c>
      <c r="B314" s="2">
        <f t="shared" si="12"/>
        <v>797.6672655021157</v>
      </c>
      <c r="C314" s="2" cm="1">
        <f t="array" ref="C314">INDEX( ComputeThermoProps($A314, $B314, ParametersRange), 1, COLUMN()-2 )</f>
        <v>26.126546454063654</v>
      </c>
      <c r="M314" s="2" cm="1">
        <f t="array" ref="M314">INDEX( ComputeThermoProps($A314, $B314, ParametersRange), 1, COLUMN()-2 )</f>
        <v>27494.700276522362</v>
      </c>
      <c r="O314" s="4">
        <f t="shared" si="13"/>
        <v>2.9018217699332651</v>
      </c>
      <c r="P314" s="5"/>
    </row>
    <row r="315" spans="1:16" x14ac:dyDescent="0.25">
      <c r="A315">
        <v>292.10000000000002</v>
      </c>
      <c r="B315" s="2">
        <f t="shared" si="12"/>
        <v>803.26243845261456</v>
      </c>
      <c r="C315" s="2" cm="1">
        <f t="array" ref="C315">INDEX( ComputeThermoProps($A315, $B315, ParametersRange), 1, COLUMN()-2 )</f>
        <v>26.108327242304288</v>
      </c>
      <c r="M315" s="2" cm="1">
        <f t="array" ref="M315">INDEX( ComputeThermoProps($A315, $B315, ParametersRange), 1, COLUMN()-2 )</f>
        <v>27652.372094262057</v>
      </c>
      <c r="O315" s="4">
        <f t="shared" si="13"/>
        <v>2.9048574592898606</v>
      </c>
      <c r="P315" s="5"/>
    </row>
    <row r="316" spans="1:16" x14ac:dyDescent="0.25">
      <c r="A316">
        <v>293.10000000000002</v>
      </c>
      <c r="B316" s="2">
        <f t="shared" si="12"/>
        <v>808.86857122563686</v>
      </c>
      <c r="C316" s="2" cm="1">
        <f t="array" ref="C316">INDEX( ComputeThermoProps($A316, $B316, ParametersRange), 1, COLUMN()-2 )</f>
        <v>26.090142335318237</v>
      </c>
      <c r="M316" s="2" cm="1">
        <f t="array" ref="M316">INDEX( ComputeThermoProps($A316, $B316, ParametersRange), 1, COLUMN()-2 )</f>
        <v>27810.198361420022</v>
      </c>
      <c r="O316" s="4">
        <f t="shared" si="13"/>
        <v>2.9078779611321321</v>
      </c>
      <c r="P316" s="5"/>
    </row>
    <row r="317" spans="1:16" x14ac:dyDescent="0.25">
      <c r="A317">
        <v>294.10000000000002</v>
      </c>
      <c r="B317" s="2">
        <f t="shared" si="12"/>
        <v>814.48565360658324</v>
      </c>
      <c r="C317" s="2" cm="1">
        <f t="array" ref="C317">INDEX( ComputeThermoProps($A317, $B317, ParametersRange), 1, COLUMN()-2 )</f>
        <v>26.071991601549236</v>
      </c>
      <c r="M317" s="2" cm="1">
        <f t="array" ref="M317">INDEX( ComputeThermoProps($A317, $B317, ParametersRange), 1, COLUMN()-2 )</f>
        <v>27968.178653940598</v>
      </c>
      <c r="O317" s="4">
        <f t="shared" si="13"/>
        <v>2.9108834390259051</v>
      </c>
      <c r="P317" s="5"/>
    </row>
    <row r="318" spans="1:16" x14ac:dyDescent="0.25">
      <c r="A318">
        <v>295.10000000000002</v>
      </c>
      <c r="B318" s="2">
        <f t="shared" si="12"/>
        <v>820.11367544300981</v>
      </c>
      <c r="C318" s="2" cm="1">
        <f t="array" ref="C318">INDEX( ComputeThermoProps($A318, $B318, ParametersRange), 1, COLUMN()-2 )</f>
        <v>26.053874910252244</v>
      </c>
      <c r="M318" s="2" cm="1">
        <f t="array" ref="M318">INDEX( ComputeThermoProps($A318, $B318, ParametersRange), 1, COLUMN()-2 )</f>
        <v>28126.312550122559</v>
      </c>
      <c r="O318" s="4">
        <f t="shared" si="13"/>
        <v>2.9138740538422438</v>
      </c>
      <c r="P318" s="5"/>
    </row>
    <row r="319" spans="1:16" x14ac:dyDescent="0.25">
      <c r="A319">
        <v>296.10000000000002</v>
      </c>
      <c r="B319" s="2">
        <f t="shared" si="12"/>
        <v>825.75262664393449</v>
      </c>
      <c r="C319" s="2" cm="1">
        <f t="array" ref="C319">INDEX( ComputeThermoProps($A319, $B319, ParametersRange), 1, COLUMN()-2 )</f>
        <v>26.035792131487518</v>
      </c>
      <c r="M319" s="2" cm="1">
        <f t="array" ref="M319">INDEX( ComputeThermoProps($A319, $B319, ParametersRange), 1, COLUMN()-2 )</f>
        <v>28284.599630595418</v>
      </c>
      <c r="O319" s="4">
        <f t="shared" si="13"/>
        <v>2.9168499638168606</v>
      </c>
      <c r="P319" s="5"/>
    </row>
    <row r="320" spans="1:16" x14ac:dyDescent="0.25">
      <c r="A320">
        <v>297.10000000000002</v>
      </c>
      <c r="B320" s="2">
        <f t="shared" si="12"/>
        <v>831.40249717915583</v>
      </c>
      <c r="C320" s="2" cm="1">
        <f t="array" ref="C320">INDEX( ComputeThermoProps($A320, $B320, ParametersRange), 1, COLUMN()-2 )</f>
        <v>26.017743136114699</v>
      </c>
      <c r="M320" s="2" cm="1">
        <f t="array" ref="M320">INDEX( ComputeThermoProps($A320, $B320, ParametersRange), 1, COLUMN()-2 )</f>
        <v>28443.039478296112</v>
      </c>
      <c r="O320" s="4">
        <f t="shared" si="13"/>
        <v>2.9198113246078901</v>
      </c>
      <c r="P320" s="5"/>
    </row>
    <row r="321" spans="1:16" x14ac:dyDescent="0.25">
      <c r="A321">
        <v>298.10000000000002</v>
      </c>
      <c r="B321" s="2">
        <f t="shared" si="12"/>
        <v>837.06327707857736</v>
      </c>
      <c r="C321" s="2" cm="1">
        <f t="array" ref="C321">INDEX( ComputeThermoProps($A321, $B321, ParametersRange), 1, COLUMN()-2 )</f>
        <v>25.99972779578691</v>
      </c>
      <c r="M321" s="2" cm="1">
        <f t="array" ref="M321">INDEX( ComputeThermoProps($A321, $B321, ParametersRange), 1, COLUMN()-2 )</f>
        <v>28601.631678445923</v>
      </c>
      <c r="O321" s="4">
        <f t="shared" si="13"/>
        <v>2.9227582893520818</v>
      </c>
      <c r="P321" s="5"/>
    </row>
    <row r="322" spans="1:16" x14ac:dyDescent="0.25">
      <c r="A322">
        <v>299.10000000000002</v>
      </c>
      <c r="B322" s="2">
        <f t="shared" si="12"/>
        <v>842.73495643154922</v>
      </c>
      <c r="C322" s="2" cm="1">
        <f t="array" ref="C322">INDEX( ComputeThermoProps($A322, $B322, ParametersRange), 1, COLUMN()-2 )</f>
        <v>25.981745982944894</v>
      </c>
      <c r="M322" s="2" cm="1">
        <f t="array" ref="M322">INDEX( ComputeThermoProps($A322, $B322, ParametersRange), 1, COLUMN()-2 )</f>
        <v>28760.375818527893</v>
      </c>
      <c r="O322" s="4">
        <f t="shared" si="13"/>
        <v>2.9256910087194661</v>
      </c>
      <c r="P322" s="5"/>
    </row>
    <row r="323" spans="1:16" x14ac:dyDescent="0.25">
      <c r="A323">
        <v>300.10000000000002</v>
      </c>
      <c r="B323" s="2">
        <f t="shared" si="12"/>
        <v>848.41752538621438</v>
      </c>
      <c r="C323" s="2" cm="1">
        <f t="array" ref="C323">INDEX( ComputeThermoProps($A323, $B323, ParametersRange), 1, COLUMN()-2 )</f>
        <v>25.963797570811114</v>
      </c>
      <c r="M323" s="2" cm="1">
        <f t="array" ref="M323">INDEX( ComputeThermoProps($A323, $B323, ParametersRange), 1, COLUMN()-2 )</f>
        <v>28919.271488264389</v>
      </c>
      <c r="O323" s="4">
        <f t="shared" si="13"/>
        <v>2.9286096309665366</v>
      </c>
      <c r="P323" s="5"/>
    </row>
    <row r="324" spans="1:16" x14ac:dyDescent="0.25">
      <c r="A324">
        <v>301.10000000000002</v>
      </c>
      <c r="B324" s="2">
        <f t="shared" si="12"/>
        <v>854.11097414886979</v>
      </c>
      <c r="C324" s="2" cm="1">
        <f t="array" ref="C324">INDEX( ComputeThermoProps($A324, $B324, ParametersRange), 1, COLUMN()-2 )</f>
        <v>25.945882433383971</v>
      </c>
      <c r="M324" s="2" cm="1">
        <f t="array" ref="M324">INDEX( ComputeThermoProps($A324, $B324, ParametersRange), 1, COLUMN()-2 )</f>
        <v>29078.318279595223</v>
      </c>
      <c r="O324" s="4">
        <f t="shared" si="13"/>
        <v>2.9315143019880074</v>
      </c>
      <c r="P324" s="5"/>
    </row>
    <row r="325" spans="1:16" x14ac:dyDescent="0.25">
      <c r="A325">
        <v>302.10000000000002</v>
      </c>
      <c r="B325" s="2">
        <f t="shared" si="12"/>
        <v>859.81529298333555</v>
      </c>
      <c r="C325" s="2" cm="1">
        <f t="array" ref="C325">INDEX( ComputeThermoProps($A325, $B325, ParametersRange), 1, COLUMN()-2 )</f>
        <v>25.928000445431959</v>
      </c>
      <c r="M325" s="2" cm="1">
        <f t="array" ref="M325">INDEX( ComputeThermoProps($A325, $B325, ParametersRange), 1, COLUMN()-2 )</f>
        <v>29237.515786655946</v>
      </c>
      <c r="O325" s="4">
        <f t="shared" si="13"/>
        <v>2.9344051653671812</v>
      </c>
      <c r="P325" s="5"/>
    </row>
    <row r="326" spans="1:16" x14ac:dyDescent="0.25">
      <c r="A326">
        <v>303.10000000000002</v>
      </c>
      <c r="B326" s="2">
        <f t="shared" si="12"/>
        <v>865.53047221033376</v>
      </c>
      <c r="C326" s="2" cm="1">
        <f t="array" ref="C326">INDEX( ComputeThermoProps($A326, $B326, ParametersRange), 1, COLUMN()-2 )</f>
        <v>25.910151482487851</v>
      </c>
      <c r="M326" s="2" cm="1">
        <f t="array" ref="M326">INDEX( ComputeThermoProps($A326, $B326, ParametersRange), 1, COLUMN()-2 )</f>
        <v>29396.863605756462</v>
      </c>
      <c r="O326" s="4">
        <f t="shared" si="13"/>
        <v>2.9372823624249742</v>
      </c>
      <c r="P326" s="5"/>
    </row>
    <row r="327" spans="1:16" x14ac:dyDescent="0.25">
      <c r="A327">
        <v>304.10000000000002</v>
      </c>
      <c r="B327" s="2">
        <f t="shared" si="12"/>
        <v>871.25650220687771</v>
      </c>
      <c r="C327" s="2" cm="1">
        <f t="array" ref="C327">INDEX( ComputeThermoProps($A327, $B327, ParametersRange), 1, COLUMN()-2 )</f>
        <v>25.892335420842997</v>
      </c>
      <c r="M327" s="2" cm="1">
        <f t="array" ref="M327">INDEX( ComputeThermoProps($A327, $B327, ParametersRange), 1, COLUMN()-2 )</f>
        <v>29556.361335360056</v>
      </c>
      <c r="O327" s="4">
        <f t="shared" si="13"/>
        <v>2.9401460322676498</v>
      </c>
      <c r="P327" s="5"/>
    </row>
    <row r="328" spans="1:16" x14ac:dyDescent="0.25">
      <c r="A328">
        <v>305.10000000000002</v>
      </c>
      <c r="B328" s="2">
        <f t="shared" si="12"/>
        <v>876.99337340567035</v>
      </c>
      <c r="C328" s="2" cm="1">
        <f t="array" ref="C328">INDEX( ComputeThermoProps($A328, $B328, ParametersRange), 1, COLUMN()-2 )</f>
        <v>25.874552137541524</v>
      </c>
      <c r="M328" s="2" cm="1">
        <f t="array" ref="M328">INDEX( ComputeThermoProps($A328, $B328, ParametersRange), 1, COLUMN()-2 )</f>
        <v>29716.008576062613</v>
      </c>
      <c r="O328" s="4">
        <f t="shared" si="13"/>
        <v>2.942996311833288</v>
      </c>
      <c r="P328" s="5"/>
    </row>
    <row r="329" spans="1:16" x14ac:dyDescent="0.25">
      <c r="A329">
        <v>306.10000000000002</v>
      </c>
      <c r="B329" s="2">
        <f t="shared" si="12"/>
        <v>882.74107629451191</v>
      </c>
      <c r="C329" s="2" cm="1">
        <f t="array" ref="C329">INDEX( ComputeThermoProps($A329, $B329, ParametersRange), 1, COLUMN()-2 )</f>
        <v>25.856801510374652</v>
      </c>
      <c r="M329" s="2" cm="1">
        <f t="array" ref="M329">INDEX( ComputeThermoProps($A329, $B329, ParametersRange), 1, COLUMN()-2 )</f>
        <v>29875.804930572198</v>
      </c>
      <c r="O329" s="4">
        <f t="shared" si="13"/>
        <v>2.945833335937043</v>
      </c>
      <c r="P329" s="5"/>
    </row>
    <row r="330" spans="1:16" x14ac:dyDescent="0.25">
      <c r="A330">
        <v>307.10000000000002</v>
      </c>
      <c r="B330" s="2">
        <f t="shared" si="12"/>
        <v>888.49960141571819</v>
      </c>
      <c r="C330" s="2" cm="1">
        <f t="array" ref="C330">INDEX( ComputeThermoProps($A330, $B330, ParametersRange), 1, COLUMN()-2 )</f>
        <v>25.839083417875024</v>
      </c>
      <c r="M330" s="2" cm="1">
        <f t="array" ref="M330">INDEX( ComputeThermoProps($A330, $B330, ParametersRange), 1, COLUMN()-2 )</f>
        <v>30035.750003688994</v>
      </c>
      <c r="O330" s="4">
        <f t="shared" si="13"/>
        <v>2.9486572373152167</v>
      </c>
      <c r="P330" s="5"/>
    </row>
    <row r="331" spans="1:16" x14ac:dyDescent="0.25">
      <c r="A331">
        <v>308.10000000000002</v>
      </c>
      <c r="B331" s="2">
        <f t="shared" si="12"/>
        <v>894.26893936554359</v>
      </c>
      <c r="C331" s="2" cm="1">
        <f t="array" ref="C331">INDEX( ComputeThermoProps($A331, $B331, ParametersRange), 1, COLUMN()-2 )</f>
        <v>25.821397739311024</v>
      </c>
      <c r="M331" s="2" cm="1">
        <f t="array" ref="M331">INDEX( ComputeThermoProps($A331, $B331, ParametersRange), 1, COLUMN()-2 )</f>
        <v>30195.843402285325</v>
      </c>
      <c r="O331" s="4">
        <f t="shared" si="13"/>
        <v>2.9514681466681929</v>
      </c>
      <c r="P331" s="5"/>
    </row>
    <row r="332" spans="1:16" x14ac:dyDescent="0.25">
      <c r="A332">
        <v>309.10000000000002</v>
      </c>
      <c r="B332" s="2">
        <f t="shared" si="12"/>
        <v>900.04908079361974</v>
      </c>
      <c r="C332" s="2" cm="1">
        <f t="array" ref="C332">INDEX( ComputeThermoProps($A332, $B332, ParametersRange), 1, COLUMN()-2 )</f>
        <v>25.803744354681168</v>
      </c>
      <c r="M332" s="2" cm="1">
        <f t="array" ref="M332">INDEX( ComputeThermoProps($A332, $B332, ParametersRange), 1, COLUMN()-2 )</f>
        <v>30356.08473528624</v>
      </c>
      <c r="O332" s="4">
        <f t="shared" si="13"/>
        <v>2.954266192702264</v>
      </c>
      <c r="P332" s="5"/>
    </row>
    <row r="333" spans="1:16" x14ac:dyDescent="0.25">
      <c r="A333">
        <v>310.10000000000002</v>
      </c>
      <c r="B333" s="2">
        <f t="shared" si="12"/>
        <v>905.84001640239421</v>
      </c>
      <c r="C333" s="2" cm="1">
        <f t="array" ref="C333">INDEX( ComputeThermoProps($A333, $B333, ParametersRange), 1, COLUMN()-2 )</f>
        <v>25.786123144708526</v>
      </c>
      <c r="M333" s="2" cm="1">
        <f t="array" ref="M333">INDEX( ComputeThermoProps($A333, $B333, ParametersRange), 1, COLUMN()-2 )</f>
        <v>30516.473613650112</v>
      </c>
      <c r="O333" s="4">
        <f t="shared" si="13"/>
        <v>2.9570515021703812</v>
      </c>
      <c r="P333" s="5"/>
    </row>
    <row r="334" spans="1:16" x14ac:dyDescent="0.25">
      <c r="A334">
        <v>311.10000000000002</v>
      </c>
      <c r="B334" s="2">
        <f t="shared" si="12"/>
        <v>911.64173694658541</v>
      </c>
      <c r="C334" s="2" cm="1">
        <f t="array" ref="C334">INDEX( ComputeThermoProps($A334, $B334, ParametersRange), 1, COLUMN()-2 )</f>
        <v>25.768533990835131</v>
      </c>
      <c r="M334" s="2" cm="1">
        <f t="array" ref="M334">INDEX( ComputeThermoProps($A334, $B334, ParametersRange), 1, COLUMN()-2 )</f>
        <v>30677.009650349693</v>
      </c>
      <c r="O334" s="4">
        <f t="shared" si="13"/>
        <v>2.9598241999118708</v>
      </c>
      <c r="P334" s="5"/>
    </row>
    <row r="335" spans="1:16" x14ac:dyDescent="0.25">
      <c r="A335">
        <v>312.10000000000002</v>
      </c>
      <c r="B335" s="2">
        <f t="shared" si="12"/>
        <v>917.45423323264208</v>
      </c>
      <c r="C335" s="2" cm="1">
        <f t="array" ref="C335">INDEX( ComputeThermoProps($A335, $B335, ParametersRange), 1, COLUMN()-2 )</f>
        <v>25.750976775216479</v>
      </c>
      <c r="M335" s="2" cm="1">
        <f t="array" ref="M335">INDEX( ComputeThermoProps($A335, $B335, ParametersRange), 1, COLUMN()-2 )</f>
        <v>30837.692460353388</v>
      </c>
      <c r="O335" s="4">
        <f t="shared" si="13"/>
        <v>2.9625844088911366</v>
      </c>
      <c r="P335" s="5"/>
    </row>
    <row r="336" spans="1:16" x14ac:dyDescent="0.25">
      <c r="A336">
        <v>313.10000000000002</v>
      </c>
      <c r="B336" s="2">
        <f t="shared" si="12"/>
        <v>923.277496118209</v>
      </c>
      <c r="C336" s="2" cm="1">
        <f t="array" ref="C336">INDEX( ComputeThermoProps($A336, $B336, ParametersRange), 1, COLUMN()-2 )</f>
        <v>25.733451380716023</v>
      </c>
      <c r="M336" s="2" cm="1">
        <f t="array" ref="M336">INDEX( ComputeThermoProps($A336, $B336, ParametersRange), 1, COLUMN()-2 )</f>
        <v>30998.521660606708</v>
      </c>
      <c r="O336" s="4">
        <f t="shared" si="13"/>
        <v>2.9653322502353876</v>
      </c>
      <c r="P336" s="5"/>
    </row>
    <row r="337" spans="1:16" x14ac:dyDescent="0.25">
      <c r="A337">
        <v>314.10000000000002</v>
      </c>
      <c r="B337" s="2">
        <f t="shared" si="12"/>
        <v>929.11151651160628</v>
      </c>
      <c r="C337" s="2" cm="1">
        <f t="array" ref="C337">INDEX( ComputeThermoProps($A337, $B337, ParametersRange), 1, COLUMN()-2 )</f>
        <v>25.71595769089971</v>
      </c>
      <c r="M337" s="2" cm="1">
        <f t="array" ref="M337">INDEX( ComputeThermoProps($A337, $B337, ParametersRange), 1, COLUMN()-2 )</f>
        <v>31159.496870014125</v>
      </c>
      <c r="O337" s="4">
        <f t="shared" si="13"/>
        <v>2.9680678432714158</v>
      </c>
      <c r="P337" s="5"/>
    </row>
    <row r="338" spans="1:16" x14ac:dyDescent="0.25">
      <c r="A338">
        <v>315.10000000000002</v>
      </c>
      <c r="B338" s="2">
        <f t="shared" si="12"/>
        <v>934.95628537130949</v>
      </c>
      <c r="C338" s="2" cm="1">
        <f t="array" ref="C338">INDEX( ComputeThermoProps($A338, $B338, ParametersRange), 1, COLUMN()-2 )</f>
        <v>25.698495590030571</v>
      </c>
      <c r="M338" s="2" cm="1">
        <f t="array" ref="M338">INDEX( ComputeThermoProps($A338, $B338, ParametersRange), 1, COLUMN()-2 )</f>
        <v>31320.617709421051</v>
      </c>
      <c r="O338" s="4">
        <f t="shared" si="13"/>
        <v>2.9707913055614572</v>
      </c>
      <c r="P338" s="5"/>
    </row>
    <row r="339" spans="1:16" x14ac:dyDescent="0.25">
      <c r="A339">
        <v>316.10000000000002</v>
      </c>
      <c r="B339" s="2">
        <f t="shared" si="12"/>
        <v>940.81179370544419</v>
      </c>
      <c r="C339" s="2" cm="1">
        <f t="array" ref="C339">INDEX( ComputeThermoProps($A339, $B339, ParametersRange), 1, COLUMN()-2 )</f>
        <v>25.681064963063303</v>
      </c>
      <c r="M339" s="2" cm="1">
        <f t="array" ref="M339">INDEX( ComputeThermoProps($A339, $B339, ParametersRange), 1, COLUMN()-2 )</f>
        <v>31481.883801596166</v>
      </c>
      <c r="O339" s="4">
        <f t="shared" si="13"/>
        <v>2.9735027529381561</v>
      </c>
      <c r="P339" s="5"/>
    </row>
    <row r="340" spans="1:16" x14ac:dyDescent="0.25">
      <c r="A340">
        <v>317.10000000000002</v>
      </c>
      <c r="B340" s="2">
        <f t="shared" si="12"/>
        <v>946.67803257128219</v>
      </c>
      <c r="C340" s="2" cm="1">
        <f t="array" ref="C340">INDEX( ComputeThermoProps($A340, $B340, ParametersRange), 1, COLUMN()-2 )</f>
        <v>25.66366569563893</v>
      </c>
      <c r="M340" s="2" cm="1">
        <f t="array" ref="M340">INDEX( ComputeThermoProps($A340, $B340, ParametersRange), 1, COLUMN()-2 )</f>
        <v>31643.294771213892</v>
      </c>
      <c r="O340" s="4">
        <f t="shared" si="13"/>
        <v>2.9762022995386683</v>
      </c>
      <c r="P340" s="5"/>
    </row>
    <row r="341" spans="1:16" x14ac:dyDescent="0.25">
      <c r="A341">
        <v>318.10000000000002</v>
      </c>
      <c r="B341" s="2">
        <f t="shared" si="12"/>
        <v>952.55499307474861</v>
      </c>
      <c r="C341" s="2" cm="1">
        <f t="array" ref="C341">INDEX( ComputeThermoProps($A341, $B341, ParametersRange), 1, COLUMN()-2 )</f>
        <v>25.646297674079484</v>
      </c>
      <c r="M341" s="2" cm="1">
        <f t="array" ref="M341">INDEX( ComputeThermoProps($A341, $B341, ParametersRange), 1, COLUMN()-2 )</f>
        <v>31804.850244837202</v>
      </c>
      <c r="O341" s="4">
        <f t="shared" si="13"/>
        <v>2.9788900578379232</v>
      </c>
      <c r="P341" s="5"/>
    </row>
    <row r="342" spans="1:16" x14ac:dyDescent="0.25">
      <c r="A342">
        <v>319.10000000000002</v>
      </c>
      <c r="B342" s="2">
        <f t="shared" si="12"/>
        <v>958.44266636993552</v>
      </c>
      <c r="C342" s="2" cm="1">
        <f t="array" ref="C342">INDEX( ComputeThermoProps($A342, $B342, ParametersRange), 1, COLUMN()-2 )</f>
        <v>25.628960785382706</v>
      </c>
      <c r="M342" s="2" cm="1">
        <f t="array" ref="M342">INDEX( ComputeThermoProps($A342, $B342, ParametersRange), 1, COLUMN()-2 )</f>
        <v>31966.549850900581</v>
      </c>
      <c r="O342" s="4">
        <f t="shared" si="13"/>
        <v>2.9815661386810675</v>
      </c>
      <c r="P342" s="5"/>
    </row>
    <row r="343" spans="1:16" x14ac:dyDescent="0.25">
      <c r="A343">
        <v>320.10000000000002</v>
      </c>
      <c r="B343" s="2">
        <f t="shared" si="12"/>
        <v>964.34104365862152</v>
      </c>
      <c r="C343" s="2" cm="1">
        <f t="array" ref="C343">INDEX( ComputeThermoProps($A343, $B343, ParametersRange), 1, COLUMN()-2 )</f>
        <v>25.611654917216825</v>
      </c>
      <c r="M343" s="2" cm="1">
        <f t="array" ref="M343">INDEX( ComputeThermoProps($A343, $B343, ParametersRange), 1, COLUMN()-2 )</f>
        <v>32128.393219693313</v>
      </c>
      <c r="O343" s="4">
        <f t="shared" si="13"/>
        <v>2.9842306513151229</v>
      </c>
      <c r="P343" s="5"/>
    </row>
    <row r="344" spans="1:16" x14ac:dyDescent="0.25">
      <c r="A344">
        <v>321.10000000000002</v>
      </c>
      <c r="B344" s="2">
        <f t="shared" ref="B344:B407" si="14">IF(
  A344 &lt;= $B$5,
  $B$6 * EXP( ($B$5/A344) * ( $B$13*(1 - A344/$B$5) + $B$14*(1 - A344/$B$5)^1.5 + $B$15*(1 - A344/$B$5)^5 ) ),
  $B$6 * ( 1 + $B$17 * MAX(A344/$B$5 - 1, 0)^$B$18 + $B$19 * MAX(A344/$B$5 - 1, 0)^$B$20 )
)</f>
        <v>970.25011618980034</v>
      </c>
      <c r="C344" s="2" cm="1">
        <f t="array" ref="C344">INDEX( ComputeThermoProps($A344, $B344, ParametersRange), 1, COLUMN()-2 )</f>
        <v>25.594379957915294</v>
      </c>
      <c r="M344" s="2" cm="1">
        <f t="array" ref="M344">INDEX( ComputeThermoProps($A344, $B344, ParametersRange), 1, COLUMN()-2 )</f>
        <v>32290.379983342886</v>
      </c>
      <c r="O344" s="4">
        <f t="shared" ref="O344:O372" si="15">LOG10(B344)</f>
        <v>2.9868837034198714</v>
      </c>
      <c r="P344" s="5"/>
    </row>
    <row r="345" spans="1:16" x14ac:dyDescent="0.25">
      <c r="A345">
        <v>322.10000000000002</v>
      </c>
      <c r="B345" s="2">
        <f t="shared" si="14"/>
        <v>976.16987525921252</v>
      </c>
      <c r="C345" s="2" cm="1">
        <f t="array" ref="C345">INDEX( ComputeThermoProps($A345, $B345, ParametersRange), 1, COLUMN()-2 )</f>
        <v>25.57713579647168</v>
      </c>
      <c r="M345" s="2" cm="1">
        <f t="array" ref="M345">INDEX( ComputeThermoProps($A345, $B345, ParametersRange), 1, COLUMN()-2 )</f>
        <v>32452.509775798677</v>
      </c>
      <c r="O345" s="4">
        <f t="shared" si="15"/>
        <v>2.9895254011379961</v>
      </c>
      <c r="P345" s="5"/>
    </row>
    <row r="346" spans="1:16" x14ac:dyDescent="0.25">
      <c r="A346">
        <v>323.10000000000002</v>
      </c>
      <c r="B346" s="2">
        <f t="shared" si="14"/>
        <v>982.10031220888834</v>
      </c>
      <c r="C346" s="2" cm="1">
        <f t="array" ref="C346">INDEX( ComputeThermoProps($A346, $B346, ParametersRange), 1, COLUMN()-2 )</f>
        <v>25.559922322534483</v>
      </c>
      <c r="M346" s="2" cm="1">
        <f t="array" ref="M346">INDEX( ComputeThermoProps($A346, $B346, ParametersRange), 1, COLUMN()-2 )</f>
        <v>32614.782232815891</v>
      </c>
      <c r="O346" s="4">
        <f t="shared" si="15"/>
        <v>2.9921558491045004</v>
      </c>
      <c r="P346" s="5"/>
    </row>
    <row r="347" spans="1:16" x14ac:dyDescent="0.25">
      <c r="A347">
        <v>324.10000000000002</v>
      </c>
      <c r="B347" s="2">
        <f t="shared" si="14"/>
        <v>988.04141842669446</v>
      </c>
      <c r="C347" s="2" cm="1">
        <f t="array" ref="C347">INDEX( ComputeThermoProps($A347, $B347, ParametersRange), 1, COLUMN()-2 )</f>
        <v>25.542739426402036</v>
      </c>
      <c r="M347" s="2" cm="1">
        <f t="array" ref="M347">INDEX( ComputeThermoProps($A347, $B347, ParametersRange), 1, COLUMN()-2 )</f>
        <v>32777.196991939629</v>
      </c>
      <c r="O347" s="4">
        <f t="shared" si="15"/>
        <v>2.9947751504754172</v>
      </c>
      <c r="P347" s="5"/>
    </row>
    <row r="348" spans="1:16" x14ac:dyDescent="0.25">
      <c r="A348">
        <v>325.10000000000002</v>
      </c>
      <c r="B348" s="2">
        <f t="shared" si="14"/>
        <v>993.99318534588667</v>
      </c>
      <c r="C348" s="2" cm="1">
        <f t="array" ref="C348">INDEX( ComputeThermoProps($A348, $B348, ParametersRange), 1, COLUMN()-2 )</f>
        <v>25.525586999017467</v>
      </c>
      <c r="M348" s="2" cm="1">
        <f t="array" ref="M348">INDEX( ComputeThermoProps($A348, $B348, ParametersRange), 1, COLUMN()-2 )</f>
        <v>32939.753692489227</v>
      </c>
      <c r="O348" s="4">
        <f t="shared" si="15"/>
        <v>2.997383406955842</v>
      </c>
      <c r="P348" s="5"/>
    </row>
    <row r="349" spans="1:16" x14ac:dyDescent="0.25">
      <c r="A349">
        <v>326.10000000000002</v>
      </c>
      <c r="B349" s="2">
        <f t="shared" si="14"/>
        <v>999.95560444467162</v>
      </c>
      <c r="C349" s="2" cm="1">
        <f t="array" ref="C349">INDEX( ComputeThermoProps($A349, $B349, ParametersRange), 1, COLUMN()-2 )</f>
        <v>25.508464931963648</v>
      </c>
      <c r="M349" s="2" cm="1">
        <f t="array" ref="M349">INDEX( ComputeThermoProps($A349, $B349, ParametersRange), 1, COLUMN()-2 )</f>
        <v>33102.451975542812</v>
      </c>
      <c r="O349" s="4">
        <f t="shared" si="15"/>
        <v>2.9999807188272976</v>
      </c>
      <c r="P349" s="5"/>
    </row>
    <row r="350" spans="1:16" x14ac:dyDescent="0.25">
      <c r="A350">
        <v>327.10000000000002</v>
      </c>
      <c r="B350" s="2">
        <f t="shared" si="14"/>
        <v>1005.9286672457712</v>
      </c>
      <c r="C350" s="2" cm="1">
        <f t="array" ref="C350">INDEX( ComputeThermoProps($A350, $B350, ParametersRange), 1, COLUMN()-2 )</f>
        <v>25.491373117458231</v>
      </c>
      <c r="M350" s="2" cm="1">
        <f t="array" ref="M350">INDEX( ComputeThermoProps($A350, $B350, ParametersRange), 1, COLUMN()-2 )</f>
        <v>33265.291483922003</v>
      </c>
      <c r="O350" s="4">
        <f t="shared" si="15"/>
        <v>3.0025671849744553</v>
      </c>
      <c r="P350" s="5"/>
    </row>
    <row r="351" spans="1:16" x14ac:dyDescent="0.25">
      <c r="A351">
        <v>328.1</v>
      </c>
      <c r="B351" s="2">
        <f t="shared" si="14"/>
        <v>1011.9123653159958</v>
      </c>
      <c r="C351" s="2" cm="1">
        <f t="array" ref="C351">INDEX( ComputeThermoProps($A351, $B351, ParametersRange), 1, COLUMN()-2 )</f>
        <v>25.474311448348665</v>
      </c>
      <c r="M351" s="2" cm="1">
        <f t="array" ref="M351">INDEX( ComputeThermoProps($A351, $B351, ParametersRange), 1, COLUMN()-2 )</f>
        <v>33428.271862176844</v>
      </c>
      <c r="O351" s="4">
        <f t="shared" si="15"/>
        <v>3.0051429029112282</v>
      </c>
      <c r="P351" s="5"/>
    </row>
    <row r="352" spans="1:16" x14ac:dyDescent="0.25">
      <c r="A352">
        <v>329.1</v>
      </c>
      <c r="B352" s="2">
        <f t="shared" si="14"/>
        <v>1017.9066902658225</v>
      </c>
      <c r="C352" s="2" cm="1">
        <f t="array" ref="C352">INDEX( ComputeThermoProps($A352, $B352, ParametersRange), 1, COLUMN()-2 )</f>
        <v>25.45727981810731</v>
      </c>
      <c r="M352" s="2" cm="1">
        <f t="array" ref="M352">INDEX( ComputeThermoProps($A352, $B352, ParametersRange), 1, COLUMN()-2 )</f>
        <v>33591.392756570967</v>
      </c>
      <c r="O352" s="4">
        <f t="shared" si="15"/>
        <v>3.0077079688062582</v>
      </c>
      <c r="P352" s="5"/>
    </row>
    <row r="353" spans="1:16" x14ac:dyDescent="0.25">
      <c r="A353">
        <v>330.1</v>
      </c>
      <c r="B353" s="2">
        <f t="shared" si="14"/>
        <v>1023.9116337489784</v>
      </c>
      <c r="C353" s="2" cm="1">
        <f t="array" ref="C353">INDEX( ComputeThermoProps($A353, $B353, ParametersRange), 1, COLUMN()-2 )</f>
        <v>25.440278120826573</v>
      </c>
      <c r="M353" s="2" cm="1">
        <f t="array" ref="M353">INDEX( ComputeThermoProps($A353, $B353, ParametersRange), 1, COLUMN()-2 )</f>
        <v>33754.653815066893</v>
      </c>
      <c r="O353" s="4">
        <f t="shared" si="15"/>
        <v>3.0102624775078057</v>
      </c>
      <c r="P353" s="5"/>
    </row>
    <row r="354" spans="1:16" x14ac:dyDescent="0.25">
      <c r="A354">
        <v>331.1</v>
      </c>
      <c r="B354" s="2">
        <f t="shared" si="14"/>
        <v>1029.9271874620317</v>
      </c>
      <c r="C354" s="2" cm="1">
        <f t="array" ref="C354">INDEX( ComputeThermoProps($A354, $B354, ParametersRange), 1, COLUMN()-2 )</f>
        <v>25.423306251214029</v>
      </c>
      <c r="M354" s="2" cm="1">
        <f t="array" ref="M354">INDEX( ComputeThermoProps($A354, $B354, ParametersRange), 1, COLUMN()-2 )</f>
        <v>33918.054687396383</v>
      </c>
      <c r="O354" s="4">
        <f t="shared" si="15"/>
        <v>3.0128065225680687</v>
      </c>
      <c r="P354" s="5"/>
    </row>
    <row r="355" spans="1:16" x14ac:dyDescent="0.25">
      <c r="A355">
        <v>332.1</v>
      </c>
      <c r="B355" s="2">
        <f t="shared" si="14"/>
        <v>1035.9533431439852</v>
      </c>
      <c r="C355" s="2" cm="1">
        <f t="array" ref="C355">INDEX( ComputeThermoProps($A355, $B355, ParametersRange), 1, COLUMN()-2 )</f>
        <v>25.406364104587666</v>
      </c>
      <c r="M355" s="2" cm="1">
        <f t="array" ref="M355">INDEX( ComputeThermoProps($A355, $B355, ParametersRange), 1, COLUMN()-2 )</f>
        <v>34081.595024693328</v>
      </c>
      <c r="O355" s="4">
        <f t="shared" si="15"/>
        <v>3.0153401962669384</v>
      </c>
      <c r="P355" s="5"/>
    </row>
    <row r="356" spans="1:16" x14ac:dyDescent="0.25">
      <c r="A356">
        <v>333.1</v>
      </c>
      <c r="B356" s="2">
        <f t="shared" si="14"/>
        <v>1041.9900925758793</v>
      </c>
      <c r="C356" s="2" cm="1">
        <f t="array" ref="C356">INDEX( ComputeThermoProps($A356, $B356, ParametersRange), 1, COLUMN()-2 )</f>
        <v>25.3894515768711</v>
      </c>
      <c r="M356" s="2" cm="1">
        <f t="array" ref="M356">INDEX( ComputeThermoProps($A356, $B356, ParametersRange), 1, COLUMN()-2 )</f>
        <v>34245.274480030916</v>
      </c>
      <c r="O356" s="4">
        <f t="shared" si="15"/>
        <v>3.0178635896352128</v>
      </c>
      <c r="P356" s="5"/>
    </row>
    <row r="357" spans="1:16" x14ac:dyDescent="0.25">
      <c r="A357">
        <v>334.1</v>
      </c>
      <c r="B357" s="2">
        <f t="shared" si="14"/>
        <v>1048.0374275803974</v>
      </c>
      <c r="C357" s="2" cm="1">
        <f t="array" ref="C357">INDEX( ComputeThermoProps($A357, $B357, ParametersRange), 1, COLUMN()-2 )</f>
        <v>25.372568564588867</v>
      </c>
      <c r="M357" s="2" cm="1">
        <f t="array" ref="M357">INDEX( ComputeThermoProps($A357, $B357, ParametersRange), 1, COLUMN()-2 )</f>
        <v>34409.092708024</v>
      </c>
      <c r="O357" s="4">
        <f t="shared" si="15"/>
        <v>3.02037679247728</v>
      </c>
      <c r="P357" s="5"/>
    </row>
    <row r="358" spans="1:16" x14ac:dyDescent="0.25">
      <c r="A358">
        <v>335.1</v>
      </c>
      <c r="B358" s="2">
        <f t="shared" si="14"/>
        <v>1054.0953400214773</v>
      </c>
      <c r="C358" s="2" cm="1">
        <f t="array" ref="C358">INDEX( ComputeThermoProps($A358, $B358, ParametersRange), 1, COLUMN()-2 )</f>
        <v>25.355714964861729</v>
      </c>
      <c r="M358" s="2" cm="1">
        <f t="array" ref="M358">INDEX( ComputeThermoProps($A358, $B358, ParametersRange), 1, COLUMN()-2 )</f>
        <v>34573.049364915714</v>
      </c>
      <c r="O358" s="4">
        <f t="shared" si="15"/>
        <v>3.0228798933932852</v>
      </c>
      <c r="P358" s="5"/>
    </row>
    <row r="359" spans="1:16" x14ac:dyDescent="0.25">
      <c r="A359">
        <v>336.1</v>
      </c>
      <c r="B359" s="2">
        <f t="shared" si="14"/>
        <v>1060.1638218039297</v>
      </c>
      <c r="C359" s="2" cm="1">
        <f t="array" ref="C359">INDEX( ComputeThermoProps($A359, $B359, ParametersRange), 1, COLUMN()-2 )</f>
        <v>25.33889067540203</v>
      </c>
      <c r="M359" s="2" cm="1">
        <f t="array" ref="M359">INDEX( ComputeThermoProps($A359, $B359, ParametersRange), 1, COLUMN()-2 )</f>
        <v>34737.144108563953</v>
      </c>
      <c r="O359" s="4">
        <f t="shared" si="15"/>
        <v>3.0253729798008</v>
      </c>
      <c r="P359" s="5"/>
    </row>
    <row r="360" spans="1:16" x14ac:dyDescent="0.25">
      <c r="A360">
        <v>337.1</v>
      </c>
      <c r="B360" s="2">
        <f t="shared" si="14"/>
        <v>1066.2428648730586</v>
      </c>
      <c r="C360" s="2" cm="1">
        <f t="array" ref="C360">INDEX( ComputeThermoProps($A360, $B360, ParametersRange), 1, COLUMN()-2 )</f>
        <v>25.322095594509094</v>
      </c>
      <c r="M360" s="2" cm="1">
        <f t="array" ref="M360">INDEX( ComputeThermoProps($A360, $B360, ParametersRange), 1, COLUMN()-2 )</f>
        <v>34901.376598427873</v>
      </c>
      <c r="O360" s="4">
        <f t="shared" si="15"/>
        <v>3.0278561379560003</v>
      </c>
      <c r="P360" s="5"/>
    </row>
    <row r="361" spans="1:16" x14ac:dyDescent="0.25">
      <c r="A361">
        <v>338.1</v>
      </c>
      <c r="B361" s="2">
        <f t="shared" si="14"/>
        <v>1072.3324612142885</v>
      </c>
      <c r="C361" s="2" cm="1">
        <f t="array" ref="C361">INDEX( ComputeThermoProps($A361, $B361, ParametersRange), 1, COLUMN()-2 )</f>
        <v>25.305329621064651</v>
      </c>
      <c r="M361" s="2" cm="1">
        <f t="array" ref="M361">INDEX( ComputeThermoProps($A361, $B361, ParametersRange), 1, COLUMN()-2 )</f>
        <v>35065.746495554697</v>
      </c>
      <c r="O361" s="4">
        <f t="shared" si="15"/>
        <v>3.0303294529743718</v>
      </c>
      <c r="P361" s="5"/>
    </row>
    <row r="362" spans="1:16" x14ac:dyDescent="0.25">
      <c r="A362">
        <v>339.1</v>
      </c>
      <c r="B362" s="2">
        <f t="shared" si="14"/>
        <v>1078.4326028527996</v>
      </c>
      <c r="C362" s="2" cm="1">
        <f t="array" ref="C362">INDEX( ComputeThermoProps($A362, $B362, ParametersRange), 1, COLUMN()-2 )</f>
        <v>25.288592654528294</v>
      </c>
      <c r="M362" s="2" cm="1">
        <f t="array" ref="M362">INDEX( ComputeThermoProps($A362, $B362, ParametersRange), 1, COLUMN()-2 )</f>
        <v>35230.253462566667</v>
      </c>
      <c r="O362" s="4">
        <f t="shared" si="15"/>
        <v>3.0327930088509572</v>
      </c>
      <c r="P362" s="5"/>
    </row>
    <row r="363" spans="1:16" x14ac:dyDescent="0.25">
      <c r="A363">
        <v>340.1</v>
      </c>
      <c r="B363" s="2">
        <f t="shared" si="14"/>
        <v>1084.5432818531608</v>
      </c>
      <c r="C363" s="2" cm="1">
        <f t="array" ref="C363">INDEX( ComputeThermoProps($A363, $B363, ParametersRange), 1, COLUMN()-2 )</f>
        <v>25.271884594933006</v>
      </c>
      <c r="M363" s="2" cm="1">
        <f t="array" ref="M363">INDEX( ComputeThermoProps($A363, $B363, ParametersRange), 1, COLUMN()-2 )</f>
        <v>35394.89716364802</v>
      </c>
      <c r="O363" s="4">
        <f t="shared" si="15"/>
        <v>3.0352468884801462</v>
      </c>
      <c r="P363" s="5"/>
    </row>
    <row r="364" spans="1:16" x14ac:dyDescent="0.25">
      <c r="A364">
        <v>341.1</v>
      </c>
      <c r="B364" s="2">
        <f t="shared" si="14"/>
        <v>1090.6644903189749</v>
      </c>
      <c r="C364" s="2" cm="1">
        <f t="array" ref="C364">INDEX( ComputeThermoProps($A364, $B364, ParametersRange), 1, COLUMN()-2 )</f>
        <v>25.255205342880682</v>
      </c>
      <c r="M364" s="2" cm="1">
        <f t="array" ref="M364">INDEX( ComputeThermoProps($A364, $B364, ParametersRange), 1, COLUMN()-2 )</f>
        <v>35559.677264532322</v>
      </c>
      <c r="O364" s="4">
        <f t="shared" si="15"/>
        <v>3.0376911736750358</v>
      </c>
      <c r="P364" s="5"/>
    </row>
    <row r="365" spans="1:16" x14ac:dyDescent="0.25">
      <c r="A365">
        <v>342.1</v>
      </c>
      <c r="B365" s="2">
        <f t="shared" si="14"/>
        <v>1096.7962203925231</v>
      </c>
      <c r="C365" s="2" cm="1">
        <f t="array" ref="C365">INDEX( ComputeThermoProps($A365, $B365, ParametersRange), 1, COLUMN()-2 )</f>
        <v>25.238554799537717</v>
      </c>
      <c r="M365" s="2" cm="1">
        <f t="array" ref="M365">INDEX( ComputeThermoProps($A365, $B365, ParametersRange), 1, COLUMN()-2 )</f>
        <v>35724.593432489812</v>
      </c>
      <c r="O365" s="4">
        <f t="shared" si="15"/>
        <v>3.0401259451863623</v>
      </c>
      <c r="P365" s="5"/>
    </row>
    <row r="366" spans="1:16" x14ac:dyDescent="0.25">
      <c r="A366">
        <v>343.1</v>
      </c>
      <c r="B366" s="2">
        <f t="shared" si="14"/>
        <v>1102.9384642544167</v>
      </c>
      <c r="C366" s="2" cm="1">
        <f t="array" ref="C366">INDEX( ComputeThermoProps($A366, $B366, ParametersRange), 1, COLUMN()-2 )</f>
        <v>25.221932866630617</v>
      </c>
      <c r="M366" s="2" cm="1">
        <f t="array" ref="M366">INDEX( ComputeThermoProps($A366, $B366, ParametersRange), 1, COLUMN()-2 )</f>
        <v>35889.645336314941</v>
      </c>
      <c r="O366" s="4">
        <f t="shared" si="15"/>
        <v>3.042551282721015</v>
      </c>
      <c r="P366" s="5"/>
    </row>
    <row r="367" spans="1:16" x14ac:dyDescent="0.25">
      <c r="A367">
        <v>344.1</v>
      </c>
      <c r="B367" s="2">
        <f t="shared" si="14"/>
        <v>1109.0912141232545</v>
      </c>
      <c r="C367" s="2" cm="1">
        <f t="array" ref="C367">INDEX( ComputeThermoProps($A367, $B367, ParametersRange), 1, COLUMN()-2 )</f>
        <v>25.20533944644168</v>
      </c>
      <c r="M367" s="2" cm="1">
        <f t="array" ref="M367">INDEX( ComputeThermoProps($A367, $B367, ParametersRange), 1, COLUMN()-2 )</f>
        <v>36054.832646314171</v>
      </c>
      <c r="O367" s="4">
        <f t="shared" si="15"/>
        <v>3.0449672649601549</v>
      </c>
      <c r="P367" s="5"/>
    </row>
    <row r="368" spans="1:16" x14ac:dyDescent="0.25">
      <c r="A368">
        <v>345.1</v>
      </c>
      <c r="B368" s="2">
        <f t="shared" si="14"/>
        <v>1115.2544622552807</v>
      </c>
      <c r="C368" s="2" cm="1">
        <f t="array" ref="C368">INDEX( ComputeThermoProps($A368, $B368, ParametersRange), 1, COLUMN()-2 )</f>
        <v>25.188774441804636</v>
      </c>
      <c r="M368" s="2" cm="1">
        <f t="array" ref="M368">INDEX( ComputeThermoProps($A368, $B368, ParametersRange), 1, COLUMN()-2 )</f>
        <v>36220.155034293668</v>
      </c>
      <c r="O368" s="4">
        <f t="shared" si="15"/>
        <v>3.0473739695769302</v>
      </c>
      <c r="P368" s="5"/>
    </row>
    <row r="369" spans="1:16" x14ac:dyDescent="0.25">
      <c r="A369">
        <v>346.1</v>
      </c>
      <c r="B369" s="2">
        <f t="shared" si="14"/>
        <v>1121.4282009440524</v>
      </c>
      <c r="C369" s="2" cm="1">
        <f t="array" ref="C369">INDEX( ComputeThermoProps($A369, $B369, ParametersRange), 1, COLUMN()-2 )</f>
        <v>25.172237756100422</v>
      </c>
      <c r="M369" s="2" cm="1">
        <f t="array" ref="M369">INDEX( ComputeThermoProps($A369, $B369, ParametersRange), 1, COLUMN()-2 )</f>
        <v>36385.612173547466</v>
      </c>
      <c r="O369" s="4">
        <f t="shared" si="15"/>
        <v>3.0497714732538159</v>
      </c>
      <c r="P369" s="5"/>
    </row>
    <row r="370" spans="1:16" x14ac:dyDescent="0.25">
      <c r="A370">
        <v>347.1</v>
      </c>
      <c r="B370" s="2">
        <f t="shared" si="14"/>
        <v>1127.6124225201056</v>
      </c>
      <c r="C370" s="2" cm="1">
        <f t="array" ref="C370">INDEX( ComputeThermoProps($A370, $B370, ParametersRange), 1, COLUMN()-2 )</f>
        <v>25.155729293252922</v>
      </c>
      <c r="M370" s="2" cm="1">
        <f t="array" ref="M370">INDEX( ComputeThermoProps($A370, $B370, ParametersRange), 1, COLUMN()-2 )</f>
        <v>36551.203738845492</v>
      </c>
      <c r="O370" s="4">
        <f t="shared" si="15"/>
        <v>3.0521598516995785</v>
      </c>
      <c r="P370" s="5"/>
    </row>
    <row r="371" spans="1:16" x14ac:dyDescent="0.25">
      <c r="A371">
        <v>348.1</v>
      </c>
      <c r="B371" s="2">
        <f t="shared" si="14"/>
        <v>1133.8071193506303</v>
      </c>
      <c r="C371" s="2" cm="1">
        <f t="array" ref="C371">INDEX( ComputeThermoProps($A371, $B371, ParametersRange), 1, COLUMN()-2 )</f>
        <v>25.139248957724778</v>
      </c>
      <c r="M371" s="2" cm="1">
        <f t="array" ref="M371">INDEX( ComputeThermoProps($A371, $B371, ParametersRange), 1, COLUMN()-2 )</f>
        <v>36716.929406421892</v>
      </c>
      <c r="O371" s="4">
        <f t="shared" si="15"/>
        <v>3.0545391796658756</v>
      </c>
      <c r="P371" s="5"/>
    </row>
    <row r="372" spans="1:16" x14ac:dyDescent="0.25">
      <c r="A372">
        <v>349.1</v>
      </c>
      <c r="B372" s="2">
        <f t="shared" si="14"/>
        <v>1140.0122838391489</v>
      </c>
      <c r="C372" s="2" cm="1">
        <f t="array" ref="C372">INDEX( ComputeThermoProps($A372, $B372, ParametersRange), 1, COLUMN()-2 )</f>
        <v>25.122796654513216</v>
      </c>
      <c r="M372" s="2" cm="1">
        <f t="array" ref="M372">INDEX( ComputeThermoProps($A372, $B372, ParametersRange), 1, COLUMN()-2 )</f>
        <v>36882.788853963502</v>
      </c>
      <c r="O372" s="4">
        <f t="shared" si="15"/>
        <v>3.0569095309635053</v>
      </c>
      <c r="P372" s="5"/>
    </row>
    <row r="373" spans="1:16" x14ac:dyDescent="0.25">
      <c r="A373" s="2">
        <v>116.1</v>
      </c>
      <c r="B373" s="2">
        <f t="shared" si="14"/>
        <v>1.1208273011596057</v>
      </c>
      <c r="C373" s="2" cm="1">
        <f t="array" ref="C373">INDEX( ComputeThermoProps($A373, $B373, ParametersRange), 1, COLUMN()-2 )</f>
        <v>29.991282842695998</v>
      </c>
      <c r="M373" s="2" cm="1">
        <f t="array" ref="M373">INDEX( ComputeThermoProps($A373, $B373, ParametersRange), 1, COLUMN()-2 )</f>
        <v>2827.5231438611572</v>
      </c>
    </row>
    <row r="374" spans="1:16" x14ac:dyDescent="0.25">
      <c r="A374" s="2">
        <v>165</v>
      </c>
      <c r="B374" s="2">
        <f t="shared" si="14"/>
        <v>184.44634626594546</v>
      </c>
      <c r="C374" s="2" cm="1">
        <f t="array" ref="C374">INDEX( ComputeThermoProps($A374, $B374, ParametersRange), 1, COLUMN()-2 )</f>
        <v>28.753893975613256</v>
      </c>
      <c r="M374" s="2" cm="1">
        <f t="array" ref="M374">INDEX( ComputeThermoProps($A374, $B374, ParametersRange), 1, COLUMN()-2 )</f>
        <v>9031.6742771996342</v>
      </c>
    </row>
    <row r="375" spans="1:16" x14ac:dyDescent="0.25">
      <c r="A375" s="2">
        <v>209</v>
      </c>
      <c r="B375" s="2">
        <f t="shared" si="14"/>
        <v>376.82576632964975</v>
      </c>
      <c r="C375" s="2" cm="1">
        <f t="array" ref="C375">INDEX( ComputeThermoProps($A375, $B375, ParametersRange), 1, COLUMN()-2 )</f>
        <v>27.753787915741501</v>
      </c>
      <c r="M375" s="2" cm="1">
        <f t="array" ref="M375">INDEX( ComputeThermoProps($A375, $B375, ParametersRange), 1, COLUMN()-2 )</f>
        <v>15123.13129613339</v>
      </c>
    </row>
    <row r="376" spans="1:16" x14ac:dyDescent="0.25">
      <c r="A376" s="2">
        <v>252</v>
      </c>
      <c r="B376" s="2">
        <f t="shared" si="14"/>
        <v>587.60551369020129</v>
      </c>
      <c r="C376" s="2" cm="1">
        <f t="array" ref="C376">INDEX( ComputeThermoProps($A376, $B376, ParametersRange), 1, COLUMN()-2 )</f>
        <v>26.867321440964346</v>
      </c>
      <c r="M376" s="2" cm="1">
        <f t="array" ref="M376">INDEX( ComputeThermoProps($A376, $B376, ParametersRange), 1, COLUMN()-2 )</f>
        <v>21455.660265223069</v>
      </c>
    </row>
    <row r="377" spans="1:16" x14ac:dyDescent="0.25">
      <c r="A377" s="2">
        <v>293</v>
      </c>
      <c r="B377" s="2">
        <f t="shared" si="14"/>
        <v>808.3074650479266</v>
      </c>
      <c r="C377" s="2" cm="1">
        <f t="array" ref="C377">INDEX( ComputeThermoProps($A377, $B377, ParametersRange), 1, COLUMN()-2 )</f>
        <v>26.091959286057772</v>
      </c>
      <c r="M377" s="2" cm="1">
        <f t="array" ref="M377">INDEX( ComputeThermoProps($A377, $B377, ParametersRange), 1, COLUMN()-2 )</f>
        <v>27794.408796584514</v>
      </c>
    </row>
    <row r="378" spans="1:16" x14ac:dyDescent="0.25">
      <c r="A378" s="2">
        <v>332</v>
      </c>
      <c r="B378" s="2">
        <f t="shared" si="14"/>
        <v>1035.3502507217572</v>
      </c>
      <c r="C378" s="2" cm="1">
        <f t="array" ref="C378">INDEX( ComputeThermoProps($A378, $B378, ParametersRange), 1, COLUMN()-2 )</f>
        <v>25.408056984686826</v>
      </c>
      <c r="M378" s="2" cm="1">
        <f t="array" ref="M378">INDEX( ComputeThermoProps($A378, $B378, ParametersRange), 1, COLUMN()-2 )</f>
        <v>34065.23472493876</v>
      </c>
    </row>
    <row r="379" spans="1:16" x14ac:dyDescent="0.25">
      <c r="A379" s="2">
        <v>370</v>
      </c>
      <c r="B379" s="2">
        <f t="shared" si="14"/>
        <v>1272.082890370817</v>
      </c>
      <c r="C379" s="2" cm="1">
        <f t="array" ref="C379">INDEX( ComputeThermoProps($A379, $B379, ParametersRange), 1, COLUMN()-2 )</f>
        <v>24.785198261873024</v>
      </c>
      <c r="M379" s="2" cm="1">
        <f t="array" ref="M379">INDEX( ComputeThermoProps($A379, $B379, ParametersRange), 1, COLUMN()-2 )</f>
        <v>40379.319054682499</v>
      </c>
    </row>
    <row r="380" spans="1:16" x14ac:dyDescent="0.25">
      <c r="A380" s="2">
        <v>116</v>
      </c>
      <c r="B380" s="2">
        <f t="shared" si="14"/>
        <v>0.77447081422495467</v>
      </c>
      <c r="C380" s="2" cm="1">
        <f t="array" ref="C380">INDEX( ComputeThermoProps($A380, $B380, ParametersRange), 1, COLUMN()-2 )</f>
        <v>29.994103802745002</v>
      </c>
      <c r="M380" s="2" cm="1">
        <f t="array" ref="M380">INDEX( ComputeThermoProps($A380, $B380, ParametersRange), 1, COLUMN()-2 )</f>
        <v>2815.3755660551801</v>
      </c>
    </row>
    <row r="381" spans="1:16" x14ac:dyDescent="0.25">
      <c r="A381" s="2">
        <v>161.404</v>
      </c>
      <c r="B381" s="2">
        <f t="shared" si="14"/>
        <v>169.8267462891649</v>
      </c>
      <c r="C381" s="2" cm="1">
        <f t="array" ref="C381">INDEX( ComputeThermoProps($A381, $B381, ParametersRange), 1, COLUMN()-2 )</f>
        <v>28.840289972263136</v>
      </c>
      <c r="M381" s="2" cm="1">
        <f t="array" ref="M381">INDEX( ComputeThermoProps($A381, $B381, ParametersRange), 1, COLUMN()-2 )</f>
        <v>8553.5015558604082</v>
      </c>
    </row>
    <row r="382" spans="1:16" x14ac:dyDescent="0.25">
      <c r="A382" s="2">
        <v>115.76300000000001</v>
      </c>
      <c r="B382" s="2">
        <f t="shared" si="14"/>
        <v>7.272055262208893E-2</v>
      </c>
      <c r="C382" s="2" cm="1">
        <f t="array" ref="C382">INDEX( ComputeThermoProps($A382, $B382, ParametersRange), 1, COLUMN()-2 )</f>
        <v>29.998189104897921</v>
      </c>
      <c r="M382" s="2" cm="1">
        <f t="array" ref="M382">INDEX( ComputeThermoProps($A382, $B382, ParametersRange), 1, COLUMN()-2 )</f>
        <v>2789.4979271750108</v>
      </c>
    </row>
    <row r="383" spans="1:16" x14ac:dyDescent="0.25">
      <c r="A383" s="2">
        <v>102</v>
      </c>
      <c r="B383" s="2">
        <f t="shared" si="14"/>
        <v>1.6523627095345685E-2</v>
      </c>
      <c r="C383" s="2"/>
      <c r="M383" s="2" cm="1">
        <f t="array" ref="M383">INDEX( ComputeThermoProps($A383, $B383, ParametersRange), 1, COLUMN()-2 )</f>
        <v>2306.8222105219252</v>
      </c>
    </row>
    <row r="384" spans="1:16" x14ac:dyDescent="0.25">
      <c r="A384" s="2">
        <v>102.5</v>
      </c>
      <c r="B384" s="2">
        <f t="shared" si="14"/>
        <v>1.7600809672134871E-2</v>
      </c>
      <c r="C384" s="2"/>
      <c r="M384" s="2" cm="1">
        <f t="array" ref="M384">INDEX( ComputeThermoProps($A384, $B384, ParametersRange), 1, COLUMN()-2 )</f>
        <v>2323.5865102905968</v>
      </c>
    </row>
    <row r="385" spans="1:13" x14ac:dyDescent="0.25">
      <c r="A385">
        <v>103</v>
      </c>
      <c r="B385" s="2">
        <f t="shared" si="14"/>
        <v>1.873422972679855E-2</v>
      </c>
      <c r="M385" s="2" cm="1">
        <f t="array" ref="M385">INDEX( ComputeThermoProps($A385, $B385, ParametersRange), 1, COLUMN()-2 )</f>
        <v>2340.4022291371425</v>
      </c>
    </row>
    <row r="386" spans="1:13" x14ac:dyDescent="0.25">
      <c r="A386">
        <v>103.5</v>
      </c>
      <c r="B386" s="2">
        <f t="shared" si="14"/>
        <v>1.9925924162797978E-2</v>
      </c>
      <c r="M386" s="2" cm="1">
        <f t="array" ref="M386">INDEX( ComputeThermoProps($A386, $B386, ParametersRange), 1, COLUMN()-2 )</f>
        <v>2357.2700268035169</v>
      </c>
    </row>
    <row r="387" spans="1:13" x14ac:dyDescent="0.25">
      <c r="A387">
        <v>104</v>
      </c>
      <c r="B387" s="2">
        <f t="shared" si="14"/>
        <v>2.1177949838525813E-2</v>
      </c>
      <c r="M387" s="2" cm="1">
        <f t="array" ref="M387">INDEX( ComputeThermoProps($A387, $B387, ParametersRange), 1, COLUMN()-2 )</f>
        <v>2374.190581259691</v>
      </c>
    </row>
    <row r="388" spans="1:13" x14ac:dyDescent="0.25">
      <c r="A388">
        <v>104.5</v>
      </c>
      <c r="B388" s="2">
        <f t="shared" si="14"/>
        <v>2.2492379771424161E-2</v>
      </c>
      <c r="M388" s="2" cm="1">
        <f t="array" ref="M388">INDEX( ComputeThermoProps($A388, $B388, ParametersRange), 1, COLUMN()-2 )</f>
        <v>2391.1645892371703</v>
      </c>
    </row>
    <row r="389" spans="1:13" x14ac:dyDescent="0.25">
      <c r="A389">
        <v>105</v>
      </c>
      <c r="B389" s="2">
        <f t="shared" si="14"/>
        <v>2.387129889835362E-2</v>
      </c>
      <c r="M389" s="2" cm="1">
        <f t="array" ref="M389">INDEX( ComputeThermoProps($A389, $B389, ParametersRange), 1, COLUMN()-2 )</f>
        <v>2408.1927667848172</v>
      </c>
    </row>
    <row r="390" spans="1:13" x14ac:dyDescent="0.25">
      <c r="A390">
        <v>105.5</v>
      </c>
      <c r="B390" s="2">
        <f t="shared" si="14"/>
        <v>2.5316799332206409E-2</v>
      </c>
      <c r="M390" s="2" cm="1">
        <f t="array" ref="M390">INDEX( ComputeThermoProps($A390, $B390, ParametersRange), 1, COLUMN()-2 )</f>
        <v>2425.2758498476314</v>
      </c>
    </row>
    <row r="391" spans="1:13" x14ac:dyDescent="0.25">
      <c r="A391">
        <v>106</v>
      </c>
      <c r="B391" s="2">
        <f t="shared" si="14"/>
        <v>2.6830975041024274E-2</v>
      </c>
      <c r="M391" s="2" cm="1">
        <f t="array" ref="M391">INDEX( ComputeThermoProps($A391, $B391, ParametersRange), 1, COLUMN()-2 )</f>
        <v>2442.4145948689161</v>
      </c>
    </row>
    <row r="392" spans="1:13" x14ac:dyDescent="0.25">
      <c r="A392">
        <v>106.5</v>
      </c>
      <c r="B392" s="2">
        <f t="shared" si="14"/>
        <v>2.8415915857950728E-2</v>
      </c>
      <c r="M392" s="2" cm="1">
        <f t="array" ref="M392">INDEX( ComputeThermoProps($A392, $B392, ParametersRange), 1, COLUMN()-2 )</f>
        <v>2459.6097794160596</v>
      </c>
    </row>
    <row r="393" spans="1:13" x14ac:dyDescent="0.25">
      <c r="A393">
        <v>107</v>
      </c>
      <c r="B393" s="2">
        <f t="shared" si="14"/>
        <v>3.0073700706635634E-2</v>
      </c>
      <c r="M393" s="2" cm="1">
        <f t="array" ref="M393">INDEX( ComputeThermoProps($A393, $B393, ParametersRange), 1, COLUMN()-2 )</f>
        <v>2476.8622028297336</v>
      </c>
    </row>
    <row r="394" spans="1:13" x14ac:dyDescent="0.25">
      <c r="A394">
        <v>107.5</v>
      </c>
      <c r="B394" s="2">
        <f t="shared" si="14"/>
        <v>3.1806389894903316E-2</v>
      </c>
      <c r="M394" s="2" cm="1">
        <f t="array" ref="M394">INDEX( ComputeThermoProps($A394, $B394, ParametersRange), 1, COLUMN()-2 )</f>
        <v>2494.1726868957994</v>
      </c>
    </row>
    <row r="395" spans="1:13" x14ac:dyDescent="0.25">
      <c r="A395">
        <v>108</v>
      </c>
      <c r="B395" s="2">
        <f t="shared" si="14"/>
        <v>3.3616016286166138E-2</v>
      </c>
      <c r="M395" s="2" cm="1">
        <f t="array" ref="M395">INDEX( ComputeThermoProps($A395, $B395, ParametersRange), 1, COLUMN()-2 )</f>
        <v>2511.5420765383342</v>
      </c>
    </row>
    <row r="396" spans="1:13" x14ac:dyDescent="0.25">
      <c r="A396">
        <v>108.5</v>
      </c>
      <c r="B396" s="2">
        <f t="shared" si="14"/>
        <v>3.5504575097992201E-2</v>
      </c>
      <c r="M396" s="2" cm="1">
        <f t="array" ref="M396">INDEX( ComputeThermoProps($A396, $B396, ParametersRange), 1, COLUMN()-2 )</f>
        <v>2528.9712405310984</v>
      </c>
    </row>
    <row r="397" spans="1:13" x14ac:dyDescent="0.25">
      <c r="A397">
        <v>109</v>
      </c>
      <c r="B397" s="2">
        <f t="shared" si="14"/>
        <v>3.7474011992314718E-2</v>
      </c>
      <c r="M397" s="2" cm="1">
        <f t="array" ref="M397">INDEX( ComputeThermoProps($A397, $B397, ParametersRange), 1, COLUMN()-2 )</f>
        <v>2546.4610722228726</v>
      </c>
    </row>
    <row r="398" spans="1:13" x14ac:dyDescent="0.25">
      <c r="A398">
        <v>109.5</v>
      </c>
      <c r="B398" s="2">
        <f t="shared" si="14"/>
        <v>3.9526208999054506E-2</v>
      </c>
      <c r="M398" s="2" cm="1">
        <f t="array" ref="M398">INDEX( ComputeThermoProps($A398, $B398, ParametersRange), 1, COLUMN()-2 )</f>
        <v>2564.0124902695616</v>
      </c>
    </row>
    <row r="399" spans="1:13" x14ac:dyDescent="0.25">
      <c r="A399">
        <v>110</v>
      </c>
      <c r="B399" s="2">
        <f t="shared" si="14"/>
        <v>4.1662967633121398E-2</v>
      </c>
      <c r="M399" s="2" cm="1">
        <f t="array" ref="M399">INDEX( ComputeThermoProps($A399, $B399, ParametersRange), 1, COLUMN()-2 )</f>
        <v>2581.6264393618108</v>
      </c>
    </row>
    <row r="400" spans="1:13" x14ac:dyDescent="0.25">
      <c r="A400">
        <v>110.5</v>
      </c>
      <c r="B400" s="2">
        <f t="shared" si="14"/>
        <v>4.3885988287643105E-2</v>
      </c>
      <c r="M400" s="2" cm="1">
        <f t="array" ref="M400">INDEX( ComputeThermoProps($A400, $B400, ParametersRange), 1, COLUMN()-2 )</f>
        <v>2599.3038909306501</v>
      </c>
    </row>
    <row r="401" spans="1:13" x14ac:dyDescent="0.25">
      <c r="A401">
        <v>111</v>
      </c>
      <c r="B401" s="2">
        <f t="shared" si="14"/>
        <v>4.6196844549764693E-2</v>
      </c>
      <c r="M401" s="2" cm="1">
        <f t="array" ref="M401">INDEX( ComputeThermoProps($A401, $B401, ParametersRange), 1, COLUMN()-2 )</f>
        <v>2617.0458438035203</v>
      </c>
    </row>
    <row r="402" spans="1:13" x14ac:dyDescent="0.25">
      <c r="A402">
        <v>111.5</v>
      </c>
      <c r="B402" s="2">
        <f t="shared" si="14"/>
        <v>4.8596950370936504E-2</v>
      </c>
      <c r="M402" s="2" cm="1">
        <f t="array" ref="M402">INDEX( ComputeThermoProps($A402, $B402, ParametersRange), 1, COLUMN()-2 )</f>
        <v>2634.8533247661967</v>
      </c>
    </row>
    <row r="403" spans="1:13" x14ac:dyDescent="0.25">
      <c r="A403">
        <v>112</v>
      </c>
      <c r="B403" s="2">
        <f t="shared" si="14"/>
        <v>5.1087516800058935E-2</v>
      </c>
      <c r="M403" s="2" cm="1">
        <f t="array" ref="M403">INDEX( ComputeThermoProps($A403, $B403, ParametersRange), 1, COLUMN()-2 )</f>
        <v>2652.7273889571379</v>
      </c>
    </row>
    <row r="404" spans="1:13" x14ac:dyDescent="0.25">
      <c r="A404">
        <v>112.5</v>
      </c>
      <c r="B404" s="2">
        <f t="shared" si="14"/>
        <v>5.3669492774780912E-2</v>
      </c>
      <c r="M404" s="2" cm="1">
        <f t="array" ref="M404">INDEX( ComputeThermoProps($A404, $B404, ParametersRange), 1, COLUMN()-2 )</f>
        <v>2670.6691199676943</v>
      </c>
    </row>
    <row r="405" spans="1:13" x14ac:dyDescent="0.25">
      <c r="A405">
        <v>113</v>
      </c>
      <c r="B405" s="2">
        <f t="shared" si="14"/>
        <v>5.6343480185481729E-2</v>
      </c>
      <c r="M405" s="2" cm="1">
        <f t="array" ref="M405">INDEX( ComputeThermoProps($A405, $B405, ParametersRange), 1, COLUMN()-2 )</f>
        <v>2688.679629418551</v>
      </c>
    </row>
    <row r="406" spans="1:13" x14ac:dyDescent="0.25">
      <c r="A406">
        <v>113.5</v>
      </c>
      <c r="B406" s="2">
        <f t="shared" si="14"/>
        <v>5.9109604412593393E-2</v>
      </c>
      <c r="M406" s="2" cm="1">
        <f t="array" ref="M406">INDEX( ComputeThermoProps($A406, $B406, ParametersRange), 1, COLUMN()-2 )</f>
        <v>2706.7600555648028</v>
      </c>
    </row>
    <row r="407" spans="1:13" x14ac:dyDescent="0.25">
      <c r="A407">
        <v>114</v>
      </c>
      <c r="B407" s="2">
        <f t="shared" si="14"/>
        <v>6.1967300319247992E-2</v>
      </c>
      <c r="M407" s="2" cm="1">
        <f t="array" ref="M407">INDEX( ComputeThermoProps($A407, $B407, ParametersRange), 1, COLUMN()-2 )</f>
        <v>2724.9115599674669</v>
      </c>
    </row>
    <row r="408" spans="1:13" x14ac:dyDescent="0.25">
      <c r="A408">
        <v>114.5</v>
      </c>
      <c r="B408" s="2">
        <f t="shared" ref="B408:B410" si="16">IF(
  A408 &lt;= $B$5,
  $B$6 * EXP( ($B$5/A408) * ( $B$13*(1 - A408/$B$5) + $B$14*(1 - A408/$B$5)^1.5 + $B$15*(1 - A408/$B$5)^5 ) ),
  $B$6 * ( 1 + $B$17 * MAX(A408/$B$5 - 1, 0)^$B$18 + $B$19 * MAX(A408/$B$5 - 1, 0)^$B$20 )
)</f>
        <v>6.4914915367703913E-2</v>
      </c>
      <c r="M408" s="2" cm="1">
        <f t="array" ref="M408">INDEX( ComputeThermoProps($A408, $B408, ParametersRange), 1, COLUMN()-2 )</f>
        <v>2743.1353198519037</v>
      </c>
    </row>
    <row r="409" spans="1:13" x14ac:dyDescent="0.25">
      <c r="A409">
        <v>115</v>
      </c>
      <c r="B409" s="2">
        <f t="shared" si="16"/>
        <v>6.7948828631766101E-2</v>
      </c>
      <c r="M409" s="2" cm="1">
        <f t="array" ref="M409">INDEX( ComputeThermoProps($A409, $B409, ParametersRange), 1, COLUMN()-2 )</f>
        <v>2761.4325088337946</v>
      </c>
    </row>
    <row r="410" spans="1:13" x14ac:dyDescent="0.25">
      <c r="A410">
        <v>115.5</v>
      </c>
      <c r="B410" s="2">
        <f t="shared" si="16"/>
        <v>7.1060689388505432E-2</v>
      </c>
      <c r="M410" s="2" cm="1">
        <f t="array" ref="M410">INDEX( ComputeThermoProps($A410, $B410, ParametersRange), 1, COLUMN()-2 )</f>
        <v>2779.804231989187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Parameters</vt:lpstr>
      <vt:lpstr>Inputs</vt:lpstr>
      <vt:lpstr>Outputs</vt:lpstr>
      <vt:lpstr>Sweep</vt:lpstr>
      <vt:lpstr>Ht_REFPROP</vt:lpstr>
      <vt:lpstr>p_in</vt:lpstr>
      <vt:lpstr>ParametersRange</vt:lpstr>
      <vt:lpstr>pt_REF</vt:lpstr>
      <vt:lpstr>St_REFPROP</vt:lpstr>
      <vt:lpstr>T_in</vt:lpstr>
      <vt:lpstr>Tt_REF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2025-10-04T08:53:41Z</dcterms:modified>
</cp:coreProperties>
</file>