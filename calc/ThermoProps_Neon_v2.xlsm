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321" documentId="8_{B0C8A4BE-9622-4CEE-91F7-C2B4B71EBE2F}" xr6:coauthVersionLast="47" xr6:coauthVersionMax="47" xr10:uidLastSave="{84AEF761-8C95-4CC6-87F4-C2427503BE0B}"/>
  <bookViews>
    <workbookView xWindow="-1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10" i="4"/>
  <c r="B11" i="4" l="1"/>
  <c r="A23" i="4" l="1" a="1"/>
  <c r="A23" i="4" s="1"/>
  <c r="B23" i="4" s="1"/>
  <c r="B3" i="3"/>
  <c r="B8" i="3"/>
  <c r="B13" i="3"/>
  <c r="B6" i="3"/>
  <c r="B2" i="3"/>
  <c r="N23" i="4" a="1"/>
  <c r="K23" i="4" a="1"/>
  <c r="B10" i="3"/>
  <c r="B9" i="3"/>
  <c r="L23" i="4" a="1"/>
  <c r="M23" i="4" a="1"/>
  <c r="B11" i="3"/>
  <c r="J23" i="4" a="1"/>
  <c r="B5" i="3"/>
  <c r="E23" i="4" a="1"/>
  <c r="G23" i="4" a="1"/>
  <c r="I23" i="4" a="1"/>
  <c r="D23" i="4" a="1"/>
  <c r="B4" i="3"/>
  <c r="B12" i="3"/>
  <c r="F23" i="4" a="1"/>
  <c r="H23" i="4" a="1"/>
  <c r="B7" i="3"/>
  <c r="B16" i="3"/>
  <c r="C23" i="4" a="1"/>
  <c r="B81" i="4" l="1"/>
  <c r="B104" i="4"/>
  <c r="B119" i="4"/>
  <c r="B107" i="4"/>
  <c r="B95" i="4"/>
  <c r="B83" i="4"/>
  <c r="B71" i="4"/>
  <c r="B59" i="4"/>
  <c r="B47" i="4"/>
  <c r="B35" i="4"/>
  <c r="B117" i="4"/>
  <c r="B45" i="4"/>
  <c r="B68" i="4"/>
  <c r="B118" i="4"/>
  <c r="B106" i="4"/>
  <c r="B94" i="4"/>
  <c r="B82" i="4"/>
  <c r="B70" i="4"/>
  <c r="B58" i="4"/>
  <c r="B46" i="4"/>
  <c r="B34" i="4"/>
  <c r="B33" i="4"/>
  <c r="B93" i="4"/>
  <c r="B57" i="4"/>
  <c r="B80" i="4"/>
  <c r="B44" i="4"/>
  <c r="B115" i="4"/>
  <c r="B91" i="4"/>
  <c r="B67" i="4"/>
  <c r="B43" i="4"/>
  <c r="B114" i="4"/>
  <c r="B90" i="4"/>
  <c r="B66" i="4"/>
  <c r="B42" i="4"/>
  <c r="B113" i="4"/>
  <c r="B77" i="4"/>
  <c r="B65" i="4"/>
  <c r="B41" i="4"/>
  <c r="B100" i="4"/>
  <c r="B64" i="4"/>
  <c r="B40" i="4"/>
  <c r="B87" i="4"/>
  <c r="B51" i="4"/>
  <c r="B27" i="4"/>
  <c r="B122" i="4"/>
  <c r="B110" i="4"/>
  <c r="B98" i="4"/>
  <c r="B86" i="4"/>
  <c r="B74" i="4"/>
  <c r="B62" i="4"/>
  <c r="B50" i="4"/>
  <c r="B38" i="4"/>
  <c r="B26" i="4"/>
  <c r="B88" i="4"/>
  <c r="B99" i="4"/>
  <c r="B63" i="4"/>
  <c r="B39" i="4"/>
  <c r="B121" i="4"/>
  <c r="B109" i="4"/>
  <c r="B97" i="4"/>
  <c r="B85" i="4"/>
  <c r="B73" i="4"/>
  <c r="B61" i="4"/>
  <c r="B49" i="4"/>
  <c r="B37" i="4"/>
  <c r="B25" i="4"/>
  <c r="B105" i="4"/>
  <c r="B69" i="4"/>
  <c r="B116" i="4"/>
  <c r="B92" i="4"/>
  <c r="B56" i="4"/>
  <c r="B32" i="4"/>
  <c r="B103" i="4"/>
  <c r="B79" i="4"/>
  <c r="B55" i="4"/>
  <c r="B31" i="4"/>
  <c r="B102" i="4"/>
  <c r="B78" i="4"/>
  <c r="B54" i="4"/>
  <c r="B30" i="4"/>
  <c r="B101" i="4"/>
  <c r="B89" i="4"/>
  <c r="B53" i="4"/>
  <c r="B29" i="4"/>
  <c r="B112" i="4"/>
  <c r="B76" i="4"/>
  <c r="B52" i="4"/>
  <c r="B28" i="4"/>
  <c r="B111" i="4"/>
  <c r="B75" i="4"/>
  <c r="B120" i="4"/>
  <c r="B108" i="4"/>
  <c r="B96" i="4"/>
  <c r="B84" i="4"/>
  <c r="B72" i="4"/>
  <c r="B60" i="4"/>
  <c r="B48" i="4"/>
  <c r="B36" i="4"/>
  <c r="B24" i="4"/>
  <c r="G23" i="4"/>
  <c r="M23" i="4"/>
  <c r="P23" i="4" s="1"/>
  <c r="F23" i="4"/>
  <c r="N23" i="4"/>
  <c r="L23" i="4"/>
  <c r="I23" i="4"/>
  <c r="E23" i="4"/>
  <c r="H23" i="4"/>
  <c r="K23" i="4"/>
  <c r="J23" i="4"/>
  <c r="D23" i="4"/>
  <c r="C23" i="4"/>
  <c r="M100" i="4" a="1"/>
  <c r="N116" i="4" a="1"/>
  <c r="D61" i="4" a="1"/>
  <c r="E46" i="4" a="1"/>
  <c r="G41" i="4" a="1"/>
  <c r="H59" i="4" a="1"/>
  <c r="J74" i="4" a="1"/>
  <c r="C56" i="4" a="1"/>
  <c r="M28" i="4" a="1"/>
  <c r="N77" i="4" a="1"/>
  <c r="D82" i="4" a="1"/>
  <c r="E101" i="4" a="1"/>
  <c r="G52" i="4" a="1"/>
  <c r="H116" i="4" a="1"/>
  <c r="J36" i="4" a="1"/>
  <c r="K105" i="4" a="1"/>
  <c r="L39" i="4" a="1"/>
  <c r="N24" i="4" a="1"/>
  <c r="C96" i="4" a="1"/>
  <c r="E73" i="4" a="1"/>
  <c r="F46" i="4" a="1"/>
  <c r="H62" i="4" a="1"/>
  <c r="I71" i="4" a="1"/>
  <c r="M72" i="4" a="1"/>
  <c r="L46" i="4" a="1"/>
  <c r="N79" i="4" a="1"/>
  <c r="C63" i="4" a="1"/>
  <c r="E65" i="4" a="1"/>
  <c r="F78" i="4" a="1"/>
  <c r="H80" i="4" a="1"/>
  <c r="I37" i="4" a="1"/>
  <c r="J109" i="4" a="1"/>
  <c r="L90" i="4" a="1"/>
  <c r="N76" i="4" a="1"/>
  <c r="C69" i="4" a="1"/>
  <c r="E74" i="4" a="1"/>
  <c r="F75" i="4" a="1"/>
  <c r="H65" i="4" a="1"/>
  <c r="I102" i="4" a="1"/>
  <c r="J53" i="4" a="1"/>
  <c r="L40" i="4" a="1"/>
  <c r="M86" i="4" a="1"/>
  <c r="C102" i="4" a="1"/>
  <c r="D32" i="4" a="1"/>
  <c r="F107" i="4" a="1"/>
  <c r="G42" i="4" a="1"/>
  <c r="I119" i="4" a="1"/>
  <c r="J66" i="4" a="1"/>
  <c r="L26" i="4" a="1"/>
  <c r="M97" i="4" a="1"/>
  <c r="C111" i="4" a="1"/>
  <c r="D29" i="4" a="1"/>
  <c r="F94" i="4" a="1"/>
  <c r="G110" i="4" a="1"/>
  <c r="I106" i="4" a="1"/>
  <c r="J122" i="4" a="1"/>
  <c r="J93" i="4" a="1"/>
  <c r="L94" i="4" a="1"/>
  <c r="M33" i="4" a="1"/>
  <c r="C38" i="4" a="1"/>
  <c r="D110" i="4" a="1"/>
  <c r="F36" i="4" a="1"/>
  <c r="G47" i="4" a="1"/>
  <c r="I48" i="4" a="1"/>
  <c r="J59" i="4" a="1"/>
  <c r="L102" i="4" a="1"/>
  <c r="M29" i="4" a="1"/>
  <c r="C70" i="4" a="1"/>
  <c r="D109" i="4" a="1"/>
  <c r="F64" i="4" a="1"/>
  <c r="G92" i="4" a="1"/>
  <c r="I100" i="4" a="1"/>
  <c r="J116" i="4" a="1"/>
  <c r="K33" i="4" a="1"/>
  <c r="M64" i="4" a="1"/>
  <c r="N89" i="4" a="1"/>
  <c r="D49" i="4" a="1"/>
  <c r="E66" i="4" a="1"/>
  <c r="G100" i="4" a="1"/>
  <c r="H34" i="4" a="1"/>
  <c r="J62" i="4" a="1"/>
  <c r="K58" i="4" a="1"/>
  <c r="M106" i="4" a="1"/>
  <c r="N122" i="4" a="1"/>
  <c r="D100" i="4" a="1"/>
  <c r="E120" i="4" a="1"/>
  <c r="G118" i="4" a="1"/>
  <c r="H54" i="4" a="1"/>
  <c r="J80" i="4" a="1"/>
  <c r="K102" i="4" a="1"/>
  <c r="M115" i="4" a="1"/>
  <c r="N39" i="4" a="1"/>
  <c r="D50" i="4" a="1"/>
  <c r="E59" i="4" a="1"/>
  <c r="G44" i="4" a="1"/>
  <c r="K111" i="4" a="1"/>
  <c r="K51" i="4" a="1"/>
  <c r="M31" i="4" a="1"/>
  <c r="N57" i="4" a="1"/>
  <c r="D95" i="4" a="1"/>
  <c r="E116" i="4" a="1"/>
  <c r="G55" i="4" a="1"/>
  <c r="H39" i="4" a="1"/>
  <c r="J76" i="4" a="1"/>
  <c r="K120" i="4" a="1"/>
  <c r="M87" i="4" a="1"/>
  <c r="C68" i="4" a="1"/>
  <c r="D25" i="4" a="1"/>
  <c r="E77" i="4" a="1"/>
  <c r="G67" i="4" a="1"/>
  <c r="H57" i="4" a="1"/>
  <c r="J91" i="4" a="1"/>
  <c r="K34" i="4" a="1"/>
  <c r="L45" i="4" a="1"/>
  <c r="N40" i="4" a="1"/>
  <c r="C86" i="4" a="1"/>
  <c r="E24" i="4" a="1"/>
  <c r="F116" i="4" a="1"/>
  <c r="H52" i="4" a="1"/>
  <c r="I63" i="4" a="1"/>
  <c r="K104" i="4" a="1"/>
  <c r="L116" i="4" a="1"/>
  <c r="N107" i="4" a="1"/>
  <c r="C35" i="4" a="1"/>
  <c r="E79" i="4" a="1"/>
  <c r="F90" i="4" a="1"/>
  <c r="H73" i="4" a="1"/>
  <c r="I58" i="4" a="1"/>
  <c r="M113" i="4" a="1"/>
  <c r="L101" i="4" a="1"/>
  <c r="N94" i="4" a="1"/>
  <c r="C33" i="4" a="1"/>
  <c r="E76" i="4" a="1"/>
  <c r="F27" i="4" a="1"/>
  <c r="H79" i="4" a="1"/>
  <c r="I114" i="4" a="1"/>
  <c r="C113" i="4" a="1"/>
  <c r="L75" i="4" a="1"/>
  <c r="N85" i="4" a="1"/>
  <c r="C114" i="4" a="1"/>
  <c r="E98" i="4" a="1"/>
  <c r="F26" i="4" a="1"/>
  <c r="G29" i="4" a="1"/>
  <c r="I64" i="4" a="1"/>
  <c r="J89" i="4" a="1"/>
  <c r="L71" i="4" a="1"/>
  <c r="N103" i="4" a="1"/>
  <c r="C51" i="4" a="1"/>
  <c r="E113" i="4" a="1"/>
  <c r="F37" i="4" a="1"/>
  <c r="G60" i="4" a="1"/>
  <c r="I38" i="4" a="1"/>
  <c r="J84" i="4" a="1"/>
  <c r="K73" i="4" a="1"/>
  <c r="L37" i="4" a="1"/>
  <c r="M32" i="4" a="1"/>
  <c r="C83" i="4" a="1"/>
  <c r="D60" i="4" a="1"/>
  <c r="F91" i="4" a="1"/>
  <c r="G121" i="4" a="1"/>
  <c r="I115" i="4" a="1"/>
  <c r="J39" i="4" a="1"/>
  <c r="L114" i="4" a="1"/>
  <c r="N48" i="4" a="1"/>
  <c r="C105" i="4" a="1"/>
  <c r="F72" i="4" a="1"/>
  <c r="F111" i="4" a="1"/>
  <c r="G53" i="4" a="1"/>
  <c r="I31" i="4" a="1"/>
  <c r="J57" i="4" a="1"/>
  <c r="L56" i="4" a="1"/>
  <c r="M111" i="4" a="1"/>
  <c r="N72" i="4" a="1"/>
  <c r="D70" i="4" a="1"/>
  <c r="E89" i="4" a="1"/>
  <c r="G31" i="4" a="1"/>
  <c r="H92" i="4" a="1"/>
  <c r="J52" i="4" a="1"/>
  <c r="K32" i="4" a="1"/>
  <c r="M38" i="4" a="1"/>
  <c r="N84" i="4" a="1"/>
  <c r="D31" i="4" a="1"/>
  <c r="E122" i="4" a="1"/>
  <c r="G50" i="4" a="1"/>
  <c r="H66" i="4" a="1"/>
  <c r="J73" i="4" a="1"/>
  <c r="K114" i="4" a="1"/>
  <c r="M49" i="4" a="1"/>
  <c r="N45" i="4" a="1"/>
  <c r="D28" i="4" a="1"/>
  <c r="E39" i="4" a="1"/>
  <c r="G61" i="4" a="1"/>
  <c r="H122" i="4" a="1"/>
  <c r="J79" i="4" a="1"/>
  <c r="M43" i="4" a="1"/>
  <c r="C81" i="4" a="1"/>
  <c r="D88" i="4" a="1"/>
  <c r="E57" i="4" a="1"/>
  <c r="G82" i="4" a="1"/>
  <c r="H45" i="4" a="1"/>
  <c r="J94" i="4" a="1"/>
  <c r="L118" i="4" a="1"/>
  <c r="M120" i="4" a="1"/>
  <c r="C62" i="4" a="1"/>
  <c r="D46" i="4" a="1"/>
  <c r="G117" i="4" a="1"/>
  <c r="G78" i="4" a="1"/>
  <c r="H113" i="4" a="1"/>
  <c r="J102" i="4" a="1"/>
  <c r="K92" i="4" a="1"/>
  <c r="N56" i="4" a="1"/>
  <c r="N75" i="4" a="1"/>
  <c r="D68" i="4" a="1"/>
  <c r="E40" i="4" a="1"/>
  <c r="F57" i="4" a="1"/>
  <c r="H67" i="4" a="1"/>
  <c r="I35" i="4" a="1"/>
  <c r="K100" i="4" a="1"/>
  <c r="L57" i="4" a="1"/>
  <c r="N26" i="4" a="1"/>
  <c r="C97" i="4" a="1"/>
  <c r="E107" i="4" a="1"/>
  <c r="F101" i="4" a="1"/>
  <c r="H24" i="4" a="1"/>
  <c r="I69" i="4" a="1"/>
  <c r="K118" i="4" a="1"/>
  <c r="L77" i="4" a="1"/>
  <c r="N37" i="4" a="1"/>
  <c r="C32" i="4" a="1"/>
  <c r="E94" i="4" a="1"/>
  <c r="F96" i="4" a="1"/>
  <c r="H107" i="4" a="1"/>
  <c r="I30" i="4" a="1"/>
  <c r="K44" i="4" a="1"/>
  <c r="L27" i="4" a="1"/>
  <c r="N36" i="4" a="1"/>
  <c r="C30" i="4" a="1"/>
  <c r="E85" i="4" a="1"/>
  <c r="F71" i="4" a="1"/>
  <c r="H74" i="4" a="1"/>
  <c r="I111" i="4" a="1"/>
  <c r="J72" i="4" a="1"/>
  <c r="L63" i="4" a="1"/>
  <c r="N119" i="4" a="1"/>
  <c r="C108" i="4" a="1"/>
  <c r="E103" i="4" a="1"/>
  <c r="F58" i="4" a="1"/>
  <c r="H85" i="4" a="1"/>
  <c r="I83" i="4" a="1"/>
  <c r="J98" i="4" a="1"/>
  <c r="K24" i="4" a="1"/>
  <c r="L58" i="4" a="1"/>
  <c r="N112" i="4" a="1"/>
  <c r="C99" i="4" a="1"/>
  <c r="E56" i="4" a="1"/>
  <c r="F102" i="4" a="1"/>
  <c r="G109" i="4" a="1"/>
  <c r="I49" i="4" a="1"/>
  <c r="J45" i="4" a="1"/>
  <c r="L30" i="4" a="1"/>
  <c r="N115" i="4" a="1"/>
  <c r="C34" i="4" a="1"/>
  <c r="E48" i="4" a="1"/>
  <c r="F51" i="4" a="1"/>
  <c r="H112" i="4" a="1"/>
  <c r="I43" i="4" a="1"/>
  <c r="J113" i="4" a="1"/>
  <c r="L103" i="4" a="1"/>
  <c r="M51" i="4" a="1"/>
  <c r="C104" i="4" a="1"/>
  <c r="D105" i="4" a="1"/>
  <c r="E93" i="4" a="1"/>
  <c r="G43" i="4" a="1"/>
  <c r="H53" i="4" a="1"/>
  <c r="J67" i="4" a="1"/>
  <c r="K113" i="4" a="1"/>
  <c r="M83" i="4" a="1"/>
  <c r="N98" i="4" a="1"/>
  <c r="D43" i="4" a="1"/>
  <c r="E84" i="4" a="1"/>
  <c r="G28" i="4" a="1"/>
  <c r="H89" i="4" a="1"/>
  <c r="J24" i="4" a="1"/>
  <c r="K42" i="4" a="1"/>
  <c r="M70" i="4" a="1"/>
  <c r="N93" i="4" a="1"/>
  <c r="D87" i="4" a="1"/>
  <c r="E45" i="4" a="1"/>
  <c r="G95" i="4" a="1"/>
  <c r="H84" i="4" a="1"/>
  <c r="J107" i="4" a="1"/>
  <c r="K108" i="4" a="1"/>
  <c r="L104" i="4" a="1"/>
  <c r="M54" i="4" a="1"/>
  <c r="C41" i="4" a="1"/>
  <c r="D59" i="4" a="1"/>
  <c r="F117" i="4" a="1"/>
  <c r="G25" i="4" a="1"/>
  <c r="H93" i="4" a="1"/>
  <c r="J37" i="4" a="1"/>
  <c r="L50" i="4" a="1"/>
  <c r="M122" i="4" a="1"/>
  <c r="C52" i="4" a="1"/>
  <c r="D116" i="4" a="1"/>
  <c r="F44" i="4" a="1"/>
  <c r="G90" i="4" a="1"/>
  <c r="I80" i="4" a="1"/>
  <c r="J114" i="4" a="1"/>
  <c r="K53" i="4" a="1"/>
  <c r="M44" i="4" a="1"/>
  <c r="N27" i="4" a="1"/>
  <c r="D62" i="4" a="1"/>
  <c r="E75" i="4" a="1"/>
  <c r="G80" i="4" a="1"/>
  <c r="H78" i="4" a="1"/>
  <c r="I97" i="4" a="1"/>
  <c r="K31" i="4" a="1"/>
  <c r="M81" i="4" a="1"/>
  <c r="N71" i="4" a="1"/>
  <c r="D80" i="4" a="1"/>
  <c r="E26" i="4" a="1"/>
  <c r="F77" i="4" a="1"/>
  <c r="H40" i="4" a="1"/>
  <c r="I33" i="4" a="1"/>
  <c r="K50" i="4" a="1"/>
  <c r="M68" i="4" a="1"/>
  <c r="N58" i="4" a="1"/>
  <c r="D65" i="4" a="1"/>
  <c r="E37" i="4" a="1"/>
  <c r="F86" i="4" a="1"/>
  <c r="H26" i="4" a="1"/>
  <c r="I42" i="4" a="1"/>
  <c r="K61" i="4" a="1"/>
  <c r="L96" i="4" a="1"/>
  <c r="N91" i="4" a="1"/>
  <c r="C42" i="4" a="1"/>
  <c r="E36" i="4" a="1"/>
  <c r="F63" i="4" a="1"/>
  <c r="H76" i="4" a="1"/>
  <c r="I51" i="4" a="1"/>
  <c r="K81" i="4" a="1"/>
  <c r="L35" i="4" a="1"/>
  <c r="N64" i="4" a="1"/>
  <c r="C110" i="4" a="1"/>
  <c r="E119" i="4" a="1"/>
  <c r="F69" i="4" a="1"/>
  <c r="H36" i="4" a="1"/>
  <c r="I99" i="4" a="1"/>
  <c r="K68" i="4" a="1"/>
  <c r="K75" i="4" a="1"/>
  <c r="L69" i="4" a="1"/>
  <c r="N106" i="4" a="1"/>
  <c r="C47" i="4" a="1"/>
  <c r="E112" i="4" a="1"/>
  <c r="F114" i="4" a="1"/>
  <c r="H103" i="4" a="1"/>
  <c r="I70" i="4" a="1"/>
  <c r="K80" i="4" a="1"/>
  <c r="L42" i="4" a="1"/>
  <c r="N49" i="4" a="1"/>
  <c r="C92" i="4" a="1"/>
  <c r="E115" i="4" a="1"/>
  <c r="F108" i="4" a="1"/>
  <c r="H106" i="4" a="1"/>
  <c r="I54" i="4" a="1"/>
  <c r="K65" i="4" a="1"/>
  <c r="L119" i="4" a="1"/>
  <c r="M108" i="4" a="1"/>
  <c r="C100" i="4" a="1"/>
  <c r="D34" i="4" a="1"/>
  <c r="F112" i="4" a="1"/>
  <c r="G54" i="4" a="1"/>
  <c r="I56" i="4" a="1"/>
  <c r="J78" i="4" a="1"/>
  <c r="L112" i="4" a="1"/>
  <c r="M99" i="4" a="1"/>
  <c r="C118" i="4" a="1"/>
  <c r="D54" i="4" a="1"/>
  <c r="E117" i="4" a="1"/>
  <c r="G87" i="4" a="1"/>
  <c r="H72" i="4" a="1"/>
  <c r="J40" i="4" a="1"/>
  <c r="L48" i="4" a="1"/>
  <c r="M105" i="4" a="1"/>
  <c r="C44" i="4" a="1"/>
  <c r="D120" i="4" a="1"/>
  <c r="F113" i="4" a="1"/>
  <c r="G88" i="4" a="1"/>
  <c r="H98" i="4" a="1"/>
  <c r="J26" i="4" a="1"/>
  <c r="K110" i="4" a="1"/>
  <c r="L100" i="4" a="1"/>
  <c r="M66" i="4" a="1"/>
  <c r="C55" i="4" a="1"/>
  <c r="D39" i="4" a="1"/>
  <c r="F118" i="4" a="1"/>
  <c r="G46" i="4" a="1"/>
  <c r="I68" i="4" a="1"/>
  <c r="J58" i="4" a="1"/>
  <c r="L28" i="4" a="1"/>
  <c r="M84" i="4" a="1"/>
  <c r="C67" i="4" a="1"/>
  <c r="D57" i="4" a="1"/>
  <c r="F61" i="4" a="1"/>
  <c r="G101" i="4" a="1"/>
  <c r="I73" i="4" a="1"/>
  <c r="J30" i="4" a="1"/>
  <c r="N113" i="4" a="1"/>
  <c r="M61" i="4" a="1"/>
  <c r="N96" i="4" a="1"/>
  <c r="D52" i="4" a="1"/>
  <c r="E27" i="4" a="1"/>
  <c r="G73" i="4" a="1"/>
  <c r="H90" i="4" a="1"/>
  <c r="J103" i="4" a="1"/>
  <c r="K43" i="4" a="1"/>
  <c r="M41" i="4" a="1"/>
  <c r="N63" i="4" a="1"/>
  <c r="D73" i="4" a="1"/>
  <c r="E71" i="4" a="1"/>
  <c r="G65" i="4" a="1"/>
  <c r="H75" i="4" a="1"/>
  <c r="I32" i="4" a="1"/>
  <c r="K28" i="4" a="1"/>
  <c r="M62" i="4" a="1"/>
  <c r="N69" i="4" a="1"/>
  <c r="D79" i="4" a="1"/>
  <c r="E58" i="4" a="1"/>
  <c r="G74" i="4" a="1"/>
  <c r="H71" i="4" a="1"/>
  <c r="I60" i="4" a="1"/>
  <c r="K95" i="4" a="1"/>
  <c r="L86" i="4" a="1"/>
  <c r="N102" i="4" a="1"/>
  <c r="C29" i="4" a="1"/>
  <c r="E91" i="4" a="1"/>
  <c r="F35" i="4" a="1"/>
  <c r="H94" i="4" a="1"/>
  <c r="I108" i="4" a="1"/>
  <c r="K41" i="4" a="1"/>
  <c r="L97" i="4" a="1"/>
  <c r="N111" i="4" a="1"/>
  <c r="C60" i="4" a="1"/>
  <c r="E64" i="4" a="1"/>
  <c r="F33" i="4" a="1"/>
  <c r="H91" i="4" a="1"/>
  <c r="I47" i="4" a="1"/>
  <c r="K62" i="4" a="1"/>
  <c r="K27" i="4" a="1"/>
  <c r="L33" i="4" a="1"/>
  <c r="N38" i="4" a="1"/>
  <c r="C121" i="4" a="1"/>
  <c r="E106" i="4" a="1"/>
  <c r="F30" i="4" a="1"/>
  <c r="H119" i="4" a="1"/>
  <c r="I105" i="4" a="1"/>
  <c r="K40" i="4" a="1"/>
  <c r="L29" i="4" a="1"/>
  <c r="N70" i="4" a="1"/>
  <c r="C53" i="4" a="1"/>
  <c r="E49" i="4" a="1"/>
  <c r="F110" i="4" a="1"/>
  <c r="H38" i="4" a="1"/>
  <c r="I66" i="4" a="1"/>
  <c r="K79" i="4" a="1"/>
  <c r="L64" i="4" a="1"/>
  <c r="M110" i="4" a="1"/>
  <c r="C31" i="4" a="1"/>
  <c r="D92" i="4" a="1"/>
  <c r="F106" i="4" a="1"/>
  <c r="G66" i="4" a="1"/>
  <c r="I118" i="4" a="1"/>
  <c r="J90" i="4" a="1"/>
  <c r="L106" i="4" a="1"/>
  <c r="M47" i="4" a="1"/>
  <c r="C50" i="4" a="1"/>
  <c r="D66" i="4" a="1"/>
  <c r="F48" i="4" a="1"/>
  <c r="G120" i="4" a="1"/>
  <c r="N117" i="4" a="1"/>
  <c r="J75" i="4" a="1"/>
  <c r="L115" i="4" a="1"/>
  <c r="M34" i="4" a="1"/>
  <c r="C61" i="4" a="1"/>
  <c r="D122" i="4" a="1"/>
  <c r="F104" i="4" a="1"/>
  <c r="G59" i="4" a="1"/>
  <c r="I81" i="4" a="1"/>
  <c r="J71" i="4" a="1"/>
  <c r="K60" i="4" a="1"/>
  <c r="L31" i="4" a="1"/>
  <c r="M89" i="4" a="1"/>
  <c r="C82" i="4" a="1"/>
  <c r="D45" i="4" a="1"/>
  <c r="F50" i="4" a="1"/>
  <c r="G116" i="4" a="1"/>
  <c r="I62" i="4" a="1"/>
  <c r="J69" i="4" a="1"/>
  <c r="L87" i="4" a="1"/>
  <c r="N68" i="4" a="1"/>
  <c r="C78" i="4" a="1"/>
  <c r="D113" i="4" a="1"/>
  <c r="F95" i="4" a="1"/>
  <c r="G77" i="4" a="1"/>
  <c r="I24" i="4" a="1"/>
  <c r="J42" i="4" a="1"/>
  <c r="K66" i="4" a="1"/>
  <c r="M95" i="4" a="1"/>
  <c r="N86" i="4" a="1"/>
  <c r="D67" i="4" a="1"/>
  <c r="E96" i="4" a="1"/>
  <c r="G24" i="4" a="1"/>
  <c r="H101" i="4" a="1"/>
  <c r="J119" i="4" a="1"/>
  <c r="K89" i="4" a="1"/>
  <c r="M55" i="4" a="1"/>
  <c r="N35" i="4" a="1"/>
  <c r="D24" i="4" a="1"/>
  <c r="E63" i="4" a="1"/>
  <c r="G79" i="4" a="1"/>
  <c r="H27" i="4" a="1"/>
  <c r="J112" i="4" a="1"/>
  <c r="K87" i="4" a="1"/>
  <c r="M52" i="4" a="1"/>
  <c r="N33" i="4" a="1"/>
  <c r="D107" i="4" a="1"/>
  <c r="E69" i="4" a="1"/>
  <c r="G76" i="4" a="1"/>
  <c r="H63" i="4" a="1"/>
  <c r="J48" i="4" a="1"/>
  <c r="K88" i="4" a="1"/>
  <c r="M80" i="4" a="1"/>
  <c r="N114" i="4" a="1"/>
  <c r="D74" i="4" a="1"/>
  <c r="E102" i="4" a="1"/>
  <c r="F97" i="4" a="1"/>
  <c r="H37" i="4" a="1"/>
  <c r="I110" i="4" a="1"/>
  <c r="K55" i="4" a="1"/>
  <c r="M65" i="4" a="1"/>
  <c r="N51" i="4" a="1"/>
  <c r="D85" i="4" a="1"/>
  <c r="E111" i="4" a="1"/>
  <c r="F32" i="4" a="1"/>
  <c r="H102" i="4" a="1"/>
  <c r="I121" i="4" a="1"/>
  <c r="K52" i="4" a="1"/>
  <c r="K86" i="4" a="1"/>
  <c r="L32" i="4" a="1"/>
  <c r="N83" i="4" a="1"/>
  <c r="C109" i="4" a="1"/>
  <c r="E38" i="4" a="1"/>
  <c r="F42" i="4" a="1"/>
  <c r="H64" i="4" a="1"/>
  <c r="I34" i="4" a="1"/>
  <c r="K96" i="4" a="1"/>
  <c r="M85" i="4" a="1"/>
  <c r="N105" i="4" a="1"/>
  <c r="D112" i="4" a="1"/>
  <c r="E70" i="4" a="1"/>
  <c r="F60" i="4" a="1"/>
  <c r="H83" i="4" a="1"/>
  <c r="I89" i="4" a="1"/>
  <c r="K107" i="4" a="1"/>
  <c r="L111" i="4" a="1"/>
  <c r="M60" i="4" a="1"/>
  <c r="C43" i="4" a="1"/>
  <c r="D53" i="4" a="1"/>
  <c r="F38" i="4" a="1"/>
  <c r="G89" i="4" a="1"/>
  <c r="I50" i="4" a="1"/>
  <c r="J101" i="4" a="1"/>
  <c r="L38" i="4" a="1"/>
  <c r="M121" i="4" a="1"/>
  <c r="C28" i="4" a="1"/>
  <c r="D89" i="4" a="1"/>
  <c r="F115" i="4" a="1"/>
  <c r="G122" i="4" a="1"/>
  <c r="I44" i="4" a="1"/>
  <c r="J27" i="4" a="1"/>
  <c r="L49" i="4" a="1"/>
  <c r="M92" i="4" a="1"/>
  <c r="C95" i="4" a="1"/>
  <c r="D84" i="4" a="1"/>
  <c r="F100" i="4" a="1"/>
  <c r="G39" i="4" a="1"/>
  <c r="I41" i="4" a="1"/>
  <c r="J63" i="4" a="1"/>
  <c r="M53" i="4" a="1"/>
  <c r="G45" i="4" a="1"/>
  <c r="J35" i="4" a="1"/>
  <c r="J97" i="4" a="1"/>
  <c r="K47" i="4" a="1"/>
  <c r="L43" i="4" a="1"/>
  <c r="N81" i="4" a="1"/>
  <c r="C25" i="4" a="1"/>
  <c r="D93" i="4" a="1"/>
  <c r="F28" i="4" a="1"/>
  <c r="G57" i="4" a="1"/>
  <c r="I52" i="4" a="1"/>
  <c r="J33" i="4" a="1"/>
  <c r="L120" i="4" a="1"/>
  <c r="N62" i="4" a="1"/>
  <c r="C90" i="4" a="1"/>
  <c r="E68" i="4" a="1"/>
  <c r="F88" i="4" a="1"/>
  <c r="H81" i="4" a="1"/>
  <c r="I40" i="4" a="1"/>
  <c r="J29" i="4" a="1"/>
  <c r="K84" i="4" a="1"/>
  <c r="M88" i="4" a="1"/>
  <c r="C80" i="4" a="1"/>
  <c r="D78" i="4" a="1"/>
  <c r="E86" i="4" a="1"/>
  <c r="G40" i="4" a="1"/>
  <c r="H77" i="4" a="1"/>
  <c r="J64" i="4" a="1"/>
  <c r="K116" i="4" a="1"/>
  <c r="M82" i="4" a="1"/>
  <c r="N97" i="4" a="1"/>
  <c r="D40" i="4" a="1"/>
  <c r="E35" i="4" a="1"/>
  <c r="G107" i="4" a="1"/>
  <c r="H96" i="4" a="1"/>
  <c r="J106" i="4" a="1"/>
  <c r="K98" i="4" a="1"/>
  <c r="M67" i="4" a="1"/>
  <c r="N32" i="4" a="1"/>
  <c r="D26" i="4" a="1"/>
  <c r="E33" i="4" a="1"/>
  <c r="G94" i="4" a="1"/>
  <c r="H35" i="4" a="1"/>
  <c r="J115" i="4" a="1"/>
  <c r="K59" i="4" a="1"/>
  <c r="M73" i="4" a="1"/>
  <c r="N30" i="4" a="1"/>
  <c r="D76" i="4" a="1"/>
  <c r="E114" i="4" a="1"/>
  <c r="G85" i="4" a="1"/>
  <c r="H58" i="4" a="1"/>
  <c r="I53" i="4" a="1"/>
  <c r="K82" i="4" a="1"/>
  <c r="M79" i="4" a="1"/>
  <c r="N108" i="4" a="1"/>
  <c r="D36" i="4" a="1"/>
  <c r="E51" i="4" a="1"/>
  <c r="G103" i="4" a="1"/>
  <c r="H114" i="4" a="1"/>
  <c r="I93" i="4" a="1"/>
  <c r="K67" i="4" a="1"/>
  <c r="K69" i="4" a="1"/>
  <c r="M74" i="4" a="1"/>
  <c r="N99" i="4" a="1"/>
  <c r="D103" i="4" a="1"/>
  <c r="E83" i="4" a="1"/>
  <c r="F29" i="4" a="1"/>
  <c r="H111" i="4" a="1"/>
  <c r="I92" i="4" a="1"/>
  <c r="K117" i="4" a="1"/>
  <c r="M36" i="4" a="1"/>
  <c r="N34" i="4" a="1"/>
  <c r="D106" i="4" a="1"/>
  <c r="E105" i="4" a="1"/>
  <c r="G48" i="4" a="1"/>
  <c r="H99" i="4" a="1"/>
  <c r="J81" i="4" a="1"/>
  <c r="K26" i="4" a="1"/>
  <c r="L51" i="4" a="1"/>
  <c r="N104" i="4" a="1"/>
  <c r="C54" i="4" a="1"/>
  <c r="F93" i="4" a="1"/>
  <c r="F83" i="4" a="1"/>
  <c r="G72" i="4" a="1"/>
  <c r="I28" i="4" a="1"/>
  <c r="J77" i="4" a="1"/>
  <c r="L83" i="4" a="1"/>
  <c r="M109" i="4" a="1"/>
  <c r="C87" i="4" a="1"/>
  <c r="D72" i="4" a="1"/>
  <c r="F49" i="4" a="1"/>
  <c r="G84" i="4" a="1"/>
  <c r="I61" i="4" a="1"/>
  <c r="J96" i="4" a="1"/>
  <c r="L70" i="4" a="1"/>
  <c r="M93" i="4" a="1"/>
  <c r="C88" i="4" a="1"/>
  <c r="D98" i="4" a="1"/>
  <c r="F31" i="4" a="1"/>
  <c r="I55" i="4" a="1"/>
  <c r="L93" i="4" a="1"/>
  <c r="K38" i="4" a="1"/>
  <c r="L54" i="4" a="1"/>
  <c r="N41" i="4" a="1"/>
  <c r="C46" i="4" a="1"/>
  <c r="E81" i="4" a="1"/>
  <c r="F87" i="4" a="1"/>
  <c r="G113" i="4" a="1"/>
  <c r="I67" i="4" a="1"/>
  <c r="J32" i="4" a="1"/>
  <c r="L122" i="4" a="1"/>
  <c r="N52" i="4" a="1"/>
  <c r="C101" i="4" a="1"/>
  <c r="E62" i="4" a="1"/>
  <c r="F59" i="4" a="1"/>
  <c r="H41" i="4" a="1"/>
  <c r="I75" i="4" a="1"/>
  <c r="L117" i="4" a="1"/>
  <c r="L44" i="4" a="1"/>
  <c r="M59" i="4" a="1"/>
  <c r="C73" i="4" a="1"/>
  <c r="D90" i="4" a="1"/>
  <c r="F81" i="4" a="1"/>
  <c r="G75" i="4" a="1"/>
  <c r="H56" i="4" a="1"/>
  <c r="J111" i="4" a="1"/>
  <c r="L81" i="4" a="1"/>
  <c r="M25" i="4" a="1"/>
  <c r="C65" i="4" a="1"/>
  <c r="D75" i="4" a="1"/>
  <c r="E97" i="4" a="1"/>
  <c r="G26" i="4" a="1"/>
  <c r="H86" i="4" a="1"/>
  <c r="J38" i="4" a="1"/>
  <c r="L68" i="4" a="1"/>
  <c r="M78" i="4" a="1"/>
  <c r="C74" i="4" a="1"/>
  <c r="D71" i="4" a="1"/>
  <c r="E32" i="4" a="1"/>
  <c r="G37" i="4" a="1"/>
  <c r="H97" i="4" a="1"/>
  <c r="J49" i="4" a="1"/>
  <c r="K39" i="4" a="1"/>
  <c r="M24" i="4" a="1"/>
  <c r="N42" i="4" a="1"/>
  <c r="D94" i="4" a="1"/>
  <c r="E30" i="4" a="1"/>
  <c r="G36" i="4" a="1"/>
  <c r="H69" i="4" a="1"/>
  <c r="J104" i="4" a="1"/>
  <c r="K25" i="4" a="1"/>
  <c r="M107" i="4" a="1"/>
  <c r="N110" i="4" a="1"/>
  <c r="D91" i="4" a="1"/>
  <c r="E108" i="4" a="1"/>
  <c r="G119" i="4" a="1"/>
  <c r="H30" i="4" a="1"/>
  <c r="J118" i="4" a="1"/>
  <c r="K78" i="4" a="1"/>
  <c r="L98" i="4" a="1"/>
  <c r="M76" i="4" a="1"/>
  <c r="N47" i="4" a="1"/>
  <c r="D119" i="4" a="1"/>
  <c r="E99" i="4" a="1"/>
  <c r="G112" i="4" a="1"/>
  <c r="H51" i="4" a="1"/>
  <c r="I117" i="4" a="1"/>
  <c r="K30" i="4" a="1"/>
  <c r="M91" i="4" a="1"/>
  <c r="N92" i="4" a="1"/>
  <c r="D38" i="4" a="1"/>
  <c r="E34" i="4" a="1"/>
  <c r="G115" i="4" a="1"/>
  <c r="H47" i="4" a="1"/>
  <c r="J41" i="4" a="1"/>
  <c r="K71" i="4" a="1"/>
  <c r="L108" i="4" a="1"/>
  <c r="N100" i="4" a="1"/>
  <c r="C66" i="4" a="1"/>
  <c r="E104" i="4" a="1"/>
  <c r="F99" i="4" a="1"/>
  <c r="H48" i="4" a="1"/>
  <c r="I87" i="4" a="1"/>
  <c r="J56" i="4" a="1"/>
  <c r="L99" i="4" a="1"/>
  <c r="N118" i="4" a="1"/>
  <c r="C120" i="4" a="1"/>
  <c r="F56" i="4" a="1"/>
  <c r="F70" i="4" a="1"/>
  <c r="G98" i="4" a="1"/>
  <c r="I95" i="4" a="1"/>
  <c r="J86" i="4" a="1"/>
  <c r="L105" i="4" a="1"/>
  <c r="N44" i="4" a="1"/>
  <c r="C59" i="4" a="1"/>
  <c r="G56" i="4" a="1"/>
  <c r="F43" i="4" a="1"/>
  <c r="G93" i="4" a="1"/>
  <c r="I82" i="4" a="1"/>
  <c r="K106" i="4" a="1"/>
  <c r="L66" i="4" a="1"/>
  <c r="N55" i="4" a="1"/>
  <c r="C116" i="4" a="1"/>
  <c r="E41" i="4" a="1"/>
  <c r="F120" i="4" a="1"/>
  <c r="H44" i="4" a="1"/>
  <c r="I78" i="4" a="1"/>
  <c r="K112" i="4" a="1"/>
  <c r="L84" i="4" a="1"/>
  <c r="N67" i="4" a="1"/>
  <c r="C77" i="4" a="1"/>
  <c r="E52" i="4" a="1"/>
  <c r="F39" i="4" a="1"/>
  <c r="H55" i="4" a="1"/>
  <c r="I27" i="4" a="1"/>
  <c r="K48" i="4" a="1"/>
  <c r="L61" i="4" a="1"/>
  <c r="M39" i="4" a="1"/>
  <c r="C24" i="4" a="1"/>
  <c r="D101" i="4" a="1"/>
  <c r="F41" i="4" a="1"/>
  <c r="G27" i="4" a="1"/>
  <c r="I65" i="4" a="1"/>
  <c r="J51" i="4" a="1"/>
  <c r="L41" i="4" a="1"/>
  <c r="M46" i="4" a="1"/>
  <c r="C79" i="4" a="1"/>
  <c r="D27" i="4" a="1"/>
  <c r="F68" i="4" a="1"/>
  <c r="G71" i="4" a="1"/>
  <c r="H117" i="4" a="1"/>
  <c r="J83" i="4" a="1"/>
  <c r="L62" i="4" a="1"/>
  <c r="M90" i="4" a="1"/>
  <c r="C76" i="4" a="1"/>
  <c r="D63" i="4" a="1"/>
  <c r="F80" i="4" a="1"/>
  <c r="G58" i="4" a="1"/>
  <c r="I29" i="4" a="1"/>
  <c r="J70" i="4" a="1"/>
  <c r="K93" i="4" a="1"/>
  <c r="M40" i="4" a="1"/>
  <c r="N29" i="4" a="1"/>
  <c r="D37" i="4" a="1"/>
  <c r="E42" i="4" a="1"/>
  <c r="G91" i="4" a="1"/>
  <c r="H33" i="4" a="1"/>
  <c r="J100" i="4" a="1"/>
  <c r="K46" i="4" a="1"/>
  <c r="M26" i="4" a="1"/>
  <c r="N60" i="4" a="1"/>
  <c r="D102" i="4" a="1"/>
  <c r="E110" i="4" a="1"/>
  <c r="G64" i="4" a="1"/>
  <c r="H42" i="4" a="1"/>
  <c r="J50" i="4" a="1"/>
  <c r="K90" i="4" a="1"/>
  <c r="K29" i="4" a="1"/>
  <c r="M94" i="4" a="1"/>
  <c r="N121" i="4" a="1"/>
  <c r="D64" i="4" a="1"/>
  <c r="E47" i="4" a="1"/>
  <c r="G106" i="4" a="1"/>
  <c r="H108" i="4" a="1"/>
  <c r="J44" i="4" a="1"/>
  <c r="K45" i="4" a="1"/>
  <c r="M102" i="4" a="1"/>
  <c r="N53" i="4" a="1"/>
  <c r="D83" i="4" a="1"/>
  <c r="E92" i="4" a="1"/>
  <c r="G49" i="4" a="1"/>
  <c r="H121" i="4" a="1"/>
  <c r="J55" i="4" a="1"/>
  <c r="K63" i="4" a="1"/>
  <c r="L110" i="4" a="1"/>
  <c r="N31" i="4" a="1"/>
  <c r="C89" i="4" a="1"/>
  <c r="E100" i="4" a="1"/>
  <c r="F47" i="4" a="1"/>
  <c r="H115" i="4" a="1"/>
  <c r="I120" i="4" a="1"/>
  <c r="K74" i="4" a="1"/>
  <c r="L47" i="4" a="1"/>
  <c r="N50" i="4" a="1"/>
  <c r="C122" i="4" a="1"/>
  <c r="E118" i="4" a="1"/>
  <c r="F105" i="4" a="1"/>
  <c r="H104" i="4" a="1"/>
  <c r="I88" i="4" a="1"/>
  <c r="J117" i="4" a="1"/>
  <c r="L34" i="4" a="1"/>
  <c r="N61" i="4" a="1"/>
  <c r="C39" i="4" a="1"/>
  <c r="E44" i="4" a="1"/>
  <c r="F54" i="4" a="1"/>
  <c r="H118" i="4" a="1"/>
  <c r="I25" i="4" a="1"/>
  <c r="L53" i="4" a="1"/>
  <c r="L89" i="4" a="1"/>
  <c r="N82" i="4" a="1"/>
  <c r="C57" i="4" a="1"/>
  <c r="E55" i="4" a="1"/>
  <c r="F122" i="4" a="1"/>
  <c r="H61" i="4" a="1"/>
  <c r="I90" i="4" a="1"/>
  <c r="K83" i="4" a="1"/>
  <c r="M117" i="4" a="1"/>
  <c r="N78" i="4" a="1"/>
  <c r="D81" i="4" a="1"/>
  <c r="E67" i="4" a="1"/>
  <c r="F45" i="4" a="1"/>
  <c r="H82" i="4" a="1"/>
  <c r="I96" i="4" a="1"/>
  <c r="K115" i="4" a="1"/>
  <c r="L95" i="4" a="1"/>
  <c r="M45" i="4" a="1"/>
  <c r="C40" i="4" a="1"/>
  <c r="D77" i="4" a="1"/>
  <c r="F55" i="4" a="1"/>
  <c r="G96" i="4" a="1"/>
  <c r="I79" i="4" a="1"/>
  <c r="J108" i="4" a="1"/>
  <c r="L55" i="4" a="1"/>
  <c r="M116" i="4" a="1"/>
  <c r="C107" i="4" a="1"/>
  <c r="D96" i="4" a="1"/>
  <c r="F62" i="4" a="1"/>
  <c r="G63" i="4" a="1"/>
  <c r="I74" i="4" a="1"/>
  <c r="J99" i="4" a="1"/>
  <c r="L52" i="4" a="1"/>
  <c r="M101" i="4" a="1"/>
  <c r="C94" i="4" a="1"/>
  <c r="D35" i="4" a="1"/>
  <c r="F73" i="4" a="1"/>
  <c r="G69" i="4" a="1"/>
  <c r="I85" i="4" a="1"/>
  <c r="J105" i="4" a="1"/>
  <c r="L80" i="4" a="1"/>
  <c r="M75" i="4" a="1"/>
  <c r="C85" i="4" a="1"/>
  <c r="D58" i="4" a="1"/>
  <c r="E29" i="4" a="1"/>
  <c r="G102" i="4" a="1"/>
  <c r="H32" i="4" a="1"/>
  <c r="J31" i="4" a="1"/>
  <c r="L65" i="4" a="1"/>
  <c r="M71" i="4" a="1"/>
  <c r="C103" i="4" a="1"/>
  <c r="D114" i="4" a="1"/>
  <c r="E60" i="4" a="1"/>
  <c r="G111" i="4" a="1"/>
  <c r="H29" i="4" a="1"/>
  <c r="J28" i="4" a="1"/>
  <c r="K101" i="4" a="1"/>
  <c r="K57" i="4" a="1"/>
  <c r="M37" i="4" a="1"/>
  <c r="N109" i="4" a="1"/>
  <c r="D111" i="4" a="1"/>
  <c r="E121" i="4" a="1"/>
  <c r="G38" i="4" a="1"/>
  <c r="H110" i="4" a="1"/>
  <c r="J61" i="4" a="1"/>
  <c r="L85" i="4" a="1"/>
  <c r="M114" i="4" a="1"/>
  <c r="C48" i="4" a="1"/>
  <c r="D99" i="4" a="1"/>
  <c r="E72" i="4" a="1"/>
  <c r="G70" i="4" a="1"/>
  <c r="H109" i="4" a="1"/>
  <c r="J82" i="4" a="1"/>
  <c r="K35" i="4" a="1"/>
  <c r="L60" i="4" a="1"/>
  <c r="N43" i="4" a="1"/>
  <c r="C72" i="4" a="1"/>
  <c r="E31" i="4" a="1"/>
  <c r="F121" i="4" a="1"/>
  <c r="H49" i="4" a="1"/>
  <c r="I122" i="4" a="1"/>
  <c r="K76" i="4" a="1"/>
  <c r="L121" i="4" a="1"/>
  <c r="N28" i="4" a="1"/>
  <c r="C84" i="4" a="1"/>
  <c r="E50" i="4" a="1"/>
  <c r="F34" i="4" a="1"/>
  <c r="H100" i="4" a="1"/>
  <c r="I59" i="4" a="1"/>
  <c r="K85" i="4" a="1"/>
  <c r="L92" i="4" a="1"/>
  <c r="N95" i="4" a="1"/>
  <c r="C45" i="4" a="1"/>
  <c r="E61" i="4" a="1"/>
  <c r="F66" i="4" a="1"/>
  <c r="H50" i="4" a="1"/>
  <c r="I46" i="4" a="1"/>
  <c r="K103" i="4" a="1"/>
  <c r="K99" i="4" a="1"/>
  <c r="M98" i="4" a="1"/>
  <c r="N25" i="4" a="1"/>
  <c r="C117" i="4" a="1"/>
  <c r="E82" i="4" a="1"/>
  <c r="F84" i="4" a="1"/>
  <c r="H95" i="4" a="1"/>
  <c r="I101" i="4" a="1"/>
  <c r="K121" i="4" a="1"/>
  <c r="M118" i="4" a="1"/>
  <c r="N90" i="4" a="1"/>
  <c r="D41" i="4" a="1"/>
  <c r="E78" i="4" a="1"/>
  <c r="G68" i="4" a="1"/>
  <c r="H25" i="4" a="1"/>
  <c r="I86" i="4" a="1"/>
  <c r="K49" i="4" a="1"/>
  <c r="L88" i="4" a="1"/>
  <c r="N80" i="4" a="1"/>
  <c r="C75" i="4" a="1"/>
  <c r="D56" i="4" a="1"/>
  <c r="F82" i="4" a="1"/>
  <c r="G86" i="4" a="1"/>
  <c r="I107" i="4" a="1"/>
  <c r="J110" i="4" a="1"/>
  <c r="L82" i="4" a="1"/>
  <c r="M57" i="4" a="1"/>
  <c r="C26" i="4" a="1"/>
  <c r="D86" i="4" a="1"/>
  <c r="F52" i="4" a="1"/>
  <c r="G35" i="4" a="1"/>
  <c r="I76" i="4" a="1"/>
  <c r="J47" i="4" a="1"/>
  <c r="L67" i="4" a="1"/>
  <c r="M77" i="4" a="1"/>
  <c r="C37" i="4" a="1"/>
  <c r="D97" i="4" a="1"/>
  <c r="F24" i="4" a="1"/>
  <c r="G33" i="4" a="1"/>
  <c r="I36" i="4" a="1"/>
  <c r="J34" i="4" a="1"/>
  <c r="L73" i="4" a="1"/>
  <c r="M27" i="4" a="1"/>
  <c r="C36" i="4" a="1"/>
  <c r="D69" i="4" a="1"/>
  <c r="F65" i="4" a="1"/>
  <c r="G114" i="4" a="1"/>
  <c r="I109" i="4" a="1"/>
  <c r="J43" i="4" a="1"/>
  <c r="L79" i="4" a="1"/>
  <c r="M63" i="4" a="1"/>
  <c r="C119" i="4" a="1"/>
  <c r="D30" i="4" a="1"/>
  <c r="F74" i="4" a="1"/>
  <c r="G51" i="4" a="1"/>
  <c r="I72" i="4" a="1"/>
  <c r="J87" i="4" a="1"/>
  <c r="K77" i="4" a="1"/>
  <c r="L74" i="4" a="1"/>
  <c r="M58" i="4" a="1"/>
  <c r="C112" i="4" a="1"/>
  <c r="D51" i="4" a="1"/>
  <c r="E109" i="4" a="1"/>
  <c r="G83" i="4" a="1"/>
  <c r="H60" i="4" a="1"/>
  <c r="J95" i="4" a="1"/>
  <c r="L36" i="4" a="1"/>
  <c r="M30" i="4" a="1"/>
  <c r="C115" i="4" a="1"/>
  <c r="D47" i="4" a="1"/>
  <c r="F103" i="4" a="1"/>
  <c r="G105" i="4" a="1"/>
  <c r="I113" i="4" a="1"/>
  <c r="J25" i="4" a="1"/>
  <c r="K97" i="4" a="1"/>
  <c r="M103" i="4" a="1"/>
  <c r="N54" i="4" a="1"/>
  <c r="D48" i="4" a="1"/>
  <c r="E43" i="4" a="1"/>
  <c r="F109" i="4" a="1"/>
  <c r="H70" i="4" a="1"/>
  <c r="I84" i="4" a="1"/>
  <c r="K94" i="4" a="1"/>
  <c r="L72" i="4" a="1"/>
  <c r="N87" i="4" a="1"/>
  <c r="C98" i="4" a="1"/>
  <c r="E28" i="4" a="1"/>
  <c r="F92" i="4" a="1"/>
  <c r="H31" i="4" a="1"/>
  <c r="I39" i="4" a="1"/>
  <c r="K36" i="4" a="1"/>
  <c r="L113" i="4" a="1"/>
  <c r="N88" i="4" a="1"/>
  <c r="C93" i="4" a="1"/>
  <c r="E95" i="4" a="1"/>
  <c r="F89" i="4" a="1"/>
  <c r="H28" i="4" a="1"/>
  <c r="I116" i="4" a="1"/>
  <c r="K119" i="4" a="1"/>
  <c r="M104" i="4" a="1"/>
  <c r="N46" i="4" a="1"/>
  <c r="D44" i="4" a="1"/>
  <c r="E25" i="4" a="1"/>
  <c r="G81" i="4" a="1"/>
  <c r="H88" i="4" a="1"/>
  <c r="I77" i="4" a="1"/>
  <c r="M56" i="4" a="1"/>
  <c r="M50" i="4" a="1"/>
  <c r="N101" i="4" a="1"/>
  <c r="D55" i="4" a="1"/>
  <c r="E90" i="4" a="1"/>
  <c r="G62" i="4" a="1"/>
  <c r="H46" i="4" a="1"/>
  <c r="J85" i="4" a="1"/>
  <c r="K70" i="4" a="1"/>
  <c r="L59" i="4" a="1"/>
  <c r="N73" i="4" a="1"/>
  <c r="C27" i="4" a="1"/>
  <c r="E80" i="4" a="1"/>
  <c r="F25" i="4" a="1"/>
  <c r="H68" i="4" a="1"/>
  <c r="I26" i="4" a="1"/>
  <c r="J60" i="4" a="1"/>
  <c r="L25" i="4" a="1"/>
  <c r="N65" i="4" a="1"/>
  <c r="C71" i="4" a="1"/>
  <c r="D117" i="4" a="1"/>
  <c r="F67" i="4" a="1"/>
  <c r="G97" i="4" a="1"/>
  <c r="I94" i="4" a="1"/>
  <c r="J121" i="4" a="1"/>
  <c r="L78" i="4" a="1"/>
  <c r="N74" i="4" a="1"/>
  <c r="C58" i="4" a="1"/>
  <c r="E53" i="4" a="1"/>
  <c r="F40" i="4" a="1"/>
  <c r="G32" i="4" a="1"/>
  <c r="I91" i="4" a="1"/>
  <c r="J92" i="4" a="1"/>
  <c r="L24" i="4" a="1"/>
  <c r="M96" i="4" a="1"/>
  <c r="C91" i="4" a="1"/>
  <c r="D33" i="4" a="1"/>
  <c r="F79" i="4" a="1"/>
  <c r="G30" i="4" a="1"/>
  <c r="I103" i="4" a="1"/>
  <c r="J54" i="4" a="1"/>
  <c r="L107" i="4" a="1"/>
  <c r="M35" i="4" a="1"/>
  <c r="C64" i="4" a="1"/>
  <c r="D42" i="4" a="1"/>
  <c r="F76" i="4" a="1"/>
  <c r="G108" i="4" a="1"/>
  <c r="I112" i="4" a="1"/>
  <c r="J120" i="4" a="1"/>
  <c r="K56" i="4" a="1"/>
  <c r="L76" i="4" a="1"/>
  <c r="M69" i="4" a="1"/>
  <c r="C106" i="4" a="1"/>
  <c r="D108" i="4" a="1"/>
  <c r="F85" i="4" a="1"/>
  <c r="G99" i="4" a="1"/>
  <c r="I98" i="4" a="1"/>
  <c r="J88" i="4" a="1"/>
  <c r="L91" i="4" a="1"/>
  <c r="M42" i="4" a="1"/>
  <c r="C49" i="4" a="1"/>
  <c r="D121" i="4" a="1"/>
  <c r="F119" i="4" a="1"/>
  <c r="G34" i="4" a="1"/>
  <c r="I104" i="4" a="1"/>
  <c r="J46" i="4" a="1"/>
  <c r="L109" i="4" a="1"/>
  <c r="M119" i="4" a="1"/>
  <c r="N66" i="4" a="1"/>
  <c r="D115" i="4" a="1"/>
  <c r="E54" i="4" a="1"/>
  <c r="G104" i="4" a="1"/>
  <c r="H105" i="4" a="1"/>
  <c r="J68" i="4" a="1"/>
  <c r="K37" i="4" a="1"/>
  <c r="M112" i="4" a="1"/>
  <c r="N120" i="4" a="1"/>
  <c r="D104" i="4" a="1"/>
  <c r="E87" i="4" a="1"/>
  <c r="F53" i="4" a="1"/>
  <c r="H43" i="4" a="1"/>
  <c r="I45" i="4" a="1"/>
  <c r="K91" i="4" a="1"/>
  <c r="M48" i="4" a="1"/>
  <c r="N59" i="4" a="1"/>
  <c r="D118" i="4" a="1"/>
  <c r="E88" i="4" a="1"/>
  <c r="F98" i="4" a="1"/>
  <c r="H87" i="4" a="1"/>
  <c r="I57" i="4" a="1"/>
  <c r="K64" i="4" a="1"/>
  <c r="K109" i="4" a="1"/>
  <c r="H120" i="4" a="1"/>
  <c r="J65" i="4" a="1"/>
  <c r="K54" i="4" a="1"/>
  <c r="K72" i="4" a="1"/>
  <c r="K122" i="4" a="1"/>
  <c r="N117" i="4" l="1"/>
  <c r="M117" i="4"/>
  <c r="P117" i="4" s="1"/>
  <c r="L117" i="4"/>
  <c r="K117" i="4"/>
  <c r="J117" i="4"/>
  <c r="I117" i="4"/>
  <c r="H117" i="4"/>
  <c r="G117" i="4"/>
  <c r="F117" i="4"/>
  <c r="E117" i="4"/>
  <c r="D117" i="4"/>
  <c r="C117" i="4"/>
  <c r="N56" i="4"/>
  <c r="M56" i="4"/>
  <c r="P56" i="4" s="1"/>
  <c r="L56" i="4"/>
  <c r="K56" i="4"/>
  <c r="J56" i="4"/>
  <c r="I56" i="4"/>
  <c r="H56" i="4"/>
  <c r="G56" i="4"/>
  <c r="F56" i="4"/>
  <c r="E56" i="4"/>
  <c r="D56" i="4"/>
  <c r="C56" i="4"/>
  <c r="N113" i="4"/>
  <c r="M113" i="4"/>
  <c r="P113" i="4" s="1"/>
  <c r="L113" i="4"/>
  <c r="K113" i="4"/>
  <c r="J113" i="4"/>
  <c r="I113" i="4"/>
  <c r="H113" i="4"/>
  <c r="G113" i="4"/>
  <c r="F113" i="4"/>
  <c r="E113" i="4"/>
  <c r="D113" i="4"/>
  <c r="C113" i="4"/>
  <c r="N93" i="4"/>
  <c r="M93" i="4"/>
  <c r="P93" i="4" s="1"/>
  <c r="L93" i="4"/>
  <c r="K93" i="4"/>
  <c r="J93" i="4"/>
  <c r="I93" i="4"/>
  <c r="H93" i="4"/>
  <c r="G93" i="4"/>
  <c r="F93" i="4"/>
  <c r="E93" i="4"/>
  <c r="D93" i="4"/>
  <c r="C93" i="4"/>
  <c r="N98" i="4"/>
  <c r="M98" i="4"/>
  <c r="P98" i="4" s="1"/>
  <c r="L98" i="4"/>
  <c r="K98" i="4"/>
  <c r="J98" i="4"/>
  <c r="I98" i="4"/>
  <c r="H98" i="4"/>
  <c r="G98" i="4"/>
  <c r="F98" i="4"/>
  <c r="E98" i="4"/>
  <c r="D98" i="4"/>
  <c r="C98" i="4"/>
  <c r="N72" i="4"/>
  <c r="M72" i="4"/>
  <c r="P72" i="4" s="1"/>
  <c r="L72" i="4"/>
  <c r="K72" i="4"/>
  <c r="J72" i="4"/>
  <c r="I72" i="4"/>
  <c r="H72" i="4"/>
  <c r="G72" i="4"/>
  <c r="F72" i="4"/>
  <c r="E72" i="4"/>
  <c r="D72" i="4"/>
  <c r="C72" i="4"/>
  <c r="N53" i="4"/>
  <c r="M53" i="4"/>
  <c r="P53" i="4" s="1"/>
  <c r="L53" i="4"/>
  <c r="K53" i="4"/>
  <c r="J53" i="4"/>
  <c r="I53" i="4"/>
  <c r="H53" i="4"/>
  <c r="G53" i="4"/>
  <c r="F53" i="4"/>
  <c r="E53" i="4"/>
  <c r="D53" i="4"/>
  <c r="C53" i="4"/>
  <c r="N109" i="4"/>
  <c r="M109" i="4"/>
  <c r="P109" i="4" s="1"/>
  <c r="L109" i="4"/>
  <c r="K109" i="4"/>
  <c r="J109" i="4"/>
  <c r="I109" i="4"/>
  <c r="H109" i="4"/>
  <c r="G109" i="4"/>
  <c r="F109" i="4"/>
  <c r="E109" i="4"/>
  <c r="D109" i="4"/>
  <c r="C109" i="4"/>
  <c r="N60" i="4"/>
  <c r="M60" i="4"/>
  <c r="P60" i="4" s="1"/>
  <c r="L60" i="4"/>
  <c r="K60" i="4"/>
  <c r="J60" i="4"/>
  <c r="I60" i="4"/>
  <c r="H60" i="4"/>
  <c r="G60" i="4"/>
  <c r="F60" i="4"/>
  <c r="E60" i="4"/>
  <c r="D60" i="4"/>
  <c r="C60" i="4"/>
  <c r="N29" i="4"/>
  <c r="M29" i="4"/>
  <c r="P29" i="4" s="1"/>
  <c r="L29" i="4"/>
  <c r="K29" i="4"/>
  <c r="J29" i="4"/>
  <c r="I29" i="4"/>
  <c r="H29" i="4"/>
  <c r="G29" i="4"/>
  <c r="F29" i="4"/>
  <c r="E29" i="4"/>
  <c r="D29" i="4"/>
  <c r="C29" i="4"/>
  <c r="N32" i="4"/>
  <c r="M32" i="4"/>
  <c r="P32" i="4" s="1"/>
  <c r="L32" i="4"/>
  <c r="K32" i="4"/>
  <c r="J32" i="4"/>
  <c r="I32" i="4"/>
  <c r="H32" i="4"/>
  <c r="G32" i="4"/>
  <c r="F32" i="4"/>
  <c r="E32" i="4"/>
  <c r="D32" i="4"/>
  <c r="C32" i="4"/>
  <c r="N97" i="4"/>
  <c r="M97" i="4"/>
  <c r="P97" i="4" s="1"/>
  <c r="L97" i="4"/>
  <c r="K97" i="4"/>
  <c r="J97" i="4"/>
  <c r="I97" i="4"/>
  <c r="H97" i="4"/>
  <c r="G97" i="4"/>
  <c r="F97" i="4"/>
  <c r="E97" i="4"/>
  <c r="D97" i="4"/>
  <c r="C97" i="4"/>
  <c r="N86" i="4"/>
  <c r="M86" i="4"/>
  <c r="P86" i="4" s="1"/>
  <c r="L86" i="4"/>
  <c r="K86" i="4"/>
  <c r="J86" i="4"/>
  <c r="I86" i="4"/>
  <c r="H86" i="4"/>
  <c r="G86" i="4"/>
  <c r="F86" i="4"/>
  <c r="E86" i="4"/>
  <c r="D86" i="4"/>
  <c r="C86" i="4"/>
  <c r="N77" i="4"/>
  <c r="M77" i="4"/>
  <c r="P77" i="4" s="1"/>
  <c r="L77" i="4"/>
  <c r="K77" i="4"/>
  <c r="J77" i="4"/>
  <c r="I77" i="4"/>
  <c r="H77" i="4"/>
  <c r="G77" i="4"/>
  <c r="F77" i="4"/>
  <c r="E77" i="4"/>
  <c r="D77" i="4"/>
  <c r="C77" i="4"/>
  <c r="N57" i="4"/>
  <c r="M57" i="4"/>
  <c r="P57" i="4" s="1"/>
  <c r="L57" i="4"/>
  <c r="K57" i="4"/>
  <c r="J57" i="4"/>
  <c r="I57" i="4"/>
  <c r="H57" i="4"/>
  <c r="G57" i="4"/>
  <c r="F57" i="4"/>
  <c r="E57" i="4"/>
  <c r="D57" i="4"/>
  <c r="C57" i="4"/>
  <c r="N45" i="4"/>
  <c r="M45" i="4"/>
  <c r="P45" i="4" s="1"/>
  <c r="L45" i="4"/>
  <c r="K45" i="4"/>
  <c r="J45" i="4"/>
  <c r="I45" i="4"/>
  <c r="H45" i="4"/>
  <c r="G45" i="4"/>
  <c r="F45" i="4"/>
  <c r="E45" i="4"/>
  <c r="D45" i="4"/>
  <c r="C45" i="4"/>
  <c r="N84" i="4"/>
  <c r="M84" i="4"/>
  <c r="P84" i="4" s="1"/>
  <c r="L84" i="4"/>
  <c r="K84" i="4"/>
  <c r="J84" i="4"/>
  <c r="I84" i="4"/>
  <c r="H84" i="4"/>
  <c r="G84" i="4"/>
  <c r="F84" i="4"/>
  <c r="E84" i="4"/>
  <c r="D84" i="4"/>
  <c r="C84" i="4"/>
  <c r="N89" i="4"/>
  <c r="M89" i="4"/>
  <c r="P89" i="4" s="1"/>
  <c r="L89" i="4"/>
  <c r="K89" i="4"/>
  <c r="J89" i="4"/>
  <c r="I89" i="4"/>
  <c r="H89" i="4"/>
  <c r="G89" i="4"/>
  <c r="F89" i="4"/>
  <c r="E89" i="4"/>
  <c r="D89" i="4"/>
  <c r="C89" i="4"/>
  <c r="N92" i="4"/>
  <c r="M92" i="4"/>
  <c r="P92" i="4" s="1"/>
  <c r="L92" i="4"/>
  <c r="K92" i="4"/>
  <c r="J92" i="4"/>
  <c r="I92" i="4"/>
  <c r="H92" i="4"/>
  <c r="G92" i="4"/>
  <c r="F92" i="4"/>
  <c r="E92" i="4"/>
  <c r="D92" i="4"/>
  <c r="C92" i="4"/>
  <c r="N121" i="4"/>
  <c r="M121" i="4"/>
  <c r="P121" i="4" s="1"/>
  <c r="L121" i="4"/>
  <c r="K121" i="4"/>
  <c r="J121" i="4"/>
  <c r="I121" i="4"/>
  <c r="H121" i="4"/>
  <c r="G121" i="4"/>
  <c r="F121" i="4"/>
  <c r="E121" i="4"/>
  <c r="D121" i="4"/>
  <c r="C121" i="4"/>
  <c r="N110" i="4"/>
  <c r="M110" i="4"/>
  <c r="P110" i="4" s="1"/>
  <c r="L110" i="4"/>
  <c r="K110" i="4"/>
  <c r="J110" i="4"/>
  <c r="I110" i="4"/>
  <c r="H110" i="4"/>
  <c r="G110" i="4"/>
  <c r="F110" i="4"/>
  <c r="E110" i="4"/>
  <c r="D110" i="4"/>
  <c r="C110" i="4"/>
  <c r="N42" i="4"/>
  <c r="M42" i="4"/>
  <c r="P42" i="4" s="1"/>
  <c r="L42" i="4"/>
  <c r="K42" i="4"/>
  <c r="J42" i="4"/>
  <c r="I42" i="4"/>
  <c r="H42" i="4"/>
  <c r="G42" i="4"/>
  <c r="F42" i="4"/>
  <c r="E42" i="4"/>
  <c r="D42" i="4"/>
  <c r="C42" i="4"/>
  <c r="N33" i="4"/>
  <c r="M33" i="4"/>
  <c r="P33" i="4" s="1"/>
  <c r="L33" i="4"/>
  <c r="K33" i="4"/>
  <c r="J33" i="4"/>
  <c r="I33" i="4"/>
  <c r="H33" i="4"/>
  <c r="G33" i="4"/>
  <c r="F33" i="4"/>
  <c r="E33" i="4"/>
  <c r="D33" i="4"/>
  <c r="C33" i="4"/>
  <c r="N35" i="4"/>
  <c r="M35" i="4"/>
  <c r="P35" i="4" s="1"/>
  <c r="L35" i="4"/>
  <c r="K35" i="4"/>
  <c r="J35" i="4"/>
  <c r="I35" i="4"/>
  <c r="H35" i="4"/>
  <c r="G35" i="4"/>
  <c r="F35" i="4"/>
  <c r="E35" i="4"/>
  <c r="D35" i="4"/>
  <c r="C35" i="4"/>
  <c r="N96" i="4"/>
  <c r="M96" i="4"/>
  <c r="P96" i="4" s="1"/>
  <c r="L96" i="4"/>
  <c r="K96" i="4"/>
  <c r="J96" i="4"/>
  <c r="I96" i="4"/>
  <c r="H96" i="4"/>
  <c r="G96" i="4"/>
  <c r="F96" i="4"/>
  <c r="E96" i="4"/>
  <c r="D96" i="4"/>
  <c r="C96" i="4"/>
  <c r="N101" i="4"/>
  <c r="M101" i="4"/>
  <c r="P101" i="4" s="1"/>
  <c r="L101" i="4"/>
  <c r="K101" i="4"/>
  <c r="J101" i="4"/>
  <c r="I101" i="4"/>
  <c r="H101" i="4"/>
  <c r="G101" i="4"/>
  <c r="F101" i="4"/>
  <c r="E101" i="4"/>
  <c r="D101" i="4"/>
  <c r="C101" i="4"/>
  <c r="N116" i="4"/>
  <c r="M116" i="4"/>
  <c r="P116" i="4" s="1"/>
  <c r="L116" i="4"/>
  <c r="K116" i="4"/>
  <c r="J116" i="4"/>
  <c r="I116" i="4"/>
  <c r="H116" i="4"/>
  <c r="G116" i="4"/>
  <c r="F116" i="4"/>
  <c r="E116" i="4"/>
  <c r="D116" i="4"/>
  <c r="C116" i="4"/>
  <c r="N39" i="4"/>
  <c r="M39" i="4"/>
  <c r="P39" i="4" s="1"/>
  <c r="L39" i="4"/>
  <c r="K39" i="4"/>
  <c r="J39" i="4"/>
  <c r="I39" i="4"/>
  <c r="H39" i="4"/>
  <c r="G39" i="4"/>
  <c r="F39" i="4"/>
  <c r="E39" i="4"/>
  <c r="D39" i="4"/>
  <c r="C39" i="4"/>
  <c r="N122" i="4"/>
  <c r="M122" i="4"/>
  <c r="P122" i="4" s="1"/>
  <c r="L122" i="4"/>
  <c r="K122" i="4"/>
  <c r="J122" i="4"/>
  <c r="I122" i="4"/>
  <c r="H122" i="4"/>
  <c r="G122" i="4"/>
  <c r="F122" i="4"/>
  <c r="E122" i="4"/>
  <c r="D122" i="4"/>
  <c r="C122" i="4"/>
  <c r="N66" i="4"/>
  <c r="M66" i="4"/>
  <c r="P66" i="4" s="1"/>
  <c r="L66" i="4"/>
  <c r="K66" i="4"/>
  <c r="J66" i="4"/>
  <c r="I66" i="4"/>
  <c r="H66" i="4"/>
  <c r="G66" i="4"/>
  <c r="F66" i="4"/>
  <c r="E66" i="4"/>
  <c r="D66" i="4"/>
  <c r="C66" i="4"/>
  <c r="N34" i="4"/>
  <c r="M34" i="4"/>
  <c r="P34" i="4" s="1"/>
  <c r="L34" i="4"/>
  <c r="K34" i="4"/>
  <c r="J34" i="4"/>
  <c r="I34" i="4"/>
  <c r="H34" i="4"/>
  <c r="G34" i="4"/>
  <c r="F34" i="4"/>
  <c r="E34" i="4"/>
  <c r="D34" i="4"/>
  <c r="C34" i="4"/>
  <c r="N47" i="4"/>
  <c r="M47" i="4"/>
  <c r="P47" i="4" s="1"/>
  <c r="L47" i="4"/>
  <c r="K47" i="4"/>
  <c r="J47" i="4"/>
  <c r="I47" i="4"/>
  <c r="H47" i="4"/>
  <c r="G47" i="4"/>
  <c r="F47" i="4"/>
  <c r="E47" i="4"/>
  <c r="D47" i="4"/>
  <c r="C47" i="4"/>
  <c r="N108" i="4"/>
  <c r="M108" i="4"/>
  <c r="P108" i="4" s="1"/>
  <c r="L108" i="4"/>
  <c r="K108" i="4"/>
  <c r="J108" i="4"/>
  <c r="I108" i="4"/>
  <c r="H108" i="4"/>
  <c r="G108" i="4"/>
  <c r="F108" i="4"/>
  <c r="E108" i="4"/>
  <c r="D108" i="4"/>
  <c r="C108" i="4"/>
  <c r="N30" i="4"/>
  <c r="M30" i="4"/>
  <c r="P30" i="4" s="1"/>
  <c r="L30" i="4"/>
  <c r="K30" i="4"/>
  <c r="J30" i="4"/>
  <c r="I30" i="4"/>
  <c r="H30" i="4"/>
  <c r="G30" i="4"/>
  <c r="F30" i="4"/>
  <c r="E30" i="4"/>
  <c r="D30" i="4"/>
  <c r="C30" i="4"/>
  <c r="N69" i="4"/>
  <c r="M69" i="4"/>
  <c r="P69" i="4" s="1"/>
  <c r="L69" i="4"/>
  <c r="K69" i="4"/>
  <c r="J69" i="4"/>
  <c r="I69" i="4"/>
  <c r="H69" i="4"/>
  <c r="G69" i="4"/>
  <c r="F69" i="4"/>
  <c r="E69" i="4"/>
  <c r="D69" i="4"/>
  <c r="C69" i="4"/>
  <c r="N63" i="4"/>
  <c r="M63" i="4"/>
  <c r="P63" i="4" s="1"/>
  <c r="L63" i="4"/>
  <c r="K63" i="4"/>
  <c r="J63" i="4"/>
  <c r="I63" i="4"/>
  <c r="H63" i="4"/>
  <c r="G63" i="4"/>
  <c r="F63" i="4"/>
  <c r="E63" i="4"/>
  <c r="D63" i="4"/>
  <c r="C63" i="4"/>
  <c r="N27" i="4"/>
  <c r="M27" i="4"/>
  <c r="P27" i="4" s="1"/>
  <c r="L27" i="4"/>
  <c r="K27" i="4"/>
  <c r="J27" i="4"/>
  <c r="I27" i="4"/>
  <c r="H27" i="4"/>
  <c r="G27" i="4"/>
  <c r="F27" i="4"/>
  <c r="E27" i="4"/>
  <c r="D27" i="4"/>
  <c r="C27" i="4"/>
  <c r="N90" i="4"/>
  <c r="M90" i="4"/>
  <c r="P90" i="4" s="1"/>
  <c r="L90" i="4"/>
  <c r="K90" i="4"/>
  <c r="J90" i="4"/>
  <c r="I90" i="4"/>
  <c r="H90" i="4"/>
  <c r="G90" i="4"/>
  <c r="F90" i="4"/>
  <c r="E90" i="4"/>
  <c r="D90" i="4"/>
  <c r="C90" i="4"/>
  <c r="N46" i="4"/>
  <c r="M46" i="4"/>
  <c r="P46" i="4" s="1"/>
  <c r="L46" i="4"/>
  <c r="K46" i="4"/>
  <c r="J46" i="4"/>
  <c r="I46" i="4"/>
  <c r="H46" i="4"/>
  <c r="G46" i="4"/>
  <c r="F46" i="4"/>
  <c r="E46" i="4"/>
  <c r="D46" i="4"/>
  <c r="C46" i="4"/>
  <c r="N59" i="4"/>
  <c r="M59" i="4"/>
  <c r="P59" i="4" s="1"/>
  <c r="L59" i="4"/>
  <c r="K59" i="4"/>
  <c r="J59" i="4"/>
  <c r="I59" i="4"/>
  <c r="H59" i="4"/>
  <c r="G59" i="4"/>
  <c r="F59" i="4"/>
  <c r="E59" i="4"/>
  <c r="D59" i="4"/>
  <c r="C59" i="4"/>
  <c r="N120" i="4"/>
  <c r="M120" i="4"/>
  <c r="P120" i="4" s="1"/>
  <c r="L120" i="4"/>
  <c r="K120" i="4"/>
  <c r="J120" i="4"/>
  <c r="I120" i="4"/>
  <c r="H120" i="4"/>
  <c r="G120" i="4"/>
  <c r="F120" i="4"/>
  <c r="E120" i="4"/>
  <c r="D120" i="4"/>
  <c r="C120" i="4"/>
  <c r="N54" i="4"/>
  <c r="M54" i="4"/>
  <c r="P54" i="4" s="1"/>
  <c r="L54" i="4"/>
  <c r="K54" i="4"/>
  <c r="J54" i="4"/>
  <c r="I54" i="4"/>
  <c r="H54" i="4"/>
  <c r="G54" i="4"/>
  <c r="F54" i="4"/>
  <c r="E54" i="4"/>
  <c r="D54" i="4"/>
  <c r="C54" i="4"/>
  <c r="N105" i="4"/>
  <c r="M105" i="4"/>
  <c r="P105" i="4" s="1"/>
  <c r="L105" i="4"/>
  <c r="K105" i="4"/>
  <c r="J105" i="4"/>
  <c r="I105" i="4"/>
  <c r="H105" i="4"/>
  <c r="G105" i="4"/>
  <c r="F105" i="4"/>
  <c r="E105" i="4"/>
  <c r="D105" i="4"/>
  <c r="C105" i="4"/>
  <c r="N99" i="4"/>
  <c r="M99" i="4"/>
  <c r="P99" i="4" s="1"/>
  <c r="L99" i="4"/>
  <c r="K99" i="4"/>
  <c r="J99" i="4"/>
  <c r="I99" i="4"/>
  <c r="H99" i="4"/>
  <c r="G99" i="4"/>
  <c r="F99" i="4"/>
  <c r="E99" i="4"/>
  <c r="D99" i="4"/>
  <c r="C99" i="4"/>
  <c r="N51" i="4"/>
  <c r="M51" i="4"/>
  <c r="P51" i="4" s="1"/>
  <c r="L51" i="4"/>
  <c r="K51" i="4"/>
  <c r="J51" i="4"/>
  <c r="I51" i="4"/>
  <c r="H51" i="4"/>
  <c r="G51" i="4"/>
  <c r="F51" i="4"/>
  <c r="E51" i="4"/>
  <c r="D51" i="4"/>
  <c r="C51" i="4"/>
  <c r="N114" i="4"/>
  <c r="M114" i="4"/>
  <c r="P114" i="4" s="1"/>
  <c r="L114" i="4"/>
  <c r="K114" i="4"/>
  <c r="J114" i="4"/>
  <c r="I114" i="4"/>
  <c r="H114" i="4"/>
  <c r="G114" i="4"/>
  <c r="F114" i="4"/>
  <c r="E114" i="4"/>
  <c r="D114" i="4"/>
  <c r="C114" i="4"/>
  <c r="N58" i="4"/>
  <c r="M58" i="4"/>
  <c r="P58" i="4" s="1"/>
  <c r="L58" i="4"/>
  <c r="K58" i="4"/>
  <c r="J58" i="4"/>
  <c r="I58" i="4"/>
  <c r="H58" i="4"/>
  <c r="G58" i="4"/>
  <c r="F58" i="4"/>
  <c r="E58" i="4"/>
  <c r="D58" i="4"/>
  <c r="C58" i="4"/>
  <c r="N71" i="4"/>
  <c r="M71" i="4"/>
  <c r="P71" i="4" s="1"/>
  <c r="L71" i="4"/>
  <c r="K71" i="4"/>
  <c r="J71" i="4"/>
  <c r="I71" i="4"/>
  <c r="H71" i="4"/>
  <c r="G71" i="4"/>
  <c r="F71" i="4"/>
  <c r="E71" i="4"/>
  <c r="D71" i="4"/>
  <c r="C71" i="4"/>
  <c r="N75" i="4"/>
  <c r="M75" i="4"/>
  <c r="P75" i="4" s="1"/>
  <c r="L75" i="4"/>
  <c r="K75" i="4"/>
  <c r="J75" i="4"/>
  <c r="I75" i="4"/>
  <c r="H75" i="4"/>
  <c r="G75" i="4"/>
  <c r="F75" i="4"/>
  <c r="E75" i="4"/>
  <c r="D75" i="4"/>
  <c r="C75" i="4"/>
  <c r="N78" i="4"/>
  <c r="M78" i="4"/>
  <c r="P78" i="4" s="1"/>
  <c r="L78" i="4"/>
  <c r="K78" i="4"/>
  <c r="J78" i="4"/>
  <c r="I78" i="4"/>
  <c r="H78" i="4"/>
  <c r="G78" i="4"/>
  <c r="F78" i="4"/>
  <c r="E78" i="4"/>
  <c r="D78" i="4"/>
  <c r="C78" i="4"/>
  <c r="N25" i="4"/>
  <c r="M25" i="4"/>
  <c r="P25" i="4" s="1"/>
  <c r="L25" i="4"/>
  <c r="K25" i="4"/>
  <c r="J25" i="4"/>
  <c r="I25" i="4"/>
  <c r="H25" i="4"/>
  <c r="G25" i="4"/>
  <c r="F25" i="4"/>
  <c r="E25" i="4"/>
  <c r="D25" i="4"/>
  <c r="C25" i="4"/>
  <c r="N88" i="4"/>
  <c r="M88" i="4"/>
  <c r="P88" i="4" s="1"/>
  <c r="L88" i="4"/>
  <c r="K88" i="4"/>
  <c r="J88" i="4"/>
  <c r="I88" i="4"/>
  <c r="H88" i="4"/>
  <c r="G88" i="4"/>
  <c r="F88" i="4"/>
  <c r="E88" i="4"/>
  <c r="D88" i="4"/>
  <c r="C88" i="4"/>
  <c r="N87" i="4"/>
  <c r="M87" i="4"/>
  <c r="P87" i="4" s="1"/>
  <c r="L87" i="4"/>
  <c r="K87" i="4"/>
  <c r="J87" i="4"/>
  <c r="I87" i="4"/>
  <c r="H87" i="4"/>
  <c r="G87" i="4"/>
  <c r="F87" i="4"/>
  <c r="E87" i="4"/>
  <c r="D87" i="4"/>
  <c r="C87" i="4"/>
  <c r="N43" i="4"/>
  <c r="M43" i="4"/>
  <c r="P43" i="4" s="1"/>
  <c r="L43" i="4"/>
  <c r="K43" i="4"/>
  <c r="J43" i="4"/>
  <c r="I43" i="4"/>
  <c r="H43" i="4"/>
  <c r="G43" i="4"/>
  <c r="F43" i="4"/>
  <c r="E43" i="4"/>
  <c r="D43" i="4"/>
  <c r="C43" i="4"/>
  <c r="N70" i="4"/>
  <c r="M70" i="4"/>
  <c r="P70" i="4" s="1"/>
  <c r="L70" i="4"/>
  <c r="K70" i="4"/>
  <c r="J70" i="4"/>
  <c r="I70" i="4"/>
  <c r="H70" i="4"/>
  <c r="G70" i="4"/>
  <c r="F70" i="4"/>
  <c r="E70" i="4"/>
  <c r="D70" i="4"/>
  <c r="C70" i="4"/>
  <c r="N83" i="4"/>
  <c r="M83" i="4"/>
  <c r="P83" i="4" s="1"/>
  <c r="L83" i="4"/>
  <c r="K83" i="4"/>
  <c r="J83" i="4"/>
  <c r="I83" i="4"/>
  <c r="H83" i="4"/>
  <c r="G83" i="4"/>
  <c r="F83" i="4"/>
  <c r="E83" i="4"/>
  <c r="D83" i="4"/>
  <c r="C83" i="4"/>
  <c r="N111" i="4"/>
  <c r="M111" i="4"/>
  <c r="P111" i="4" s="1"/>
  <c r="L111" i="4"/>
  <c r="K111" i="4"/>
  <c r="J111" i="4"/>
  <c r="I111" i="4"/>
  <c r="H111" i="4"/>
  <c r="G111" i="4"/>
  <c r="F111" i="4"/>
  <c r="E111" i="4"/>
  <c r="D111" i="4"/>
  <c r="C111" i="4"/>
  <c r="N102" i="4"/>
  <c r="M102" i="4"/>
  <c r="P102" i="4" s="1"/>
  <c r="L102" i="4"/>
  <c r="K102" i="4"/>
  <c r="J102" i="4"/>
  <c r="I102" i="4"/>
  <c r="H102" i="4"/>
  <c r="G102" i="4"/>
  <c r="F102" i="4"/>
  <c r="E102" i="4"/>
  <c r="D102" i="4"/>
  <c r="C102" i="4"/>
  <c r="N37" i="4"/>
  <c r="M37" i="4"/>
  <c r="P37" i="4" s="1"/>
  <c r="L37" i="4"/>
  <c r="K37" i="4"/>
  <c r="J37" i="4"/>
  <c r="I37" i="4"/>
  <c r="H37" i="4"/>
  <c r="G37" i="4"/>
  <c r="F37" i="4"/>
  <c r="E37" i="4"/>
  <c r="D37" i="4"/>
  <c r="C37" i="4"/>
  <c r="N26" i="4"/>
  <c r="M26" i="4"/>
  <c r="P26" i="4" s="1"/>
  <c r="L26" i="4"/>
  <c r="K26" i="4"/>
  <c r="J26" i="4"/>
  <c r="I26" i="4"/>
  <c r="H26" i="4"/>
  <c r="G26" i="4"/>
  <c r="F26" i="4"/>
  <c r="E26" i="4"/>
  <c r="D26" i="4"/>
  <c r="C26" i="4"/>
  <c r="N40" i="4"/>
  <c r="M40" i="4"/>
  <c r="P40" i="4" s="1"/>
  <c r="L40" i="4"/>
  <c r="K40" i="4"/>
  <c r="J40" i="4"/>
  <c r="I40" i="4"/>
  <c r="H40" i="4"/>
  <c r="G40" i="4"/>
  <c r="F40" i="4"/>
  <c r="E40" i="4"/>
  <c r="D40" i="4"/>
  <c r="C40" i="4"/>
  <c r="N67" i="4"/>
  <c r="M67" i="4"/>
  <c r="P67" i="4" s="1"/>
  <c r="L67" i="4"/>
  <c r="K67" i="4"/>
  <c r="J67" i="4"/>
  <c r="I67" i="4"/>
  <c r="H67" i="4"/>
  <c r="G67" i="4"/>
  <c r="F67" i="4"/>
  <c r="E67" i="4"/>
  <c r="D67" i="4"/>
  <c r="C67" i="4"/>
  <c r="N82" i="4"/>
  <c r="M82" i="4"/>
  <c r="P82" i="4" s="1"/>
  <c r="L82" i="4"/>
  <c r="K82" i="4"/>
  <c r="J82" i="4"/>
  <c r="I82" i="4"/>
  <c r="H82" i="4"/>
  <c r="G82" i="4"/>
  <c r="F82" i="4"/>
  <c r="E82" i="4"/>
  <c r="D82" i="4"/>
  <c r="C82" i="4"/>
  <c r="N95" i="4"/>
  <c r="M95" i="4"/>
  <c r="P95" i="4" s="1"/>
  <c r="L95" i="4"/>
  <c r="K95" i="4"/>
  <c r="J95" i="4"/>
  <c r="I95" i="4"/>
  <c r="H95" i="4"/>
  <c r="G95" i="4"/>
  <c r="F95" i="4"/>
  <c r="E95" i="4"/>
  <c r="D95" i="4"/>
  <c r="C95" i="4"/>
  <c r="N28" i="4"/>
  <c r="M28" i="4"/>
  <c r="P28" i="4" s="1"/>
  <c r="L28" i="4"/>
  <c r="K28" i="4"/>
  <c r="J28" i="4"/>
  <c r="I28" i="4"/>
  <c r="H28" i="4"/>
  <c r="G28" i="4"/>
  <c r="F28" i="4"/>
  <c r="E28" i="4"/>
  <c r="D28" i="4"/>
  <c r="C28" i="4"/>
  <c r="N31" i="4"/>
  <c r="M31" i="4"/>
  <c r="P31" i="4" s="1"/>
  <c r="L31" i="4"/>
  <c r="K31" i="4"/>
  <c r="J31" i="4"/>
  <c r="I31" i="4"/>
  <c r="H31" i="4"/>
  <c r="G31" i="4"/>
  <c r="F31" i="4"/>
  <c r="E31" i="4"/>
  <c r="D31" i="4"/>
  <c r="C31" i="4"/>
  <c r="N49" i="4"/>
  <c r="M49" i="4"/>
  <c r="P49" i="4" s="1"/>
  <c r="L49" i="4"/>
  <c r="K49" i="4"/>
  <c r="J49" i="4"/>
  <c r="I49" i="4"/>
  <c r="H49" i="4"/>
  <c r="G49" i="4"/>
  <c r="F49" i="4"/>
  <c r="E49" i="4"/>
  <c r="D49" i="4"/>
  <c r="C49" i="4"/>
  <c r="N38" i="4"/>
  <c r="M38" i="4"/>
  <c r="P38" i="4" s="1"/>
  <c r="L38" i="4"/>
  <c r="K38" i="4"/>
  <c r="J38" i="4"/>
  <c r="I38" i="4"/>
  <c r="H38" i="4"/>
  <c r="G38" i="4"/>
  <c r="F38" i="4"/>
  <c r="E38" i="4"/>
  <c r="D38" i="4"/>
  <c r="C38" i="4"/>
  <c r="N64" i="4"/>
  <c r="M64" i="4"/>
  <c r="P64" i="4" s="1"/>
  <c r="L64" i="4"/>
  <c r="K64" i="4"/>
  <c r="J64" i="4"/>
  <c r="I64" i="4"/>
  <c r="H64" i="4"/>
  <c r="G64" i="4"/>
  <c r="F64" i="4"/>
  <c r="E64" i="4"/>
  <c r="D64" i="4"/>
  <c r="C64" i="4"/>
  <c r="N91" i="4"/>
  <c r="M91" i="4"/>
  <c r="P91" i="4" s="1"/>
  <c r="L91" i="4"/>
  <c r="K91" i="4"/>
  <c r="J91" i="4"/>
  <c r="I91" i="4"/>
  <c r="H91" i="4"/>
  <c r="G91" i="4"/>
  <c r="F91" i="4"/>
  <c r="E91" i="4"/>
  <c r="D91" i="4"/>
  <c r="C91" i="4"/>
  <c r="N94" i="4"/>
  <c r="M94" i="4"/>
  <c r="P94" i="4" s="1"/>
  <c r="L94" i="4"/>
  <c r="K94" i="4"/>
  <c r="J94" i="4"/>
  <c r="I94" i="4"/>
  <c r="H94" i="4"/>
  <c r="G94" i="4"/>
  <c r="F94" i="4"/>
  <c r="E94" i="4"/>
  <c r="D94" i="4"/>
  <c r="C94" i="4"/>
  <c r="N107" i="4"/>
  <c r="M107" i="4"/>
  <c r="P107" i="4" s="1"/>
  <c r="L107" i="4"/>
  <c r="K107" i="4"/>
  <c r="J107" i="4"/>
  <c r="I107" i="4"/>
  <c r="H107" i="4"/>
  <c r="G107" i="4"/>
  <c r="F107" i="4"/>
  <c r="E107" i="4"/>
  <c r="D107" i="4"/>
  <c r="C107" i="4"/>
  <c r="N24" i="4"/>
  <c r="M24" i="4"/>
  <c r="P24" i="4" s="1"/>
  <c r="L24" i="4"/>
  <c r="K24" i="4"/>
  <c r="J24" i="4"/>
  <c r="I24" i="4"/>
  <c r="H24" i="4"/>
  <c r="G24" i="4"/>
  <c r="F24" i="4"/>
  <c r="E24" i="4"/>
  <c r="D24" i="4"/>
  <c r="C24" i="4"/>
  <c r="N52" i="4"/>
  <c r="M52" i="4"/>
  <c r="P52" i="4" s="1"/>
  <c r="L52" i="4"/>
  <c r="K52" i="4"/>
  <c r="J52" i="4"/>
  <c r="I52" i="4"/>
  <c r="H52" i="4"/>
  <c r="G52" i="4"/>
  <c r="F52" i="4"/>
  <c r="E52" i="4"/>
  <c r="D52" i="4"/>
  <c r="C52" i="4"/>
  <c r="N55" i="4"/>
  <c r="M55" i="4"/>
  <c r="P55" i="4" s="1"/>
  <c r="L55" i="4"/>
  <c r="K55" i="4"/>
  <c r="J55" i="4"/>
  <c r="I55" i="4"/>
  <c r="H55" i="4"/>
  <c r="G55" i="4"/>
  <c r="F55" i="4"/>
  <c r="E55" i="4"/>
  <c r="D55" i="4"/>
  <c r="C55" i="4"/>
  <c r="N61" i="4"/>
  <c r="M61" i="4"/>
  <c r="P61" i="4" s="1"/>
  <c r="L61" i="4"/>
  <c r="K61" i="4"/>
  <c r="J61" i="4"/>
  <c r="I61" i="4"/>
  <c r="H61" i="4"/>
  <c r="G61" i="4"/>
  <c r="F61" i="4"/>
  <c r="E61" i="4"/>
  <c r="D61" i="4"/>
  <c r="C61" i="4"/>
  <c r="N50" i="4"/>
  <c r="M50" i="4"/>
  <c r="P50" i="4" s="1"/>
  <c r="L50" i="4"/>
  <c r="K50" i="4"/>
  <c r="J50" i="4"/>
  <c r="I50" i="4"/>
  <c r="H50" i="4"/>
  <c r="G50" i="4"/>
  <c r="F50" i="4"/>
  <c r="E50" i="4"/>
  <c r="D50" i="4"/>
  <c r="C50" i="4"/>
  <c r="N100" i="4"/>
  <c r="M100" i="4"/>
  <c r="P100" i="4" s="1"/>
  <c r="L100" i="4"/>
  <c r="K100" i="4"/>
  <c r="J100" i="4"/>
  <c r="I100" i="4"/>
  <c r="H100" i="4"/>
  <c r="G100" i="4"/>
  <c r="F100" i="4"/>
  <c r="E100" i="4"/>
  <c r="D100" i="4"/>
  <c r="C100" i="4"/>
  <c r="N115" i="4"/>
  <c r="M115" i="4"/>
  <c r="P115" i="4" s="1"/>
  <c r="L115" i="4"/>
  <c r="K115" i="4"/>
  <c r="J115" i="4"/>
  <c r="I115" i="4"/>
  <c r="H115" i="4"/>
  <c r="G115" i="4"/>
  <c r="F115" i="4"/>
  <c r="E115" i="4"/>
  <c r="D115" i="4"/>
  <c r="C115" i="4"/>
  <c r="N106" i="4"/>
  <c r="M106" i="4"/>
  <c r="P106" i="4" s="1"/>
  <c r="L106" i="4"/>
  <c r="K106" i="4"/>
  <c r="J106" i="4"/>
  <c r="I106" i="4"/>
  <c r="H106" i="4"/>
  <c r="G106" i="4"/>
  <c r="F106" i="4"/>
  <c r="E106" i="4"/>
  <c r="D106" i="4"/>
  <c r="C106" i="4"/>
  <c r="N119" i="4"/>
  <c r="M119" i="4"/>
  <c r="P119" i="4" s="1"/>
  <c r="L119" i="4"/>
  <c r="K119" i="4"/>
  <c r="J119" i="4"/>
  <c r="I119" i="4"/>
  <c r="H119" i="4"/>
  <c r="G119" i="4"/>
  <c r="F119" i="4"/>
  <c r="E119" i="4"/>
  <c r="D119" i="4"/>
  <c r="C119" i="4"/>
  <c r="N36" i="4"/>
  <c r="M36" i="4"/>
  <c r="P36" i="4" s="1"/>
  <c r="L36" i="4"/>
  <c r="K36" i="4"/>
  <c r="J36" i="4"/>
  <c r="I36" i="4"/>
  <c r="H36" i="4"/>
  <c r="G36" i="4"/>
  <c r="F36" i="4"/>
  <c r="E36" i="4"/>
  <c r="D36" i="4"/>
  <c r="C36" i="4"/>
  <c r="N76" i="4"/>
  <c r="M76" i="4"/>
  <c r="P76" i="4" s="1"/>
  <c r="L76" i="4"/>
  <c r="K76" i="4"/>
  <c r="J76" i="4"/>
  <c r="I76" i="4"/>
  <c r="H76" i="4"/>
  <c r="G76" i="4"/>
  <c r="F76" i="4"/>
  <c r="E76" i="4"/>
  <c r="D76" i="4"/>
  <c r="C76" i="4"/>
  <c r="N79" i="4"/>
  <c r="M79" i="4"/>
  <c r="P79" i="4" s="1"/>
  <c r="L79" i="4"/>
  <c r="K79" i="4"/>
  <c r="J79" i="4"/>
  <c r="I79" i="4"/>
  <c r="H79" i="4"/>
  <c r="G79" i="4"/>
  <c r="F79" i="4"/>
  <c r="E79" i="4"/>
  <c r="D79" i="4"/>
  <c r="C79" i="4"/>
  <c r="N73" i="4"/>
  <c r="M73" i="4"/>
  <c r="P73" i="4" s="1"/>
  <c r="L73" i="4"/>
  <c r="K73" i="4"/>
  <c r="J73" i="4"/>
  <c r="I73" i="4"/>
  <c r="H73" i="4"/>
  <c r="G73" i="4"/>
  <c r="F73" i="4"/>
  <c r="E73" i="4"/>
  <c r="D73" i="4"/>
  <c r="C73" i="4"/>
  <c r="N62" i="4"/>
  <c r="M62" i="4"/>
  <c r="P62" i="4" s="1"/>
  <c r="L62" i="4"/>
  <c r="K62" i="4"/>
  <c r="J62" i="4"/>
  <c r="I62" i="4"/>
  <c r="H62" i="4"/>
  <c r="G62" i="4"/>
  <c r="F62" i="4"/>
  <c r="E62" i="4"/>
  <c r="D62" i="4"/>
  <c r="C62" i="4"/>
  <c r="N41" i="4"/>
  <c r="M41" i="4"/>
  <c r="P41" i="4" s="1"/>
  <c r="L41" i="4"/>
  <c r="K41" i="4"/>
  <c r="J41" i="4"/>
  <c r="I41" i="4"/>
  <c r="H41" i="4"/>
  <c r="G41" i="4"/>
  <c r="F41" i="4"/>
  <c r="E41" i="4"/>
  <c r="D41" i="4"/>
  <c r="C41" i="4"/>
  <c r="N44" i="4"/>
  <c r="M44" i="4"/>
  <c r="P44" i="4" s="1"/>
  <c r="L44" i="4"/>
  <c r="K44" i="4"/>
  <c r="J44" i="4"/>
  <c r="I44" i="4"/>
  <c r="H44" i="4"/>
  <c r="G44" i="4"/>
  <c r="F44" i="4"/>
  <c r="E44" i="4"/>
  <c r="D44" i="4"/>
  <c r="C44" i="4"/>
  <c r="N118" i="4"/>
  <c r="M118" i="4"/>
  <c r="P118" i="4" s="1"/>
  <c r="L118" i="4"/>
  <c r="K118" i="4"/>
  <c r="J118" i="4"/>
  <c r="I118" i="4"/>
  <c r="H118" i="4"/>
  <c r="G118" i="4"/>
  <c r="F118" i="4"/>
  <c r="E118" i="4"/>
  <c r="D118" i="4"/>
  <c r="C118" i="4"/>
  <c r="N104" i="4"/>
  <c r="M104" i="4"/>
  <c r="P104" i="4" s="1"/>
  <c r="L104" i="4"/>
  <c r="K104" i="4"/>
  <c r="J104" i="4"/>
  <c r="I104" i="4"/>
  <c r="H104" i="4"/>
  <c r="G104" i="4"/>
  <c r="F104" i="4"/>
  <c r="E104" i="4"/>
  <c r="D104" i="4"/>
  <c r="C104" i="4"/>
  <c r="N48" i="4"/>
  <c r="M48" i="4"/>
  <c r="P48" i="4" s="1"/>
  <c r="L48" i="4"/>
  <c r="K48" i="4"/>
  <c r="J48" i="4"/>
  <c r="I48" i="4"/>
  <c r="H48" i="4"/>
  <c r="G48" i="4"/>
  <c r="F48" i="4"/>
  <c r="E48" i="4"/>
  <c r="D48" i="4"/>
  <c r="C48" i="4"/>
  <c r="N112" i="4"/>
  <c r="M112" i="4"/>
  <c r="P112" i="4" s="1"/>
  <c r="L112" i="4"/>
  <c r="K112" i="4"/>
  <c r="J112" i="4"/>
  <c r="I112" i="4"/>
  <c r="H112" i="4"/>
  <c r="G112" i="4"/>
  <c r="F112" i="4"/>
  <c r="E112" i="4"/>
  <c r="D112" i="4"/>
  <c r="C112" i="4"/>
  <c r="N103" i="4"/>
  <c r="M103" i="4"/>
  <c r="P103" i="4" s="1"/>
  <c r="L103" i="4"/>
  <c r="K103" i="4"/>
  <c r="J103" i="4"/>
  <c r="I103" i="4"/>
  <c r="H103" i="4"/>
  <c r="G103" i="4"/>
  <c r="F103" i="4"/>
  <c r="E103" i="4"/>
  <c r="D103" i="4"/>
  <c r="C103" i="4"/>
  <c r="N85" i="4"/>
  <c r="M85" i="4"/>
  <c r="P85" i="4" s="1"/>
  <c r="L85" i="4"/>
  <c r="K85" i="4"/>
  <c r="J85" i="4"/>
  <c r="I85" i="4"/>
  <c r="H85" i="4"/>
  <c r="G85" i="4"/>
  <c r="F85" i="4"/>
  <c r="E85" i="4"/>
  <c r="D85" i="4"/>
  <c r="C85" i="4"/>
  <c r="N74" i="4"/>
  <c r="M74" i="4"/>
  <c r="P74" i="4" s="1"/>
  <c r="L74" i="4"/>
  <c r="K74" i="4"/>
  <c r="J74" i="4"/>
  <c r="I74" i="4"/>
  <c r="H74" i="4"/>
  <c r="G74" i="4"/>
  <c r="F74" i="4"/>
  <c r="E74" i="4"/>
  <c r="D74" i="4"/>
  <c r="C74" i="4"/>
  <c r="N65" i="4"/>
  <c r="M65" i="4"/>
  <c r="P65" i="4" s="1"/>
  <c r="L65" i="4"/>
  <c r="K65" i="4"/>
  <c r="J65" i="4"/>
  <c r="I65" i="4"/>
  <c r="H65" i="4"/>
  <c r="G65" i="4"/>
  <c r="F65" i="4"/>
  <c r="E65" i="4"/>
  <c r="D65" i="4"/>
  <c r="C65" i="4"/>
  <c r="N80" i="4"/>
  <c r="M80" i="4"/>
  <c r="P80" i="4" s="1"/>
  <c r="L80" i="4"/>
  <c r="K80" i="4"/>
  <c r="J80" i="4"/>
  <c r="I80" i="4"/>
  <c r="H80" i="4"/>
  <c r="G80" i="4"/>
  <c r="F80" i="4"/>
  <c r="E80" i="4"/>
  <c r="D80" i="4"/>
  <c r="C80" i="4"/>
  <c r="N68" i="4"/>
  <c r="M68" i="4"/>
  <c r="P68" i="4" s="1"/>
  <c r="L68" i="4"/>
  <c r="K68" i="4"/>
  <c r="J68" i="4"/>
  <c r="I68" i="4"/>
  <c r="H68" i="4"/>
  <c r="G68" i="4"/>
  <c r="F68" i="4"/>
  <c r="E68" i="4"/>
  <c r="D68" i="4"/>
  <c r="C68" i="4"/>
  <c r="N81" i="4"/>
  <c r="M81" i="4"/>
  <c r="P81" i="4" s="1"/>
  <c r="L81" i="4"/>
  <c r="K81" i="4"/>
  <c r="J81" i="4"/>
  <c r="I81" i="4"/>
  <c r="H81" i="4"/>
  <c r="G81" i="4"/>
  <c r="F81" i="4"/>
  <c r="E81" i="4"/>
  <c r="D81" i="4"/>
  <c r="C8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<sst xmlns="http://schemas.openxmlformats.org/spreadsheetml/2006/main" count="89" uniqueCount="87">
  <si>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</si>
  <si>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</si>
  <si>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</si>
  <si>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</si>
  <si>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</si>
  <si>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</si>
  <si>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</si>
  <si>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</si>
  <si>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</si>
  <si>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</si>
  <si>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</si>
  <si>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</si>
  <si>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</si>
  <si>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</si>
  <si>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</si>
  <si>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</si>
  <si>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</si>
  <si>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</si>
  <si>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</si>
  <si>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</si>
  <si>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</si>
  <si>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</si>
  <si>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</si>
  <si>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</si>
  <si>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</si>
  <si>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</si>
  <si>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</si>
  <si>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</si>
  <si>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</si>
  <si>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</si>
  <si>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</si>
  <si>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</si>
  <si>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</si>
  <si>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</si>
  <si>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</si>
  <si>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</si>
  <si>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</si>
  <si>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</si>
  <si>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</si>
  <si>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</si>
  <si>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</si>
  <si>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</si>
  <si>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</si>
  <si>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</si>
  <si>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</si>
  <si>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</si>
  <si>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</si>
  <si>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</si>
  <si>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</si>
  <si>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</si>
  <si>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</si>
  <si>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</si>
  <si>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</si>
  <si>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</si>
  <si>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</si>
  <si>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</si>
  <si>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</si>
  <si>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</si>
  <si>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</si>
  <si>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</si>
  <si>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</si>
  <si>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</si>
  <si>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</si>
  <si>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</si>
  <si>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</si>
  <si>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</si>
  <si>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</si>
  <si>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</si>
  <si>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</si>
  <si>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</si>
  <si>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</si>
  <si>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</si>
  <si>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</si>
  <si>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</si>
  <si>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</si>
  <si>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</si>
  <si>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</si>
  <si>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</si>
  <si>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</si>
  <si>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</si>
  <si>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</si>
  <si>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St_REFPROP</t>
  </si>
  <si>
    <t>Ht_REFPROP</t>
  </si>
  <si>
    <t>Delta S</t>
  </si>
  <si>
    <t>H at Triple Point</t>
  </si>
  <si>
    <t>Delta H</t>
  </si>
  <si>
    <t>Sublimation Enthalpy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</si>
</sst>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3" fillId="3" borderId="1" xfId="2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Sublimation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Sweep!$A$23:$A$124</c:f>
              <c:numCache>
                <c:formatCode>General</c:formatCode>
                <c:ptCount val="102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Sweep!$C$23:$C$124</c:f>
              <c:numCache>
                <c:formatCode>General</c:formatCode>
                <c:ptCount val="102"/>
                <c:pt idx="0">
                  <c:v>13.380000000553817</c:v>
                </c:pt>
                <c:pt idx="1">
                  <c:v>13.380008095563632</c:v>
                </c:pt>
                <c:pt idx="2">
                  <c:v>13.380107535380366</c:v>
                </c:pt>
                <c:pt idx="3">
                  <c:v>13.38051077783668</c:v>
                </c:pt>
                <c:pt idx="4">
                  <c:v>13.381563610973354</c:v>
                </c:pt>
                <c:pt idx="5">
                  <c:v>13.383740665194821</c:v>
                </c:pt>
                <c:pt idx="6">
                  <c:v>13.387612837792931</c:v>
                </c:pt>
                <c:pt idx="7">
                  <c:v>13.393773218855003</c:v>
                </c:pt>
                <c:pt idx="8">
                  <c:v>13.402753802269833</c:v>
                </c:pt>
                <c:pt idx="9">
                  <c:v>13.41497212953692</c:v>
                </c:pt>
                <c:pt idx="10">
                  <c:v>13.430716567013912</c:v>
                </c:pt>
                <c:pt idx="11">
                  <c:v>13.450157693362648</c:v>
                </c:pt>
                <c:pt idx="12">
                  <c:v>13.473370578324573</c:v>
                </c:pt>
                <c:pt idx="13">
                  <c:v>13.500357887383084</c:v>
                </c:pt>
                <c:pt idx="14">
                  <c:v>13.531069096655006</c:v>
                </c:pt>
                <c:pt idx="15">
                  <c:v>13.565414488356845</c:v>
                </c:pt>
                <c:pt idx="16">
                  <c:v>13.603274260372666</c:v>
                </c:pt>
                <c:pt idx="17">
                  <c:v>13.644503716604238</c:v>
                </c:pt>
                <c:pt idx="18">
                  <c:v>13.688935632046272</c:v>
                </c:pt>
                <c:pt idx="19">
                  <c:v>13.736380798167859</c:v>
                </c:pt>
                <c:pt idx="20">
                  <c:v>13.786627575139056</c:v>
                </c:pt>
                <c:pt idx="21">
                  <c:v>13.839441031691019</c:v>
                </c:pt>
                <c:pt idx="22">
                  <c:v>13.894561885150233</c:v>
                </c:pt>
                <c:pt idx="23">
                  <c:v>13.95170473809249</c:v>
                </c:pt>
                <c:pt idx="24">
                  <c:v>14.010552775199795</c:v>
                </c:pt>
                <c:pt idx="25">
                  <c:v>13.841704542987356</c:v>
                </c:pt>
                <c:pt idx="26">
                  <c:v>13.80843837067358</c:v>
                </c:pt>
                <c:pt idx="27">
                  <c:v>13.779650190115776</c:v>
                </c:pt>
                <c:pt idx="28">
                  <c:v>13.747494614462342</c:v>
                </c:pt>
                <c:pt idx="29">
                  <c:v>13.710963605283348</c:v>
                </c:pt>
                <c:pt idx="30">
                  <c:v>13.670052334937131</c:v>
                </c:pt>
                <c:pt idx="31">
                  <c:v>13.625012498596172</c:v>
                </c:pt>
                <c:pt idx="32">
                  <c:v>13.576182832654851</c:v>
                </c:pt>
                <c:pt idx="33">
                  <c:v>13.523941306755392</c:v>
                </c:pt>
                <c:pt idx="34">
                  <c:v>13.468689515475672</c:v>
                </c:pt>
                <c:pt idx="35">
                  <c:v>13.410845501383021</c:v>
                </c:pt>
                <c:pt idx="36">
                  <c:v>13.350837636273383</c:v>
                </c:pt>
                <c:pt idx="37">
                  <c:v>13.28909734661474</c:v>
                </c:pt>
                <c:pt idx="38">
                  <c:v>13.226050456399722</c:v>
                </c:pt>
                <c:pt idx="39">
                  <c:v>13.162107792707463</c:v>
                </c:pt>
                <c:pt idx="40">
                  <c:v>13.097656036180576</c:v>
                </c:pt>
                <c:pt idx="41">
                  <c:v>13.033049793609896</c:v>
                </c:pt>
                <c:pt idx="42">
                  <c:v>12.968605635494889</c:v>
                </c:pt>
                <c:pt idx="43">
                  <c:v>12.904598487921113</c:v>
                </c:pt>
                <c:pt idx="44">
                  <c:v>12.841260402446951</c:v>
                </c:pt>
                <c:pt idx="45">
                  <c:v>12.778781432233796</c:v>
                </c:pt>
                <c:pt idx="46">
                  <c:v>12.717312159769904</c:v>
                </c:pt>
                <c:pt idx="47">
                  <c:v>12.65696735416201</c:v>
                </c:pt>
                <c:pt idx="48">
                  <c:v>12.597830260097313</c:v>
                </c:pt>
                <c:pt idx="49">
                  <c:v>12.539957101346186</c:v>
                </c:pt>
                <c:pt idx="50">
                  <c:v>12.483381486125545</c:v>
                </c:pt>
                <c:pt idx="51">
                  <c:v>12.42811850549189</c:v>
                </c:pt>
                <c:pt idx="52">
                  <c:v>12.374168405037402</c:v>
                </c:pt>
                <c:pt idx="53">
                  <c:v>12.321519778816512</c:v>
                </c:pt>
                <c:pt idx="54">
                  <c:v>12.270152282558106</c:v>
                </c:pt>
                <c:pt idx="55">
                  <c:v>12.220038893739051</c:v>
                </c:pt>
                <c:pt idx="56">
                  <c:v>12.171147763008351</c:v>
                </c:pt>
                <c:pt idx="57">
                  <c:v>12.123443708691697</c:v>
                </c:pt>
                <c:pt idx="58">
                  <c:v>12.076889406992478</c:v>
                </c:pt>
                <c:pt idx="59">
                  <c:v>12.031446327577564</c:v>
                </c:pt>
                <c:pt idx="60">
                  <c:v>11.987075459300183</c:v>
                </c:pt>
                <c:pt idx="61">
                  <c:v>11.94373786506865</c:v>
                </c:pt>
                <c:pt idx="62">
                  <c:v>11.901395099064937</c:v>
                </c:pt>
                <c:pt idx="63">
                  <c:v>11.860009514075584</c:v>
                </c:pt>
                <c:pt idx="64">
                  <c:v>11.819544481829684</c:v>
                </c:pt>
                <c:pt idx="65">
                  <c:v>11.779964545019823</c:v>
                </c:pt>
                <c:pt idx="66">
                  <c:v>11.741235516106661</c:v>
                </c:pt>
                <c:pt idx="67">
                  <c:v>11.703324535028271</c:v>
                </c:pt>
                <c:pt idx="68">
                  <c:v>11.666200095483175</c:v>
                </c:pt>
                <c:pt idx="69">
                  <c:v>11.629832047457427</c:v>
                </c:pt>
                <c:pt idx="70">
                  <c:v>11.594191582049566</c:v>
                </c:pt>
                <c:pt idx="71">
                  <c:v>11.559251203347895</c:v>
                </c:pt>
                <c:pt idx="72">
                  <c:v>11.524984691075081</c:v>
                </c:pt>
                <c:pt idx="73">
                  <c:v>11.491367056887317</c:v>
                </c:pt>
                <c:pt idx="74">
                  <c:v>11.458374496558099</c:v>
                </c:pt>
                <c:pt idx="75">
                  <c:v>11.425984339757123</c:v>
                </c:pt>
                <c:pt idx="76">
                  <c:v>11.394174998724758</c:v>
                </c:pt>
                <c:pt idx="77">
                  <c:v>11.362925916820405</c:v>
                </c:pt>
                <c:pt idx="78">
                  <c:v>11.332217517670433</c:v>
                </c:pt>
                <c:pt idx="79">
                  <c:v>11.302031155444123</c:v>
                </c:pt>
                <c:pt idx="80">
                  <c:v>11.272349066632595</c:v>
                </c:pt>
                <c:pt idx="81">
                  <c:v>11.243154323586809</c:v>
                </c:pt>
                <c:pt idx="82">
                  <c:v>11.214430789979261</c:v>
                </c:pt>
                <c:pt idx="83">
                  <c:v>11.186163078283874</c:v>
                </c:pt>
                <c:pt idx="84">
                  <c:v>11.158336509315619</c:v>
                </c:pt>
                <c:pt idx="85">
                  <c:v>11.130937073831397</c:v>
                </c:pt>
                <c:pt idx="86">
                  <c:v>11.103951396164454</c:v>
                </c:pt>
                <c:pt idx="87">
                  <c:v>11.077366699843026</c:v>
                </c:pt>
                <c:pt idx="88">
                  <c:v>11.051170775129027</c:v>
                </c:pt>
                <c:pt idx="89">
                  <c:v>11.025351948401866</c:v>
                </c:pt>
                <c:pt idx="90">
                  <c:v>10.999899053309012</c:v>
                </c:pt>
                <c:pt idx="91">
                  <c:v>10.974801403591908</c:v>
                </c:pt>
                <c:pt idx="92">
                  <c:v>10.950048767512865</c:v>
                </c:pt>
                <c:pt idx="93">
                  <c:v>10.925631343782678</c:v>
                </c:pt>
                <c:pt idx="94">
                  <c:v>10.901539738919947</c:v>
                </c:pt>
                <c:pt idx="95">
                  <c:v>10.877764945946694</c:v>
                </c:pt>
                <c:pt idx="96">
                  <c:v>10.854298324349289</c:v>
                </c:pt>
                <c:pt idx="97">
                  <c:v>10.831131581225645</c:v>
                </c:pt>
                <c:pt idx="98">
                  <c:v>10.808256753547374</c:v>
                </c:pt>
                <c:pt idx="99">
                  <c:v>10.785666191464735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Sweep!$G$23:$G$122</c:f>
              <c:numCache>
                <c:formatCode>General</c:formatCode>
                <c:ptCount val="100"/>
                <c:pt idx="0">
                  <c:v>9.0108284967916897E-6</c:v>
                </c:pt>
                <c:pt idx="1">
                  <c:v>1.1979209597062394E-2</c:v>
                </c:pt>
                <c:pt idx="2">
                  <c:v>8.335633146167705E-2</c:v>
                </c:pt>
                <c:pt idx="3">
                  <c:v>0.2682687225658304</c:v>
                </c:pt>
                <c:pt idx="4">
                  <c:v>0.62083392817522132</c:v>
                </c:pt>
                <c:pt idx="5">
                  <c:v>1.1895012319580271</c:v>
                </c:pt>
                <c:pt idx="6">
                  <c:v>1.9999748584433317</c:v>
                </c:pt>
                <c:pt idx="7">
                  <c:v>3.0421378333821329</c:v>
                </c:pt>
                <c:pt idx="8">
                  <c:v>4.275884797730817</c:v>
                </c:pt>
                <c:pt idx="9">
                  <c:v>5.6475388293092301</c:v>
                </c:pt>
                <c:pt idx="10">
                  <c:v>7.1041640668908013</c:v>
                </c:pt>
                <c:pt idx="11">
                  <c:v>8.6013098472680181</c:v>
                </c:pt>
                <c:pt idx="12">
                  <c:v>10.105336798281138</c:v>
                </c:pt>
                <c:pt idx="13">
                  <c:v>11.592717328225236</c:v>
                </c:pt>
                <c:pt idx="14">
                  <c:v>13.048119332423129</c:v>
                </c:pt>
                <c:pt idx="15">
                  <c:v>14.462274801838657</c:v>
                </c:pt>
                <c:pt idx="16">
                  <c:v>15.830076783973063</c:v>
                </c:pt>
                <c:pt idx="17">
                  <c:v>17.149046807182582</c:v>
                </c:pt>
                <c:pt idx="18">
                  <c:v>18.418179019195168</c:v>
                </c:pt>
                <c:pt idx="19">
                  <c:v>19.637118194955658</c:v>
                </c:pt>
                <c:pt idx="20">
                  <c:v>20.805618940339674</c:v>
                </c:pt>
                <c:pt idx="21">
                  <c:v>21.923237193687996</c:v>
                </c:pt>
                <c:pt idx="22">
                  <c:v>22.989210451906473</c:v>
                </c:pt>
                <c:pt idx="23">
                  <c:v>24.002485436553275</c:v>
                </c:pt>
                <c:pt idx="24">
                  <c:v>24.961849220218117</c:v>
                </c:pt>
                <c:pt idx="25">
                  <c:v>25.33261424273114</c:v>
                </c:pt>
                <c:pt idx="26">
                  <c:v>26.008711526472357</c:v>
                </c:pt>
                <c:pt idx="27">
                  <c:v>26.669873192279365</c:v>
                </c:pt>
                <c:pt idx="28">
                  <c:v>27.294885071065302</c:v>
                </c:pt>
                <c:pt idx="29">
                  <c:v>27.880383276748315</c:v>
                </c:pt>
                <c:pt idx="30">
                  <c:v>28.424804058851066</c:v>
                </c:pt>
                <c:pt idx="31">
                  <c:v>28.926465114036137</c:v>
                </c:pt>
                <c:pt idx="32">
                  <c:v>29.383327774140117</c:v>
                </c:pt>
                <c:pt idx="33">
                  <c:v>29.793162030052475</c:v>
                </c:pt>
                <c:pt idx="34">
                  <c:v>30.1538498293156</c:v>
                </c:pt>
                <c:pt idx="35">
                  <c:v>30.463731657155979</c:v>
                </c:pt>
                <c:pt idx="36">
                  <c:v>30.72193447405725</c:v>
                </c:pt>
                <c:pt idx="37">
                  <c:v>30.928628023615573</c:v>
                </c:pt>
                <c:pt idx="38">
                  <c:v>31.085167705672944</c:v>
                </c:pt>
                <c:pt idx="39">
                  <c:v>31.194101980527396</c:v>
                </c:pt>
                <c:pt idx="40">
                  <c:v>31.259047374105037</c:v>
                </c:pt>
                <c:pt idx="41">
                  <c:v>31.284458123896886</c:v>
                </c:pt>
                <c:pt idx="42">
                  <c:v>31.275333631833146</c:v>
                </c:pt>
                <c:pt idx="43">
                  <c:v>31.236911138168104</c:v>
                </c:pt>
                <c:pt idx="44">
                  <c:v>31.174384556637154</c:v>
                </c:pt>
                <c:pt idx="45">
                  <c:v>31.092677186344133</c:v>
                </c:pt>
                <c:pt idx="46">
                  <c:v>30.996280687066815</c:v>
                </c:pt>
                <c:pt idx="47">
                  <c:v>30.889160001794124</c:v>
                </c:pt>
                <c:pt idx="48">
                  <c:v>30.774715149478975</c:v>
                </c:pt>
                <c:pt idx="49">
                  <c:v>30.655786749620166</c:v>
                </c:pt>
                <c:pt idx="50">
                  <c:v>30.534691437487151</c:v>
                </c:pt>
                <c:pt idx="51">
                  <c:v>30.413274990082233</c:v>
                </c:pt>
                <c:pt idx="52">
                  <c:v>30.292973535577158</c:v>
                </c:pt>
                <c:pt idx="53">
                  <c:v>30.174875937250089</c:v>
                </c:pt>
                <c:pt idx="54">
                  <c:v>30.059783073781453</c:v>
                </c:pt>
                <c:pt idx="55">
                  <c:v>29.948261350162799</c:v>
                </c:pt>
                <c:pt idx="56">
                  <c:v>29.840689436954719</c:v>
                </c:pt>
                <c:pt idx="57">
                  <c:v>29.737298032788644</c:v>
                </c:pt>
                <c:pt idx="58">
                  <c:v>29.638202946028816</c:v>
                </c:pt>
                <c:pt idx="59">
                  <c:v>29.543432215702722</c:v>
                </c:pt>
                <c:pt idx="60">
                  <c:v>29.452948042436759</c:v>
                </c:pt>
                <c:pt idx="61">
                  <c:v>29.366664293944581</c:v>
                </c:pt>
                <c:pt idx="62">
                  <c:v>29.284460319032583</c:v>
                </c:pt>
                <c:pt idx="63">
                  <c:v>29.206191753482003</c:v>
                </c:pt>
                <c:pt idx="64">
                  <c:v>29.131698925830637</c:v>
                </c:pt>
                <c:pt idx="65">
                  <c:v>29.060813247295851</c:v>
                </c:pt>
                <c:pt idx="66">
                  <c:v>28.993362096174106</c:v>
                </c:pt>
                <c:pt idx="67">
                  <c:v>28.929172450241289</c:v>
                </c:pt>
                <c:pt idx="68">
                  <c:v>28.868073544624277</c:v>
                </c:pt>
                <c:pt idx="69">
                  <c:v>28.809898800024069</c:v>
                </c:pt>
                <c:pt idx="70">
                  <c:v>28.754487173700959</c:v>
                </c:pt>
                <c:pt idx="71">
                  <c:v>28.701684031076837</c:v>
                </c:pt>
                <c:pt idx="72">
                  <c:v>28.65134170180097</c:v>
                </c:pt>
                <c:pt idx="73">
                  <c:v>28.603319788113897</c:v>
                </c:pt>
                <c:pt idx="74">
                  <c:v>28.557485247682834</c:v>
                </c:pt>
                <c:pt idx="75">
                  <c:v>28.513712352427717</c:v>
                </c:pt>
                <c:pt idx="76">
                  <c:v>28.471882551520057</c:v>
                </c:pt>
                <c:pt idx="77">
                  <c:v>28.43188425787416</c:v>
                </c:pt>
                <c:pt idx="78">
                  <c:v>28.393612556311709</c:v>
                </c:pt>
                <c:pt idx="79">
                  <c:v>28.356968937774788</c:v>
                </c:pt>
                <c:pt idx="80">
                  <c:v>28.321860977402704</c:v>
                </c:pt>
                <c:pt idx="81">
                  <c:v>28.288201978247756</c:v>
                </c:pt>
                <c:pt idx="82">
                  <c:v>28.255910686988642</c:v>
                </c:pt>
                <c:pt idx="83">
                  <c:v>28.224910954148104</c:v>
                </c:pt>
                <c:pt idx="84">
                  <c:v>28.19513141982501</c:v>
                </c:pt>
                <c:pt idx="85">
                  <c:v>28.166505225334898</c:v>
                </c:pt>
                <c:pt idx="86">
                  <c:v>28.138969718823311</c:v>
                </c:pt>
                <c:pt idx="87">
                  <c:v>28.112466176059758</c:v>
                </c:pt>
                <c:pt idx="88">
                  <c:v>28.086939572131083</c:v>
                </c:pt>
                <c:pt idx="89">
                  <c:v>28.062338288432116</c:v>
                </c:pt>
                <c:pt idx="90">
                  <c:v>28.038613927584116</c:v>
                </c:pt>
                <c:pt idx="91">
                  <c:v>28.015721082602706</c:v>
                </c:pt>
                <c:pt idx="92">
                  <c:v>27.993617131037059</c:v>
                </c:pt>
                <c:pt idx="93">
                  <c:v>27.972262056535008</c:v>
                </c:pt>
                <c:pt idx="94">
                  <c:v>27.951618272495498</c:v>
                </c:pt>
                <c:pt idx="95">
                  <c:v>27.931650452409599</c:v>
                </c:pt>
                <c:pt idx="96">
                  <c:v>27.91232538375677</c:v>
                </c:pt>
                <c:pt idx="97">
                  <c:v>27.893611828898447</c:v>
                </c:pt>
                <c:pt idx="98">
                  <c:v>27.87548039480016</c:v>
                </c:pt>
                <c:pt idx="99">
                  <c:v>27.857903394343158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Sweep!$F$23:$F$122</c:f>
              <c:numCache>
                <c:formatCode>General</c:formatCode>
                <c:ptCount val="100"/>
                <c:pt idx="0">
                  <c:v>1.6549296482880313E-9</c:v>
                </c:pt>
                <c:pt idx="1">
                  <c:v>2.2001040833088926E-6</c:v>
                </c:pt>
                <c:pt idx="2">
                  <c:v>1.5309349388961029E-5</c:v>
                </c:pt>
                <c:pt idx="3">
                  <c:v>4.9272050744080641E-5</c:v>
                </c:pt>
                <c:pt idx="4">
                  <c:v>1.1403504847708823E-4</c:v>
                </c:pt>
                <c:pt idx="5">
                  <c:v>2.1852124329179405E-4</c:v>
                </c:pt>
                <c:pt idx="6">
                  <c:v>3.6750838762857134E-4</c:v>
                </c:pt>
                <c:pt idx="7">
                  <c:v>5.592352017817333E-4</c:v>
                </c:pt>
                <c:pt idx="8">
                  <c:v>7.8645739106666685E-4</c:v>
                </c:pt>
                <c:pt idx="9">
                  <c:v>1.0394201429545812E-3</c:v>
                </c:pt>
                <c:pt idx="10">
                  <c:v>1.3084274351968384E-3</c:v>
                </c:pt>
                <c:pt idx="11">
                  <c:v>1.5852047908773304E-3</c:v>
                </c:pt>
                <c:pt idx="12">
                  <c:v>1.8632795463103544E-3</c:v>
                </c:pt>
                <c:pt idx="13">
                  <c:v>2.1378239579749304E-3</c:v>
                </c:pt>
                <c:pt idx="14">
                  <c:v>2.4052942290676582E-3</c:v>
                </c:pt>
                <c:pt idx="15">
                  <c:v>2.663048156384666E-3</c:v>
                </c:pt>
                <c:pt idx="16">
                  <c:v>2.9090214401622321E-3</c:v>
                </c:pt>
                <c:pt idx="17">
                  <c:v>3.1414879290912836E-3</c:v>
                </c:pt>
                <c:pt idx="18">
                  <c:v>3.3589044100725512E-3</c:v>
                </c:pt>
                <c:pt idx="19">
                  <c:v>3.5598309947079071E-3</c:v>
                </c:pt>
                <c:pt idx="20">
                  <c:v>3.7429148451429248E-3</c:v>
                </c:pt>
                <c:pt idx="21">
                  <c:v>3.9069234588070059E-3</c:v>
                </c:pt>
                <c:pt idx="22">
                  <c:v>4.0508124101683481E-3</c:v>
                </c:pt>
                <c:pt idx="23">
                  <c:v>4.1738114973828427E-3</c:v>
                </c:pt>
                <c:pt idx="24">
                  <c:v>4.2755141892726854E-3</c:v>
                </c:pt>
                <c:pt idx="25">
                  <c:v>4.3639908509948335E-3</c:v>
                </c:pt>
                <c:pt idx="26">
                  <c:v>4.4473382050054504E-3</c:v>
                </c:pt>
                <c:pt idx="27">
                  <c:v>4.5238934900618906E-3</c:v>
                </c:pt>
                <c:pt idx="28">
                  <c:v>4.5910445432931603E-3</c:v>
                </c:pt>
                <c:pt idx="29">
                  <c:v>4.6476042787561992E-3</c:v>
                </c:pt>
                <c:pt idx="30">
                  <c:v>4.6924069987139367E-3</c:v>
                </c:pt>
                <c:pt idx="31">
                  <c:v>4.7242003347233771E-3</c:v>
                </c:pt>
                <c:pt idx="32">
                  <c:v>4.7417176738132928E-3</c:v>
                </c:pt>
                <c:pt idx="33">
                  <c:v>4.7438008769055198E-3</c:v>
                </c:pt>
                <c:pt idx="34">
                  <c:v>4.7295387215953739E-3</c:v>
                </c:pt>
                <c:pt idx="35">
                  <c:v>4.698399493579029E-3</c:v>
                </c:pt>
                <c:pt idx="36">
                  <c:v>4.6503372738382794E-3</c:v>
                </c:pt>
                <c:pt idx="37">
                  <c:v>4.5858535404990613E-3</c:v>
                </c:pt>
                <c:pt idx="38">
                  <c:v>4.5060018549025827E-3</c:v>
                </c:pt>
                <c:pt idx="39">
                  <c:v>4.4123333238551806E-3</c:v>
                </c:pt>
                <c:pt idx="40">
                  <c:v>4.3067915966073234E-3</c:v>
                </c:pt>
                <c:pt idx="41">
                  <c:v>4.1915750863793736E-3</c:v>
                </c:pt>
                <c:pt idx="42">
                  <c:v>4.0689883444349016E-3</c:v>
                </c:pt>
                <c:pt idx="43">
                  <c:v>3.9413032886199111E-3</c:v>
                </c:pt>
                <c:pt idx="44">
                  <c:v>3.8106455702678018E-3</c:v>
                </c:pt>
                <c:pt idx="45">
                  <c:v>3.6789140485078459E-3</c:v>
                </c:pt>
                <c:pt idx="46">
                  <c:v>3.5477343692638273E-3</c:v>
                </c:pt>
                <c:pt idx="47">
                  <c:v>3.4184425940212921E-3</c:v>
                </c:pt>
                <c:pt idx="48">
                  <c:v>3.2920920733506068E-3</c:v>
                </c:pt>
                <c:pt idx="49">
                  <c:v>3.1694760881577706E-3</c:v>
                </c:pt>
                <c:pt idx="50">
                  <c:v>3.0511594772785261E-3</c:v>
                </c:pt>
                <c:pt idx="51">
                  <c:v>2.9375138816718446E-3</c:v>
                </c:pt>
                <c:pt idx="52">
                  <c:v>2.8287528013377023E-3</c:v>
                </c:pt>
                <c:pt idx="53">
                  <c:v>2.7249640747057462E-3</c:v>
                </c:pt>
                <c:pt idx="54">
                  <c:v>2.6261385277957178E-3</c:v>
                </c:pt>
                <c:pt idx="55">
                  <c:v>2.5321943090061538E-3</c:v>
                </c:pt>
                <c:pt idx="56">
                  <c:v>2.4429969697360651E-3</c:v>
                </c:pt>
                <c:pt idx="57">
                  <c:v>2.358375629430092E-3</c:v>
                </c:pt>
                <c:pt idx="58">
                  <c:v>2.278135716926592E-3</c:v>
                </c:pt>
                <c:pt idx="59">
                  <c:v>2.202068813389703E-3</c:v>
                </c:pt>
                <c:pt idx="60">
                  <c:v>2.1299601134648076E-3</c:v>
                </c:pt>
                <c:pt idx="61">
                  <c:v>2.0615939622705736E-3</c:v>
                </c:pt>
                <c:pt idx="62">
                  <c:v>1.9967578670772026E-3</c:v>
                </c:pt>
                <c:pt idx="63">
                  <c:v>1.9352453194165112E-3</c:v>
                </c:pt>
                <c:pt idx="64">
                  <c:v>1.8768577033394748E-3</c:v>
                </c:pt>
                <c:pt idx="65">
                  <c:v>1.8214055030499388E-3</c:v>
                </c:pt>
                <c:pt idx="66">
                  <c:v>1.7687089916869842E-3</c:v>
                </c:pt>
                <c:pt idx="67">
                  <c:v>1.7185985330490836E-3</c:v>
                </c:pt>
                <c:pt idx="68">
                  <c:v>1.6709146018209508E-3</c:v>
                </c:pt>
                <c:pt idx="69">
                  <c:v>1.625507608173061E-3</c:v>
                </c:pt>
                <c:pt idx="70">
                  <c:v>1.5822375842874208E-3</c:v>
                </c:pt>
                <c:pt idx="71">
                  <c:v>1.5409737794808648E-3</c:v>
                </c:pt>
                <c:pt idx="72">
                  <c:v>1.501594201300576E-3</c:v>
                </c:pt>
                <c:pt idx="73">
                  <c:v>1.4639851273256909E-3</c:v>
                </c:pt>
                <c:pt idx="74">
                  <c:v>1.4280406041144371E-3</c:v>
                </c:pt>
                <c:pt idx="75">
                  <c:v>1.3936619493950862E-3</c:v>
                </c:pt>
                <c:pt idx="76">
                  <c:v>1.3607572661266938E-3</c:v>
                </c:pt>
                <c:pt idx="77">
                  <c:v>1.3292409741518271E-3</c:v>
                </c:pt>
                <c:pt idx="78">
                  <c:v>1.2990333623599843E-3</c:v>
                </c:pt>
                <c:pt idx="79">
                  <c:v>1.2700601678069603E-3</c:v>
                </c:pt>
                <c:pt idx="80">
                  <c:v>1.2422521783545996E-3</c:v>
                </c:pt>
                <c:pt idx="81">
                  <c:v>1.2155448598730311E-3</c:v>
                </c:pt>
                <c:pt idx="82">
                  <c:v>1.1898780119840701E-3</c:v>
                </c:pt>
                <c:pt idx="83">
                  <c:v>1.1651954456527993E-3</c:v>
                </c:pt>
                <c:pt idx="84">
                  <c:v>1.1414446850712392E-3</c:v>
                </c:pt>
                <c:pt idx="85">
                  <c:v>1.1185766924250837E-3</c:v>
                </c:pt>
                <c:pt idx="86">
                  <c:v>1.0965456128432913E-3</c:v>
                </c:pt>
                <c:pt idx="87">
                  <c:v>1.0753085390560974E-3</c:v>
                </c:pt>
                <c:pt idx="88">
                  <c:v>1.0548252957280461E-3</c:v>
                </c:pt>
                <c:pt idx="89">
                  <c:v>1.0350582377079971E-3</c:v>
                </c:pt>
                <c:pt idx="90">
                  <c:v>1.0159720675671426E-3</c:v>
                </c:pt>
                <c:pt idx="91">
                  <c:v>9.9753366532422463E-4</c:v>
                </c:pt>
                <c:pt idx="92">
                  <c:v>9.7971193199456429E-4</c:v>
                </c:pt>
                <c:pt idx="93">
                  <c:v>9.6247764594265255E-4</c:v>
                </c:pt>
                <c:pt idx="94">
                  <c:v>9.4580333015942643E-4</c:v>
                </c:pt>
                <c:pt idx="95">
                  <c:v>9.2966312975736084E-4</c:v>
                </c:pt>
                <c:pt idx="96">
                  <c:v>9.1403269943024989E-4</c:v>
                </c:pt>
                <c:pt idx="97">
                  <c:v>8.9888909953288773E-4</c:v>
                </c:pt>
                <c:pt idx="98">
                  <c:v>8.8421070015305681E-4</c:v>
                </c:pt>
                <c:pt idx="99">
                  <c:v>8.6997709199757999E-4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  <c:max val="5.000000000000001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Sweep!$D$23:$D$122</c:f>
              <c:numCache>
                <c:formatCode>General</c:formatCode>
                <c:ptCount val="100"/>
                <c:pt idx="0">
                  <c:v>1.0030090275275365E-3</c:v>
                </c:pt>
                <c:pt idx="1">
                  <c:v>1.0030155532729478E-3</c:v>
                </c:pt>
                <c:pt idx="2">
                  <c:v>1.0030957204381658E-3</c:v>
                </c:pt>
                <c:pt idx="3">
                  <c:v>1.0034208574418362E-3</c:v>
                </c:pt>
                <c:pt idx="4">
                  <c:v>1.0042693021712382E-3</c:v>
                </c:pt>
                <c:pt idx="5">
                  <c:v>1.0060123633265459E-3</c:v>
                </c:pt>
                <c:pt idx="6">
                  <c:v>1.0090504860392655E-3</c:v>
                </c:pt>
                <c:pt idx="7">
                  <c:v>1.0137113395804252E-3</c:v>
                </c:pt>
                <c:pt idx="8">
                  <c:v>1.0201789828173991E-3</c:v>
                </c:pt>
                <c:pt idx="9">
                  <c:v>1.0284829176191565E-3</c:v>
                </c:pt>
                <c:pt idx="10">
                  <c:v>1.0385242648195865E-3</c:v>
                </c:pt>
                <c:pt idx="11">
                  <c:v>1.050110197425035E-3</c:v>
                </c:pt>
                <c:pt idx="12">
                  <c:v>1.0629818385753966E-3</c:v>
                </c:pt>
                <c:pt idx="13">
                  <c:v>1.0768324319282896E-3</c:v>
                </c:pt>
                <c:pt idx="14">
                  <c:v>1.0913177911072978E-3</c:v>
                </c:pt>
                <c:pt idx="15">
                  <c:v>1.1060623356929555E-3</c:v>
                </c:pt>
                <c:pt idx="16">
                  <c:v>1.1206637740208052E-3</c:v>
                </c:pt>
                <c:pt idx="17">
                  <c:v>1.1346988325538689E-3</c:v>
                </c:pt>
                <c:pt idx="18">
                  <c:v>1.1477317234818893E-3</c:v>
                </c:pt>
                <c:pt idx="19">
                  <c:v>1.1593263196044063E-3</c:v>
                </c:pt>
                <c:pt idx="20">
                  <c:v>1.1690622291808206E-3</c:v>
                </c:pt>
                <c:pt idx="21">
                  <c:v>1.1765541293548172E-3</c:v>
                </c:pt>
                <c:pt idx="22">
                  <c:v>1.1814729158041931E-3</c:v>
                </c:pt>
                <c:pt idx="23">
                  <c:v>1.1835666730436521E-3</c:v>
                </c:pt>
                <c:pt idx="24">
                  <c:v>1.1826796495712135E-3</c:v>
                </c:pt>
                <c:pt idx="25">
                  <c:v>1.2019791432814348E-3</c:v>
                </c:pt>
                <c:pt idx="26">
                  <c:v>1.2079107705901713E-3</c:v>
                </c:pt>
                <c:pt idx="27">
                  <c:v>1.2129206990468412E-3</c:v>
                </c:pt>
                <c:pt idx="28">
                  <c:v>1.2168995539927404E-3</c:v>
                </c:pt>
                <c:pt idx="29">
                  <c:v>1.2194905370213262E-3</c:v>
                </c:pt>
                <c:pt idx="30">
                  <c:v>1.2202822665350608E-3</c:v>
                </c:pt>
                <c:pt idx="31">
                  <c:v>1.2188468165092964E-3</c:v>
                </c:pt>
                <c:pt idx="32">
                  <c:v>1.2147691649525606E-3</c:v>
                </c:pt>
                <c:pt idx="33">
                  <c:v>1.207678098084413E-3</c:v>
                </c:pt>
                <c:pt idx="34">
                  <c:v>1.1972781610133788E-3</c:v>
                </c:pt>
                <c:pt idx="35">
                  <c:v>1.1833794318445857E-3</c:v>
                </c:pt>
                <c:pt idx="36">
                  <c:v>1.1659207534139148E-3</c:v>
                </c:pt>
                <c:pt idx="37">
                  <c:v>1.1449821868263787E-3</c:v>
                </c:pt>
                <c:pt idx="38">
                  <c:v>1.1207838551802716E-3</c:v>
                </c:pt>
                <c:pt idx="39">
                  <c:v>1.0936707265031648E-3</c:v>
                </c:pt>
                <c:pt idx="40">
                  <c:v>1.0640855498023837E-3</c:v>
                </c:pt>
                <c:pt idx="41">
                  <c:v>1.0325342854033204E-3</c:v>
                </c:pt>
                <c:pt idx="42">
                  <c:v>9.9954934308777734E-4</c:v>
                </c:pt>
                <c:pt idx="43">
                  <c:v>9.6565559632910724E-4</c:v>
                </c:pt>
                <c:pt idx="44">
                  <c:v>9.3134279035501932E-4</c:v>
                </c:pt>
                <c:pt idx="45">
                  <c:v>8.9704617138019159E-4</c:v>
                </c:pt>
                <c:pt idx="46">
                  <c:v>8.6313548440830829E-4</c:v>
                </c:pt>
                <c:pt idx="47">
                  <c:v>8.2991127734776727E-4</c:v>
                </c:pt>
                <c:pt idx="48">
                  <c:v>7.9760681035744984E-4</c:v>
                </c:pt>
                <c:pt idx="49">
                  <c:v>7.6639372828474597E-4</c:v>
                </c:pt>
                <c:pt idx="50">
                  <c:v>7.3638984317850981E-4</c:v>
                </c:pt>
                <c:pt idx="51">
                  <c:v>7.0766772730671468E-4</c:v>
                </c:pt>
                <c:pt idx="52">
                  <c:v>6.8026320469823109E-4</c:v>
                </c:pt>
                <c:pt idx="53">
                  <c:v>6.5418317538088909E-4</c:v>
                </c:pt>
                <c:pt idx="54">
                  <c:v>6.2941247902103333E-4</c:v>
                </c:pt>
                <c:pt idx="55">
                  <c:v>6.0591969482252472E-4</c:v>
                </c:pt>
                <c:pt idx="56">
                  <c:v>5.8366189953705104E-4</c:v>
                </c:pt>
                <c:pt idx="57">
                  <c:v>5.6258847266568246E-4</c:v>
                </c:pt>
                <c:pt idx="58">
                  <c:v>5.4264407430632846E-4</c:v>
                </c:pt>
                <c:pt idx="59">
                  <c:v>5.237709249111312E-4</c:v>
                </c:pt>
                <c:pt idx="60">
                  <c:v>5.0591051452870245E-4</c:v>
                </c:pt>
                <c:pt idx="61">
                  <c:v>4.8900485381898342E-4</c:v>
                </c:pt>
                <c:pt idx="62">
                  <c:v>4.7299736397936738E-4</c:v>
                </c:pt>
                <c:pt idx="63">
                  <c:v>4.5783348658037765E-4</c:v>
                </c:pt>
                <c:pt idx="64">
                  <c:v>4.4346107934144539E-4</c:v>
                </c:pt>
                <c:pt idx="65">
                  <c:v>4.2983065027909681E-4</c:v>
                </c:pt>
                <c:pt idx="66">
                  <c:v>4.1689547223238191E-4</c:v>
                </c:pt>
                <c:pt idx="67">
                  <c:v>4.0461161002749215E-4</c:v>
                </c:pt>
                <c:pt idx="68">
                  <c:v>3.9293788501402566E-4</c:v>
                </c:pt>
                <c:pt idx="69">
                  <c:v>3.8183579685183134E-4</c:v>
                </c:pt>
                <c:pt idx="70">
                  <c:v>3.7126941609840614E-4</c:v>
                </c:pt>
                <c:pt idx="71">
                  <c:v>3.6120525882737058E-4</c:v>
                </c:pt>
                <c:pt idx="72">
                  <c:v>3.5161215120298943E-4</c:v>
                </c:pt>
                <c:pt idx="73">
                  <c:v>3.4246108979338016E-4</c:v>
                </c:pt>
                <c:pt idx="74">
                  <c:v>3.3372510168342025E-4</c:v>
                </c:pt>
                <c:pt idx="75">
                  <c:v>3.2537910742018352E-4</c:v>
                </c:pt>
                <c:pt idx="76">
                  <c:v>3.1739978873258033E-4</c:v>
                </c:pt>
                <c:pt idx="77">
                  <c:v>3.097654622772114E-4</c:v>
                </c:pt>
                <c:pt idx="78">
                  <c:v>3.0245596012746682E-4</c:v>
                </c:pt>
                <c:pt idx="79">
                  <c:v>2.9545251755887605E-4</c:v>
                </c:pt>
                <c:pt idx="80">
                  <c:v>2.8873766805547884E-4</c:v>
                </c:pt>
                <c:pt idx="81">
                  <c:v>2.822951454976389E-4</c:v>
                </c:pt>
                <c:pt idx="82">
                  <c:v>2.7610979349526068E-4</c:v>
                </c:pt>
                <c:pt idx="83">
                  <c:v>2.7016748133644876E-4</c:v>
                </c:pt>
                <c:pt idx="84">
                  <c:v>2.6445502634500325E-4</c:v>
                </c:pt>
                <c:pt idx="85">
                  <c:v>2.5896012226065535E-4</c:v>
                </c:pt>
                <c:pt idx="86">
                  <c:v>2.5367127319975461E-4</c:v>
                </c:pt>
                <c:pt idx="87">
                  <c:v>2.4857773284169042E-4</c:v>
                </c:pt>
                <c:pt idx="88">
                  <c:v>2.4366944850818259E-4</c:v>
                </c:pt>
                <c:pt idx="89">
                  <c:v>2.3893700960477359E-4</c:v>
                </c:pt>
                <c:pt idx="90">
                  <c:v>2.3437160032176881E-4</c:v>
                </c:pt>
                <c:pt idx="91">
                  <c:v>2.2996495604721065E-4</c:v>
                </c:pt>
                <c:pt idx="92">
                  <c:v>2.2570932328891402E-4</c:v>
                </c:pt>
                <c:pt idx="93">
                  <c:v>2.2159742281822574E-4</c:v>
                </c:pt>
                <c:pt idx="94">
                  <c:v>2.1762241574029524E-4</c:v>
                </c:pt>
                <c:pt idx="95">
                  <c:v>2.1377787225268638E-4</c:v>
                </c:pt>
                <c:pt idx="96">
                  <c:v>2.1005774288857294E-4</c:v>
                </c:pt>
                <c:pt idx="97">
                  <c:v>2.0645633201726933E-4</c:v>
                </c:pt>
                <c:pt idx="98">
                  <c:v>2.029682734157183E-4</c:v>
                </c:pt>
                <c:pt idx="99">
                  <c:v>1.995885077195542E-4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Sweep!$E$23:$E$122</c:f>
              <c:numCache>
                <c:formatCode>General</c:formatCode>
                <c:ptCount val="100"/>
                <c:pt idx="0">
                  <c:v>1.0030090271208587E-3</c:v>
                </c:pt>
                <c:pt idx="1">
                  <c:v>1.0030096061440458E-3</c:v>
                </c:pt>
                <c:pt idx="2">
                  <c:v>1.0030167155841631E-3</c:v>
                </c:pt>
                <c:pt idx="3">
                  <c:v>1.0030454822030528E-3</c:v>
                </c:pt>
                <c:pt idx="4">
                  <c:v>1.0031201117964208E-3</c:v>
                </c:pt>
                <c:pt idx="5">
                  <c:v>1.0032722399466233E-3</c:v>
                </c:pt>
                <c:pt idx="6">
                  <c:v>1.003535518583837E-3</c:v>
                </c:pt>
                <c:pt idx="7">
                  <c:v>1.0039351097155655E-3</c:v>
                </c:pt>
                <c:pt idx="8">
                  <c:v>1.0044752296772877E-3</c:v>
                </c:pt>
                <c:pt idx="9">
                  <c:v>1.0051292981698803E-3</c:v>
                </c:pt>
                <c:pt idx="10">
                  <c:v>1.0058348716241257E-3</c:v>
                </c:pt>
                <c:pt idx="11">
                  <c:v>1.00649312476876E-3</c:v>
                </c:pt>
                <c:pt idx="12">
                  <c:v>1.0069716717781025E-3</c:v>
                </c:pt>
                <c:pt idx="13">
                  <c:v>1.0071095691895485E-3</c:v>
                </c:pt>
                <c:pt idx="14">
                  <c:v>1.0067237595158987E-3</c:v>
                </c:pt>
                <c:pt idx="15">
                  <c:v>1.005616613460064E-3</c:v>
                </c:pt>
                <c:pt idx="16">
                  <c:v>1.0035844643811326E-3</c:v>
                </c:pt>
                <c:pt idx="17">
                  <c:v>1.0004270794552828E-3</c:v>
                </c:pt>
                <c:pt idx="18">
                  <c:v>9.9595790680795035E-4</c:v>
                </c:pt>
                <c:pt idx="19">
                  <c:v>9.9001472694844632E-4</c:v>
                </c:pt>
                <c:pt idx="20">
                  <c:v>9.8247008532309174E-4</c:v>
                </c:pt>
                <c:pt idx="21">
                  <c:v>9.7324067082292542E-4</c:v>
                </c:pt>
                <c:pt idx="22">
                  <c:v>9.6229472448654838E-4</c:v>
                </c:pt>
                <c:pt idx="23">
                  <c:v>9.4965671890736333E-4</c:v>
                </c:pt>
                <c:pt idx="24">
                  <c:v>9.3540917545538243E-4</c:v>
                </c:pt>
                <c:pt idx="25">
                  <c:v>9.4079250883223945E-4</c:v>
                </c:pt>
                <c:pt idx="26">
                  <c:v>9.3383758341354086E-4</c:v>
                </c:pt>
                <c:pt idx="27">
                  <c:v>9.2636353157863921E-4</c:v>
                </c:pt>
                <c:pt idx="28">
                  <c:v>9.185869377466479E-4</c:v>
                </c:pt>
                <c:pt idx="29">
                  <c:v>9.1037522885101165E-4</c:v>
                </c:pt>
                <c:pt idx="30">
                  <c:v>9.0154669015164821E-4</c:v>
                </c:pt>
                <c:pt idx="31">
                  <c:v>8.9191397777028632E-4</c:v>
                </c:pt>
                <c:pt idx="32">
                  <c:v>8.8130197106940048E-4</c:v>
                </c:pt>
                <c:pt idx="33">
                  <c:v>8.6956065615155682E-4</c:v>
                </c:pt>
                <c:pt idx="34">
                  <c:v>8.5657628588389095E-4</c:v>
                </c:pt>
                <c:pt idx="35">
                  <c:v>8.4228073782783588E-4</c:v>
                </c:pt>
                <c:pt idx="36">
                  <c:v>8.266580943052977E-4</c:v>
                </c:pt>
                <c:pt idx="37">
                  <c:v>8.0974738494278304E-4</c:v>
                </c:pt>
                <c:pt idx="38">
                  <c:v>7.9164082092337813E-4</c:v>
                </c:pt>
                <c:pt idx="39">
                  <c:v>7.7247752861815634E-4</c:v>
                </c:pt>
                <c:pt idx="40">
                  <c:v>7.5243354214701429E-4</c:v>
                </c:pt>
                <c:pt idx="41">
                  <c:v>7.3170941372540212E-4</c:v>
                </c:pt>
                <c:pt idx="42">
                  <c:v>7.1051708214885491E-4</c:v>
                </c:pt>
                <c:pt idx="43">
                  <c:v>6.8906755685019879E-4</c:v>
                </c:pt>
                <c:pt idx="44">
                  <c:v>6.6756060163658201E-4</c:v>
                </c:pt>
                <c:pt idx="45">
                  <c:v>6.461770846284483E-4</c:v>
                </c:pt>
                <c:pt idx="46">
                  <c:v>6.250741505511824E-4</c:v>
                </c:pt>
                <c:pt idx="47">
                  <c:v>6.0438297481531526E-4</c:v>
                </c:pt>
                <c:pt idx="48">
                  <c:v>5.8420861952152784E-4</c:v>
                </c:pt>
                <c:pt idx="49">
                  <c:v>5.6463142093993895E-4</c:v>
                </c:pt>
                <c:pt idx="50">
                  <c:v>5.4570935795111093E-4</c:v>
                </c:pt>
                <c:pt idx="51">
                  <c:v>5.2748093570762042E-4</c:v>
                </c:pt>
                <c:pt idx="52">
                  <c:v>5.0996822930245015E-4</c:v>
                </c:pt>
                <c:pt idx="53">
                  <c:v>4.9317984171812624E-4</c:v>
                </c:pt>
                <c:pt idx="54">
                  <c:v>4.7711362408744094E-4</c:v>
                </c:pt>
                <c:pt idx="55">
                  <c:v>4.6175907882491617E-4</c:v>
                </c:pt>
                <c:pt idx="56">
                  <c:v>4.4709941798788937E-4</c:v>
                </c:pt>
                <c:pt idx="57">
                  <c:v>4.3311328182474019E-4</c:v>
                </c:pt>
                <c:pt idx="58">
                  <c:v>4.1977614469453843E-4</c:v>
                </c:pt>
                <c:pt idx="59">
                  <c:v>4.0706144242467931E-4</c:v>
                </c:pt>
                <c:pt idx="60">
                  <c:v>3.949414611122288E-4</c:v>
                </c:pt>
                <c:pt idx="61">
                  <c:v>3.8338802534985939E-4</c:v>
                </c:pt>
                <c:pt idx="62">
                  <c:v>3.7237302122273473E-4</c:v>
                </c:pt>
                <c:pt idx="63">
                  <c:v>3.6186878526890437E-4</c:v>
                </c:pt>
                <c:pt idx="64">
                  <c:v>3.5184838616673974E-4</c:v>
                </c:pt>
                <c:pt idx="65">
                  <c:v>3.4228582161434715E-4</c:v>
                </c:pt>
                <c:pt idx="66">
                  <c:v>3.3315614894025903E-4</c:v>
                </c:pt>
                <c:pt idx="67">
                  <c:v>3.2443556458306886E-4</c:v>
                </c:pt>
                <c:pt idx="68">
                  <c:v>3.1610144437647957E-4</c:v>
                </c:pt>
                <c:pt idx="69">
                  <c:v>3.0813235477581373E-4</c:v>
                </c:pt>
                <c:pt idx="70">
                  <c:v>3.0050804216355737E-4</c:v>
                </c:pt>
                <c:pt idx="71">
                  <c:v>2.9320940658123938E-4</c:v>
                </c:pt>
                <c:pt idx="72">
                  <c:v>2.8621846443452169E-4</c:v>
                </c:pt>
                <c:pt idx="73">
                  <c:v>2.7951830379389892E-4</c:v>
                </c:pt>
                <c:pt idx="74">
                  <c:v>2.7309303504745829E-4</c:v>
                </c:pt>
                <c:pt idx="75">
                  <c:v>2.669277389931003E-4</c:v>
                </c:pt>
                <c:pt idx="76">
                  <c:v>2.6100841393229525E-4</c:v>
                </c:pt>
                <c:pt idx="77">
                  <c:v>2.553219229171453E-4</c:v>
                </c:pt>
                <c:pt idx="78">
                  <c:v>2.4985594198386938E-4</c:v>
                </c:pt>
                <c:pt idx="79">
                  <c:v>2.4459890995973208E-4</c:v>
                </c:pt>
                <c:pt idx="80">
                  <c:v>2.3953998024160339E-4</c:v>
                </c:pt>
                <c:pt idx="81">
                  <c:v>2.3466897480047517E-4</c:v>
                </c:pt>
                <c:pt idx="82">
                  <c:v>2.2997634055763928E-4</c:v>
                </c:pt>
                <c:pt idx="83">
                  <c:v>2.2545310819705627E-4</c:v>
                </c:pt>
                <c:pt idx="84">
                  <c:v>2.2109085341859682E-4</c:v>
                </c:pt>
                <c:pt idx="85">
                  <c:v>2.1688166059353285E-4</c:v>
                </c:pt>
                <c:pt idx="86">
                  <c:v>2.1281808875299894E-4</c:v>
                </c:pt>
                <c:pt idx="87">
                  <c:v>2.0889313981928262E-4</c:v>
                </c:pt>
                <c:pt idx="88">
                  <c:v>2.0510022897628807E-4</c:v>
                </c:pt>
                <c:pt idx="89">
                  <c:v>2.0143315706758457E-4</c:v>
                </c:pt>
                <c:pt idx="90">
                  <c:v>1.9788608490699903E-4</c:v>
                </c:pt>
                <c:pt idx="91">
                  <c:v>1.9445350938515141E-4</c:v>
                </c:pt>
                <c:pt idx="92">
                  <c:v>1.9113024125868371E-4</c:v>
                </c:pt>
                <c:pt idx="93">
                  <c:v>1.8791138450960791E-4</c:v>
                </c:pt>
                <c:pt idx="94">
                  <c:v>1.8479231716926202E-4</c:v>
                </c:pt>
                <c:pt idx="95">
                  <c:v>1.8176867350363344E-4</c:v>
                </c:pt>
                <c:pt idx="96">
                  <c:v>1.7883632746417953E-4</c:v>
                </c:pt>
                <c:pt idx="97">
                  <c:v>1.7599137731281282E-4</c:v>
                </c:pt>
                <c:pt idx="98">
                  <c:v>1.7323013133570299E-4</c:v>
                </c:pt>
                <c:pt idx="99">
                  <c:v>1.7054909456574812E-4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Sweep!$M$23:$M$122</c:f>
              <c:numCache>
                <c:formatCode>General</c:formatCode>
                <c:ptCount val="100"/>
                <c:pt idx="0">
                  <c:v>2.2536938848688848E-7</c:v>
                </c:pt>
                <c:pt idx="1">
                  <c:v>3.2943968032309954E-3</c:v>
                </c:pt>
                <c:pt idx="2">
                  <c:v>4.3759972413901539E-2</c:v>
                </c:pt>
                <c:pt idx="3">
                  <c:v>0.2078475601582104</c:v>
                </c:pt>
                <c:pt idx="4">
                  <c:v>0.63622144810416181</c:v>
                </c:pt>
                <c:pt idx="5">
                  <c:v>1.5218082052437247</c:v>
                </c:pt>
                <c:pt idx="6">
                  <c:v>3.0962561222018783</c:v>
                </c:pt>
                <c:pt idx="7">
                  <c:v>5.5993348794275546</c:v>
                </c:pt>
                <c:pt idx="8">
                  <c:v>9.2445388882489947</c:v>
                </c:pt>
                <c:pt idx="9">
                  <c:v>14.197055489379981</c:v>
                </c:pt>
                <c:pt idx="10">
                  <c:v>20.567838877370917</c:v>
                </c:pt>
                <c:pt idx="11">
                  <c:v>28.418767987479185</c:v>
                </c:pt>
                <c:pt idx="12">
                  <c:v>37.772647137410637</c:v>
                </c:pt>
                <c:pt idx="13">
                  <c:v>48.623840426163348</c:v>
                </c:pt>
                <c:pt idx="14">
                  <c:v>60.947497865072826</c:v>
                </c:pt>
                <c:pt idx="15">
                  <c:v>74.706728383544913</c:v>
                </c:pt>
                <c:pt idx="16">
                  <c:v>89.857778328993277</c:v>
                </c:pt>
                <c:pt idx="17">
                  <c:v>106.35355584414341</c:v>
                </c:pt>
                <c:pt idx="18">
                  <c:v>124.14591586759684</c:v>
                </c:pt>
                <c:pt idx="19">
                  <c:v>143.18711496885254</c:v>
                </c:pt>
                <c:pt idx="20">
                  <c:v>163.43082834553212</c:v>
                </c:pt>
                <c:pt idx="21">
                  <c:v>184.83313579065717</c:v>
                </c:pt>
                <c:pt idx="22">
                  <c:v>207.35398436952963</c:v>
                </c:pt>
                <c:pt idx="23">
                  <c:v>230.95999165924073</c:v>
                </c:pt>
                <c:pt idx="24">
                  <c:v>255.63102707341699</c:v>
                </c:pt>
                <c:pt idx="25">
                  <c:v>452.24247026114853</c:v>
                </c:pt>
                <c:pt idx="26">
                  <c:v>547.25748471127076</c:v>
                </c:pt>
                <c:pt idx="27">
                  <c:v>639.56459909893942</c:v>
                </c:pt>
                <c:pt idx="28">
                  <c:v>734.82345807547654</c:v>
                </c:pt>
                <c:pt idx="29">
                  <c:v>833.62029662765349</c:v>
                </c:pt>
                <c:pt idx="30">
                  <c:v>935.83888484076033</c:v>
                </c:pt>
                <c:pt idx="31">
                  <c:v>1041.2200515696616</c:v>
                </c:pt>
                <c:pt idx="32">
                  <c:v>1149.4887328251098</c:v>
                </c:pt>
                <c:pt idx="33">
                  <c:v>1260.3892208400559</c:v>
                </c:pt>
                <c:pt idx="34">
                  <c:v>1373.6949301653049</c:v>
                </c:pt>
                <c:pt idx="35">
                  <c:v>1489.209940421845</c:v>
                </c:pt>
                <c:pt idx="36">
                  <c:v>1606.7675844266746</c:v>
                </c:pt>
                <c:pt idx="37">
                  <c:v>1726.2278502132363</c:v>
                </c:pt>
                <c:pt idx="38">
                  <c:v>1847.4742501531077</c:v>
                </c:pt>
                <c:pt idx="39">
                  <c:v>1970.4104568685721</c:v>
                </c:pt>
                <c:pt idx="40">
                  <c:v>2094.9569043914444</c:v>
                </c:pt>
                <c:pt idx="41">
                  <c:v>2221.0475236222928</c:v>
                </c:pt>
                <c:pt idx="42">
                  <c:v>2348.6267571461194</c:v>
                </c:pt>
                <c:pt idx="43">
                  <c:v>2477.6469610967656</c:v>
                </c:pt>
                <c:pt idx="44">
                  <c:v>2608.066253499208</c:v>
                </c:pt>
                <c:pt idx="45">
                  <c:v>2739.8468193254207</c:v>
                </c:pt>
                <c:pt idx="46">
                  <c:v>2872.9536418308257</c:v>
                </c:pt>
                <c:pt idx="47">
                  <c:v>3007.3536028285785</c:v>
                </c:pt>
                <c:pt idx="48">
                  <c:v>3143.0148820005566</c:v>
                </c:pt>
                <c:pt idx="49">
                  <c:v>3279.9065845126584</c:v>
                </c:pt>
                <c:pt idx="50">
                  <c:v>3417.9985331364769</c:v>
                </c:pt>
                <c:pt idx="51">
                  <c:v>3557.2611719460438</c:v>
                </c:pt>
                <c:pt idx="52">
                  <c:v>3697.6655405231941</c:v>
                </c:pt>
                <c:pt idx="53">
                  <c:v>3839.1832886213579</c:v>
                </c:pt>
                <c:pt idx="54">
                  <c:v>3981.7867104919669</c:v>
                </c:pt>
                <c:pt idx="55">
                  <c:v>4125.4487853112068</c:v>
                </c:pt>
                <c:pt idx="56">
                  <c:v>4270.1432154420945</c:v>
                </c:pt>
                <c:pt idx="57">
                  <c:v>4415.8444581495996</c:v>
                </c:pt>
                <c:pt idx="58">
                  <c:v>4562.5277485629813</c:v>
                </c:pt>
                <c:pt idx="59">
                  <c:v>4710.1691136582131</c:v>
                </c:pt>
                <c:pt idx="60">
                  <c:v>4858.7453776199864</c:v>
                </c:pt>
                <c:pt idx="61">
                  <c:v>5008.2341595980943</c:v>
                </c:pt>
                <c:pt idx="62">
                  <c:v>5158.6138650256835</c:v>
                </c:pt>
                <c:pt idx="63">
                  <c:v>5309.8636717022237</c:v>
                </c:pt>
                <c:pt idx="64">
                  <c:v>5461.9635117743937</c:v>
                </c:pt>
                <c:pt idx="65">
                  <c:v>5614.8940506284243</c:v>
                </c:pt>
                <c:pt idx="66">
                  <c:v>5768.6366635680679</c:v>
                </c:pt>
                <c:pt idx="67">
                  <c:v>5923.1734109874451</c:v>
                </c:pt>
                <c:pt idx="68">
                  <c:v>6078.4870127537861</c:v>
                </c:pt>
                <c:pt idx="69">
                  <c:v>6234.5608220502345</c:v>
                </c:pt>
                <c:pt idx="70">
                  <c:v>6391.3787993282685</c:v>
                </c:pt>
                <c:pt idx="71">
                  <c:v>6548.9254864899513</c:v>
                </c:pt>
                <c:pt idx="72">
                  <c:v>6707.1859815868229</c:v>
                </c:pt>
                <c:pt idx="73">
                  <c:v>6866.1459141912446</c:v>
                </c:pt>
                <c:pt idx="74">
                  <c:v>7025.791421557893</c:v>
                </c:pt>
                <c:pt idx="75">
                  <c:v>7186.1091256550417</c:v>
                </c:pt>
                <c:pt idx="76">
                  <c:v>7347.0861111149825</c:v>
                </c:pt>
                <c:pt idx="77">
                  <c:v>7508.709904129556</c:v>
                </c:pt>
                <c:pt idx="78">
                  <c:v>7670.9684522984326</c:v>
                </c:pt>
                <c:pt idx="79">
                  <c:v>7833.8501054239305</c:v>
                </c:pt>
                <c:pt idx="80">
                  <c:v>7997.3435972358684</c:v>
                </c:pt>
                <c:pt idx="81">
                  <c:v>8161.4380280222549</c:v>
                </c:pt>
                <c:pt idx="82">
                  <c:v>8326.1228481363523</c:v>
                </c:pt>
                <c:pt idx="83">
                  <c:v>8491.387842346905</c:v>
                </c:pt>
                <c:pt idx="84">
                  <c:v>8657.2231149961535</c:v>
                </c:pt>
                <c:pt idx="85">
                  <c:v>8823.6190759289166</c:v>
                </c:pt>
                <c:pt idx="86">
                  <c:v>8990.5664271556525</c:v>
                </c:pt>
                <c:pt idx="87">
                  <c:v>9158.0561502126075</c:v>
                </c:pt>
                <c:pt idx="88">
                  <c:v>9326.0794941826916</c:v>
                </c:pt>
                <c:pt idx="89">
                  <c:v>9494.6279643407379</c:v>
                </c:pt>
                <c:pt idx="90">
                  <c:v>9663.6933113952509</c:v>
                </c:pt>
                <c:pt idx="91">
                  <c:v>9833.2675212768645</c:v>
                </c:pt>
                <c:pt idx="92">
                  <c:v>10003.342805470731</c:v>
                </c:pt>
                <c:pt idx="93">
                  <c:v>10173.911591826605</c:v>
                </c:pt>
                <c:pt idx="94">
                  <c:v>10344.966515857323</c:v>
                </c:pt>
                <c:pt idx="95">
                  <c:v>10516.500412464562</c:v>
                </c:pt>
                <c:pt idx="96">
                  <c:v>10688.506308087786</c:v>
                </c:pt>
                <c:pt idx="97">
                  <c:v>10860.977413244518</c:v>
                </c:pt>
                <c:pt idx="98">
                  <c:v>11033.907115442669</c:v>
                </c:pt>
                <c:pt idx="99">
                  <c:v>11207.28897243396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49-4FD6-8ECB-46049FA37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242496"/>
        <c:axId val="1274254496"/>
      </c:scatterChart>
      <c:valAx>
        <c:axId val="1274242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54496"/>
        <c:crosses val="autoZero"/>
        <c:crossBetween val="midCat"/>
      </c:valAx>
      <c:valAx>
        <c:axId val="1274254496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4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6803</xdr:colOff>
      <xdr:row>20</xdr:row>
      <xdr:rowOff>179613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591909</xdr:colOff>
      <xdr:row>86</xdr:row>
      <xdr:rowOff>2721</xdr:rowOff>
    </xdr:from>
    <xdr:to>
      <xdr:col>47</xdr:col>
      <xdr:colOff>108856</xdr:colOff>
      <xdr:row>124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58654F-B1A5-A1F7-7BF3-D3888679A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zoomScale="220" zoomScaleNormal="220"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13.38</v>
      </c>
      <c r="D2" s="3">
        <v>13.38</v>
      </c>
    </row>
    <row r="3" spans="1:4" x14ac:dyDescent="0.25">
      <c r="A3" s="2" t="s">
        <v>11</v>
      </c>
      <c r="B3" s="3">
        <v>997</v>
      </c>
      <c r="D3" s="3">
        <v>997.79</v>
      </c>
    </row>
    <row r="4" spans="1:4" x14ac:dyDescent="0.25">
      <c r="A4" s="2" t="s">
        <v>12</v>
      </c>
      <c r="B4" s="3">
        <v>700</v>
      </c>
      <c r="D4" s="3">
        <v>469.13</v>
      </c>
    </row>
    <row r="5" spans="1:4" x14ac:dyDescent="0.25">
      <c r="A5" s="2" t="s">
        <v>13</v>
      </c>
      <c r="B5" s="3">
        <v>18000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60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2.4500000000000002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1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5</v>
      </c>
      <c r="D30" s="3">
        <v>0</v>
      </c>
    </row>
    <row r="31" spans="1:4" x14ac:dyDescent="0.25">
      <c r="A31" s="2" t="s">
        <v>39</v>
      </c>
      <c r="B31" s="3">
        <v>6</v>
      </c>
      <c r="D31" s="3">
        <v>0</v>
      </c>
    </row>
    <row r="32" spans="1:4" x14ac:dyDescent="0.25">
      <c r="A32" s="2" t="s">
        <v>40</v>
      </c>
      <c r="B32" s="3">
        <v>69.25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13.427584877973628</v>
      </c>
    </row>
    <row r="3" spans="1:2" x14ac:dyDescent="0.25">
      <c r="A3" t="s">
        <v>43</v>
      </c>
      <c r="B3">
        <f>INDEX(ComputeThermoProps(T_in,p_in,ParametersRange),1,2)</f>
        <v>1.0371011430468124E-3</v>
      </c>
    </row>
    <row r="4" spans="1:2" x14ac:dyDescent="0.25">
      <c r="A4" t="s">
        <v>44</v>
      </c>
      <c r="B4">
        <f>INDEX(ComputeThermoProps(T_in,p_in,ParametersRange),1,3)</f>
        <v>1.0054582115740487E-3</v>
      </c>
    </row>
    <row r="5" spans="1:2" x14ac:dyDescent="0.25">
      <c r="A5" t="s">
        <v>45</v>
      </c>
      <c r="B5">
        <f>INDEX(ComputeThermoProps(T_in,p_in,ParametersRange),1,4)</f>
        <v>1.2799847875070102E-3</v>
      </c>
    </row>
    <row r="6" spans="1:2" x14ac:dyDescent="0.25">
      <c r="A6" t="s">
        <v>46</v>
      </c>
      <c r="B6">
        <f>INDEX(ComputeThermoProps(T_in,p_in,ParametersRange),1,5)</f>
        <v>6.9523369421352585</v>
      </c>
    </row>
    <row r="7" spans="1:2" x14ac:dyDescent="0.25">
      <c r="A7" t="s">
        <v>47</v>
      </c>
      <c r="B7">
        <f>INDEX(ComputeThermoProps(T_in,p_in,ParametersRange),1,6)</f>
        <v>6.7402146019850475</v>
      </c>
    </row>
    <row r="8" spans="1:2" x14ac:dyDescent="0.25">
      <c r="A8" t="s">
        <v>48</v>
      </c>
      <c r="B8">
        <f>INDEX(ComputeThermoProps(T_in,p_in,ParametersRange),1,7)</f>
        <v>2.4587132250400141</v>
      </c>
    </row>
    <row r="9" spans="1:2" x14ac:dyDescent="0.25">
      <c r="A9" t="s">
        <v>49</v>
      </c>
      <c r="B9">
        <f>INDEX(ComputeThermoProps(T_in,p_in,ParametersRange),1,8)</f>
        <v>19.84770700969349</v>
      </c>
    </row>
    <row r="10" spans="1:2" x14ac:dyDescent="0.25">
      <c r="A10" t="s">
        <v>50</v>
      </c>
      <c r="B10">
        <f>INDEX(ComputeThermoProps(T_in,p_in,ParametersRange),1,9)</f>
        <v>2.7003874656788409</v>
      </c>
    </row>
    <row r="11" spans="1:2" x14ac:dyDescent="0.25">
      <c r="A11" t="s">
        <v>51</v>
      </c>
      <c r="B11">
        <f>INDEX(ComputeThermoProps(T_in,p_in,ParametersRange),1,10)</f>
        <v>-7.1561676470949189</v>
      </c>
    </row>
    <row r="12" spans="1:2" x14ac:dyDescent="0.25">
      <c r="A12" t="s">
        <v>52</v>
      </c>
      <c r="B12">
        <f>INDEX(ComputeThermoProps(T_in,p_in,ParametersRange),1,11)</f>
        <v>21.190465497490852</v>
      </c>
    </row>
    <row r="13" spans="1:2" x14ac:dyDescent="0.25">
      <c r="A13" t="s">
        <v>53</v>
      </c>
      <c r="B13">
        <f>INDEX(ComputeThermoProps(T_in,p_in,ParametersRange),1,12)</f>
        <v>-5.8134091592975574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13.427584877973628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P123"/>
  <sheetViews>
    <sheetView tabSelected="1" topLeftCell="H13" zoomScale="70" zoomScaleNormal="70" workbookViewId="0">
      <selection activeCell="AY36" sqref="AY36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100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24.556100000000001</v>
      </c>
    </row>
    <row r="6" spans="1:2" x14ac:dyDescent="0.25">
      <c r="A6" s="2" t="s">
        <v>71</v>
      </c>
      <c r="B6" s="3">
        <v>4.3332000000000002E-2</v>
      </c>
    </row>
    <row r="7" spans="1:2" x14ac:dyDescent="0.25">
      <c r="A7" s="2" t="s">
        <v>81</v>
      </c>
      <c r="B7" s="3">
        <v>69.25</v>
      </c>
    </row>
    <row r="8" spans="1:2" x14ac:dyDescent="0.25">
      <c r="A8" s="2" t="s">
        <v>82</v>
      </c>
      <c r="B8" s="3">
        <v>1.6950000000000001</v>
      </c>
    </row>
    <row r="9" spans="1:2" x14ac:dyDescent="0.25">
      <c r="A9" s="2" t="s">
        <v>83</v>
      </c>
      <c r="B9" s="4">
        <f>Parameters!B32-B7</f>
        <v>0</v>
      </c>
    </row>
    <row r="10" spans="1:2" x14ac:dyDescent="0.25">
      <c r="A10" s="2" t="s">
        <v>84</v>
      </c>
      <c r="B10" s="4">
        <f>INDEX( ComputeThermoProps($B5, $B6, ParametersRange), 1, 12 )</f>
        <v>-142.3856143228877</v>
      </c>
    </row>
    <row r="11" spans="1:2" x14ac:dyDescent="0.25">
      <c r="A11" s="2" t="s">
        <v>85</v>
      </c>
      <c r="B11" s="4">
        <f>(B10+B5*Parameters!B32)-B8</f>
        <v>1556.4293106771124</v>
      </c>
    </row>
    <row r="13" spans="1:2" x14ac:dyDescent="0.25">
      <c r="A13" s="2" t="s">
        <v>72</v>
      </c>
      <c r="B13" s="3">
        <v>-14.883845098313699</v>
      </c>
    </row>
    <row r="14" spans="1:2" x14ac:dyDescent="0.25">
      <c r="A14" s="2" t="s">
        <v>73</v>
      </c>
      <c r="B14" s="3">
        <v>5.8217591179742998</v>
      </c>
    </row>
    <row r="15" spans="1:2" x14ac:dyDescent="0.25">
      <c r="A15" s="2" t="s">
        <v>74</v>
      </c>
      <c r="B15" s="3">
        <v>-0.39834285015300502</v>
      </c>
    </row>
    <row r="17" spans="1:16" x14ac:dyDescent="0.25">
      <c r="A17" s="2" t="s">
        <v>75</v>
      </c>
      <c r="B17" s="3">
        <v>4151.2700000000004</v>
      </c>
    </row>
    <row r="18" spans="1:16" x14ac:dyDescent="0.25">
      <c r="A18" s="2" t="s">
        <v>76</v>
      </c>
      <c r="B18" s="3">
        <v>1.355</v>
      </c>
    </row>
    <row r="19" spans="1:16" x14ac:dyDescent="0.25">
      <c r="A19" s="2" t="s">
        <v>77</v>
      </c>
      <c r="B19" s="3">
        <v>558.6</v>
      </c>
    </row>
    <row r="20" spans="1:16" x14ac:dyDescent="0.25">
      <c r="A20" s="2" t="s">
        <v>78</v>
      </c>
      <c r="B20" s="3">
        <v>0.16850999999999999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P22" t="s">
        <v>86</v>
      </c>
    </row>
    <row r="23" spans="1:16" x14ac:dyDescent="0.25">
      <c r="A23" s="2" cm="1">
        <f t="array" ref="A23:A12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cm="1">
        <f t="array" ref="C23">INDEX( ComputeThermoProps($A23, $B23, ParametersRange), 1, COLUMN()-2 )</f>
        <v>13.380000000553817</v>
      </c>
      <c r="D23" s="2" cm="1">
        <f t="array" ref="D23">INDEX( ComputeThermoProps($A23, $B23, ParametersRange), 1, COLUMN()-2 )</f>
        <v>1.0030090275275365E-3</v>
      </c>
      <c r="E23" s="2" cm="1">
        <f t="array" ref="E23">INDEX( ComputeThermoProps($A23, $B23, ParametersRange), 1, COLUMN()-2 )</f>
        <v>1.0030090271208587E-3</v>
      </c>
      <c r="F23" s="2" cm="1">
        <f t="array" ref="F23">INDEX( ComputeThermoProps($A23, $B23, ParametersRange), 1, COLUMN()-2 )</f>
        <v>1.6549296482880313E-9</v>
      </c>
      <c r="G23" s="2" cm="1">
        <f t="array" ref="G23">INDEX( ComputeThermoProps($A23, $B23, ParametersRange), 1, COLUMN()-2 )</f>
        <v>9.0108284967916897E-6</v>
      </c>
      <c r="H23" s="2" cm="1">
        <f t="array" ref="H23">INDEX( ComputeThermoProps($A23, $B23, ParametersRange), 1, COLUMN()-2 )</f>
        <v>9.0108284931381791E-6</v>
      </c>
      <c r="I23" s="2" cm="1">
        <f t="array" ref="I23">INDEX( ComputeThermoProps($A23, $B23, ParametersRange), 1, COLUMN()-2 )</f>
        <v>2.4500000001014093</v>
      </c>
      <c r="J23" s="2" cm="1">
        <f t="array" ref="J23">INDEX( ComputeThermoProps($A23, $B23, ParametersRange), 1, COLUMN()-2 )</f>
        <v>2.2536938848688848E-7</v>
      </c>
      <c r="K23" s="2" cm="1">
        <f t="array" ref="K23">INDEX( ComputeThermoProps($A23, $B23, ParametersRange), 1, COLUMN()-2 )</f>
        <v>3.0049251796728167E-6</v>
      </c>
      <c r="L23" s="2" cm="1">
        <f t="array" ref="L23">INDEX( ComputeThermoProps($A23, $B23, ParametersRange), 1, COLUMN()-2 )</f>
        <v>-7.5123129480393209E-8</v>
      </c>
      <c r="M23" s="2" cm="1">
        <f t="array" ref="M23">INDEX( ComputeThermoProps($A23, $B23, ParametersRange), 1, COLUMN()-2 )</f>
        <v>2.2536938848688848E-7</v>
      </c>
      <c r="N23" s="2" cm="1">
        <f t="array" ref="N23">INDEX( ComputeThermoProps($A23, $B23, ParametersRange), 1, COLUMN()-2 )</f>
        <v>-7.5123129480393209E-8</v>
      </c>
      <c r="P23">
        <f>M23-$B$11</f>
        <v>-1556.429310451743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2.6448036454247749E-90</v>
      </c>
      <c r="C24" s="2" cm="1">
        <f t="array" ref="C24">INDEX( ComputeThermoProps($A24, $B24, ParametersRange), 1, COLUMN()-2 )</f>
        <v>13.380008095563632</v>
      </c>
      <c r="D24" s="2" cm="1">
        <f t="array" ref="D24">INDEX( ComputeThermoProps($A24, $B24, ParametersRange), 1, COLUMN()-2 )</f>
        <v>1.0030155532729478E-3</v>
      </c>
      <c r="E24" s="2" cm="1">
        <f t="array" ref="E24">INDEX( ComputeThermoProps($A24, $B24, ParametersRange), 1, COLUMN()-2 )</f>
        <v>1.0030096061440458E-3</v>
      </c>
      <c r="F24" s="2" cm="1">
        <f t="array" ref="F24">INDEX( ComputeThermoProps($A24, $B24, ParametersRange), 1, COLUMN()-2 )</f>
        <v>2.2001040833088926E-6</v>
      </c>
      <c r="G24" s="2" cm="1">
        <f t="array" ref="G24">INDEX( ComputeThermoProps($A24, $B24, ParametersRange), 1, COLUMN()-2 )</f>
        <v>1.1979209597062394E-2</v>
      </c>
      <c r="H24" s="2" cm="1">
        <f t="array" ref="H24">INDEX( ComputeThermoProps($A24, $B24, ParametersRange), 1, COLUMN()-2 )</f>
        <v>1.1979138569346638E-2</v>
      </c>
      <c r="I24" s="2" cm="1">
        <f t="array" ref="I24">INDEX( ComputeThermoProps($A24, $B24, ParametersRange), 1, COLUMN()-2 )</f>
        <v>2.4500014823715164</v>
      </c>
      <c r="J24" s="2" cm="1">
        <f t="array" ref="J24">INDEX( ComputeThermoProps($A24, $B24, ParametersRange), 1, COLUMN()-2 )</f>
        <v>3.2943968032309954E-3</v>
      </c>
      <c r="K24" s="2" cm="1">
        <f t="array" ref="K24">INDEX( ComputeThermoProps($A24, $B24, ParametersRange), 1, COLUMN()-2 )</f>
        <v>3.9932052866323963E-3</v>
      </c>
      <c r="L24" s="2" cm="1">
        <f t="array" ref="L24">INDEX( ComputeThermoProps($A24, $B24, ParametersRange), 1, COLUMN()-2 )</f>
        <v>-1.0981290120646409E-3</v>
      </c>
      <c r="M24" s="2" cm="1">
        <f t="array" ref="M24">INDEX( ComputeThermoProps($A24, $B24, ParametersRange), 1, COLUMN()-2 )</f>
        <v>3.2943968032309954E-3</v>
      </c>
      <c r="N24" s="2" cm="1">
        <f t="array" ref="N24">INDEX( ComputeThermoProps($A24, $B24, ParametersRange), 1, COLUMN()-2 )</f>
        <v>-1.0981290120646409E-3</v>
      </c>
      <c r="P24">
        <f t="shared" ref="P24:P87" si="1">M24-$B$11</f>
        <v>-1556.4260162803091</v>
      </c>
    </row>
    <row r="25" spans="1:16" x14ac:dyDescent="0.25">
      <c r="A25" s="2">
        <v>2.1</v>
      </c>
      <c r="B25" s="2">
        <f t="shared" si="0"/>
        <v>1.1915736706224596E-46</v>
      </c>
      <c r="C25" s="2" cm="1">
        <f t="array" ref="C25">INDEX( ComputeThermoProps($A25, $B25, ParametersRange), 1, COLUMN()-2 )</f>
        <v>13.380107535380366</v>
      </c>
      <c r="D25" s="2" cm="1">
        <f t="array" ref="D25">INDEX( ComputeThermoProps($A25, $B25, ParametersRange), 1, COLUMN()-2 )</f>
        <v>1.0030957204381658E-3</v>
      </c>
      <c r="E25" s="2" cm="1">
        <f t="array" ref="E25">INDEX( ComputeThermoProps($A25, $B25, ParametersRange), 1, COLUMN()-2 )</f>
        <v>1.0030167155841631E-3</v>
      </c>
      <c r="F25" s="2" cm="1">
        <f t="array" ref="F25">INDEX( ComputeThermoProps($A25, $B25, ParametersRange), 1, COLUMN()-2 )</f>
        <v>1.5309349388961029E-5</v>
      </c>
      <c r="G25" s="2" cm="1">
        <f t="array" ref="G25">INDEX( ComputeThermoProps($A25, $B25, ParametersRange), 1, COLUMN()-2 )</f>
        <v>8.335633146167705E-2</v>
      </c>
      <c r="H25" s="2" cm="1">
        <f t="array" ref="H25">INDEX( ComputeThermoProps($A25, $B25, ParametersRange), 1, COLUMN()-2 )</f>
        <v>8.3349766230998518E-2</v>
      </c>
      <c r="I25" s="2" cm="1">
        <f t="array" ref="I25">INDEX( ComputeThermoProps($A25, $B25, ParametersRange), 1, COLUMN()-2 )</f>
        <v>2.4500196907086615</v>
      </c>
      <c r="J25" s="2" cm="1">
        <f t="array" ref="J25">INDEX( ComputeThermoProps($A25, $B25, ParametersRange), 1, COLUMN()-2 )</f>
        <v>4.3759972413901539E-2</v>
      </c>
      <c r="K25" s="2" cm="1">
        <f t="array" ref="K25">INDEX( ComputeThermoProps($A25, $B25, ParametersRange), 1, COLUMN()-2 )</f>
        <v>2.7783835935566013E-2</v>
      </c>
      <c r="L25" s="2" cm="1">
        <f t="array" ref="L25">INDEX( ComputeThermoProps($A25, $B25, ParametersRange), 1, COLUMN()-2 )</f>
        <v>-1.4586083050787091E-2</v>
      </c>
      <c r="M25" s="2" cm="1">
        <f t="array" ref="M25">INDEX( ComputeThermoProps($A25, $B25, ParametersRange), 1, COLUMN()-2 )</f>
        <v>4.3759972413901539E-2</v>
      </c>
      <c r="N25" s="2" cm="1">
        <f t="array" ref="N25">INDEX( ComputeThermoProps($A25, $B25, ParametersRange), 1, COLUMN()-2 )</f>
        <v>-1.4586083050787091E-2</v>
      </c>
      <c r="P25">
        <f t="shared" si="1"/>
        <v>-1556.3855507046985</v>
      </c>
    </row>
    <row r="26" spans="1:16" x14ac:dyDescent="0.25">
      <c r="A26" s="2">
        <v>3.1</v>
      </c>
      <c r="B26" s="2">
        <f t="shared" si="0"/>
        <v>3.6092035634128807E-31</v>
      </c>
      <c r="C26" s="2" cm="1">
        <f t="array" ref="C26">INDEX( ComputeThermoProps($A26, $B26, ParametersRange), 1, COLUMN()-2 )</f>
        <v>13.38051077783668</v>
      </c>
      <c r="D26" s="2" cm="1">
        <f t="array" ref="D26">INDEX( ComputeThermoProps($A26, $B26, ParametersRange), 1, COLUMN()-2 )</f>
        <v>1.0034208574418362E-3</v>
      </c>
      <c r="E26" s="2" cm="1">
        <f t="array" ref="E26">INDEX( ComputeThermoProps($A26, $B26, ParametersRange), 1, COLUMN()-2 )</f>
        <v>1.0030454822030528E-3</v>
      </c>
      <c r="F26" s="2" cm="1">
        <f t="array" ref="F26">INDEX( ComputeThermoProps($A26, $B26, ParametersRange), 1, COLUMN()-2 )</f>
        <v>4.9272050744080641E-5</v>
      </c>
      <c r="G26" s="2" cm="1">
        <f t="array" ref="G26">INDEX( ComputeThermoProps($A26, $B26, ParametersRange), 1, COLUMN()-2 )</f>
        <v>0.2682687225658304</v>
      </c>
      <c r="H26" s="2" cm="1">
        <f t="array" ref="H26">INDEX( ComputeThermoProps($A26, $B26, ParametersRange), 1, COLUMN()-2 )</f>
        <v>0.26816836444087777</v>
      </c>
      <c r="I26" s="2" cm="1">
        <f t="array" ref="I26">INDEX( ComputeThermoProps($A26, $B26, ParametersRange), 1, COLUMN()-2 )</f>
        <v>2.4500935280792127</v>
      </c>
      <c r="J26" s="2" cm="1">
        <f t="array" ref="J26">INDEX( ComputeThermoProps($A26, $B26, ParametersRange), 1, COLUMN()-2 )</f>
        <v>0.2078475601582104</v>
      </c>
      <c r="K26" s="2" cm="1">
        <f t="array" ref="K26">INDEX( ComputeThermoProps($A26, $B26, ParametersRange), 1, COLUMN()-2 )</f>
        <v>8.9392717775790234E-2</v>
      </c>
      <c r="L26" s="2" cm="1">
        <f t="array" ref="L26">INDEX( ComputeThermoProps($A26, $B26, ParametersRange), 1, COLUMN()-2 )</f>
        <v>-6.9269864946739326E-2</v>
      </c>
      <c r="M26" s="2" cm="1">
        <f t="array" ref="M26">INDEX( ComputeThermoProps($A26, $B26, ParametersRange), 1, COLUMN()-2 )</f>
        <v>0.2078475601582104</v>
      </c>
      <c r="N26" s="2" cm="1">
        <f t="array" ref="N26">INDEX( ComputeThermoProps($A26, $B26, ParametersRange), 1, COLUMN()-2 )</f>
        <v>-6.9269864946739326E-2</v>
      </c>
      <c r="P26">
        <f t="shared" si="1"/>
        <v>-1556.2214631169543</v>
      </c>
    </row>
    <row r="27" spans="1:16" x14ac:dyDescent="0.25">
      <c r="A27" s="2">
        <v>4.0999999999999996</v>
      </c>
      <c r="B27" s="2">
        <f t="shared" si="0"/>
        <v>3.0482837930433757E-23</v>
      </c>
      <c r="C27" s="2" cm="1">
        <f t="array" ref="C27">INDEX( ComputeThermoProps($A27, $B27, ParametersRange), 1, COLUMN()-2 )</f>
        <v>13.381563610973354</v>
      </c>
      <c r="D27" s="2" cm="1">
        <f t="array" ref="D27">INDEX( ComputeThermoProps($A27, $B27, ParametersRange), 1, COLUMN()-2 )</f>
        <v>1.0042693021712382E-3</v>
      </c>
      <c r="E27" s="2" cm="1">
        <f t="array" ref="E27">INDEX( ComputeThermoProps($A27, $B27, ParametersRange), 1, COLUMN()-2 )</f>
        <v>1.0031201117964208E-3</v>
      </c>
      <c r="F27" s="2" cm="1">
        <f t="array" ref="F27">INDEX( ComputeThermoProps($A27, $B27, ParametersRange), 1, COLUMN()-2 )</f>
        <v>1.1403504847708823E-4</v>
      </c>
      <c r="G27" s="2" cm="1">
        <f t="array" ref="G27">INDEX( ComputeThermoProps($A27, $B27, ParametersRange), 1, COLUMN()-2 )</f>
        <v>0.62083392817522132</v>
      </c>
      <c r="H27" s="2" cm="1">
        <f t="array" ref="H27">INDEX( ComputeThermoProps($A27, $B27, ParametersRange), 1, COLUMN()-2 )</f>
        <v>0.6201235048126067</v>
      </c>
      <c r="I27" s="2" cm="1">
        <f t="array" ref="I27">INDEX( ComputeThermoProps($A27, $B27, ParametersRange), 1, COLUMN()-2 )</f>
        <v>2.4502863114263613</v>
      </c>
      <c r="J27" s="2" cm="1">
        <f t="array" ref="J27">INDEX( ComputeThermoProps($A27, $B27, ParametersRange), 1, COLUMN()-2 )</f>
        <v>0.63622144810416181</v>
      </c>
      <c r="K27" s="2" cm="1">
        <f t="array" ref="K27">INDEX( ComputeThermoProps($A27, $B27, ParametersRange), 1, COLUMN()-2 )</f>
        <v>0.20688271364172972</v>
      </c>
      <c r="L27" s="2" cm="1">
        <f t="array" ref="L27">INDEX( ComputeThermoProps($A27, $B27, ParametersRange), 1, COLUMN()-2 )</f>
        <v>-0.21199767782692996</v>
      </c>
      <c r="M27" s="2" cm="1">
        <f t="array" ref="M27">INDEX( ComputeThermoProps($A27, $B27, ParametersRange), 1, COLUMN()-2 )</f>
        <v>0.63622144810416181</v>
      </c>
      <c r="N27" s="2" cm="1">
        <f t="array" ref="N27">INDEX( ComputeThermoProps($A27, $B27, ParametersRange), 1, COLUMN()-2 )</f>
        <v>-0.21199767782692996</v>
      </c>
      <c r="P27">
        <f t="shared" si="1"/>
        <v>-1555.7930892290083</v>
      </c>
    </row>
    <row r="28" spans="1:16" x14ac:dyDescent="0.25">
      <c r="A28" s="2">
        <v>5.0999999999999996</v>
      </c>
      <c r="B28" s="2">
        <f t="shared" si="0"/>
        <v>2.0082309765629534E-18</v>
      </c>
      <c r="C28" s="2" cm="1">
        <f t="array" ref="C28">INDEX( ComputeThermoProps($A28, $B28, ParametersRange), 1, COLUMN()-2 )</f>
        <v>13.383740665194821</v>
      </c>
      <c r="D28" s="2" cm="1">
        <f t="array" ref="D28">INDEX( ComputeThermoProps($A28, $B28, ParametersRange), 1, COLUMN()-2 )</f>
        <v>1.0060123633265459E-3</v>
      </c>
      <c r="E28" s="2" cm="1">
        <f t="array" ref="E28">INDEX( ComputeThermoProps($A28, $B28, ParametersRange), 1, COLUMN()-2 )</f>
        <v>1.0032722399466233E-3</v>
      </c>
      <c r="F28" s="2" cm="1">
        <f t="array" ref="F28">INDEX( ComputeThermoProps($A28, $B28, ParametersRange), 1, COLUMN()-2 )</f>
        <v>2.1852124329179405E-4</v>
      </c>
      <c r="G28" s="2" cm="1">
        <f t="array" ref="G28">INDEX( ComputeThermoProps($A28, $B28, ParametersRange), 1, COLUMN()-2 )</f>
        <v>1.1895012319580271</v>
      </c>
      <c r="H28" s="2" cm="1">
        <f t="array" ref="H28">INDEX( ComputeThermoProps($A28, $B28, ParametersRange), 1, COLUMN()-2 )</f>
        <v>1.186261331281899</v>
      </c>
      <c r="I28" s="2" cm="1">
        <f t="array" ref="I28">INDEX( ComputeThermoProps($A28, $B28, ParametersRange), 1, COLUMN()-2 )</f>
        <v>2.4506849499048813</v>
      </c>
      <c r="J28" s="2" cm="1">
        <f t="array" ref="J28">INDEX( ComputeThermoProps($A28, $B28, ParametersRange), 1, COLUMN()-2 )</f>
        <v>1.5218082052437247</v>
      </c>
      <c r="K28" s="2" cm="1">
        <f t="array" ref="K28">INDEX( ComputeThermoProps($A28, $B28, ParametersRange), 1, COLUMN()-2 )</f>
        <v>0.3979176005937955</v>
      </c>
      <c r="L28" s="2" cm="1">
        <f t="array" ref="L28">INDEX( ComputeThermoProps($A28, $B28, ParametersRange), 1, COLUMN()-2 )</f>
        <v>-0.50757155778463214</v>
      </c>
      <c r="M28" s="2" cm="1">
        <f t="array" ref="M28">INDEX( ComputeThermoProps($A28, $B28, ParametersRange), 1, COLUMN()-2 )</f>
        <v>1.5218082052437247</v>
      </c>
      <c r="N28" s="2" cm="1">
        <f t="array" ref="N28">INDEX( ComputeThermoProps($A28, $B28, ParametersRange), 1, COLUMN()-2 )</f>
        <v>-0.50757155778463214</v>
      </c>
      <c r="P28">
        <f t="shared" si="1"/>
        <v>-1554.9075024718686</v>
      </c>
    </row>
    <row r="29" spans="1:16" x14ac:dyDescent="0.25">
      <c r="A29" s="2">
        <v>6.1</v>
      </c>
      <c r="B29" s="2">
        <f t="shared" si="0"/>
        <v>3.5024480627789821E-15</v>
      </c>
      <c r="C29" s="2" cm="1">
        <f t="array" ref="C29">INDEX( ComputeThermoProps($A29, $B29, ParametersRange), 1, COLUMN()-2 )</f>
        <v>13.387612837792931</v>
      </c>
      <c r="D29" s="2" cm="1">
        <f t="array" ref="D29">INDEX( ComputeThermoProps($A29, $B29, ParametersRange), 1, COLUMN()-2 )</f>
        <v>1.0090504860392655E-3</v>
      </c>
      <c r="E29" s="2" cm="1">
        <f t="array" ref="E29">INDEX( ComputeThermoProps($A29, $B29, ParametersRange), 1, COLUMN()-2 )</f>
        <v>1.003535518583837E-3</v>
      </c>
      <c r="F29" s="2" cm="1">
        <f t="array" ref="F29">INDEX( ComputeThermoProps($A29, $B29, ParametersRange), 1, COLUMN()-2 )</f>
        <v>3.6750838762857134E-4</v>
      </c>
      <c r="G29" s="2" cm="1">
        <f t="array" ref="G29">INDEX( ComputeThermoProps($A29, $B29, ParametersRange), 1, COLUMN()-2 )</f>
        <v>1.9999748584433317</v>
      </c>
      <c r="H29" s="2" cm="1">
        <f t="array" ref="H29">INDEX( ComputeThermoProps($A29, $B29, ParametersRange), 1, COLUMN()-2 )</f>
        <v>1.9890439918429057</v>
      </c>
      <c r="I29" s="2" cm="1">
        <f t="array" ref="I29">INDEX( ComputeThermoProps($A29, $B29, ParametersRange), 1, COLUMN()-2 )</f>
        <v>2.4513939800144007</v>
      </c>
      <c r="J29" s="2" cm="1">
        <f t="array" ref="J29">INDEX( ComputeThermoProps($A29, $B29, ParametersRange), 1, COLUMN()-2 )</f>
        <v>3.0962561222018312</v>
      </c>
      <c r="K29" s="2" cm="1">
        <f t="array" ref="K29">INDEX( ComputeThermoProps($A29, $B29, ParametersRange), 1, COLUMN()-2 )</f>
        <v>0.67765832653302283</v>
      </c>
      <c r="L29" s="2" cm="1">
        <f t="array" ref="L29">INDEX( ComputeThermoProps($A29, $B29, ParametersRange), 1, COLUMN()-2 )</f>
        <v>-1.0374596696496077</v>
      </c>
      <c r="M29" s="2" cm="1">
        <f t="array" ref="M29">INDEX( ComputeThermoProps($A29, $B29, ParametersRange), 1, COLUMN()-2 )</f>
        <v>3.0962561222018783</v>
      </c>
      <c r="N29" s="2" cm="1">
        <f t="array" ref="N29">INDEX( ComputeThermoProps($A29, $B29, ParametersRange), 1, COLUMN()-2 )</f>
        <v>-1.0374596696495606</v>
      </c>
      <c r="P29">
        <f t="shared" si="1"/>
        <v>-1553.3330545549106</v>
      </c>
    </row>
    <row r="30" spans="1:16" x14ac:dyDescent="0.25">
      <c r="A30" s="2">
        <v>7.1</v>
      </c>
      <c r="B30" s="2">
        <f t="shared" si="0"/>
        <v>7.5322523292031271E-13</v>
      </c>
      <c r="C30" s="2" cm="1">
        <f t="array" ref="C30">INDEX( ComputeThermoProps($A30, $B30, ParametersRange), 1, COLUMN()-2 )</f>
        <v>13.393773218855003</v>
      </c>
      <c r="D30" s="2" cm="1">
        <f t="array" ref="D30">INDEX( ComputeThermoProps($A30, $B30, ParametersRange), 1, COLUMN()-2 )</f>
        <v>1.0137113395804252E-3</v>
      </c>
      <c r="E30" s="2" cm="1">
        <f t="array" ref="E30">INDEX( ComputeThermoProps($A30, $B30, ParametersRange), 1, COLUMN()-2 )</f>
        <v>1.0039351097155655E-3</v>
      </c>
      <c r="F30" s="2" cm="1">
        <f t="array" ref="F30">INDEX( ComputeThermoProps($A30, $B30, ParametersRange), 1, COLUMN()-2 )</f>
        <v>5.592352017817333E-4</v>
      </c>
      <c r="G30" s="2" cm="1">
        <f t="array" ref="G30">INDEX( ComputeThermoProps($A30, $B30, ParametersRange), 1, COLUMN()-2 )</f>
        <v>3.0421378333821329</v>
      </c>
      <c r="H30" s="2" cm="1">
        <f t="array" ref="H30">INDEX( ComputeThermoProps($A30, $B30, ParametersRange), 1, COLUMN()-2 )</f>
        <v>3.0127994630014285</v>
      </c>
      <c r="I30" s="2" cm="1">
        <f t="array" ref="I30">INDEX( ComputeThermoProps($A30, $B30, ParametersRange), 1, COLUMN()-2 )</f>
        <v>2.4525220019577545</v>
      </c>
      <c r="J30" s="2" cm="1">
        <f t="array" ref="J30">INDEX( ComputeThermoProps($A30, $B30, ParametersRange), 1, COLUMN()-2 )</f>
        <v>5.5993348794174658</v>
      </c>
      <c r="K30" s="2" cm="1">
        <f t="array" ref="K30">INDEX( ComputeThermoProps($A30, $B30, ParametersRange), 1, COLUMN()-2 )</f>
        <v>1.055639980595946</v>
      </c>
      <c r="L30" s="2" cm="1">
        <f t="array" ref="L30">INDEX( ComputeThermoProps($A30, $B30, ParametersRange), 1, COLUMN()-2 )</f>
        <v>-1.8957089828137503</v>
      </c>
      <c r="M30" s="2" cm="1">
        <f t="array" ref="M30">INDEX( ComputeThermoProps($A30, $B30, ParametersRange), 1, COLUMN()-2 )</f>
        <v>5.5993348794275546</v>
      </c>
      <c r="N30" s="2" cm="1">
        <f t="array" ref="N30">INDEX( ComputeThermoProps($A30, $B30, ParametersRange), 1, COLUMN()-2 )</f>
        <v>-1.8957089828036615</v>
      </c>
      <c r="P30">
        <f t="shared" si="1"/>
        <v>-1550.8299757976849</v>
      </c>
    </row>
    <row r="31" spans="1:16" x14ac:dyDescent="0.25">
      <c r="A31" s="2">
        <v>8.1</v>
      </c>
      <c r="B31" s="2">
        <f t="shared" si="0"/>
        <v>4.3510060810813322E-11</v>
      </c>
      <c r="C31" s="2" cm="1">
        <f t="array" ref="C31">INDEX( ComputeThermoProps($A31, $B31, ParametersRange), 1, COLUMN()-2 )</f>
        <v>13.402753802269833</v>
      </c>
      <c r="D31" s="2" cm="1">
        <f t="array" ref="D31">INDEX( ComputeThermoProps($A31, $B31, ParametersRange), 1, COLUMN()-2 )</f>
        <v>1.0201789828173991E-3</v>
      </c>
      <c r="E31" s="2" cm="1">
        <f t="array" ref="E31">INDEX( ComputeThermoProps($A31, $B31, ParametersRange), 1, COLUMN()-2 )</f>
        <v>1.0044752296772877E-3</v>
      </c>
      <c r="F31" s="2" cm="1">
        <f t="array" ref="F31">INDEX( ComputeThermoProps($A31, $B31, ParametersRange), 1, COLUMN()-2 )</f>
        <v>7.8645739106666685E-4</v>
      </c>
      <c r="G31" s="2" cm="1">
        <f t="array" ref="G31">INDEX( ComputeThermoProps($A31, $B31, ParametersRange), 1, COLUMN()-2 )</f>
        <v>4.275884797730817</v>
      </c>
      <c r="H31" s="2" cm="1">
        <f t="array" ref="H31">INDEX( ComputeThermoProps($A31, $B31, ParametersRange), 1, COLUMN()-2 )</f>
        <v>4.210065524397347</v>
      </c>
      <c r="I31" s="2" cm="1">
        <f t="array" ref="I31">INDEX( ComputeThermoProps($A31, $B31, ParametersRange), 1, COLUMN()-2 )</f>
        <v>2.4541664286667491</v>
      </c>
      <c r="J31" s="2" cm="1">
        <f t="array" ref="J31">INDEX( ComputeThermoProps($A31, $B31, ParametersRange), 1, COLUMN()-2 )</f>
        <v>9.2445388876658399</v>
      </c>
      <c r="K31" s="2" cm="1">
        <f t="array" ref="K31">INDEX( ComputeThermoProps($A31, $B31, ParametersRange), 1, COLUMN()-2 )</f>
        <v>1.5341799541960908</v>
      </c>
      <c r="L31" s="2" cm="1">
        <f t="array" ref="L31">INDEX( ComputeThermoProps($A31, $B31, ParametersRange), 1, COLUMN()-2 )</f>
        <v>-3.1823187413224949</v>
      </c>
      <c r="M31" s="2" cm="1">
        <f t="array" ref="M31">INDEX( ComputeThermoProps($A31, $B31, ParametersRange), 1, COLUMN()-2 )</f>
        <v>9.2445388882489947</v>
      </c>
      <c r="N31" s="2" cm="1">
        <f t="array" ref="N31">INDEX( ComputeThermoProps($A31, $B31, ParametersRange), 1, COLUMN()-2 )</f>
        <v>-3.1823187407393401</v>
      </c>
      <c r="P31">
        <f t="shared" si="1"/>
        <v>-1547.1847717888634</v>
      </c>
    </row>
    <row r="32" spans="1:16" x14ac:dyDescent="0.25">
      <c r="A32" s="2">
        <v>9.1</v>
      </c>
      <c r="B32" s="2">
        <f t="shared" si="0"/>
        <v>1.0441802197839621E-9</v>
      </c>
      <c r="C32" s="2" cm="1">
        <f t="array" ref="C32">INDEX( ComputeThermoProps($A32, $B32, ParametersRange), 1, COLUMN()-2 )</f>
        <v>13.41497212953692</v>
      </c>
      <c r="D32" s="2" cm="1">
        <f t="array" ref="D32">INDEX( ComputeThermoProps($A32, $B32, ParametersRange), 1, COLUMN()-2 )</f>
        <v>1.0284829176191565E-3</v>
      </c>
      <c r="E32" s="2" cm="1">
        <f t="array" ref="E32">INDEX( ComputeThermoProps($A32, $B32, ParametersRange), 1, COLUMN()-2 )</f>
        <v>1.0051292981698803E-3</v>
      </c>
      <c r="F32" s="2" cm="1">
        <f t="array" ref="F32">INDEX( ComputeThermoProps($A32, $B32, ParametersRange), 1, COLUMN()-2 )</f>
        <v>1.0394201429545812E-3</v>
      </c>
      <c r="G32" s="2" cm="1">
        <f t="array" ref="G32">INDEX( ComputeThermoProps($A32, $B32, ParametersRange), 1, COLUMN()-2 )</f>
        <v>5.6475388293092301</v>
      </c>
      <c r="H32" s="2" cm="1">
        <f t="array" ref="H32">INDEX( ComputeThermoProps($A32, $B32, ParametersRange), 1, COLUMN()-2 )</f>
        <v>5.5193009457379478</v>
      </c>
      <c r="I32" s="2" cm="1">
        <f t="array" ref="I32">INDEX( ComputeThermoProps($A32, $B32, ParametersRange), 1, COLUMN()-2 )</f>
        <v>2.4564037157971188</v>
      </c>
      <c r="J32" s="2" cm="1">
        <f t="array" ref="J32">INDEX( ComputeThermoProps($A32, $B32, ParametersRange), 1, COLUMN()-2 )</f>
        <v>14.197055475372332</v>
      </c>
      <c r="K32" s="2" cm="1">
        <f t="array" ref="K32">INDEX( ComputeThermoProps($A32, $B32, ParametersRange), 1, COLUMN()-2 )</f>
        <v>2.1091538267581842</v>
      </c>
      <c r="L32" s="2" cm="1">
        <f t="array" ref="L32">INDEX( ComputeThermoProps($A32, $B32, ParametersRange), 1, COLUMN()-2 )</f>
        <v>-4.996244348127143</v>
      </c>
      <c r="M32" s="2" cm="1">
        <f t="array" ref="M32">INDEX( ComputeThermoProps($A32, $B32, ParametersRange), 1, COLUMN()-2 )</f>
        <v>14.197055489379981</v>
      </c>
      <c r="N32" s="2" cm="1">
        <f t="array" ref="N32">INDEX( ComputeThermoProps($A32, $B32, ParametersRange), 1, COLUMN()-2 )</f>
        <v>-4.9962443341194946</v>
      </c>
      <c r="P32">
        <f t="shared" si="1"/>
        <v>-1542.2322551877323</v>
      </c>
    </row>
    <row r="33" spans="1:16" x14ac:dyDescent="0.25">
      <c r="A33" s="2">
        <v>10.1</v>
      </c>
      <c r="B33" s="2">
        <f t="shared" si="0"/>
        <v>1.354599329384741E-8</v>
      </c>
      <c r="C33" s="2" cm="1">
        <f t="array" ref="C33">INDEX( ComputeThermoProps($A33, $B33, ParametersRange), 1, COLUMN()-2 )</f>
        <v>13.430716567013912</v>
      </c>
      <c r="D33" s="2" cm="1">
        <f t="array" ref="D33">INDEX( ComputeThermoProps($A33, $B33, ParametersRange), 1, COLUMN()-2 )</f>
        <v>1.0385242648195865E-3</v>
      </c>
      <c r="E33" s="2" cm="1">
        <f t="array" ref="E33">INDEX( ComputeThermoProps($A33, $B33, ParametersRange), 1, COLUMN()-2 )</f>
        <v>1.0058348716241257E-3</v>
      </c>
      <c r="F33" s="2" cm="1">
        <f t="array" ref="F33">INDEX( ComputeThermoProps($A33, $B33, ParametersRange), 1, COLUMN()-2 )</f>
        <v>1.3084274351968384E-3</v>
      </c>
      <c r="G33" s="2" cm="1">
        <f t="array" ref="G33">INDEX( ComputeThermoProps($A33, $B33, ParametersRange), 1, COLUMN()-2 )</f>
        <v>7.1041640668908013</v>
      </c>
      <c r="H33" s="2" cm="1">
        <f t="array" ref="H33">INDEX( ComputeThermoProps($A33, $B33, ParametersRange), 1, COLUMN()-2 )</f>
        <v>6.8805479027099858</v>
      </c>
      <c r="I33" s="2" cm="1">
        <f t="array" ref="I33">INDEX( ComputeThermoProps($A33, $B33, ParametersRange), 1, COLUMN()-2 )</f>
        <v>2.4592866658583024</v>
      </c>
      <c r="J33" s="2" cm="1">
        <f t="array" ref="J33">INDEX( ComputeThermoProps($A33, $B33, ParametersRange), 1, COLUMN()-2 )</f>
        <v>20.567838695438521</v>
      </c>
      <c r="K33" s="2" cm="1">
        <f t="array" ref="K33">INDEX( ComputeThermoProps($A33, $B33, ParametersRange), 1, COLUMN()-2 )</f>
        <v>2.77205705637421</v>
      </c>
      <c r="L33" s="2" cm="1">
        <f t="array" ref="L33">INDEX( ComputeThermoProps($A33, $B33, ParametersRange), 1, COLUMN()-2 )</f>
        <v>-7.4299375739409985</v>
      </c>
      <c r="M33" s="2" cm="1">
        <f t="array" ref="M33">INDEX( ComputeThermoProps($A33, $B33, ParametersRange), 1, COLUMN()-2 )</f>
        <v>20.567838877370917</v>
      </c>
      <c r="N33" s="2" cm="1">
        <f t="array" ref="N33">INDEX( ComputeThermoProps($A33, $B33, ParametersRange), 1, COLUMN()-2 )</f>
        <v>-7.4299373920086023</v>
      </c>
      <c r="P33">
        <f t="shared" si="1"/>
        <v>-1535.8614717997416</v>
      </c>
    </row>
    <row r="34" spans="1:16" x14ac:dyDescent="0.25">
      <c r="A34" s="2">
        <v>11.1</v>
      </c>
      <c r="B34" s="2">
        <f t="shared" si="0"/>
        <v>1.1240179060268277E-7</v>
      </c>
      <c r="C34" s="2" cm="1">
        <f t="array" ref="C34">INDEX( ComputeThermoProps($A34, $B34, ParametersRange), 1, COLUMN()-2 )</f>
        <v>13.450157693362648</v>
      </c>
      <c r="D34" s="2" cm="1">
        <f t="array" ref="D34">INDEX( ComputeThermoProps($A34, $B34, ParametersRange), 1, COLUMN()-2 )</f>
        <v>1.050110197425035E-3</v>
      </c>
      <c r="E34" s="2" cm="1">
        <f t="array" ref="E34">INDEX( ComputeThermoProps($A34, $B34, ParametersRange), 1, COLUMN()-2 )</f>
        <v>1.00649312476876E-3</v>
      </c>
      <c r="F34" s="2" cm="1">
        <f t="array" ref="F34">INDEX( ComputeThermoProps($A34, $B34, ParametersRange), 1, COLUMN()-2 )</f>
        <v>1.5852047908773304E-3</v>
      </c>
      <c r="G34" s="2" cm="1">
        <f t="array" ref="G34">INDEX( ComputeThermoProps($A34, $B34, ParametersRange), 1, COLUMN()-2 )</f>
        <v>8.6013098472680181</v>
      </c>
      <c r="H34" s="2" cm="1">
        <f t="array" ref="H34">INDEX( ComputeThermoProps($A34, $B34, ParametersRange), 1, COLUMN()-2 )</f>
        <v>8.2440483356025194</v>
      </c>
      <c r="I34" s="2" cm="1">
        <f t="array" ref="I34">INDEX( ComputeThermoProps($A34, $B34, ParametersRange), 1, COLUMN()-2 )</f>
        <v>2.4628465133586319</v>
      </c>
      <c r="J34" s="2" cm="1">
        <f t="array" ref="J34">INDEX( ComputeThermoProps($A34, $B34, ParametersRange), 1, COLUMN()-2 )</f>
        <v>28.418766475657378</v>
      </c>
      <c r="K34" s="2" cm="1">
        <f t="array" ref="K34">INDEX( ComputeThermoProps($A34, $B34, ParametersRange), 1, COLUMN()-2 )</f>
        <v>3.5121469635011837</v>
      </c>
      <c r="L34" s="2" cm="1">
        <f t="array" ref="L34">INDEX( ComputeThermoProps($A34, $B34, ParametersRange), 1, COLUMN()-2 )</f>
        <v>-10.56606481920576</v>
      </c>
      <c r="M34" s="2" cm="1">
        <f t="array" ref="M34">INDEX( ComputeThermoProps($A34, $B34, ParametersRange), 1, COLUMN()-2 )</f>
        <v>28.418767987479185</v>
      </c>
      <c r="N34" s="2" cm="1">
        <f t="array" ref="N34">INDEX( ComputeThermoProps($A34, $B34, ParametersRange), 1, COLUMN()-2 )</f>
        <v>-10.566063307383953</v>
      </c>
      <c r="P34">
        <f t="shared" si="1"/>
        <v>-1528.0105426896332</v>
      </c>
    </row>
    <row r="35" spans="1:16" x14ac:dyDescent="0.25">
      <c r="A35" s="2">
        <v>12.1</v>
      </c>
      <c r="B35" s="2">
        <f t="shared" si="0"/>
        <v>6.6764251838809963E-7</v>
      </c>
      <c r="C35" s="2" cm="1">
        <f t="array" ref="C35">INDEX( ComputeThermoProps($A35, $B35, ParametersRange), 1, COLUMN()-2 )</f>
        <v>13.473370578324573</v>
      </c>
      <c r="D35" s="2" cm="1">
        <f t="array" ref="D35">INDEX( ComputeThermoProps($A35, $B35, ParametersRange), 1, COLUMN()-2 )</f>
        <v>1.0629818385753966E-3</v>
      </c>
      <c r="E35" s="2" cm="1">
        <f t="array" ref="E35">INDEX( ComputeThermoProps($A35, $B35, ParametersRange), 1, COLUMN()-2 )</f>
        <v>1.0069716717781025E-3</v>
      </c>
      <c r="F35" s="2" cm="1">
        <f t="array" ref="F35">INDEX( ComputeThermoProps($A35, $B35, ParametersRange), 1, COLUMN()-2 )</f>
        <v>1.8632795463103544E-3</v>
      </c>
      <c r="G35" s="2" cm="1">
        <f t="array" ref="G35">INDEX( ComputeThermoProps($A35, $B35, ParametersRange), 1, COLUMN()-2 )</f>
        <v>10.105336798281138</v>
      </c>
      <c r="H35" s="2" cm="1">
        <f t="array" ref="H35">INDEX( ComputeThermoProps($A35, $B35, ParametersRange), 1, COLUMN()-2 )</f>
        <v>9.572870881108825</v>
      </c>
      <c r="I35" s="2" cm="1">
        <f t="array" ref="I35">INDEX( ComputeThermoProps($A35, $B35, ParametersRange), 1, COLUMN()-2 )</f>
        <v>2.4670970042522575</v>
      </c>
      <c r="J35" s="2" cm="1">
        <f t="array" ref="J35">INDEX( ComputeThermoProps($A35, $B35, ParametersRange), 1, COLUMN()-2 )</f>
        <v>37.772638142015573</v>
      </c>
      <c r="K35" s="2" cm="1">
        <f t="array" ref="K35">INDEX( ComputeThermoProps($A35, $B35, ParametersRange), 1, COLUMN()-2 )</f>
        <v>4.3180807645191761</v>
      </c>
      <c r="L35" s="2" cm="1">
        <f t="array" ref="L35">INDEX( ComputeThermoProps($A35, $B35, ParametersRange), 1, COLUMN()-2 )</f>
        <v>-14.476139108666455</v>
      </c>
      <c r="M35" s="2" cm="1">
        <f t="array" ref="M35">INDEX( ComputeThermoProps($A35, $B35, ParametersRange), 1, COLUMN()-2 )</f>
        <v>37.772647137410637</v>
      </c>
      <c r="N35" s="2" cm="1">
        <f t="array" ref="N35">INDEX( ComputeThermoProps($A35, $B35, ParametersRange), 1, COLUMN()-2 )</f>
        <v>-14.476130113271392</v>
      </c>
      <c r="P35">
        <f t="shared" si="1"/>
        <v>-1518.6566635397019</v>
      </c>
    </row>
    <row r="36" spans="1:16" x14ac:dyDescent="0.25">
      <c r="A36" s="2">
        <v>13.1</v>
      </c>
      <c r="B36" s="2">
        <f t="shared" si="0"/>
        <v>3.0694002160721521E-6</v>
      </c>
      <c r="C36" s="2" cm="1">
        <f t="array" ref="C36">INDEX( ComputeThermoProps($A36, $B36, ParametersRange), 1, COLUMN()-2 )</f>
        <v>13.500357887383084</v>
      </c>
      <c r="D36" s="2" cm="1">
        <f t="array" ref="D36">INDEX( ComputeThermoProps($A36, $B36, ParametersRange), 1, COLUMN()-2 )</f>
        <v>1.0768324319282896E-3</v>
      </c>
      <c r="E36" s="2" cm="1">
        <f t="array" ref="E36">INDEX( ComputeThermoProps($A36, $B36, ParametersRange), 1, COLUMN()-2 )</f>
        <v>1.0071095691895485E-3</v>
      </c>
      <c r="F36" s="2" cm="1">
        <f t="array" ref="F36">INDEX( ComputeThermoProps($A36, $B36, ParametersRange), 1, COLUMN()-2 )</f>
        <v>2.1378239579749304E-3</v>
      </c>
      <c r="G36" s="2" cm="1">
        <f t="array" ref="G36">INDEX( ComputeThermoProps($A36, $B36, ParametersRange), 1, COLUMN()-2 )</f>
        <v>11.592717328225236</v>
      </c>
      <c r="H36" s="2" cm="1">
        <f t="array" ref="H36">INDEX( ComputeThermoProps($A36, $B36, ParametersRange), 1, COLUMN()-2 )</f>
        <v>10.842110813154466</v>
      </c>
      <c r="I36" s="2" cm="1">
        <f t="array" ref="I36">INDEX( ComputeThermoProps($A36, $B36, ParametersRange), 1, COLUMN()-2 )</f>
        <v>2.4720386266134944</v>
      </c>
      <c r="J36" s="2" cm="1">
        <f t="array" ref="J36">INDEX( ComputeThermoProps($A36, $B36, ParametersRange), 1, COLUMN()-2 )</f>
        <v>48.62379898816193</v>
      </c>
      <c r="K36" s="2" cm="1">
        <f t="array" ref="K36">INDEX( ComputeThermoProps($A36, $B36, ParametersRange), 1, COLUMN()-2 )</f>
        <v>5.178953018940887</v>
      </c>
      <c r="L36" s="2" cm="1">
        <f t="array" ref="L36">INDEX( ComputeThermoProps($A36, $B36, ParametersRange), 1, COLUMN()-2 )</f>
        <v>-19.220485559963688</v>
      </c>
      <c r="M36" s="2" cm="1">
        <f t="array" ref="M36">INDEX( ComputeThermoProps($A36, $B36, ParametersRange), 1, COLUMN()-2 )</f>
        <v>48.623840426163348</v>
      </c>
      <c r="N36" s="2" cm="1">
        <f t="array" ref="N36">INDEX( ComputeThermoProps($A36, $B36, ParametersRange), 1, COLUMN()-2 )</f>
        <v>-19.22044412196227</v>
      </c>
      <c r="P36">
        <f t="shared" si="1"/>
        <v>-1507.8054702509492</v>
      </c>
    </row>
    <row r="37" spans="1:16" x14ac:dyDescent="0.25">
      <c r="A37" s="2">
        <v>14.1</v>
      </c>
      <c r="B37" s="2">
        <f t="shared" si="0"/>
        <v>1.155031065365764E-5</v>
      </c>
      <c r="C37" s="2" cm="1">
        <f t="array" ref="C37">INDEX( ComputeThermoProps($A37, $B37, ParametersRange), 1, COLUMN()-2 )</f>
        <v>13.531069096655006</v>
      </c>
      <c r="D37" s="2" cm="1">
        <f t="array" ref="D37">INDEX( ComputeThermoProps($A37, $B37, ParametersRange), 1, COLUMN()-2 )</f>
        <v>1.0913177911072978E-3</v>
      </c>
      <c r="E37" s="2" cm="1">
        <f t="array" ref="E37">INDEX( ComputeThermoProps($A37, $B37, ParametersRange), 1, COLUMN()-2 )</f>
        <v>1.0067237595158987E-3</v>
      </c>
      <c r="F37" s="2" cm="1">
        <f t="array" ref="F37">INDEX( ComputeThermoProps($A37, $B37, ParametersRange), 1, COLUMN()-2 )</f>
        <v>2.4052942290676582E-3</v>
      </c>
      <c r="G37" s="2" cm="1">
        <f t="array" ref="G37">INDEX( ComputeThermoProps($A37, $B37, ParametersRange), 1, COLUMN()-2 )</f>
        <v>13.048119332423129</v>
      </c>
      <c r="H37" s="2" cm="1">
        <f t="array" ref="H37">INDEX( ComputeThermoProps($A37, $B37, ParametersRange), 1, COLUMN()-2 )</f>
        <v>12.036687989500193</v>
      </c>
      <c r="I37" s="2" cm="1">
        <f t="array" ref="I37">INDEX( ComputeThermoProps($A37, $B37, ParametersRange), 1, COLUMN()-2 )</f>
        <v>2.4776621290586514</v>
      </c>
      <c r="J37" s="2" cm="1">
        <f t="array" ref="J37">INDEX( ComputeThermoProps($A37, $B37, ParametersRange), 1, COLUMN()-2 )</f>
        <v>60.947341577021284</v>
      </c>
      <c r="K37" s="2" cm="1">
        <f t="array" ref="K37">INDEX( ComputeThermoProps($A37, $B37, ParametersRange), 1, COLUMN()-2 )</f>
        <v>6.0848460707620307</v>
      </c>
      <c r="L37" s="2" cm="1">
        <f t="array" ref="L37">INDEX( ComputeThermoProps($A37, $B37, ParametersRange), 1, COLUMN()-2 )</f>
        <v>-24.848988020723347</v>
      </c>
      <c r="M37" s="2" cm="1">
        <f t="array" ref="M37">INDEX( ComputeThermoProps($A37, $B37, ParametersRange), 1, COLUMN()-2 )</f>
        <v>60.947497865072826</v>
      </c>
      <c r="N37" s="2" cm="1">
        <f t="array" ref="N37">INDEX( ComputeThermoProps($A37, $B37, ParametersRange), 1, COLUMN()-2 )</f>
        <v>-24.848831732671805</v>
      </c>
      <c r="P37">
        <f t="shared" si="1"/>
        <v>-1495.4818128120396</v>
      </c>
    </row>
    <row r="38" spans="1:16" x14ac:dyDescent="0.25">
      <c r="A38" s="2">
        <v>15.1</v>
      </c>
      <c r="B38" s="2">
        <f t="shared" si="0"/>
        <v>3.7069889444936479E-5</v>
      </c>
      <c r="C38" s="2" cm="1">
        <f t="array" ref="C38">INDEX( ComputeThermoProps($A38, $B38, ParametersRange), 1, COLUMN()-2 )</f>
        <v>13.565414488356845</v>
      </c>
      <c r="D38" s="2" cm="1">
        <f t="array" ref="D38">INDEX( ComputeThermoProps($A38, $B38, ParametersRange), 1, COLUMN()-2 )</f>
        <v>1.1060623356929555E-3</v>
      </c>
      <c r="E38" s="2" cm="1">
        <f t="array" ref="E38">INDEX( ComputeThermoProps($A38, $B38, ParametersRange), 1, COLUMN()-2 )</f>
        <v>1.005616613460064E-3</v>
      </c>
      <c r="F38" s="2" cm="1">
        <f t="array" ref="F38">INDEX( ComputeThermoProps($A38, $B38, ParametersRange), 1, COLUMN()-2 )</f>
        <v>2.663048156384666E-3</v>
      </c>
      <c r="G38" s="2" cm="1">
        <f t="array" ref="G38">INDEX( ComputeThermoProps($A38, $B38, ParametersRange), 1, COLUMN()-2 )</f>
        <v>14.462274801838657</v>
      </c>
      <c r="H38" s="2" cm="1">
        <f t="array" ref="H38">INDEX( ComputeThermoProps($A38, $B38, ParametersRange), 1, COLUMN()-2 )</f>
        <v>13.148900690160653</v>
      </c>
      <c r="I38" s="2" cm="1">
        <f t="array" ref="I38">INDEX( ComputeThermoProps($A38, $B38, ParametersRange), 1, COLUMN()-2 )</f>
        <v>2.4839510834435181</v>
      </c>
      <c r="J38" s="2" cm="1">
        <f t="array" ref="J38">INDEX( ComputeThermoProps($A38, $B38, ParametersRange), 1, COLUMN()-2 )</f>
        <v>74.70622551512956</v>
      </c>
      <c r="K38" s="2" cm="1">
        <f t="array" ref="K38">INDEX( ComputeThermoProps($A38, $B38, ParametersRange), 1, COLUMN()-2 )</f>
        <v>7.0270485740571269</v>
      </c>
      <c r="L38" s="2" cm="1">
        <f t="array" ref="L38">INDEX( ComputeThermoProps($A38, $B38, ParametersRange), 1, COLUMN()-2 )</f>
        <v>-31.402207953133054</v>
      </c>
      <c r="M38" s="2" cm="1">
        <f t="array" ref="M38">INDEX( ComputeThermoProps($A38, $B38, ParametersRange), 1, COLUMN()-2 )</f>
        <v>74.706728383544913</v>
      </c>
      <c r="N38" s="2" cm="1">
        <f t="array" ref="N38">INDEX( ComputeThermoProps($A38, $B38, ParametersRange), 1, COLUMN()-2 )</f>
        <v>-31.401705084717701</v>
      </c>
      <c r="P38">
        <f t="shared" si="1"/>
        <v>-1481.7225822935675</v>
      </c>
    </row>
    <row r="39" spans="1:16" x14ac:dyDescent="0.25">
      <c r="A39" s="2">
        <v>16.100000000000001</v>
      </c>
      <c r="B39" s="2">
        <f t="shared" si="0"/>
        <v>1.0465760776566444E-4</v>
      </c>
      <c r="C39" s="2" cm="1">
        <f t="array" ref="C39">INDEX( ComputeThermoProps($A39, $B39, ParametersRange), 1, COLUMN()-2 )</f>
        <v>13.603274260372666</v>
      </c>
      <c r="D39" s="2" cm="1">
        <f t="array" ref="D39">INDEX( ComputeThermoProps($A39, $B39, ParametersRange), 1, COLUMN()-2 )</f>
        <v>1.1206637740208052E-3</v>
      </c>
      <c r="E39" s="2" cm="1">
        <f t="array" ref="E39">INDEX( ComputeThermoProps($A39, $B39, ParametersRange), 1, COLUMN()-2 )</f>
        <v>1.0035844643811326E-3</v>
      </c>
      <c r="F39" s="2" cm="1">
        <f t="array" ref="F39">INDEX( ComputeThermoProps($A39, $B39, ParametersRange), 1, COLUMN()-2 )</f>
        <v>2.9090214401622321E-3</v>
      </c>
      <c r="G39" s="2" cm="1">
        <f t="array" ref="G39">INDEX( ComputeThermoProps($A39, $B39, ParametersRange), 1, COLUMN()-2 )</f>
        <v>15.830076783973063</v>
      </c>
      <c r="H39" s="2" cm="1">
        <f t="array" ref="H39">INDEX( ComputeThermoProps($A39, $B39, ParametersRange), 1, COLUMN()-2 )</f>
        <v>14.17625830212735</v>
      </c>
      <c r="I39" s="2" cm="1">
        <f t="array" ref="I39">INDEX( ComputeThermoProps($A39, $B39, ParametersRange), 1, COLUMN()-2 )</f>
        <v>2.4908835529082305</v>
      </c>
      <c r="J39" s="2" cm="1">
        <f t="array" ref="J39">INDEX( ComputeThermoProps($A39, $B39, ParametersRange), 1, COLUMN()-2 )</f>
        <v>89.8563546428514</v>
      </c>
      <c r="K39" s="2" cm="1">
        <f t="array" ref="K39">INDEX( ComputeThermoProps($A39, $B39, ParametersRange), 1, COLUMN()-2 )</f>
        <v>7.9980724685448683</v>
      </c>
      <c r="L39" s="2" cm="1">
        <f t="array" ref="L39">INDEX( ComputeThermoProps($A39, $B39, ParametersRange), 1, COLUMN()-2 )</f>
        <v>-38.912612100720992</v>
      </c>
      <c r="M39" s="2" cm="1">
        <f t="array" ref="M39">INDEX( ComputeThermoProps($A39, $B39, ParametersRange), 1, COLUMN()-2 )</f>
        <v>89.857778328993277</v>
      </c>
      <c r="N39" s="2" cm="1">
        <f t="array" ref="N39">INDEX( ComputeThermoProps($A39, $B39, ParametersRange), 1, COLUMN()-2 )</f>
        <v>-38.911188414579115</v>
      </c>
      <c r="P39">
        <f t="shared" si="1"/>
        <v>-1466.571532348119</v>
      </c>
    </row>
    <row r="40" spans="1:16" x14ac:dyDescent="0.25">
      <c r="A40" s="2">
        <v>17.100000000000001</v>
      </c>
      <c r="B40" s="2">
        <f t="shared" si="0"/>
        <v>2.6617333259291922E-4</v>
      </c>
      <c r="C40" s="2" cm="1">
        <f t="array" ref="C40">INDEX( ComputeThermoProps($A40, $B40, ParametersRange), 1, COLUMN()-2 )</f>
        <v>13.644503716604238</v>
      </c>
      <c r="D40" s="2" cm="1">
        <f t="array" ref="D40">INDEX( ComputeThermoProps($A40, $B40, ParametersRange), 1, COLUMN()-2 )</f>
        <v>1.1346988325538689E-3</v>
      </c>
      <c r="E40" s="2" cm="1">
        <f t="array" ref="E40">INDEX( ComputeThermoProps($A40, $B40, ParametersRange), 1, COLUMN()-2 )</f>
        <v>1.0004270794552828E-3</v>
      </c>
      <c r="F40" s="2" cm="1">
        <f t="array" ref="F40">INDEX( ComputeThermoProps($A40, $B40, ParametersRange), 1, COLUMN()-2 )</f>
        <v>3.1414879290912836E-3</v>
      </c>
      <c r="G40" s="2" cm="1">
        <f t="array" ref="G40">INDEX( ComputeThermoProps($A40, $B40, ParametersRange), 1, COLUMN()-2 )</f>
        <v>17.149046807182582</v>
      </c>
      <c r="H40" s="2" cm="1">
        <f t="array" ref="H40">INDEX( ComputeThermoProps($A40, $B40, ParametersRange), 1, COLUMN()-2 )</f>
        <v>15.11975717304453</v>
      </c>
      <c r="I40" s="2" cm="1">
        <f t="array" ref="I40">INDEX( ComputeThermoProps($A40, $B40, ParametersRange), 1, COLUMN()-2 )</f>
        <v>2.4984330422780507</v>
      </c>
      <c r="J40" s="2" cm="1">
        <f t="array" ref="J40">INDEX( ComputeThermoProps($A40, $B40, ParametersRange), 1, COLUMN()-2 )</f>
        <v>106.34992404111759</v>
      </c>
      <c r="K40" s="2" cm="1">
        <f t="array" ref="K40">INDEX( ComputeThermoProps($A40, $B40, ParametersRange), 1, COLUMN()-2 )</f>
        <v>8.9915602784515229</v>
      </c>
      <c r="L40" s="2" cm="1">
        <f t="array" ref="L40">INDEX( ComputeThermoProps($A40, $B40, ParametersRange), 1, COLUMN()-2 )</f>
        <v>-47.405756720403467</v>
      </c>
      <c r="M40" s="2" cm="1">
        <f t="array" ref="M40">INDEX( ComputeThermoProps($A40, $B40, ParametersRange), 1, COLUMN()-2 )</f>
        <v>106.35355584414341</v>
      </c>
      <c r="N40" s="2" cm="1">
        <f t="array" ref="N40">INDEX( ComputeThermoProps($A40, $B40, ParametersRange), 1, COLUMN()-2 )</f>
        <v>-47.402124917377641</v>
      </c>
      <c r="P40">
        <f t="shared" si="1"/>
        <v>-1450.0757548329691</v>
      </c>
    </row>
    <row r="41" spans="1:16" x14ac:dyDescent="0.25">
      <c r="A41" s="2">
        <v>18.100000000000001</v>
      </c>
      <c r="B41" s="2">
        <f t="shared" si="0"/>
        <v>6.2129069033045018E-4</v>
      </c>
      <c r="C41" s="2" cm="1">
        <f t="array" ref="C41">INDEX( ComputeThermoProps($A41, $B41, ParametersRange), 1, COLUMN()-2 )</f>
        <v>13.688935632046272</v>
      </c>
      <c r="D41" s="2" cm="1">
        <f t="array" ref="D41">INDEX( ComputeThermoProps($A41, $B41, ParametersRange), 1, COLUMN()-2 )</f>
        <v>1.1477317234818893E-3</v>
      </c>
      <c r="E41" s="2" cm="1">
        <f t="array" ref="E41">INDEX( ComputeThermoProps($A41, $B41, ParametersRange), 1, COLUMN()-2 )</f>
        <v>9.9595790680795035E-4</v>
      </c>
      <c r="F41" s="2" cm="1">
        <f t="array" ref="F41">INDEX( ComputeThermoProps($A41, $B41, ParametersRange), 1, COLUMN()-2 )</f>
        <v>3.3589044100725512E-3</v>
      </c>
      <c r="G41" s="2" cm="1">
        <f t="array" ref="G41">INDEX( ComputeThermoProps($A41, $B41, ParametersRange), 1, COLUMN()-2 )</f>
        <v>18.418179019195168</v>
      </c>
      <c r="H41" s="2" cm="1">
        <f t="array" ref="H41">INDEX( ComputeThermoProps($A41, $B41, ParametersRange), 1, COLUMN()-2 )</f>
        <v>15.982594754392693</v>
      </c>
      <c r="I41" s="2" cm="1">
        <f t="array" ref="I41">INDEX( ComputeThermoProps($A41, $B41, ParametersRange), 1, COLUMN()-2 )</f>
        <v>2.5065689311295491</v>
      </c>
      <c r="J41" s="2" cm="1">
        <f t="array" ref="J41">INDEX( ComputeThermoProps($A41, $B41, ParametersRange), 1, COLUMN()-2 )</f>
        <v>124.13741105932812</v>
      </c>
      <c r="K41" s="2" cm="1">
        <f t="array" ref="K41">INDEX( ComputeThermoProps($A41, $B41, ParametersRange), 1, COLUMN()-2 )</f>
        <v>10.002141546453302</v>
      </c>
      <c r="L41" s="2" cm="1">
        <f t="array" ref="L41">INDEX( ComputeThermoProps($A41, $B41, ParametersRange), 1, COLUMN()-2 )</f>
        <v>-56.901350931476664</v>
      </c>
      <c r="M41" s="2" cm="1">
        <f t="array" ref="M41">INDEX( ComputeThermoProps($A41, $B41, ParametersRange), 1, COLUMN()-2 )</f>
        <v>124.14591586759684</v>
      </c>
      <c r="N41" s="2" cm="1">
        <f t="array" ref="N41">INDEX( ComputeThermoProps($A41, $B41, ParametersRange), 1, COLUMN()-2 )</f>
        <v>-56.892846123207939</v>
      </c>
      <c r="P41">
        <f t="shared" si="1"/>
        <v>-1432.2833948095156</v>
      </c>
    </row>
    <row r="42" spans="1:16" x14ac:dyDescent="0.25">
      <c r="A42" s="2">
        <v>19.100000000000001</v>
      </c>
      <c r="B42" s="2">
        <f t="shared" si="0"/>
        <v>1.3509482334256285E-3</v>
      </c>
      <c r="C42" s="2" cm="1">
        <f t="array" ref="C42">INDEX( ComputeThermoProps($A42, $B42, ParametersRange), 1, COLUMN()-2 )</f>
        <v>13.736380798167859</v>
      </c>
      <c r="D42" s="2" cm="1">
        <f t="array" ref="D42">INDEX( ComputeThermoProps($A42, $B42, ParametersRange), 1, COLUMN()-2 )</f>
        <v>1.1593263196044063E-3</v>
      </c>
      <c r="E42" s="2" cm="1">
        <f t="array" ref="E42">INDEX( ComputeThermoProps($A42, $B42, ParametersRange), 1, COLUMN()-2 )</f>
        <v>9.9001472694844632E-4</v>
      </c>
      <c r="F42" s="2" cm="1">
        <f t="array" ref="F42">INDEX( ComputeThermoProps($A42, $B42, ParametersRange), 1, COLUMN()-2 )</f>
        <v>3.5598309947079071E-3</v>
      </c>
      <c r="G42" s="2" cm="1">
        <f t="array" ref="G42">INDEX( ComputeThermoProps($A42, $B42, ParametersRange), 1, COLUMN()-2 )</f>
        <v>19.637118194955658</v>
      </c>
      <c r="H42" s="2" cm="1">
        <f t="array" ref="H42">INDEX( ComputeThermoProps($A42, $B42, ParametersRange), 1, COLUMN()-2 )</f>
        <v>16.769252866153511</v>
      </c>
      <c r="I42" s="2" cm="1">
        <f t="array" ref="I42">INDEX( ComputeThermoProps($A42, $B42, ParametersRange), 1, COLUMN()-2 )</f>
        <v>2.5152565736555488</v>
      </c>
      <c r="J42" s="2" cm="1">
        <f t="array" ref="J42">INDEX( ComputeThermoProps($A42, $B42, ParametersRange), 1, COLUMN()-2 )</f>
        <v>143.1685578294796</v>
      </c>
      <c r="K42" s="2" cm="1">
        <f t="array" ref="K42">INDEX( ComputeThermoProps($A42, $B42, ParametersRange), 1, COLUMN()-2 )</f>
        <v>11.025273615869821</v>
      </c>
      <c r="L42" s="2" cm="1">
        <f t="array" ref="L42">INDEX( ComputeThermoProps($A42, $B42, ParametersRange), 1, COLUMN()-2 )</f>
        <v>-67.414168233634001</v>
      </c>
      <c r="M42" s="2" cm="1">
        <f t="array" ref="M42">INDEX( ComputeThermoProps($A42, $B42, ParametersRange), 1, COLUMN()-2 )</f>
        <v>143.18711496885254</v>
      </c>
      <c r="N42" s="2" cm="1">
        <f t="array" ref="N42">INDEX( ComputeThermoProps($A42, $B42, ParametersRange), 1, COLUMN()-2 )</f>
        <v>-67.395611094261056</v>
      </c>
      <c r="P42">
        <f t="shared" si="1"/>
        <v>-1413.2421957082599</v>
      </c>
    </row>
    <row r="43" spans="1:16" x14ac:dyDescent="0.25">
      <c r="A43" s="2">
        <v>20.100000000000001</v>
      </c>
      <c r="B43" s="2">
        <f t="shared" si="0"/>
        <v>2.770164685567214E-3</v>
      </c>
      <c r="C43" s="2" cm="1">
        <f t="array" ref="C43">INDEX( ComputeThermoProps($A43, $B43, ParametersRange), 1, COLUMN()-2 )</f>
        <v>13.786627575139056</v>
      </c>
      <c r="D43" s="2" cm="1">
        <f t="array" ref="D43">INDEX( ComputeThermoProps($A43, $B43, ParametersRange), 1, COLUMN()-2 )</f>
        <v>1.1690622291808206E-3</v>
      </c>
      <c r="E43" s="2" cm="1">
        <f t="array" ref="E43">INDEX( ComputeThermoProps($A43, $B43, ParametersRange), 1, COLUMN()-2 )</f>
        <v>9.8247008532309174E-4</v>
      </c>
      <c r="F43" s="2" cm="1">
        <f t="array" ref="F43">INDEX( ComputeThermoProps($A43, $B43, ParametersRange), 1, COLUMN()-2 )</f>
        <v>3.7429148451429248E-3</v>
      </c>
      <c r="G43" s="2" cm="1">
        <f t="array" ref="G43">INDEX( ComputeThermoProps($A43, $B43, ParametersRange), 1, COLUMN()-2 )</f>
        <v>20.805618940339674</v>
      </c>
      <c r="H43" s="2" cm="1">
        <f t="array" ref="H43">INDEX( ComputeThermoProps($A43, $B43, ParametersRange), 1, COLUMN()-2 )</f>
        <v>17.484867533389128</v>
      </c>
      <c r="I43" s="2" cm="1">
        <f t="array" ref="I43">INDEX( ComputeThermoProps($A43, $B43, ParametersRange), 1, COLUMN()-2 )</f>
        <v>2.5244572166734431</v>
      </c>
      <c r="J43" s="2" cm="1">
        <f t="array" ref="J43">INDEX( ComputeThermoProps($A43, $B43, ParametersRange), 1, COLUMN()-2 )</f>
        <v>163.39263711669039</v>
      </c>
      <c r="K43" s="2" cm="1">
        <f t="array" ref="K43">INDEX( ComputeThermoProps($A43, $B43, ParametersRange), 1, COLUMN()-2 )</f>
        <v>12.057086550425639</v>
      </c>
      <c r="L43" s="2" cm="1">
        <f t="array" ref="L43">INDEX( ComputeThermoProps($A43, $B43, ParametersRange), 1, COLUMN()-2 )</f>
        <v>-78.954802546864968</v>
      </c>
      <c r="M43" s="2" cm="1">
        <f t="array" ref="M43">INDEX( ComputeThermoProps($A43, $B43, ParametersRange), 1, COLUMN()-2 )</f>
        <v>163.43082834553212</v>
      </c>
      <c r="N43" s="2" cm="1">
        <f t="array" ref="N43">INDEX( ComputeThermoProps($A43, $B43, ParametersRange), 1, COLUMN()-2 )</f>
        <v>-78.916611318023243</v>
      </c>
      <c r="P43">
        <f t="shared" si="1"/>
        <v>-1392.9984823315804</v>
      </c>
    </row>
    <row r="44" spans="1:16" x14ac:dyDescent="0.25">
      <c r="A44" s="2">
        <v>21.1</v>
      </c>
      <c r="B44" s="2">
        <f t="shared" si="0"/>
        <v>5.4123951021896833E-3</v>
      </c>
      <c r="C44" s="2" cm="1">
        <f t="array" ref="C44">INDEX( ComputeThermoProps($A44, $B44, ParametersRange), 1, COLUMN()-2 )</f>
        <v>13.839441031691019</v>
      </c>
      <c r="D44" s="2" cm="1">
        <f t="array" ref="D44">INDEX( ComputeThermoProps($A44, $B44, ParametersRange), 1, COLUMN()-2 )</f>
        <v>1.1765541293548172E-3</v>
      </c>
      <c r="E44" s="2" cm="1">
        <f t="array" ref="E44">INDEX( ComputeThermoProps($A44, $B44, ParametersRange), 1, COLUMN()-2 )</f>
        <v>9.7324067082292542E-4</v>
      </c>
      <c r="F44" s="2" cm="1">
        <f t="array" ref="F44">INDEX( ComputeThermoProps($A44, $B44, ParametersRange), 1, COLUMN()-2 )</f>
        <v>3.9069234588070059E-3</v>
      </c>
      <c r="G44" s="2" cm="1">
        <f t="array" ref="G44">INDEX( ComputeThermoProps($A44, $B44, ParametersRange), 1, COLUMN()-2 )</f>
        <v>21.923237193687996</v>
      </c>
      <c r="H44" s="2" cm="1">
        <f t="array" ref="H44">INDEX( ComputeThermoProps($A44, $B44, ParametersRange), 1, COLUMN()-2 )</f>
        <v>18.134810410036369</v>
      </c>
      <c r="I44" s="2" cm="1">
        <f t="array" ref="I44">INDEX( ComputeThermoProps($A44, $B44, ParametersRange), 1, COLUMN()-2 )</f>
        <v>2.5341278421257818</v>
      </c>
      <c r="J44" s="2" cm="1">
        <f t="array" ref="J44">INDEX( ComputeThermoProps($A44, $B44, ParametersRange), 1, COLUMN()-2 )</f>
        <v>184.7582312678002</v>
      </c>
      <c r="K44" s="2" cm="1">
        <f t="array" ref="K44">INDEX( ComputeThermoProps($A44, $B44, ParametersRange), 1, COLUMN()-2 )</f>
        <v>13.094242253801056</v>
      </c>
      <c r="L44" s="2" cm="1">
        <f t="array" ref="L44">INDEX( ComputeThermoProps($A44, $B44, ParametersRange), 1, COLUMN()-2 )</f>
        <v>-91.530280287402107</v>
      </c>
      <c r="M44" s="2" cm="1">
        <f t="array" ref="M44">INDEX( ComputeThermoProps($A44, $B44, ParametersRange), 1, COLUMN()-2 )</f>
        <v>184.83313579065717</v>
      </c>
      <c r="N44" s="2" cm="1">
        <f t="array" ref="N44">INDEX( ComputeThermoProps($A44, $B44, ParametersRange), 1, COLUMN()-2 )</f>
        <v>-91.455375764545138</v>
      </c>
      <c r="P44">
        <f t="shared" si="1"/>
        <v>-1371.5961748864552</v>
      </c>
    </row>
    <row r="45" spans="1:16" x14ac:dyDescent="0.25">
      <c r="A45" s="2">
        <v>22.1</v>
      </c>
      <c r="B45" s="2">
        <f t="shared" si="0"/>
        <v>1.0169380105608659E-2</v>
      </c>
      <c r="C45" s="2" cm="1">
        <f t="array" ref="C45">INDEX( ComputeThermoProps($A45, $B45, ParametersRange), 1, COLUMN()-2 )</f>
        <v>13.894561885150233</v>
      </c>
      <c r="D45" s="2" cm="1">
        <f t="array" ref="D45">INDEX( ComputeThermoProps($A45, $B45, ParametersRange), 1, COLUMN()-2 )</f>
        <v>1.1814729158041931E-3</v>
      </c>
      <c r="E45" s="2" cm="1">
        <f t="array" ref="E45">INDEX( ComputeThermoProps($A45, $B45, ParametersRange), 1, COLUMN()-2 )</f>
        <v>9.6229472448654838E-4</v>
      </c>
      <c r="F45" s="2" cm="1">
        <f t="array" ref="F45">INDEX( ComputeThermoProps($A45, $B45, ParametersRange), 1, COLUMN()-2 )</f>
        <v>4.0508124101683481E-3</v>
      </c>
      <c r="G45" s="2" cm="1">
        <f t="array" ref="G45">INDEX( ComputeThermoProps($A45, $B45, ParametersRange), 1, COLUMN()-2 )</f>
        <v>22.989210451906473</v>
      </c>
      <c r="H45" s="2" cm="1">
        <f t="array" ref="H45">INDEX( ComputeThermoProps($A45, $B45, ParametersRange), 1, COLUMN()-2 )</f>
        <v>18.724420714225655</v>
      </c>
      <c r="I45" s="2" cm="1">
        <f t="array" ref="I45">INDEX( ComputeThermoProps($A45, $B45, ParametersRange), 1, COLUMN()-2 )</f>
        <v>2.5442209729908867</v>
      </c>
      <c r="J45" s="2" cm="1">
        <f t="array" ref="J45">INDEX( ComputeThermoProps($A45, $B45, ParametersRange), 1, COLUMN()-2 )</f>
        <v>207.21268528831862</v>
      </c>
      <c r="K45" s="2" cm="1">
        <f t="array" ref="K45">INDEX( ComputeThermoProps($A45, $B45, ParametersRange), 1, COLUMN()-2 )</f>
        <v>14.133811448745631</v>
      </c>
      <c r="L45" s="2" cm="1">
        <f t="array" ref="L45">INDEX( ComputeThermoProps($A45, $B45, ParametersRange), 1, COLUMN()-2 )</f>
        <v>-105.14454772895984</v>
      </c>
      <c r="M45" s="2" cm="1">
        <f t="array" ref="M45">INDEX( ComputeThermoProps($A45, $B45, ParametersRange), 1, COLUMN()-2 )</f>
        <v>207.35398436952963</v>
      </c>
      <c r="N45" s="2" cm="1">
        <f t="array" ref="N45">INDEX( ComputeThermoProps($A45, $B45, ParametersRange), 1, COLUMN()-2 )</f>
        <v>-105.00324864774883</v>
      </c>
      <c r="P45">
        <f t="shared" si="1"/>
        <v>-1349.0753263075828</v>
      </c>
    </row>
    <row r="46" spans="1:16" x14ac:dyDescent="0.25">
      <c r="A46" s="2">
        <v>23.1</v>
      </c>
      <c r="B46" s="2">
        <f t="shared" si="0"/>
        <v>1.8542300916479761E-2</v>
      </c>
      <c r="C46" s="2" cm="1">
        <f t="array" ref="C46">INDEX( ComputeThermoProps($A46, $B46, ParametersRange), 1, COLUMN()-2 )</f>
        <v>13.95170473809249</v>
      </c>
      <c r="D46" s="2" cm="1">
        <f t="array" ref="D46">INDEX( ComputeThermoProps($A46, $B46, ParametersRange), 1, COLUMN()-2 )</f>
        <v>1.1835666730436521E-3</v>
      </c>
      <c r="E46" s="2" cm="1">
        <f t="array" ref="E46">INDEX( ComputeThermoProps($A46, $B46, ParametersRange), 1, COLUMN()-2 )</f>
        <v>9.4965671890736333E-4</v>
      </c>
      <c r="F46" s="2" cm="1">
        <f t="array" ref="F46">INDEX( ComputeThermoProps($A46, $B46, ParametersRange), 1, COLUMN()-2 )</f>
        <v>4.1738114973828427E-3</v>
      </c>
      <c r="G46" s="2" cm="1">
        <f t="array" ref="G46">INDEX( ComputeThermoProps($A46, $B46, ParametersRange), 1, COLUMN()-2 )</f>
        <v>24.002485436553275</v>
      </c>
      <c r="H46" s="2" cm="1">
        <f t="array" ref="H46">INDEX( ComputeThermoProps($A46, $B46, ParametersRange), 1, COLUMN()-2 )</f>
        <v>19.258840320910476</v>
      </c>
      <c r="I46" s="2" cm="1">
        <f t="array" ref="I46">INDEX( ComputeThermoProps($A46, $B46, ParametersRange), 1, COLUMN()-2 )</f>
        <v>2.5546843503981016</v>
      </c>
      <c r="J46" s="2" cm="1">
        <f t="array" ref="J46">INDEX( ComputeThermoProps($A46, $B46, ParametersRange), 1, COLUMN()-2 )</f>
        <v>230.70129495168914</v>
      </c>
      <c r="K46" s="2" cm="1">
        <f t="array" ref="K46">INDEX( ComputeThermoProps($A46, $B46, ParametersRange), 1, COLUMN()-2 )</f>
        <v>15.173166710985312</v>
      </c>
      <c r="L46" s="2" cm="1">
        <f t="array" ref="L46">INDEX( ComputeThermoProps($A46, $B46, ParametersRange), 1, COLUMN()-2 )</f>
        <v>-119.79885607207159</v>
      </c>
      <c r="M46" s="2" cm="1">
        <f t="array" ref="M46">INDEX( ComputeThermoProps($A46, $B46, ParametersRange), 1, COLUMN()-2 )</f>
        <v>230.95999165924073</v>
      </c>
      <c r="N46" s="2" cm="1">
        <f t="array" ref="N46">INDEX( ComputeThermoProps($A46, $B46, ParametersRange), 1, COLUMN()-2 )</f>
        <v>-119.54015936451999</v>
      </c>
      <c r="P46">
        <f t="shared" si="1"/>
        <v>-1325.4693190178716</v>
      </c>
    </row>
    <row r="47" spans="1:16" x14ac:dyDescent="0.25">
      <c r="A47" s="2">
        <v>24.1</v>
      </c>
      <c r="B47" s="2">
        <f t="shared" si="0"/>
        <v>3.3189241114309674E-2</v>
      </c>
      <c r="C47" s="2" cm="1">
        <f t="array" ref="C47">INDEX( ComputeThermoProps($A47, $B47, ParametersRange), 1, COLUMN()-2 )</f>
        <v>14.010552775199795</v>
      </c>
      <c r="D47" s="2" cm="1">
        <f t="array" ref="D47">INDEX( ComputeThermoProps($A47, $B47, ParametersRange), 1, COLUMN()-2 )</f>
        <v>1.1826796495712135E-3</v>
      </c>
      <c r="E47" s="2" cm="1">
        <f t="array" ref="E47">INDEX( ComputeThermoProps($A47, $B47, ParametersRange), 1, COLUMN()-2 )</f>
        <v>9.3540917545538243E-4</v>
      </c>
      <c r="F47" s="2" cm="1">
        <f t="array" ref="F47">INDEX( ComputeThermoProps($A47, $B47, ParametersRange), 1, COLUMN()-2 )</f>
        <v>4.2755141892726854E-3</v>
      </c>
      <c r="G47" s="2" cm="1">
        <f t="array" ref="G47">INDEX( ComputeThermoProps($A47, $B47, ParametersRange), 1, COLUMN()-2 )</f>
        <v>24.961849220218117</v>
      </c>
      <c r="H47" s="2" cm="1">
        <f t="array" ref="H47">INDEX( ComputeThermoProps($A47, $B47, ParametersRange), 1, COLUMN()-2 )</f>
        <v>19.742914157177985</v>
      </c>
      <c r="I47" s="2" cm="1">
        <f t="array" ref="I47">INDEX( ComputeThermoProps($A47, $B47, ParametersRange), 1, COLUMN()-2 )</f>
        <v>2.5654599625739669</v>
      </c>
      <c r="J47" s="2" cm="1">
        <f t="array" ref="J47">INDEX( ComputeThermoProps($A47, $B47, ParametersRange), 1, COLUMN()-2 )</f>
        <v>255.16602745921611</v>
      </c>
      <c r="K47" s="2" cm="1">
        <f t="array" ref="K47">INDEX( ComputeThermoProps($A47, $B47, ParametersRange), 1, COLUMN()-2 )</f>
        <v>16.209879425590131</v>
      </c>
      <c r="L47" s="2" cm="1">
        <f t="array" ref="L47">INDEX( ComputeThermoProps($A47, $B47, ParametersRange), 1, COLUMN()-2 )</f>
        <v>-135.49206669750606</v>
      </c>
      <c r="M47" s="2" cm="1">
        <f t="array" ref="M47">INDEX( ComputeThermoProps($A47, $B47, ParametersRange), 1, COLUMN()-2 )</f>
        <v>255.63102707341699</v>
      </c>
      <c r="N47" s="2" cm="1">
        <f t="array" ref="N47">INDEX( ComputeThermoProps($A47, $B47, ParametersRange), 1, COLUMN()-2 )</f>
        <v>-135.02706708330518</v>
      </c>
      <c r="P47">
        <f t="shared" si="1"/>
        <v>-1300.7982836036954</v>
      </c>
    </row>
    <row r="48" spans="1:16" x14ac:dyDescent="0.25">
      <c r="A48" s="2">
        <v>25.1</v>
      </c>
      <c r="B48" s="2">
        <f t="shared" si="0"/>
        <v>13.81116381471697</v>
      </c>
      <c r="C48" s="2" cm="1">
        <f t="array" ref="C48">INDEX( ComputeThermoProps($A48, $B48, ParametersRange), 1, COLUMN()-2 )</f>
        <v>13.841704542987356</v>
      </c>
      <c r="D48" s="2" cm="1">
        <f t="array" ref="D48">INDEX( ComputeThermoProps($A48, $B48, ParametersRange), 1, COLUMN()-2 )</f>
        <v>1.2019791432814348E-3</v>
      </c>
      <c r="E48" s="2" cm="1">
        <f t="array" ref="E48">INDEX( ComputeThermoProps($A48, $B48, ParametersRange), 1, COLUMN()-2 )</f>
        <v>9.4079250883223945E-4</v>
      </c>
      <c r="F48" s="2" cm="1">
        <f t="array" ref="F48">INDEX( ComputeThermoProps($A48, $B48, ParametersRange), 1, COLUMN()-2 )</f>
        <v>4.3639908509948335E-3</v>
      </c>
      <c r="G48" s="2" cm="1">
        <f t="array" ref="G48">INDEX( ComputeThermoProps($A48, $B48, ParametersRange), 1, COLUMN()-2 )</f>
        <v>25.33261424273114</v>
      </c>
      <c r="H48" s="2" cm="1">
        <f t="array" ref="H48">INDEX( ComputeThermoProps($A48, $B48, ParametersRange), 1, COLUMN()-2 )</f>
        <v>19.82790952897432</v>
      </c>
      <c r="I48" s="2" cm="1">
        <f t="array" ref="I48">INDEX( ComputeThermoProps($A48, $B48, ParametersRange), 1, COLUMN()-2 )</f>
        <v>2.5345423116830323</v>
      </c>
      <c r="J48" s="2" cm="1">
        <f t="array" ref="J48">INDEX( ComputeThermoProps($A48, $B48, ParametersRange), 1, COLUMN()-2 )</f>
        <v>261.07242134303806</v>
      </c>
      <c r="K48" s="2" cm="1">
        <f t="array" ref="K48">INDEX( ComputeThermoProps($A48, $B48, ParametersRange), 1, COLUMN()-2 )</f>
        <v>16.402556757155299</v>
      </c>
      <c r="L48" s="2" cm="1">
        <f t="array" ref="L48">INDEX( ComputeThermoProps($A48, $B48, ParametersRange), 1, COLUMN()-2 )</f>
        <v>-150.63175326155996</v>
      </c>
      <c r="M48" s="2" cm="1">
        <f t="array" ref="M48">INDEX( ComputeThermoProps($A48, $B48, ParametersRange), 1, COLUMN()-2 )</f>
        <v>452.24247026114853</v>
      </c>
      <c r="N48" s="2" cm="1">
        <f t="array" ref="N48">INDEX( ComputeThermoProps($A48, $B48, ParametersRange), 1, COLUMN()-2 )</f>
        <v>40.538295656550495</v>
      </c>
      <c r="P48">
        <f t="shared" si="1"/>
        <v>-1104.1868404159638</v>
      </c>
    </row>
    <row r="49" spans="1:16" x14ac:dyDescent="0.25">
      <c r="A49" s="2">
        <v>26.1</v>
      </c>
      <c r="B49" s="2">
        <f t="shared" si="0"/>
        <v>19.464628332074657</v>
      </c>
      <c r="C49" s="2" cm="1">
        <f t="array" ref="C49">INDEX( ComputeThermoProps($A49, $B49, ParametersRange), 1, COLUMN()-2 )</f>
        <v>13.80843837067358</v>
      </c>
      <c r="D49" s="2" cm="1">
        <f t="array" ref="D49">INDEX( ComputeThermoProps($A49, $B49, ParametersRange), 1, COLUMN()-2 )</f>
        <v>1.2079107705901713E-3</v>
      </c>
      <c r="E49" s="2" cm="1">
        <f t="array" ref="E49">INDEX( ComputeThermoProps($A49, $B49, ParametersRange), 1, COLUMN()-2 )</f>
        <v>9.3383758341354086E-4</v>
      </c>
      <c r="F49" s="2" cm="1">
        <f t="array" ref="F49">INDEX( ComputeThermoProps($A49, $B49, ParametersRange), 1, COLUMN()-2 )</f>
        <v>4.4473382050054504E-3</v>
      </c>
      <c r="G49" s="2" cm="1">
        <f t="array" ref="G49">INDEX( ComputeThermoProps($A49, $B49, ParametersRange), 1, COLUMN()-2 )</f>
        <v>26.008711526472357</v>
      </c>
      <c r="H49" s="2" cm="1">
        <f t="array" ref="H49">INDEX( ComputeThermoProps($A49, $B49, ParametersRange), 1, COLUMN()-2 )</f>
        <v>20.107372921026325</v>
      </c>
      <c r="I49" s="2" cm="1">
        <f t="array" ref="I49">INDEX( ComputeThermoProps($A49, $B49, ParametersRange), 1, COLUMN()-2 )</f>
        <v>2.5284509722085335</v>
      </c>
      <c r="J49" s="2" cm="1">
        <f t="array" ref="J49">INDEX( ComputeThermoProps($A49, $B49, ParametersRange), 1, COLUMN()-2 )</f>
        <v>278.48136397975094</v>
      </c>
      <c r="K49" s="2" cm="1">
        <f t="array" ref="K49">INDEX( ComputeThermoProps($A49, $B49, ParametersRange), 1, COLUMN()-2 )</f>
        <v>17.061044163497513</v>
      </c>
      <c r="L49" s="2" cm="1">
        <f t="array" ref="L49">INDEX( ComputeThermoProps($A49, $B49, ParametersRange), 1, COLUMN()-2 )</f>
        <v>-166.81188868753418</v>
      </c>
      <c r="M49" s="2" cm="1">
        <f t="array" ref="M49">INDEX( ComputeThermoProps($A49, $B49, ParametersRange), 1, COLUMN()-2 )</f>
        <v>547.25748471127076</v>
      </c>
      <c r="N49" s="2" cm="1">
        <f t="array" ref="N49">INDEX( ComputeThermoProps($A49, $B49, ParametersRange), 1, COLUMN()-2 )</f>
        <v>101.96423204398565</v>
      </c>
      <c r="P49">
        <f t="shared" si="1"/>
        <v>-1009.1718259658417</v>
      </c>
    </row>
    <row r="50" spans="1:16" x14ac:dyDescent="0.25">
      <c r="A50" s="2">
        <v>27.1</v>
      </c>
      <c r="B50" s="2">
        <f t="shared" si="0"/>
        <v>24.894887153870684</v>
      </c>
      <c r="C50" s="2" cm="1">
        <f t="array" ref="C50">INDEX( ComputeThermoProps($A50, $B50, ParametersRange), 1, COLUMN()-2 )</f>
        <v>13.779650190115776</v>
      </c>
      <c r="D50" s="2" cm="1">
        <f t="array" ref="D50">INDEX( ComputeThermoProps($A50, $B50, ParametersRange), 1, COLUMN()-2 )</f>
        <v>1.2129206990468412E-3</v>
      </c>
      <c r="E50" s="2" cm="1">
        <f t="array" ref="E50">INDEX( ComputeThermoProps($A50, $B50, ParametersRange), 1, COLUMN()-2 )</f>
        <v>9.2636353157863921E-4</v>
      </c>
      <c r="F50" s="2" cm="1">
        <f t="array" ref="F50">INDEX( ComputeThermoProps($A50, $B50, ParametersRange), 1, COLUMN()-2 )</f>
        <v>4.5238934900618906E-3</v>
      </c>
      <c r="G50" s="2" cm="1">
        <f t="array" ref="G50">INDEX( ComputeThermoProps($A50, $B50, ParametersRange), 1, COLUMN()-2 )</f>
        <v>26.669873192279365</v>
      </c>
      <c r="H50" s="2" cm="1">
        <f t="array" ref="H50">INDEX( ComputeThermoProps($A50, $B50, ParametersRange), 1, COLUMN()-2 )</f>
        <v>20.369013354763666</v>
      </c>
      <c r="I50" s="2" cm="1">
        <f t="array" ref="I50">INDEX( ComputeThermoProps($A50, $B50, ParametersRange), 1, COLUMN()-2 )</f>
        <v>2.5231795938552737</v>
      </c>
      <c r="J50" s="2" cm="1">
        <f t="array" ref="J50">INDEX( ComputeThermoProps($A50, $B50, ParametersRange), 1, COLUMN()-2 )</f>
        <v>296.52176259619449</v>
      </c>
      <c r="K50" s="2" cm="1">
        <f t="array" ref="K50">INDEX( ComputeThermoProps($A50, $B50, ParametersRange), 1, COLUMN()-2 )</f>
        <v>17.71531395478798</v>
      </c>
      <c r="L50" s="2" cm="1">
        <f t="array" ref="L50">INDEX( ComputeThermoProps($A50, $B50, ParametersRange), 1, COLUMN()-2 )</f>
        <v>-183.56324557855979</v>
      </c>
      <c r="M50" s="2" cm="1">
        <f t="array" ref="M50">INDEX( ComputeThermoProps($A50, $B50, ParametersRange), 1, COLUMN()-2 )</f>
        <v>639.56459909893942</v>
      </c>
      <c r="N50" s="2" cm="1">
        <f t="array" ref="N50">INDEX( ComputeThermoProps($A50, $B50, ParametersRange), 1, COLUMN()-2 )</f>
        <v>159.47959092418515</v>
      </c>
      <c r="P50">
        <f t="shared" si="1"/>
        <v>-916.864711578173</v>
      </c>
    </row>
    <row r="51" spans="1:16" x14ac:dyDescent="0.25">
      <c r="A51" s="2">
        <v>28.1</v>
      </c>
      <c r="B51" s="2">
        <f t="shared" si="0"/>
        <v>30.569319726806857</v>
      </c>
      <c r="C51" s="2" cm="1">
        <f t="array" ref="C51">INDEX( ComputeThermoProps($A51, $B51, ParametersRange), 1, COLUMN()-2 )</f>
        <v>13.747494614462342</v>
      </c>
      <c r="D51" s="2" cm="1">
        <f t="array" ref="D51">INDEX( ComputeThermoProps($A51, $B51, ParametersRange), 1, COLUMN()-2 )</f>
        <v>1.2168995539927404E-3</v>
      </c>
      <c r="E51" s="2" cm="1">
        <f t="array" ref="E51">INDEX( ComputeThermoProps($A51, $B51, ParametersRange), 1, COLUMN()-2 )</f>
        <v>9.185869377466479E-4</v>
      </c>
      <c r="F51" s="2" cm="1">
        <f t="array" ref="F51">INDEX( ComputeThermoProps($A51, $B51, ParametersRange), 1, COLUMN()-2 )</f>
        <v>4.5910445432931603E-3</v>
      </c>
      <c r="G51" s="2" cm="1">
        <f t="array" ref="G51">INDEX( ComputeThermoProps($A51, $B51, ParametersRange), 1, COLUMN()-2 )</f>
        <v>27.294885071065302</v>
      </c>
      <c r="H51" s="2" cm="1">
        <f t="array" ref="H51">INDEX( ComputeThermoProps($A51, $B51, ParametersRange), 1, COLUMN()-2 )</f>
        <v>20.603775234620677</v>
      </c>
      <c r="I51" s="2" cm="1">
        <f t="array" ref="I51">INDEX( ComputeThermoProps($A51, $B51, ParametersRange), 1, COLUMN()-2 )</f>
        <v>2.5172916147558051</v>
      </c>
      <c r="J51" s="2" cm="1">
        <f t="array" ref="J51">INDEX( ComputeThermoProps($A51, $B51, ParametersRange), 1, COLUMN()-2 )</f>
        <v>314.57189976342187</v>
      </c>
      <c r="K51" s="2" cm="1">
        <f t="array" ref="K51">INDEX( ComputeThermoProps($A51, $B51, ParametersRange), 1, COLUMN()-2 )</f>
        <v>18.337055156373562</v>
      </c>
      <c r="L51" s="2" cm="1">
        <f t="array" ref="L51">INDEX( ComputeThermoProps($A51, $B51, ParametersRange), 1, COLUMN()-2 )</f>
        <v>-200.69935013067527</v>
      </c>
      <c r="M51" s="2" cm="1">
        <f t="array" ref="M51">INDEX( ComputeThermoProps($A51, $B51, ParametersRange), 1, COLUMN()-2 )</f>
        <v>734.82345807547654</v>
      </c>
      <c r="N51" s="2" cm="1">
        <f t="array" ref="N51">INDEX( ComputeThermoProps($A51, $B51, ParametersRange), 1, COLUMN()-2 )</f>
        <v>219.5522081813794</v>
      </c>
      <c r="P51">
        <f t="shared" si="1"/>
        <v>-821.60585260163589</v>
      </c>
    </row>
    <row r="52" spans="1:16" x14ac:dyDescent="0.25">
      <c r="A52" s="2">
        <v>29.1</v>
      </c>
      <c r="B52" s="2">
        <f t="shared" si="0"/>
        <v>36.545553895931427</v>
      </c>
      <c r="C52" s="2" cm="1">
        <f t="array" ref="C52">INDEX( ComputeThermoProps($A52, $B52, ParametersRange), 1, COLUMN()-2 )</f>
        <v>13.710963605283348</v>
      </c>
      <c r="D52" s="2" cm="1">
        <f t="array" ref="D52">INDEX( ComputeThermoProps($A52, $B52, ParametersRange), 1, COLUMN()-2 )</f>
        <v>1.2194905370213262E-3</v>
      </c>
      <c r="E52" s="2" cm="1">
        <f t="array" ref="E52">INDEX( ComputeThermoProps($A52, $B52, ParametersRange), 1, COLUMN()-2 )</f>
        <v>9.1037522885101165E-4</v>
      </c>
      <c r="F52" s="2" cm="1">
        <f t="array" ref="F52">INDEX( ComputeThermoProps($A52, $B52, ParametersRange), 1, COLUMN()-2 )</f>
        <v>4.6476042787561992E-3</v>
      </c>
      <c r="G52" s="2" cm="1">
        <f t="array" ref="G52">INDEX( ComputeThermoProps($A52, $B52, ParametersRange), 1, COLUMN()-2 )</f>
        <v>27.880383276748315</v>
      </c>
      <c r="H52" s="2" cm="1">
        <f t="array" ref="H52">INDEX( ComputeThermoProps($A52, $B52, ParametersRange), 1, COLUMN()-2 )</f>
        <v>20.81329008753087</v>
      </c>
      <c r="I52" s="2" cm="1">
        <f t="array" ref="I52">INDEX( ComputeThermoProps($A52, $B52, ParametersRange), 1, COLUMN()-2 )</f>
        <v>2.510602453882226</v>
      </c>
      <c r="J52" s="2" cm="1">
        <f t="array" ref="J52">INDEX( ComputeThermoProps($A52, $B52, ParametersRange), 1, COLUMN()-2 )</f>
        <v>332.54553722561667</v>
      </c>
      <c r="K52" s="2" cm="1">
        <f t="array" ref="K52">INDEX( ComputeThermoProps($A52, $B52, ParametersRange), 1, COLUMN()-2 )</f>
        <v>18.922698106926667</v>
      </c>
      <c r="L52" s="2" cm="1">
        <f t="array" ref="L52">INDEX( ComputeThermoProps($A52, $B52, ParametersRange), 1, COLUMN()-2 )</f>
        <v>-218.10497768594936</v>
      </c>
      <c r="M52" s="2" cm="1">
        <f t="array" ref="M52">INDEX( ComputeThermoProps($A52, $B52, ParametersRange), 1, COLUMN()-2 )</f>
        <v>833.62029662765349</v>
      </c>
      <c r="N52" s="2" cm="1">
        <f t="array" ref="N52">INDEX( ComputeThermoProps($A52, $B52, ParametersRange), 1, COLUMN()-2 )</f>
        <v>282.96978171608743</v>
      </c>
      <c r="P52">
        <f t="shared" si="1"/>
        <v>-722.80901404945894</v>
      </c>
    </row>
    <row r="53" spans="1:16" x14ac:dyDescent="0.25">
      <c r="A53" s="2">
        <v>30.1</v>
      </c>
      <c r="B53" s="2">
        <f t="shared" si="0"/>
        <v>42.823401186547635</v>
      </c>
      <c r="C53" s="2" cm="1">
        <f t="array" ref="C53">INDEX( ComputeThermoProps($A53, $B53, ParametersRange), 1, COLUMN()-2 )</f>
        <v>13.670052334937131</v>
      </c>
      <c r="D53" s="2" cm="1">
        <f t="array" ref="D53">INDEX( ComputeThermoProps($A53, $B53, ParametersRange), 1, COLUMN()-2 )</f>
        <v>1.2202822665350608E-3</v>
      </c>
      <c r="E53" s="2" cm="1">
        <f t="array" ref="E53">INDEX( ComputeThermoProps($A53, $B53, ParametersRange), 1, COLUMN()-2 )</f>
        <v>9.0154669015164821E-4</v>
      </c>
      <c r="F53" s="2" cm="1">
        <f t="array" ref="F53">INDEX( ComputeThermoProps($A53, $B53, ParametersRange), 1, COLUMN()-2 )</f>
        <v>4.6924069987139367E-3</v>
      </c>
      <c r="G53" s="2" cm="1">
        <f t="array" ref="G53">INDEX( ComputeThermoProps($A53, $B53, ParametersRange), 1, COLUMN()-2 )</f>
        <v>28.424804058851066</v>
      </c>
      <c r="H53" s="2" cm="1">
        <f t="array" ref="H53">INDEX( ComputeThermoProps($A53, $B53, ParametersRange), 1, COLUMN()-2 )</f>
        <v>21.000295358082244</v>
      </c>
      <c r="I53" s="2" cm="1">
        <f t="array" ref="I53">INDEX( ComputeThermoProps($A53, $B53, ParametersRange), 1, COLUMN()-2 )</f>
        <v>2.5031112272493248</v>
      </c>
      <c r="J53" s="2" cm="1">
        <f t="array" ref="J53">INDEX( ComputeThermoProps($A53, $B53, ParametersRange), 1, COLUMN()-2 )</f>
        <v>350.44074946064529</v>
      </c>
      <c r="K53" s="2" cm="1">
        <f t="array" ref="K53">INDEX( ComputeThermoProps($A53, $B53, ParametersRange), 1, COLUMN()-2 )</f>
        <v>19.472471239546469</v>
      </c>
      <c r="L53" s="2" cm="1">
        <f t="array" ref="L53">INDEX( ComputeThermoProps($A53, $B53, ParametersRange), 1, COLUMN()-2 )</f>
        <v>-235.68063484970344</v>
      </c>
      <c r="M53" s="2" cm="1">
        <f t="array" ref="M53">INDEX( ComputeThermoProps($A53, $B53, ParametersRange), 1, COLUMN()-2 )</f>
        <v>935.83888484076033</v>
      </c>
      <c r="N53" s="2" cm="1">
        <f t="array" ref="N53">INDEX( ComputeThermoProps($A53, $B53, ParametersRange), 1, COLUMN()-2 )</f>
        <v>349.7175005304116</v>
      </c>
      <c r="P53">
        <f t="shared" si="1"/>
        <v>-620.5904258363521</v>
      </c>
    </row>
    <row r="54" spans="1:16" x14ac:dyDescent="0.25">
      <c r="A54" s="2">
        <v>31.1</v>
      </c>
      <c r="B54" s="2">
        <f t="shared" si="0"/>
        <v>49.389975184962736</v>
      </c>
      <c r="C54" s="2" cm="1">
        <f t="array" ref="C54">INDEX( ComputeThermoProps($A54, $B54, ParametersRange), 1, COLUMN()-2 )</f>
        <v>13.625012498596172</v>
      </c>
      <c r="D54" s="2" cm="1">
        <f t="array" ref="D54">INDEX( ComputeThermoProps($A54, $B54, ParametersRange), 1, COLUMN()-2 )</f>
        <v>1.2188468165092964E-3</v>
      </c>
      <c r="E54" s="2" cm="1">
        <f t="array" ref="E54">INDEX( ComputeThermoProps($A54, $B54, ParametersRange), 1, COLUMN()-2 )</f>
        <v>8.9191397777028632E-4</v>
      </c>
      <c r="F54" s="2" cm="1">
        <f t="array" ref="F54">INDEX( ComputeThermoProps($A54, $B54, ParametersRange), 1, COLUMN()-2 )</f>
        <v>4.7242003347233771E-3</v>
      </c>
      <c r="G54" s="2" cm="1">
        <f t="array" ref="G54">INDEX( ComputeThermoProps($A54, $B54, ParametersRange), 1, COLUMN()-2 )</f>
        <v>28.926465114036137</v>
      </c>
      <c r="H54" s="2" cm="1">
        <f t="array" ref="H54">INDEX( ComputeThermoProps($A54, $B54, ParametersRange), 1, COLUMN()-2 )</f>
        <v>21.167482421279811</v>
      </c>
      <c r="I54" s="2" cm="1">
        <f t="array" ref="I54">INDEX( ComputeThermoProps($A54, $B54, ParametersRange), 1, COLUMN()-2 )</f>
        <v>2.4948640225381622</v>
      </c>
      <c r="J54" s="2" cm="1">
        <f t="array" ref="J54">INDEX( ComputeThermoProps($A54, $B54, ParametersRange), 1, COLUMN()-2 )</f>
        <v>368.28102236918943</v>
      </c>
      <c r="K54" s="2" cm="1">
        <f t="array" ref="K54">INDEX( ComputeThermoProps($A54, $B54, ParametersRange), 1, COLUMN()-2 )</f>
        <v>19.987674845190302</v>
      </c>
      <c r="L54" s="2" cm="1">
        <f t="array" ref="L54">INDEX( ComputeThermoProps($A54, $B54, ParametersRange), 1, COLUMN()-2 )</f>
        <v>-253.33566531622898</v>
      </c>
      <c r="M54" s="2" cm="1">
        <f t="array" ref="M54">INDEX( ComputeThermoProps($A54, $B54, ParametersRange), 1, COLUMN()-2 )</f>
        <v>1041.2200515696616</v>
      </c>
      <c r="N54" s="2" cm="1">
        <f t="array" ref="N54">INDEX( ComputeThermoProps($A54, $B54, ParametersRange), 1, COLUMN()-2 )</f>
        <v>419.60336388424315</v>
      </c>
      <c r="P54">
        <f t="shared" si="1"/>
        <v>-515.20925910745086</v>
      </c>
    </row>
    <row r="55" spans="1:16" x14ac:dyDescent="0.25">
      <c r="A55" s="2">
        <v>32.1</v>
      </c>
      <c r="B55" s="2">
        <f t="shared" si="0"/>
        <v>56.229948618360389</v>
      </c>
      <c r="C55" s="2" cm="1">
        <f t="array" ref="C55">INDEX( ComputeThermoProps($A55, $B55, ParametersRange), 1, COLUMN()-2 )</f>
        <v>13.576182832654851</v>
      </c>
      <c r="D55" s="2" cm="1">
        <f t="array" ref="D55">INDEX( ComputeThermoProps($A55, $B55, ParametersRange), 1, COLUMN()-2 )</f>
        <v>1.2147691649525606E-3</v>
      </c>
      <c r="E55" s="2" cm="1">
        <f t="array" ref="E55">INDEX( ComputeThermoProps($A55, $B55, ParametersRange), 1, COLUMN()-2 )</f>
        <v>8.8130197106940048E-4</v>
      </c>
      <c r="F55" s="2" cm="1">
        <f t="array" ref="F55">INDEX( ComputeThermoProps($A55, $B55, ParametersRange), 1, COLUMN()-2 )</f>
        <v>4.7417176738132928E-3</v>
      </c>
      <c r="G55" s="2" cm="1">
        <f t="array" ref="G55">INDEX( ComputeThermoProps($A55, $B55, ParametersRange), 1, COLUMN()-2 )</f>
        <v>29.383327774140117</v>
      </c>
      <c r="H55" s="2" cm="1">
        <f t="array" ref="H55">INDEX( ComputeThermoProps($A55, $B55, ParametersRange), 1, COLUMN()-2 )</f>
        <v>21.317288445446525</v>
      </c>
      <c r="I55" s="2" cm="1">
        <f t="array" ref="I55">INDEX( ComputeThermoProps($A55, $B55, ParametersRange), 1, COLUMN()-2 )</f>
        <v>2.485922865471117</v>
      </c>
      <c r="J55" s="2" cm="1">
        <f t="array" ref="J55">INDEX( ComputeThermoProps($A55, $B55, ParametersRange), 1, COLUMN()-2 )</f>
        <v>386.10066971146114</v>
      </c>
      <c r="K55" s="2" cm="1">
        <f t="array" ref="K55">INDEX( ComputeThermoProps($A55, $B55, ParametersRange), 1, COLUMN()-2 )</f>
        <v>20.470033607917195</v>
      </c>
      <c r="L55" s="2" cm="1">
        <f t="array" ref="L55">INDEX( ComputeThermoProps($A55, $B55, ParametersRange), 1, COLUMN()-2 )</f>
        <v>-270.98740910268083</v>
      </c>
      <c r="M55" s="2" cm="1">
        <f t="array" ref="M55">INDEX( ComputeThermoProps($A55, $B55, ParametersRange), 1, COLUMN()-2 )</f>
        <v>1149.4887328251098</v>
      </c>
      <c r="N55" s="2" cm="1">
        <f t="array" ref="N55">INDEX( ComputeThermoProps($A55, $B55, ParametersRange), 1, COLUMN()-2 )</f>
        <v>492.4006540109678</v>
      </c>
      <c r="P55">
        <f t="shared" si="1"/>
        <v>-406.94057785200266</v>
      </c>
    </row>
    <row r="56" spans="1:16" x14ac:dyDescent="0.25">
      <c r="A56" s="2">
        <v>33.1</v>
      </c>
      <c r="B56" s="2">
        <f t="shared" si="0"/>
        <v>63.328395862429993</v>
      </c>
      <c r="C56" s="2" cm="1">
        <f t="array" ref="C56">INDEX( ComputeThermoProps($A56, $B56, ParametersRange), 1, COLUMN()-2 )</f>
        <v>13.523941306755392</v>
      </c>
      <c r="D56" s="2" cm="1">
        <f t="array" ref="D56">INDEX( ComputeThermoProps($A56, $B56, ParametersRange), 1, COLUMN()-2 )</f>
        <v>1.207678098084413E-3</v>
      </c>
      <c r="E56" s="2" cm="1">
        <f t="array" ref="E56">INDEX( ComputeThermoProps($A56, $B56, ParametersRange), 1, COLUMN()-2 )</f>
        <v>8.6956065615155682E-4</v>
      </c>
      <c r="F56" s="2" cm="1">
        <f t="array" ref="F56">INDEX( ComputeThermoProps($A56, $B56, ParametersRange), 1, COLUMN()-2 )</f>
        <v>4.7438008769055198E-3</v>
      </c>
      <c r="G56" s="2" cm="1">
        <f t="array" ref="G56">INDEX( ComputeThermoProps($A56, $B56, ParametersRange), 1, COLUMN()-2 )</f>
        <v>29.793162030052475</v>
      </c>
      <c r="H56" s="2" cm="1">
        <f t="array" ref="H56">INDEX( ComputeThermoProps($A56, $B56, ParametersRange), 1, COLUMN()-2 )</f>
        <v>21.451876592591201</v>
      </c>
      <c r="I56" s="2" cm="1">
        <f t="array" ref="I56">INDEX( ComputeThermoProps($A56, $B56, ParametersRange), 1, COLUMN()-2 )</f>
        <v>2.4763569657352416</v>
      </c>
      <c r="J56" s="2" cm="1">
        <f t="array" ref="J56">INDEX( ComputeThermoProps($A56, $B56, ParametersRange), 1, COLUMN()-2 )</f>
        <v>403.93971214558178</v>
      </c>
      <c r="K56" s="2" cm="1">
        <f t="array" ref="K56">INDEX( ComputeThermoProps($A56, $B56, ParametersRange), 1, COLUMN()-2 )</f>
        <v>20.921495785674562</v>
      </c>
      <c r="L56" s="2" cm="1">
        <f t="array" ref="L56">INDEX( ComputeThermoProps($A56, $B56, ParametersRange), 1, COLUMN()-2 )</f>
        <v>-288.56179836024626</v>
      </c>
      <c r="M56" s="2" cm="1">
        <f t="array" ref="M56">INDEX( ComputeThermoProps($A56, $B56, ParametersRange), 1, COLUMN()-2 )</f>
        <v>1260.3892208400559</v>
      </c>
      <c r="N56" s="2" cm="1">
        <f t="array" ref="N56">INDEX( ComputeThermoProps($A56, $B56, ParametersRange), 1, COLUMN()-2 )</f>
        <v>567.8877103342279</v>
      </c>
      <c r="P56">
        <f t="shared" si="1"/>
        <v>-296.04008983705648</v>
      </c>
    </row>
    <row r="57" spans="1:16" x14ac:dyDescent="0.25">
      <c r="A57" s="2">
        <v>34.1</v>
      </c>
      <c r="B57" s="2">
        <f t="shared" si="0"/>
        <v>70.671580782986652</v>
      </c>
      <c r="C57" s="2" cm="1">
        <f t="array" ref="C57">INDEX( ComputeThermoProps($A57, $B57, ParametersRange), 1, COLUMN()-2 )</f>
        <v>13.468689515475672</v>
      </c>
      <c r="D57" s="2" cm="1">
        <f t="array" ref="D57">INDEX( ComputeThermoProps($A57, $B57, ParametersRange), 1, COLUMN()-2 )</f>
        <v>1.1972781610133788E-3</v>
      </c>
      <c r="E57" s="2" cm="1">
        <f t="array" ref="E57">INDEX( ComputeThermoProps($A57, $B57, ParametersRange), 1, COLUMN()-2 )</f>
        <v>8.5657628588389095E-4</v>
      </c>
      <c r="F57" s="2" cm="1">
        <f t="array" ref="F57">INDEX( ComputeThermoProps($A57, $B57, ParametersRange), 1, COLUMN()-2 )</f>
        <v>4.7295387215953739E-3</v>
      </c>
      <c r="G57" s="2" cm="1">
        <f t="array" ref="G57">INDEX( ComputeThermoProps($A57, $B57, ParametersRange), 1, COLUMN()-2 )</f>
        <v>30.1538498293156</v>
      </c>
      <c r="H57" s="2" cm="1">
        <f t="array" ref="H57">INDEX( ComputeThermoProps($A57, $B57, ParametersRange), 1, COLUMN()-2 )</f>
        <v>21.573159465327567</v>
      </c>
      <c r="I57" s="2" cm="1">
        <f t="array" ref="I57">INDEX( ComputeThermoProps($A57, $B57, ParametersRange), 1, COLUMN()-2 )</f>
        <v>2.4662398589545509</v>
      </c>
      <c r="J57" s="2" cm="1">
        <f t="array" ref="J57">INDEX( ComputeThermoProps($A57, $B57, ParametersRange), 1, COLUMN()-2 )</f>
        <v>421.84135103140045</v>
      </c>
      <c r="K57" s="2" cm="1">
        <f t="array" ref="K57">INDEX( ComputeThermoProps($A57, $B57, ParametersRange), 1, COLUMN()-2 )</f>
        <v>21.344155273389759</v>
      </c>
      <c r="L57" s="2" cm="1">
        <f t="array" ref="L57">INDEX( ComputeThermoProps($A57, $B57, ParametersRange), 1, COLUMN()-2 )</f>
        <v>-305.99434379119037</v>
      </c>
      <c r="M57" s="2" cm="1">
        <f t="array" ref="M57">INDEX( ComputeThermoProps($A57, $B57, ParametersRange), 1, COLUMN()-2 )</f>
        <v>1373.6949301653049</v>
      </c>
      <c r="N57" s="2" cm="1">
        <f t="array" ref="N57">INDEX( ComputeThermoProps($A57, $B57, ParametersRange), 1, COLUMN()-2 )</f>
        <v>645.85923534271399</v>
      </c>
      <c r="P57">
        <f t="shared" si="1"/>
        <v>-182.73438051180756</v>
      </c>
    </row>
    <row r="58" spans="1:16" x14ac:dyDescent="0.25">
      <c r="A58" s="2">
        <v>35.1</v>
      </c>
      <c r="B58" s="2">
        <f t="shared" si="0"/>
        <v>78.247096922875286</v>
      </c>
      <c r="C58" s="2" cm="1">
        <f t="array" ref="C58">INDEX( ComputeThermoProps($A58, $B58, ParametersRange), 1, COLUMN()-2 )</f>
        <v>13.410845501383021</v>
      </c>
      <c r="D58" s="2" cm="1">
        <f t="array" ref="D58">INDEX( ComputeThermoProps($A58, $B58, ParametersRange), 1, COLUMN()-2 )</f>
        <v>1.1833794318445857E-3</v>
      </c>
      <c r="E58" s="2" cm="1">
        <f t="array" ref="E58">INDEX( ComputeThermoProps($A58, $B58, ParametersRange), 1, COLUMN()-2 )</f>
        <v>8.4228073782783588E-4</v>
      </c>
      <c r="F58" s="2" cm="1">
        <f t="array" ref="F58">INDEX( ComputeThermoProps($A58, $B58, ParametersRange), 1, COLUMN()-2 )</f>
        <v>4.698399493579029E-3</v>
      </c>
      <c r="G58" s="2" cm="1">
        <f t="array" ref="G58">INDEX( ComputeThermoProps($A58, $B58, ParametersRange), 1, COLUMN()-2 )</f>
        <v>30.463731657155979</v>
      </c>
      <c r="H58" s="2" cm="1">
        <f t="array" ref="H58">INDEX( ComputeThermoProps($A58, $B58, ParametersRange), 1, COLUMN()-2 )</f>
        <v>21.68282943466636</v>
      </c>
      <c r="I58" s="2" cm="1">
        <f t="array" ref="I58">INDEX( ComputeThermoProps($A58, $B58, ParametersRange), 1, COLUMN()-2 )</f>
        <v>2.4556480925551867</v>
      </c>
      <c r="J58" s="2" cm="1">
        <f t="array" ref="J58">INDEX( ComputeThermoProps($A58, $B58, ParametersRange), 1, COLUMN()-2 )</f>
        <v>439.85021265742182</v>
      </c>
      <c r="K58" s="2" cm="1">
        <f t="array" ref="K58">INDEX( ComputeThermoProps($A58, $B58, ParametersRange), 1, COLUMN()-2 )</f>
        <v>21.740208633512673</v>
      </c>
      <c r="L58" s="2" cm="1">
        <f t="array" ref="L58">INDEX( ComputeThermoProps($A58, $B58, ParametersRange), 1, COLUMN()-2 )</f>
        <v>-323.23111037887304</v>
      </c>
      <c r="M58" s="2" cm="1">
        <f t="array" ref="M58">INDEX( ComputeThermoProps($A58, $B58, ParametersRange), 1, COLUMN()-2 )</f>
        <v>1489.209940421845</v>
      </c>
      <c r="N58" s="2" cm="1">
        <f t="array" ref="N58">INDEX( ComputeThermoProps($A58, $B58, ParametersRange), 1, COLUMN()-2 )</f>
        <v>726.12861738555011</v>
      </c>
      <c r="P58">
        <f t="shared" si="1"/>
        <v>-67.219370255267449</v>
      </c>
    </row>
    <row r="59" spans="1:16" x14ac:dyDescent="0.25">
      <c r="A59" s="2">
        <v>36.1</v>
      </c>
      <c r="B59" s="2">
        <f t="shared" si="0"/>
        <v>86.043797153300162</v>
      </c>
      <c r="C59" s="2" cm="1">
        <f t="array" ref="C59">INDEX( ComputeThermoProps($A59, $B59, ParametersRange), 1, COLUMN()-2 )</f>
        <v>13.350837636273383</v>
      </c>
      <c r="D59" s="2" cm="1">
        <f t="array" ref="D59">INDEX( ComputeThermoProps($A59, $B59, ParametersRange), 1, COLUMN()-2 )</f>
        <v>1.1659207534139148E-3</v>
      </c>
      <c r="E59" s="2" cm="1">
        <f t="array" ref="E59">INDEX( ComputeThermoProps($A59, $B59, ParametersRange), 1, COLUMN()-2 )</f>
        <v>8.266580943052977E-4</v>
      </c>
      <c r="F59" s="2" cm="1">
        <f t="array" ref="F59">INDEX( ComputeThermoProps($A59, $B59, ParametersRange), 1, COLUMN()-2 )</f>
        <v>4.6503372738382794E-3</v>
      </c>
      <c r="G59" s="2" cm="1">
        <f t="array" ref="G59">INDEX( ComputeThermoProps($A59, $B59, ParametersRange), 1, COLUMN()-2 )</f>
        <v>30.72193447405725</v>
      </c>
      <c r="H59" s="2" cm="1">
        <f t="array" ref="H59">INDEX( ComputeThermoProps($A59, $B59, ParametersRange), 1, COLUMN()-2 )</f>
        <v>21.782385922313491</v>
      </c>
      <c r="I59" s="2" cm="1">
        <f t="array" ref="I59">INDEX( ComputeThermoProps($A59, $B59, ParametersRange), 1, COLUMN()-2 )</f>
        <v>2.4446601052966961</v>
      </c>
      <c r="J59" s="2" cm="1">
        <f t="array" ref="J59">INDEX( ComputeThermoProps($A59, $B59, ParametersRange), 1, COLUMN()-2 )</f>
        <v>458.01081902452222</v>
      </c>
      <c r="K59" s="2" cm="1">
        <f t="array" ref="K59">INDEX( ComputeThermoProps($A59, $B59, ParametersRange), 1, COLUMN()-2 )</f>
        <v>22.111918737960057</v>
      </c>
      <c r="L59" s="2" cm="1">
        <f t="array" ref="L59">INDEX( ComputeThermoProps($A59, $B59, ParametersRange), 1, COLUMN()-2 )</f>
        <v>-340.22944741583586</v>
      </c>
      <c r="M59" s="2" cm="1">
        <f t="array" ref="M59">INDEX( ComputeThermoProps($A59, $B59, ParametersRange), 1, COLUMN()-2 )</f>
        <v>1606.7675844266746</v>
      </c>
      <c r="N59" s="2" cm="1">
        <f t="array" ref="N59">INDEX( ComputeThermoProps($A59, $B59, ParametersRange), 1, COLUMN()-2 )</f>
        <v>808.52731798631658</v>
      </c>
      <c r="P59">
        <f t="shared" si="1"/>
        <v>50.338273749562177</v>
      </c>
    </row>
    <row r="60" spans="1:16" x14ac:dyDescent="0.25">
      <c r="A60" s="2">
        <v>37.1</v>
      </c>
      <c r="B60" s="2">
        <f t="shared" si="0"/>
        <v>94.051662389014894</v>
      </c>
      <c r="C60" s="2" cm="1">
        <f t="array" ref="C60">INDEX( ComputeThermoProps($A60, $B60, ParametersRange), 1, COLUMN()-2 )</f>
        <v>13.28909734661474</v>
      </c>
      <c r="D60" s="2" cm="1">
        <f t="array" ref="D60">INDEX( ComputeThermoProps($A60, $B60, ParametersRange), 1, COLUMN()-2 )</f>
        <v>1.1449821868263787E-3</v>
      </c>
      <c r="E60" s="2" cm="1">
        <f t="array" ref="E60">INDEX( ComputeThermoProps($A60, $B60, ParametersRange), 1, COLUMN()-2 )</f>
        <v>8.0974738494278304E-4</v>
      </c>
      <c r="F60" s="2" cm="1">
        <f t="array" ref="F60">INDEX( ComputeThermoProps($A60, $B60, ParametersRange), 1, COLUMN()-2 )</f>
        <v>4.5858535404990613E-3</v>
      </c>
      <c r="G60" s="2" cm="1">
        <f t="array" ref="G60">INDEX( ComputeThermoProps($A60, $B60, ParametersRange), 1, COLUMN()-2 )</f>
        <v>30.928628023615573</v>
      </c>
      <c r="H60" s="2" cm="1">
        <f t="array" ref="H60">INDEX( ComputeThermoProps($A60, $B60, ParametersRange), 1, COLUMN()-2 )</f>
        <v>21.873157460560943</v>
      </c>
      <c r="I60" s="2" cm="1">
        <f t="array" ref="I60">INDEX( ComputeThermoProps($A60, $B60, ParametersRange), 1, COLUMN()-2 )</f>
        <v>2.4333548953068846</v>
      </c>
      <c r="J60" s="2" cm="1">
        <f t="array" ref="J60">INDEX( ComputeThermoProps($A60, $B60, ParametersRange), 1, COLUMN()-2 )</f>
        <v>476.36615311467301</v>
      </c>
      <c r="K60" s="2" cm="1">
        <f t="array" ref="K60">INDEX( ComputeThermoProps($A60, $B60, ParametersRange), 1, COLUMN()-2 )</f>
        <v>22.461575901667434</v>
      </c>
      <c r="L60" s="2" cm="1">
        <f t="array" ref="L60">INDEX( ComputeThermoProps($A60, $B60, ParametersRange), 1, COLUMN()-2 )</f>
        <v>-356.95831283718883</v>
      </c>
      <c r="M60" s="2" cm="1">
        <f t="array" ref="M60">INDEX( ComputeThermoProps($A60, $B60, ParametersRange), 1, COLUMN()-2 )</f>
        <v>1726.2278502132363</v>
      </c>
      <c r="N60" s="2" cm="1">
        <f t="array" ref="N60">INDEX( ComputeThermoProps($A60, $B60, ParametersRange), 1, COLUMN()-2 )</f>
        <v>892.90338426137441</v>
      </c>
      <c r="P60">
        <f t="shared" si="1"/>
        <v>169.79853953612383</v>
      </c>
    </row>
    <row r="61" spans="1:16" x14ac:dyDescent="0.25">
      <c r="A61" s="2">
        <v>38.1</v>
      </c>
      <c r="B61" s="2">
        <f t="shared" si="0"/>
        <v>102.2616626143449</v>
      </c>
      <c r="C61" s="2" cm="1">
        <f t="array" ref="C61">INDEX( ComputeThermoProps($A61, $B61, ParametersRange), 1, COLUMN()-2 )</f>
        <v>13.226050456399722</v>
      </c>
      <c r="D61" s="2" cm="1">
        <f t="array" ref="D61">INDEX( ComputeThermoProps($A61, $B61, ParametersRange), 1, COLUMN()-2 )</f>
        <v>1.1207838551802716E-3</v>
      </c>
      <c r="E61" s="2" cm="1">
        <f t="array" ref="E61">INDEX( ComputeThermoProps($A61, $B61, ParametersRange), 1, COLUMN()-2 )</f>
        <v>7.9164082092337813E-4</v>
      </c>
      <c r="F61" s="2" cm="1">
        <f t="array" ref="F61">INDEX( ComputeThermoProps($A61, $B61, ParametersRange), 1, COLUMN()-2 )</f>
        <v>4.5060018549025827E-3</v>
      </c>
      <c r="G61" s="2" cm="1">
        <f t="array" ref="G61">INDEX( ComputeThermoProps($A61, $B61, ParametersRange), 1, COLUMN()-2 )</f>
        <v>31.085167705672944</v>
      </c>
      <c r="H61" s="2" cm="1">
        <f t="array" ref="H61">INDEX( ComputeThermoProps($A61, $B61, ParametersRange), 1, COLUMN()-2 )</f>
        <v>21.956318845351063</v>
      </c>
      <c r="I61" s="2" cm="1">
        <f t="array" ref="I61">INDEX( ComputeThermoProps($A61, $B61, ParametersRange), 1, COLUMN()-2 )</f>
        <v>2.4218104348415039</v>
      </c>
      <c r="J61" s="2" cm="1">
        <f t="array" ref="J61">INDEX( ComputeThermoProps($A61, $B61, ParametersRange), 1, COLUMN()-2 )</f>
        <v>494.95634066045699</v>
      </c>
      <c r="K61" s="2" cm="1">
        <f t="array" ref="K61">INDEX( ComputeThermoProps($A61, $B61, ParametersRange), 1, COLUMN()-2 )</f>
        <v>22.791455107542628</v>
      </c>
      <c r="L61" s="2" cm="1">
        <f t="array" ref="L61">INDEX( ComputeThermoProps($A61, $B61, ParametersRange), 1, COLUMN()-2 )</f>
        <v>-373.39809893691717</v>
      </c>
      <c r="M61" s="2" cm="1">
        <f t="array" ref="M61">INDEX( ComputeThermoProps($A61, $B61, ParametersRange), 1, COLUMN()-2 )</f>
        <v>1847.4742501531077</v>
      </c>
      <c r="N61" s="2" cm="1">
        <f t="array" ref="N61">INDEX( ComputeThermoProps($A61, $B61, ParametersRange), 1, COLUMN()-2 )</f>
        <v>979.11981055573358</v>
      </c>
      <c r="P61">
        <f t="shared" si="1"/>
        <v>291.04493947599531</v>
      </c>
    </row>
    <row r="62" spans="1:16" x14ac:dyDescent="0.25">
      <c r="A62" s="2">
        <v>39.1</v>
      </c>
      <c r="B62" s="2">
        <f t="shared" si="0"/>
        <v>110.66562854929161</v>
      </c>
      <c r="C62" s="2" cm="1">
        <f t="array" ref="C62">INDEX( ComputeThermoProps($A62, $B62, ParametersRange), 1, COLUMN()-2 )</f>
        <v>13.162107792707463</v>
      </c>
      <c r="D62" s="2" cm="1">
        <f t="array" ref="D62">INDEX( ComputeThermoProps($A62, $B62, ParametersRange), 1, COLUMN()-2 )</f>
        <v>1.0936707265031648E-3</v>
      </c>
      <c r="E62" s="2" cm="1">
        <f t="array" ref="E62">INDEX( ComputeThermoProps($A62, $B62, ParametersRange), 1, COLUMN()-2 )</f>
        <v>7.7247752861815634E-4</v>
      </c>
      <c r="F62" s="2" cm="1">
        <f t="array" ref="F62">INDEX( ComputeThermoProps($A62, $B62, ParametersRange), 1, COLUMN()-2 )</f>
        <v>4.4123333238551806E-3</v>
      </c>
      <c r="G62" s="2" cm="1">
        <f t="array" ref="G62">INDEX( ComputeThermoProps($A62, $B62, ParametersRange), 1, COLUMN()-2 )</f>
        <v>31.194101980527396</v>
      </c>
      <c r="H62" s="2" cm="1">
        <f t="array" ref="H62">INDEX( ComputeThermoProps($A62, $B62, ParametersRange), 1, COLUMN()-2 )</f>
        <v>22.032904622423217</v>
      </c>
      <c r="I62" s="2" cm="1">
        <f t="array" ref="I62">INDEX( ComputeThermoProps($A62, $B62, ParametersRange), 1, COLUMN()-2 )</f>
        <v>2.4101019500846999</v>
      </c>
      <c r="J62" s="2" cm="1">
        <f t="array" ref="J62">INDEX( ComputeThermoProps($A62, $B62, ParametersRange), 1, COLUMN()-2 )</f>
        <v>513.81752495507135</v>
      </c>
      <c r="K62" s="2" cm="1">
        <f t="array" ref="K62">INDEX( ComputeThermoProps($A62, $B62, ParametersRange), 1, COLUMN()-2 )</f>
        <v>23.103771517818139</v>
      </c>
      <c r="L62" s="2" cm="1">
        <f t="array" ref="L62">INDEX( ComputeThermoProps($A62, $B62, ParametersRange), 1, COLUMN()-2 )</f>
        <v>-389.5399413916179</v>
      </c>
      <c r="M62" s="2" cm="1">
        <f t="array" ref="M62">INDEX( ComputeThermoProps($A62, $B62, ParametersRange), 1, COLUMN()-2 )</f>
        <v>1970.4104568685721</v>
      </c>
      <c r="N62" s="2" cm="1">
        <f t="array" ref="N62">INDEX( ComputeThermoProps($A62, $B62, ParametersRange), 1, COLUMN()-2 )</f>
        <v>1067.0529905218827</v>
      </c>
      <c r="P62">
        <f t="shared" si="1"/>
        <v>413.98114619145963</v>
      </c>
    </row>
    <row r="63" spans="1:16" x14ac:dyDescent="0.25">
      <c r="A63" s="2">
        <v>40.1</v>
      </c>
      <c r="B63" s="2">
        <f t="shared" si="0"/>
        <v>119.25613910377641</v>
      </c>
      <c r="C63" s="2" cm="1">
        <f t="array" ref="C63">INDEX( ComputeThermoProps($A63, $B63, ParametersRange), 1, COLUMN()-2 )</f>
        <v>13.097656036180576</v>
      </c>
      <c r="D63" s="2" cm="1">
        <f t="array" ref="D63">INDEX( ComputeThermoProps($A63, $B63, ParametersRange), 1, COLUMN()-2 )</f>
        <v>1.0640855498023837E-3</v>
      </c>
      <c r="E63" s="2" cm="1">
        <f t="array" ref="E63">INDEX( ComputeThermoProps($A63, $B63, ParametersRange), 1, COLUMN()-2 )</f>
        <v>7.5243354214701429E-4</v>
      </c>
      <c r="F63" s="2" cm="1">
        <f t="array" ref="F63">INDEX( ComputeThermoProps($A63, $B63, ParametersRange), 1, COLUMN()-2 )</f>
        <v>4.3067915966073234E-3</v>
      </c>
      <c r="G63" s="2" cm="1">
        <f t="array" ref="G63">INDEX( ComputeThermoProps($A63, $B63, ParametersRange), 1, COLUMN()-2 )</f>
        <v>31.259047374105037</v>
      </c>
      <c r="H63" s="2" cm="1">
        <f t="array" ref="H63">INDEX( ComputeThermoProps($A63, $B63, ParametersRange), 1, COLUMN()-2 )</f>
        <v>22.10382026539807</v>
      </c>
      <c r="I63" s="2" cm="1">
        <f t="array" ref="I63">INDEX( ComputeThermoProps($A63, $B63, ParametersRange), 1, COLUMN()-2 )</f>
        <v>2.3983002457879232</v>
      </c>
      <c r="J63" s="2" cm="1">
        <f t="array" ref="J63">INDEX( ComputeThermoProps($A63, $B63, ParametersRange), 1, COLUMN()-2 )</f>
        <v>532.98101420727698</v>
      </c>
      <c r="K63" s="2" cm="1">
        <f t="array" ref="K63">INDEX( ComputeThermoProps($A63, $B63, ParametersRange), 1, COLUMN()-2 )</f>
        <v>23.400637966128041</v>
      </c>
      <c r="L63" s="2" cm="1">
        <f t="array" ref="L63">INDEX( ComputeThermoProps($A63, $B63, ParametersRange), 1, COLUMN()-2 )</f>
        <v>-405.3845682344575</v>
      </c>
      <c r="M63" s="2" cm="1">
        <f t="array" ref="M63">INDEX( ComputeThermoProps($A63, $B63, ParametersRange), 1, COLUMN()-2 )</f>
        <v>2094.9569043914444</v>
      </c>
      <c r="N63" s="2" cm="1">
        <f t="array" ref="N63">INDEX( ComputeThermoProps($A63, $B63, ParametersRange), 1, COLUMN()-2 )</f>
        <v>1156.5913219497099</v>
      </c>
      <c r="P63">
        <f t="shared" si="1"/>
        <v>538.52759371433194</v>
      </c>
    </row>
    <row r="64" spans="1:16" x14ac:dyDescent="0.25">
      <c r="A64" s="2">
        <v>41.1</v>
      </c>
      <c r="B64" s="2">
        <f t="shared" si="0"/>
        <v>128.02642480325255</v>
      </c>
      <c r="C64" s="2" cm="1">
        <f t="array" ref="C64">INDEX( ComputeThermoProps($A64, $B64, ParametersRange), 1, COLUMN()-2 )</f>
        <v>13.033049793609896</v>
      </c>
      <c r="D64" s="2" cm="1">
        <f t="array" ref="D64">INDEX( ComputeThermoProps($A64, $B64, ParametersRange), 1, COLUMN()-2 )</f>
        <v>1.0325342854033204E-3</v>
      </c>
      <c r="E64" s="2" cm="1">
        <f t="array" ref="E64">INDEX( ComputeThermoProps($A64, $B64, ParametersRange), 1, COLUMN()-2 )</f>
        <v>7.3170941372540212E-4</v>
      </c>
      <c r="F64" s="2" cm="1">
        <f t="array" ref="F64">INDEX( ComputeThermoProps($A64, $B64, ParametersRange), 1, COLUMN()-2 )</f>
        <v>4.1915750863793736E-3</v>
      </c>
      <c r="G64" s="2" cm="1">
        <f t="array" ref="G64">INDEX( ComputeThermoProps($A64, $B64, ParametersRange), 1, COLUMN()-2 )</f>
        <v>31.284458123896886</v>
      </c>
      <c r="H64" s="2" cm="1">
        <f t="array" ref="H64">INDEX( ComputeThermoProps($A64, $B64, ParametersRange), 1, COLUMN()-2 )</f>
        <v>22.169852213296657</v>
      </c>
      <c r="I64" s="2" cm="1">
        <f t="array" ref="I64">INDEX( ComputeThermoProps($A64, $B64, ParametersRange), 1, COLUMN()-2 )</f>
        <v>2.3864702536879099</v>
      </c>
      <c r="J64" s="2" cm="1">
        <f t="array" ref="J64">INDEX( ComputeThermoProps($A64, $B64, ParametersRange), 1, COLUMN()-2 )</f>
        <v>552.47275426364945</v>
      </c>
      <c r="K64" s="2" cm="1">
        <f t="array" ref="K64">INDEX( ComputeThermoProps($A64, $B64, ParametersRange), 1, COLUMN()-2 )</f>
        <v>23.684028234837168</v>
      </c>
      <c r="L64" s="2" cm="1">
        <f t="array" ref="L64">INDEX( ComputeThermoProps($A64, $B64, ParametersRange), 1, COLUMN()-2 )</f>
        <v>-420.94080618815821</v>
      </c>
      <c r="M64" s="2" cm="1">
        <f t="array" ref="M64">INDEX( ComputeThermoProps($A64, $B64, ParametersRange), 1, COLUMN()-2 )</f>
        <v>2221.0475236222928</v>
      </c>
      <c r="N64" s="2" cm="1">
        <f t="array" ref="N64">INDEX( ComputeThermoProps($A64, $B64, ParametersRange), 1, COLUMN()-2 )</f>
        <v>1247.6339631704852</v>
      </c>
      <c r="P64">
        <f t="shared" si="1"/>
        <v>664.6182129451804</v>
      </c>
    </row>
    <row r="65" spans="1:16" x14ac:dyDescent="0.25">
      <c r="A65" s="2">
        <v>42.1</v>
      </c>
      <c r="B65" s="2">
        <f t="shared" si="0"/>
        <v>136.97028563658151</v>
      </c>
      <c r="C65" s="2" cm="1">
        <f t="array" ref="C65">INDEX( ComputeThermoProps($A65, $B65, ParametersRange), 1, COLUMN()-2 )</f>
        <v>12.968605635494889</v>
      </c>
      <c r="D65" s="2" cm="1">
        <f t="array" ref="D65">INDEX( ComputeThermoProps($A65, $B65, ParametersRange), 1, COLUMN()-2 )</f>
        <v>9.9954934308777734E-4</v>
      </c>
      <c r="E65" s="2" cm="1">
        <f t="array" ref="E65">INDEX( ComputeThermoProps($A65, $B65, ParametersRange), 1, COLUMN()-2 )</f>
        <v>7.1051708214885491E-4</v>
      </c>
      <c r="F65" s="2" cm="1">
        <f t="array" ref="F65">INDEX( ComputeThermoProps($A65, $B65, ParametersRange), 1, COLUMN()-2 )</f>
        <v>4.0689883444349016E-3</v>
      </c>
      <c r="G65" s="2" cm="1">
        <f t="array" ref="G65">INDEX( ComputeThermoProps($A65, $B65, ParametersRange), 1, COLUMN()-2 )</f>
        <v>31.275333631833146</v>
      </c>
      <c r="H65" s="2" cm="1">
        <f t="array" ref="H65">INDEX( ComputeThermoProps($A65, $B65, ParametersRange), 1, COLUMN()-2 )</f>
        <v>22.231677654527356</v>
      </c>
      <c r="I65" s="2" cm="1">
        <f t="array" ref="I65">INDEX( ComputeThermoProps($A65, $B65, ParametersRange), 1, COLUMN()-2 )</f>
        <v>2.3746699407296319</v>
      </c>
      <c r="J65" s="2" cm="1">
        <f t="array" ref="J65">INDEX( ComputeThermoProps($A65, $B65, ParametersRange), 1, COLUMN()-2 )</f>
        <v>572.31313894420373</v>
      </c>
      <c r="K65" s="2" cm="1">
        <f t="array" ref="K65">INDEX( ComputeThermoProps($A65, $B65, ParametersRange), 1, COLUMN()-2 )</f>
        <v>23.955749060869422</v>
      </c>
      <c r="L65" s="2" cm="1">
        <f t="array" ref="L65">INDEX( ComputeThermoProps($A65, $B65, ParametersRange), 1, COLUMN()-2 )</f>
        <v>-436.22389651839899</v>
      </c>
      <c r="M65" s="2" cm="1">
        <f t="array" ref="M65">INDEX( ComputeThermoProps($A65, $B65, ParametersRange), 1, COLUMN()-2 )</f>
        <v>2348.6267571461194</v>
      </c>
      <c r="N65" s="2" cm="1">
        <f t="array" ref="N65">INDEX( ComputeThermoProps($A65, $B65, ParametersRange), 1, COLUMN()-2 )</f>
        <v>1340.0897216835167</v>
      </c>
      <c r="P65">
        <f t="shared" si="1"/>
        <v>792.19744646900699</v>
      </c>
    </row>
    <row r="66" spans="1:16" x14ac:dyDescent="0.25">
      <c r="A66" s="2">
        <v>43.1</v>
      </c>
      <c r="B66" s="2">
        <f t="shared" si="0"/>
        <v>146.0820213313919</v>
      </c>
      <c r="C66" s="2" cm="1">
        <f t="array" ref="C66">INDEX( ComputeThermoProps($A66, $B66, ParametersRange), 1, COLUMN()-2 )</f>
        <v>12.904598487921113</v>
      </c>
      <c r="D66" s="2" cm="1">
        <f t="array" ref="D66">INDEX( ComputeThermoProps($A66, $B66, ParametersRange), 1, COLUMN()-2 )</f>
        <v>9.6565559632910724E-4</v>
      </c>
      <c r="E66" s="2" cm="1">
        <f t="array" ref="E66">INDEX( ComputeThermoProps($A66, $B66, ParametersRange), 1, COLUMN()-2 )</f>
        <v>6.8906755685019879E-4</v>
      </c>
      <c r="F66" s="2" cm="1">
        <f t="array" ref="F66">INDEX( ComputeThermoProps($A66, $B66, ParametersRange), 1, COLUMN()-2 )</f>
        <v>3.9413032886199111E-3</v>
      </c>
      <c r="G66" s="2" cm="1">
        <f t="array" ref="G66">INDEX( ComputeThermoProps($A66, $B66, ParametersRange), 1, COLUMN()-2 )</f>
        <v>31.236911138168104</v>
      </c>
      <c r="H66" s="2" cm="1">
        <f t="array" ref="H66">INDEX( ComputeThermoProps($A66, $B66, ParametersRange), 1, COLUMN()-2 )</f>
        <v>22.289874488739045</v>
      </c>
      <c r="I66" s="2" cm="1">
        <f t="array" ref="I66">INDEX( ComputeThermoProps($A66, $B66, ParametersRange), 1, COLUMN()-2 )</f>
        <v>2.3629496483861523</v>
      </c>
      <c r="J66" s="2" cm="1">
        <f t="array" ref="J66">INDEX( ComputeThermoProps($A66, $B66, ParametersRange), 1, COLUMN()-2 )</f>
        <v>592.51712951122568</v>
      </c>
      <c r="K66" s="2" cm="1">
        <f t="array" ref="K66">INDEX( ComputeThermoProps($A66, $B66, ParametersRange), 1, COLUMN()-2 )</f>
        <v>24.217422423702015</v>
      </c>
      <c r="L66" s="2" cm="1">
        <f t="array" ref="L66">INDEX( ComputeThermoProps($A66, $B66, ParametersRange), 1, COLUMN()-2 )</f>
        <v>-451.2537769503312</v>
      </c>
      <c r="M66" s="2" cm="1">
        <f t="array" ref="M66">INDEX( ComputeThermoProps($A66, $B66, ParametersRange), 1, COLUMN()-2 )</f>
        <v>2477.6469610967656</v>
      </c>
      <c r="N66" s="2" cm="1">
        <f t="array" ref="N66">INDEX( ComputeThermoProps($A66, $B66, ParametersRange), 1, COLUMN()-2 )</f>
        <v>1433.8760546352087</v>
      </c>
      <c r="P66">
        <f t="shared" si="1"/>
        <v>921.21765041965318</v>
      </c>
    </row>
    <row r="67" spans="1:16" x14ac:dyDescent="0.25">
      <c r="A67" s="2">
        <v>44.1</v>
      </c>
      <c r="B67" s="2">
        <f t="shared" si="0"/>
        <v>155.35637211373628</v>
      </c>
      <c r="C67" s="2" cm="1">
        <f t="array" ref="C67">INDEX( ComputeThermoProps($A67, $B67, ParametersRange), 1, COLUMN()-2 )</f>
        <v>12.841260402446951</v>
      </c>
      <c r="D67" s="2" cm="1">
        <f t="array" ref="D67">INDEX( ComputeThermoProps($A67, $B67, ParametersRange), 1, COLUMN()-2 )</f>
        <v>9.3134279035501932E-4</v>
      </c>
      <c r="E67" s="2" cm="1">
        <f t="array" ref="E67">INDEX( ComputeThermoProps($A67, $B67, ParametersRange), 1, COLUMN()-2 )</f>
        <v>6.6756060163658201E-4</v>
      </c>
      <c r="F67" s="2" cm="1">
        <f t="array" ref="F67">INDEX( ComputeThermoProps($A67, $B67, ParametersRange), 1, COLUMN()-2 )</f>
        <v>3.8106455702678018E-3</v>
      </c>
      <c r="G67" s="2" cm="1">
        <f t="array" ref="G67">INDEX( ComputeThermoProps($A67, $B67, ParametersRange), 1, COLUMN()-2 )</f>
        <v>31.174384556637154</v>
      </c>
      <c r="H67" s="2" cm="1">
        <f t="array" ref="H67">INDEX( ComputeThermoProps($A67, $B67, ParametersRange), 1, COLUMN()-2 )</f>
        <v>22.344931560962625</v>
      </c>
      <c r="I67" s="2" cm="1">
        <f t="array" ref="I67">INDEX( ComputeThermoProps($A67, $B67, ParametersRange), 1, COLUMN()-2 )</f>
        <v>2.3513518674136775</v>
      </c>
      <c r="J67" s="2" cm="1">
        <f t="array" ref="J67">INDEX( ComputeThermoProps($A67, $B67, ParametersRange), 1, COLUMN()-2 )</f>
        <v>613.09462400727261</v>
      </c>
      <c r="K67" s="2" cm="1">
        <f t="array" ref="K67">INDEX( ComputeThermoProps($A67, $B67, ParametersRange), 1, COLUMN()-2 )</f>
        <v>24.470478193827571</v>
      </c>
      <c r="L67" s="2" cm="1">
        <f t="array" ref="L67">INDEX( ComputeThermoProps($A67, $B67, ParametersRange), 1, COLUMN()-2 )</f>
        <v>-466.05346434052331</v>
      </c>
      <c r="M67" s="2" cm="1">
        <f t="array" ref="M67">INDEX( ComputeThermoProps($A67, $B67, ParametersRange), 1, COLUMN()-2 )</f>
        <v>2608.066253499208</v>
      </c>
      <c r="N67" s="2" cm="1">
        <f t="array" ref="N67">INDEX( ComputeThermoProps($A67, $B67, ParametersRange), 1, COLUMN()-2 )</f>
        <v>1528.918165151412</v>
      </c>
      <c r="P67">
        <f t="shared" si="1"/>
        <v>1051.6369428220955</v>
      </c>
    </row>
    <row r="68" spans="1:16" x14ac:dyDescent="0.25">
      <c r="A68" s="2">
        <v>45.1</v>
      </c>
      <c r="B68" s="2">
        <f t="shared" si="0"/>
        <v>164.78846823158216</v>
      </c>
      <c r="C68" s="2" cm="1">
        <f t="array" ref="C68">INDEX( ComputeThermoProps($A68, $B68, ParametersRange), 1, COLUMN()-2 )</f>
        <v>12.778781432233796</v>
      </c>
      <c r="D68" s="2" cm="1">
        <f t="array" ref="D68">INDEX( ComputeThermoProps($A68, $B68, ParametersRange), 1, COLUMN()-2 )</f>
        <v>8.9704617138019159E-4</v>
      </c>
      <c r="E68" s="2" cm="1">
        <f t="array" ref="E68">INDEX( ComputeThermoProps($A68, $B68, ParametersRange), 1, COLUMN()-2 )</f>
        <v>6.461770846284483E-4</v>
      </c>
      <c r="F68" s="2" cm="1">
        <f t="array" ref="F68">INDEX( ComputeThermoProps($A68, $B68, ParametersRange), 1, COLUMN()-2 )</f>
        <v>3.6789140485078459E-3</v>
      </c>
      <c r="G68" s="2" cm="1">
        <f t="array" ref="G68">INDEX( ComputeThermoProps($A68, $B68, ParametersRange), 1, COLUMN()-2 )</f>
        <v>31.092677186344133</v>
      </c>
      <c r="H68" s="2" cm="1">
        <f t="array" ref="H68">INDEX( ComputeThermoProps($A68, $B68, ParametersRange), 1, COLUMN()-2 )</f>
        <v>22.39725906934401</v>
      </c>
      <c r="I68" s="2" cm="1">
        <f t="array" ref="I68">INDEX( ComputeThermoProps($A68, $B68, ParametersRange), 1, COLUMN()-2 )</f>
        <v>2.3399113982789812</v>
      </c>
      <c r="J68" s="2" cm="1">
        <f t="array" ref="J68">INDEX( ComputeThermoProps($A68, $B68, ParametersRange), 1, COLUMN()-2 )</f>
        <v>634.05100124142984</v>
      </c>
      <c r="K68" s="2" cm="1">
        <f t="array" ref="K68">INDEX( ComputeThermoProps($A68, $B68, ParametersRange), 1, COLUMN()-2 )</f>
        <v>24.716156006781567</v>
      </c>
      <c r="L68" s="2" cm="1">
        <f t="array" ref="L68">INDEX( ComputeThermoProps($A68, $B68, ParametersRange), 1, COLUMN()-2 )</f>
        <v>-480.64763466441889</v>
      </c>
      <c r="M68" s="2" cm="1">
        <f t="array" ref="M68">INDEX( ComputeThermoProps($A68, $B68, ParametersRange), 1, COLUMN()-2 )</f>
        <v>2739.8468193254207</v>
      </c>
      <c r="N68" s="2" cm="1">
        <f t="array" ref="N68">INDEX( ComputeThermoProps($A68, $B68, ParametersRange), 1, COLUMN()-2 )</f>
        <v>1625.148183419572</v>
      </c>
      <c r="P68">
        <f t="shared" si="1"/>
        <v>1183.4175086483083</v>
      </c>
    </row>
    <row r="69" spans="1:16" x14ac:dyDescent="0.25">
      <c r="A69" s="2">
        <v>46.1</v>
      </c>
      <c r="B69" s="2">
        <f t="shared" si="0"/>
        <v>174.37378678181665</v>
      </c>
      <c r="C69" s="2" cm="1">
        <f t="array" ref="C69">INDEX( ComputeThermoProps($A69, $B69, ParametersRange), 1, COLUMN()-2 )</f>
        <v>12.717312159769904</v>
      </c>
      <c r="D69" s="2" cm="1">
        <f t="array" ref="D69">INDEX( ComputeThermoProps($A69, $B69, ParametersRange), 1, COLUMN()-2 )</f>
        <v>8.6313548440830829E-4</v>
      </c>
      <c r="E69" s="2" cm="1">
        <f t="array" ref="E69">INDEX( ComputeThermoProps($A69, $B69, ParametersRange), 1, COLUMN()-2 )</f>
        <v>6.250741505511824E-4</v>
      </c>
      <c r="F69" s="2" cm="1">
        <f t="array" ref="F69">INDEX( ComputeThermoProps($A69, $B69, ParametersRange), 1, COLUMN()-2 )</f>
        <v>3.5477343692638273E-3</v>
      </c>
      <c r="G69" s="2" cm="1">
        <f t="array" ref="G69">INDEX( ComputeThermoProps($A69, $B69, ParametersRange), 1, COLUMN()-2 )</f>
        <v>30.996280687066815</v>
      </c>
      <c r="H69" s="2" cm="1">
        <f t="array" ref="H69">INDEX( ComputeThermoProps($A69, $B69, ParametersRange), 1, COLUMN()-2 )</f>
        <v>22.447198812589811</v>
      </c>
      <c r="I69" s="2" cm="1">
        <f t="array" ref="I69">INDEX( ComputeThermoProps($A69, $B69, ParametersRange), 1, COLUMN()-2 )</f>
        <v>2.328655814008687</v>
      </c>
      <c r="J69" s="2" cm="1">
        <f t="array" ref="J69">INDEX( ComputeThermoProps($A69, $B69, ParametersRange), 1, COLUMN()-2 )</f>
        <v>655.38776284530434</v>
      </c>
      <c r="K69" s="2" cm="1">
        <f t="array" ref="K69">INDEX( ComputeThermoProps($A69, $B69, ParametersRange), 1, COLUMN()-2 )</f>
        <v>24.95551446280912</v>
      </c>
      <c r="L69" s="2" cm="1">
        <f t="array" ref="L69">INDEX( ComputeThermoProps($A69, $B69, ParametersRange), 1, COLUMN()-2 )</f>
        <v>-495.06145389019611</v>
      </c>
      <c r="M69" s="2" cm="1">
        <f t="array" ref="M69">INDEX( ComputeThermoProps($A69, $B69, ParametersRange), 1, COLUMN()-2 )</f>
        <v>2872.9536418308257</v>
      </c>
      <c r="N69" s="2" cm="1">
        <f t="array" ref="N69">INDEX( ComputeThermoProps($A69, $B69, ParametersRange), 1, COLUMN()-2 )</f>
        <v>1722.5044250953254</v>
      </c>
      <c r="P69">
        <f t="shared" si="1"/>
        <v>1316.5243311537133</v>
      </c>
    </row>
    <row r="70" spans="1:16" x14ac:dyDescent="0.25">
      <c r="A70" s="2">
        <v>47.1</v>
      </c>
      <c r="B70" s="2">
        <f t="shared" si="0"/>
        <v>184.1081146259485</v>
      </c>
      <c r="C70" s="2" cm="1">
        <f t="array" ref="C70">INDEX( ComputeThermoProps($A70, $B70, ParametersRange), 1, COLUMN()-2 )</f>
        <v>12.65696735416201</v>
      </c>
      <c r="D70" s="2" cm="1">
        <f t="array" ref="D70">INDEX( ComputeThermoProps($A70, $B70, ParametersRange), 1, COLUMN()-2 )</f>
        <v>8.2991127734776727E-4</v>
      </c>
      <c r="E70" s="2" cm="1">
        <f t="array" ref="E70">INDEX( ComputeThermoProps($A70, $B70, ParametersRange), 1, COLUMN()-2 )</f>
        <v>6.0438297481531526E-4</v>
      </c>
      <c r="F70" s="2" cm="1">
        <f t="array" ref="F70">INDEX( ComputeThermoProps($A70, $B70, ParametersRange), 1, COLUMN()-2 )</f>
        <v>3.4184425940212921E-3</v>
      </c>
      <c r="G70" s="2" cm="1">
        <f t="array" ref="G70">INDEX( ComputeThermoProps($A70, $B70, ParametersRange), 1, COLUMN()-2 )</f>
        <v>30.889160001794124</v>
      </c>
      <c r="H70" s="2" cm="1">
        <f t="array" ref="H70">INDEX( ComputeThermoProps($A70, $B70, ParametersRange), 1, COLUMN()-2 )</f>
        <v>22.495034012662952</v>
      </c>
      <c r="I70" s="2" cm="1">
        <f t="array" ref="I70">INDEX( ComputeThermoProps($A70, $B70, ParametersRange), 1, COLUMN()-2 )</f>
        <v>2.3176061298727131</v>
      </c>
      <c r="J70" s="2" cm="1">
        <f t="array" ref="J70">INDEX( ComputeThermoProps($A70, $B70, ParametersRange), 1, COLUMN()-2 )</f>
        <v>677.10320637163113</v>
      </c>
      <c r="K70" s="2" cm="1">
        <f t="array" ref="K70">INDEX( ComputeThermoProps($A70, $B70, ParametersRange), 1, COLUMN()-2 )</f>
        <v>25.189445457850095</v>
      </c>
      <c r="L70" s="2" cm="1">
        <f t="array" ref="L70">INDEX( ComputeThermoProps($A70, $B70, ParametersRange), 1, COLUMN()-2 )</f>
        <v>-509.31967469310837</v>
      </c>
      <c r="M70" s="2" cm="1">
        <f t="array" ref="M70">INDEX( ComputeThermoProps($A70, $B70, ParametersRange), 1, COLUMN()-2 )</f>
        <v>3007.3536028285785</v>
      </c>
      <c r="N70" s="2" cm="1">
        <f t="array" ref="N70">INDEX( ComputeThermoProps($A70, $B70, ParametersRange), 1, COLUMN()-2 )</f>
        <v>1820.9307217638388</v>
      </c>
      <c r="P70">
        <f t="shared" si="1"/>
        <v>1450.924292151466</v>
      </c>
    </row>
    <row r="71" spans="1:16" x14ac:dyDescent="0.25">
      <c r="A71" s="2">
        <v>48.1</v>
      </c>
      <c r="B71" s="2">
        <f t="shared" si="0"/>
        <v>193.98751639330558</v>
      </c>
      <c r="C71" s="2" cm="1">
        <f t="array" ref="C71">INDEX( ComputeThermoProps($A71, $B71, ParametersRange), 1, COLUMN()-2 )</f>
        <v>12.597830260097313</v>
      </c>
      <c r="D71" s="2" cm="1">
        <f t="array" ref="D71">INDEX( ComputeThermoProps($A71, $B71, ParametersRange), 1, COLUMN()-2 )</f>
        <v>7.9760681035744984E-4</v>
      </c>
      <c r="E71" s="2" cm="1">
        <f t="array" ref="E71">INDEX( ComputeThermoProps($A71, $B71, ParametersRange), 1, COLUMN()-2 )</f>
        <v>5.8420861952152784E-4</v>
      </c>
      <c r="F71" s="2" cm="1">
        <f t="array" ref="F71">INDEX( ComputeThermoProps($A71, $B71, ParametersRange), 1, COLUMN()-2 )</f>
        <v>3.2920920733506068E-3</v>
      </c>
      <c r="G71" s="2" cm="1">
        <f t="array" ref="G71">INDEX( ComputeThermoProps($A71, $B71, ParametersRange), 1, COLUMN()-2 )</f>
        <v>30.774715149478975</v>
      </c>
      <c r="H71" s="2" cm="1">
        <f t="array" ref="H71">INDEX( ComputeThermoProps($A71, $B71, ParametersRange), 1, COLUMN()-2 )</f>
        <v>22.540998422002048</v>
      </c>
      <c r="I71" s="2" cm="1">
        <f t="array" ref="I71">INDEX( ComputeThermoProps($A71, $B71, ParametersRange), 1, COLUMN()-2 )</f>
        <v>2.306777588732317</v>
      </c>
      <c r="J71" s="2" cm="1">
        <f t="array" ref="J71">INDEX( ComputeThermoProps($A71, $B71, ParametersRange), 1, COLUMN()-2 )</f>
        <v>699.19307789984805</v>
      </c>
      <c r="K71" s="2" cm="1">
        <f t="array" ref="K71">INDEX( ComputeThermoProps($A71, $B71, ParametersRange), 1, COLUMN()-2 )</f>
        <v>25.4186915361289</v>
      </c>
      <c r="L71" s="2" cm="1">
        <f t="array" ref="L71">INDEX( ComputeThermoProps($A71, $B71, ParametersRange), 1, COLUMN()-2 )</f>
        <v>-523.4459849879521</v>
      </c>
      <c r="M71" s="2" cm="1">
        <f t="array" ref="M71">INDEX( ComputeThermoProps($A71, $B71, ParametersRange), 1, COLUMN()-2 )</f>
        <v>3143.0148820005566</v>
      </c>
      <c r="N71" s="2" cm="1">
        <f t="array" ref="N71">INDEX( ComputeThermoProps($A71, $B71, ParametersRange), 1, COLUMN()-2 )</f>
        <v>1920.3758191127565</v>
      </c>
      <c r="P71">
        <f t="shared" si="1"/>
        <v>1586.5855713234441</v>
      </c>
    </row>
    <row r="72" spans="1:16" x14ac:dyDescent="0.25">
      <c r="A72" s="2">
        <v>49.1</v>
      </c>
      <c r="B72" s="2">
        <f t="shared" si="0"/>
        <v>204.00830674947045</v>
      </c>
      <c r="C72" s="2" cm="1">
        <f t="array" ref="C72">INDEX( ComputeThermoProps($A72, $B72, ParametersRange), 1, COLUMN()-2 )</f>
        <v>12.539957101346186</v>
      </c>
      <c r="D72" s="2" cm="1">
        <f t="array" ref="D72">INDEX( ComputeThermoProps($A72, $B72, ParametersRange), 1, COLUMN()-2 )</f>
        <v>7.6639372828474597E-4</v>
      </c>
      <c r="E72" s="2" cm="1">
        <f t="array" ref="E72">INDEX( ComputeThermoProps($A72, $B72, ParametersRange), 1, COLUMN()-2 )</f>
        <v>5.6463142093993895E-4</v>
      </c>
      <c r="F72" s="2" cm="1">
        <f t="array" ref="F72">INDEX( ComputeThermoProps($A72, $B72, ParametersRange), 1, COLUMN()-2 )</f>
        <v>3.1694760881577706E-3</v>
      </c>
      <c r="G72" s="2" cm="1">
        <f t="array" ref="G72">INDEX( ComputeThermoProps($A72, $B72, ParametersRange), 1, COLUMN()-2 )</f>
        <v>30.655786749620166</v>
      </c>
      <c r="H72" s="2" cm="1">
        <f t="array" ref="H72">INDEX( ComputeThermoProps($A72, $B72, ParametersRange), 1, COLUMN()-2 )</f>
        <v>22.585284552379214</v>
      </c>
      <c r="I72" s="2" cm="1">
        <f t="array" ref="I72">INDEX( ComputeThermoProps($A72, $B72, ParametersRange), 1, COLUMN()-2 )</f>
        <v>2.2961804856725077</v>
      </c>
      <c r="J72" s="2" cm="1">
        <f t="array" ref="J72">INDEX( ComputeThermoProps($A72, $B72, ParametersRange), 1, COLUMN()-2 )</f>
        <v>721.65116955602514</v>
      </c>
      <c r="K72" s="2" cm="1">
        <f t="array" ref="K72">INDEX( ComputeThermoProps($A72, $B72, ParametersRange), 1, COLUMN()-2 )</f>
        <v>25.643864478308164</v>
      </c>
      <c r="L72" s="2" cm="1">
        <f t="array" ref="L72">INDEX( ComputeThermoProps($A72, $B72, ParametersRange), 1, COLUMN()-2 )</f>
        <v>-537.4625763289057</v>
      </c>
      <c r="M72" s="2" cm="1">
        <f t="array" ref="M72">INDEX( ComputeThermoProps($A72, $B72, ParametersRange), 1, COLUMN()-2 )</f>
        <v>3279.9065845126584</v>
      </c>
      <c r="N72" s="2" cm="1">
        <f t="array" ref="N72">INDEX( ComputeThermoProps($A72, $B72, ParametersRange), 1, COLUMN()-2 )</f>
        <v>2020.7928386277274</v>
      </c>
      <c r="P72">
        <f t="shared" si="1"/>
        <v>1723.4772738355459</v>
      </c>
    </row>
    <row r="73" spans="1:16" x14ac:dyDescent="0.25">
      <c r="A73" s="2">
        <v>50.1</v>
      </c>
      <c r="B73" s="2">
        <f t="shared" si="0"/>
        <v>214.16702625478231</v>
      </c>
      <c r="C73" s="2" cm="1">
        <f t="array" ref="C73">INDEX( ComputeThermoProps($A73, $B73, ParametersRange), 1, COLUMN()-2 )</f>
        <v>12.483381486125545</v>
      </c>
      <c r="D73" s="2" cm="1">
        <f t="array" ref="D73">INDEX( ComputeThermoProps($A73, $B73, ParametersRange), 1, COLUMN()-2 )</f>
        <v>7.3638984317850981E-4</v>
      </c>
      <c r="E73" s="2" cm="1">
        <f t="array" ref="E73">INDEX( ComputeThermoProps($A73, $B73, ParametersRange), 1, COLUMN()-2 )</f>
        <v>5.4570935795111093E-4</v>
      </c>
      <c r="F73" s="2" cm="1">
        <f t="array" ref="F73">INDEX( ComputeThermoProps($A73, $B73, ParametersRange), 1, COLUMN()-2 )</f>
        <v>3.0511594772785261E-3</v>
      </c>
      <c r="G73" s="2" cm="1">
        <f t="array" ref="G73">INDEX( ComputeThermoProps($A73, $B73, ParametersRange), 1, COLUMN()-2 )</f>
        <v>30.534691437487151</v>
      </c>
      <c r="H73" s="2" cm="1">
        <f t="array" ref="H73">INDEX( ComputeThermoProps($A73, $B73, ParametersRange), 1, COLUMN()-2 )</f>
        <v>22.628050908012145</v>
      </c>
      <c r="I73" s="2" cm="1">
        <f t="array" ref="I73">INDEX( ComputeThermoProps($A73, $B73, ParametersRange), 1, COLUMN()-2 )</f>
        <v>2.2858209746642437</v>
      </c>
      <c r="J73" s="2" cm="1">
        <f t="array" ref="J73">INDEX( ComputeThermoProps($A73, $B73, ParametersRange), 1, COLUMN()-2 )</f>
        <v>744.469842648964</v>
      </c>
      <c r="K73" s="2" cm="1">
        <f t="array" ref="K73">INDEX( ComputeThermoProps($A73, $B73, ParametersRange), 1, COLUMN()-2 )</f>
        <v>25.865463766936735</v>
      </c>
      <c r="L73" s="2" cm="1">
        <f t="array" ref="L73">INDEX( ComputeThermoProps($A73, $B73, ParametersRange), 1, COLUMN()-2 )</f>
        <v>-551.38989207456643</v>
      </c>
      <c r="M73" s="2" cm="1">
        <f t="array" ref="M73">INDEX( ComputeThermoProps($A73, $B73, ParametersRange), 1, COLUMN()-2 )</f>
        <v>3417.9985331364769</v>
      </c>
      <c r="N73" s="2" cm="1">
        <f t="array" ref="N73">INDEX( ComputeThermoProps($A73, $B73, ParametersRange), 1, COLUMN()-2 )</f>
        <v>2122.1387984129465</v>
      </c>
      <c r="P73">
        <f t="shared" si="1"/>
        <v>1861.5692224593645</v>
      </c>
    </row>
    <row r="74" spans="1:16" x14ac:dyDescent="0.25">
      <c r="A74" s="2">
        <v>51.1</v>
      </c>
      <c r="B74" s="2">
        <f t="shared" si="0"/>
        <v>224.46042025753471</v>
      </c>
      <c r="C74" s="2" cm="1">
        <f t="array" ref="C74">INDEX( ComputeThermoProps($A74, $B74, ParametersRange), 1, COLUMN()-2 )</f>
        <v>12.42811850549189</v>
      </c>
      <c r="D74" s="2" cm="1">
        <f t="array" ref="D74">INDEX( ComputeThermoProps($A74, $B74, ParametersRange), 1, COLUMN()-2 )</f>
        <v>7.0766772730671468E-4</v>
      </c>
      <c r="E74" s="2" cm="1">
        <f t="array" ref="E74">INDEX( ComputeThermoProps($A74, $B74, ParametersRange), 1, COLUMN()-2 )</f>
        <v>5.2748093570762042E-4</v>
      </c>
      <c r="F74" s="2" cm="1">
        <f t="array" ref="F74">INDEX( ComputeThermoProps($A74, $B74, ParametersRange), 1, COLUMN()-2 )</f>
        <v>2.9375138816718446E-3</v>
      </c>
      <c r="G74" s="2" cm="1">
        <f t="array" ref="G74">INDEX( ComputeThermoProps($A74, $B74, ParametersRange), 1, COLUMN()-2 )</f>
        <v>30.413274990082233</v>
      </c>
      <c r="H74" s="2" cm="1">
        <f t="array" ref="H74">INDEX( ComputeThermoProps($A74, $B74, ParametersRange), 1, COLUMN()-2 )</f>
        <v>22.669428222701331</v>
      </c>
      <c r="I74" s="2" cm="1">
        <f t="array" ref="I74">INDEX( ComputeThermoProps($A74, $B74, ParametersRange), 1, COLUMN()-2 )</f>
        <v>2.2757018190175731</v>
      </c>
      <c r="J74" s="2" cm="1">
        <f t="array" ref="J74">INDEX( ComputeThermoProps($A74, $B74, ParametersRange), 1, COLUMN()-2 )</f>
        <v>767.64046919289024</v>
      </c>
      <c r="K74" s="2" cm="1">
        <f t="array" ref="K74">INDEX( ComputeThermoProps($A74, $B74, ParametersRange), 1, COLUMN()-2 )</f>
        <v>26.083894001770144</v>
      </c>
      <c r="L74" s="2" cm="1">
        <f t="array" ref="L74">INDEX( ComputeThermoProps($A74, $B74, ParametersRange), 1, COLUMN()-2 )</f>
        <v>-565.2465142975642</v>
      </c>
      <c r="M74" s="2" cm="1">
        <f t="array" ref="M74">INDEX( ComputeThermoProps($A74, $B74, ParametersRange), 1, COLUMN()-2 )</f>
        <v>3557.2611719460438</v>
      </c>
      <c r="N74" s="2" cm="1">
        <f t="array" ref="N74">INDEX( ComputeThermoProps($A74, $B74, ParametersRange), 1, COLUMN()-2 )</f>
        <v>2224.3741884555893</v>
      </c>
      <c r="P74">
        <f t="shared" si="1"/>
        <v>2000.8318612689313</v>
      </c>
    </row>
    <row r="75" spans="1:16" x14ac:dyDescent="0.25">
      <c r="A75" s="2">
        <v>52.1</v>
      </c>
      <c r="B75" s="2">
        <f t="shared" si="0"/>
        <v>234.88542036369782</v>
      </c>
      <c r="C75" s="2" cm="1">
        <f t="array" ref="C75">INDEX( ComputeThermoProps($A75, $B75, ParametersRange), 1, COLUMN()-2 )</f>
        <v>12.374168405037402</v>
      </c>
      <c r="D75" s="2" cm="1">
        <f t="array" ref="D75">INDEX( ComputeThermoProps($A75, $B75, ParametersRange), 1, COLUMN()-2 )</f>
        <v>6.8026320469823109E-4</v>
      </c>
      <c r="E75" s="2" cm="1">
        <f t="array" ref="E75">INDEX( ComputeThermoProps($A75, $B75, ParametersRange), 1, COLUMN()-2 )</f>
        <v>5.0996822930245015E-4</v>
      </c>
      <c r="F75" s="2" cm="1">
        <f t="array" ref="F75">INDEX( ComputeThermoProps($A75, $B75, ParametersRange), 1, COLUMN()-2 )</f>
        <v>2.8287528013377023E-3</v>
      </c>
      <c r="G75" s="2" cm="1">
        <f t="array" ref="G75">INDEX( ComputeThermoProps($A75, $B75, ParametersRange), 1, COLUMN()-2 )</f>
        <v>30.292973535577158</v>
      </c>
      <c r="H75" s="2" cm="1">
        <f t="array" ref="H75">INDEX( ComputeThermoProps($A75, $B75, ParametersRange), 1, COLUMN()-2 )</f>
        <v>22.709524736233963</v>
      </c>
      <c r="I75" s="2" cm="1">
        <f t="array" ref="I75">INDEX( ComputeThermoProps($A75, $B75, ParametersRange), 1, COLUMN()-2 )</f>
        <v>2.2658230637026633</v>
      </c>
      <c r="J75" s="2" cm="1">
        <f t="array" ref="J75">INDEX( ComputeThermoProps($A75, $B75, ParametersRange), 1, COLUMN()-2 )</f>
        <v>791.15379305479587</v>
      </c>
      <c r="K75" s="2" cm="1">
        <f t="array" ref="K75">INDEX( ComputeThermoProps($A75, $B75, ParametersRange), 1, COLUMN()-2 )</f>
        <v>26.299480711452002</v>
      </c>
      <c r="L75" s="2" cm="1">
        <f t="array" ref="L75">INDEX( ComputeThermoProps($A75, $B75, ParametersRange), 1, COLUMN()-2 )</f>
        <v>-579.04915201185349</v>
      </c>
      <c r="M75" s="2" cm="1">
        <f t="array" ref="M75">INDEX( ComputeThermoProps($A75, $B75, ParametersRange), 1, COLUMN()-2 )</f>
        <v>3697.6655405231941</v>
      </c>
      <c r="N75" s="2" cm="1">
        <f t="array" ref="N75">INDEX( ComputeThermoProps($A75, $B75, ParametersRange), 1, COLUMN()-2 )</f>
        <v>2327.4625954565449</v>
      </c>
      <c r="P75">
        <f t="shared" si="1"/>
        <v>2141.2362298460816</v>
      </c>
    </row>
    <row r="76" spans="1:16" x14ac:dyDescent="0.25">
      <c r="A76" s="2">
        <v>53.1</v>
      </c>
      <c r="B76" s="2">
        <f t="shared" si="0"/>
        <v>245.43912810381755</v>
      </c>
      <c r="C76" s="2" cm="1">
        <f t="array" ref="C76">INDEX( ComputeThermoProps($A76, $B76, ParametersRange), 1, COLUMN()-2 )</f>
        <v>12.321519778816512</v>
      </c>
      <c r="D76" s="2" cm="1">
        <f t="array" ref="D76">INDEX( ComputeThermoProps($A76, $B76, ParametersRange), 1, COLUMN()-2 )</f>
        <v>6.5418317538088909E-4</v>
      </c>
      <c r="E76" s="2" cm="1">
        <f t="array" ref="E76">INDEX( ComputeThermoProps($A76, $B76, ParametersRange), 1, COLUMN()-2 )</f>
        <v>4.9317984171812624E-4</v>
      </c>
      <c r="F76" s="2" cm="1">
        <f t="array" ref="F76">INDEX( ComputeThermoProps($A76, $B76, ParametersRange), 1, COLUMN()-2 )</f>
        <v>2.7249640747057462E-3</v>
      </c>
      <c r="G76" s="2" cm="1">
        <f t="array" ref="G76">INDEX( ComputeThermoProps($A76, $B76, ParametersRange), 1, COLUMN()-2 )</f>
        <v>30.174875937250089</v>
      </c>
      <c r="H76" s="2" cm="1">
        <f t="array" ref="H76">INDEX( ComputeThermoProps($A76, $B76, ParametersRange), 1, COLUMN()-2 )</f>
        <v>22.748430559884799</v>
      </c>
      <c r="I76" s="2" cm="1">
        <f t="array" ref="I76">INDEX( ComputeThermoProps($A76, $B76, ParametersRange), 1, COLUMN()-2 )</f>
        <v>2.2561826201868804</v>
      </c>
      <c r="J76" s="2" cm="1">
        <f t="array" ref="J76">INDEX( ComputeThermoProps($A76, $B76, ParametersRange), 1, COLUMN()-2 )</f>
        <v>815.00021719469009</v>
      </c>
      <c r="K76" s="2" cm="1">
        <f t="array" ref="K76">INDEX( ComputeThermoProps($A76, $B76, ParametersRange), 1, COLUMN()-2 )</f>
        <v>26.512484299731447</v>
      </c>
      <c r="L76" s="2" cm="1">
        <f t="array" ref="L76">INDEX( ComputeThermoProps($A76, $B76, ParametersRange), 1, COLUMN()-2 )</f>
        <v>-592.81269912104983</v>
      </c>
      <c r="M76" s="2" cm="1">
        <f t="array" ref="M76">INDEX( ComputeThermoProps($A76, $B76, ParametersRange), 1, COLUMN()-2 )</f>
        <v>3839.1832886213579</v>
      </c>
      <c r="N76" s="2" cm="1">
        <f t="array" ref="N76">INDEX( ComputeThermoProps($A76, $B76, ParametersRange), 1, COLUMN()-2 )</f>
        <v>2431.3703723056178</v>
      </c>
      <c r="P76">
        <f t="shared" si="1"/>
        <v>2282.7539779442454</v>
      </c>
    </row>
    <row r="77" spans="1:16" x14ac:dyDescent="0.25">
      <c r="A77" s="2">
        <v>54.1</v>
      </c>
      <c r="B77" s="2">
        <f t="shared" si="0"/>
        <v>256.11880048174714</v>
      </c>
      <c r="C77" s="2" cm="1">
        <f t="array" ref="C77">INDEX( ComputeThermoProps($A77, $B77, ParametersRange), 1, COLUMN()-2 )</f>
        <v>12.270152282558106</v>
      </c>
      <c r="D77" s="2" cm="1">
        <f t="array" ref="D77">INDEX( ComputeThermoProps($A77, $B77, ParametersRange), 1, COLUMN()-2 )</f>
        <v>6.2941247902103333E-4</v>
      </c>
      <c r="E77" s="2" cm="1">
        <f t="array" ref="E77">INDEX( ComputeThermoProps($A77, $B77, ParametersRange), 1, COLUMN()-2 )</f>
        <v>4.7711362408744094E-4</v>
      </c>
      <c r="F77" s="2" cm="1">
        <f t="array" ref="F77">INDEX( ComputeThermoProps($A77, $B77, ParametersRange), 1, COLUMN()-2 )</f>
        <v>2.6261385277957178E-3</v>
      </c>
      <c r="G77" s="2" cm="1">
        <f t="array" ref="G77">INDEX( ComputeThermoProps($A77, $B77, ParametersRange), 1, COLUMN()-2 )</f>
        <v>30.059783073781453</v>
      </c>
      <c r="H77" s="2" cm="1">
        <f t="array" ref="H77">INDEX( ComputeThermoProps($A77, $B77, ParametersRange), 1, COLUMN()-2 )</f>
        <v>22.786221308991419</v>
      </c>
      <c r="I77" s="2" cm="1">
        <f t="array" ref="I77">INDEX( ComputeThermoProps($A77, $B77, ParametersRange), 1, COLUMN()-2 )</f>
        <v>2.2467767632456095</v>
      </c>
      <c r="J77" s="2" cm="1">
        <f t="array" ref="J77">INDEX( ComputeThermoProps($A77, $B77, ParametersRange), 1, COLUMN()-2 )</f>
        <v>839.17002615481283</v>
      </c>
      <c r="K77" s="2" cm="1">
        <f t="array" ref="K77">INDEX( ComputeThermoProps($A77, $B77, ParametersRange), 1, COLUMN()-2 )</f>
        <v>26.723112072022523</v>
      </c>
      <c r="L77" s="2" cm="1">
        <f t="array" ref="L77">INDEX( ComputeThermoProps($A77, $B77, ParametersRange), 1, COLUMN()-2 )</f>
        <v>-606.55033694160568</v>
      </c>
      <c r="M77" s="2" cm="1">
        <f t="array" ref="M77">INDEX( ComputeThermoProps($A77, $B77, ParametersRange), 1, COLUMN()-2 )</f>
        <v>3981.7867104919669</v>
      </c>
      <c r="N77" s="2" cm="1">
        <f t="array" ref="N77">INDEX( ComputeThermoProps($A77, $B77, ParametersRange), 1, COLUMN()-2 )</f>
        <v>2536.0663473955483</v>
      </c>
      <c r="P77">
        <f t="shared" si="1"/>
        <v>2425.3573998148545</v>
      </c>
    </row>
    <row r="78" spans="1:16" x14ac:dyDescent="0.25">
      <c r="A78" s="2">
        <v>55.1</v>
      </c>
      <c r="B78" s="2">
        <f t="shared" si="0"/>
        <v>266.92183714196375</v>
      </c>
      <c r="C78" s="2" cm="1">
        <f t="array" ref="C78">INDEX( ComputeThermoProps($A78, $B78, ParametersRange), 1, COLUMN()-2 )</f>
        <v>12.220038893739051</v>
      </c>
      <c r="D78" s="2" cm="1">
        <f t="array" ref="D78">INDEX( ComputeThermoProps($A78, $B78, ParametersRange), 1, COLUMN()-2 )</f>
        <v>6.0591969482252472E-4</v>
      </c>
      <c r="E78" s="2" cm="1">
        <f t="array" ref="E78">INDEX( ComputeThermoProps($A78, $B78, ParametersRange), 1, COLUMN()-2 )</f>
        <v>4.6175907882491617E-4</v>
      </c>
      <c r="F78" s="2" cm="1">
        <f t="array" ref="F78">INDEX( ComputeThermoProps($A78, $B78, ParametersRange), 1, COLUMN()-2 )</f>
        <v>2.5321943090061538E-3</v>
      </c>
      <c r="G78" s="2" cm="1">
        <f t="array" ref="G78">INDEX( ComputeThermoProps($A78, $B78, ParametersRange), 1, COLUMN()-2 )</f>
        <v>29.948261350162799</v>
      </c>
      <c r="H78" s="2" cm="1">
        <f t="array" ref="H78">INDEX( ComputeThermoProps($A78, $B78, ParametersRange), 1, COLUMN()-2 )</f>
        <v>22.822961015501441</v>
      </c>
      <c r="I78" s="2" cm="1">
        <f t="array" ref="I78">INDEX( ComputeThermoProps($A78, $B78, ParametersRange), 1, COLUMN()-2 )</f>
        <v>2.2376005447865004</v>
      </c>
      <c r="J78" s="2" cm="1">
        <f t="array" ref="J78">INDEX( ComputeThermoProps($A78, $B78, ParametersRange), 1, COLUMN()-2 )</f>
        <v>863.65355384812847</v>
      </c>
      <c r="K78" s="2" cm="1">
        <f t="array" ref="K78">INDEX( ComputeThermoProps($A78, $B78, ParametersRange), 1, COLUMN()-2 )</f>
        <v>26.931528422707764</v>
      </c>
      <c r="L78" s="2" cm="1">
        <f t="array" ref="L78">INDEX( ComputeThermoProps($A78, $B78, ParametersRange), 1, COLUMN()-2 )</f>
        <v>-620.27366224306934</v>
      </c>
      <c r="M78" s="2" cm="1">
        <f t="array" ref="M78">INDEX( ComputeThermoProps($A78, $B78, ParametersRange), 1, COLUMN()-2 )</f>
        <v>4125.4487853112068</v>
      </c>
      <c r="N78" s="2" cm="1">
        <f t="array" ref="N78">INDEX( ComputeThermoProps($A78, $B78, ParametersRange), 1, COLUMN()-2 )</f>
        <v>2641.521569220009</v>
      </c>
      <c r="P78">
        <f t="shared" si="1"/>
        <v>2569.0194746340944</v>
      </c>
    </row>
    <row r="79" spans="1:16" x14ac:dyDescent="0.25">
      <c r="A79" s="2">
        <v>56.1</v>
      </c>
      <c r="B79" s="2">
        <f t="shared" si="0"/>
        <v>277.84576893478209</v>
      </c>
      <c r="C79" s="2" cm="1">
        <f t="array" ref="C79">INDEX( ComputeThermoProps($A79, $B79, ParametersRange), 1, COLUMN()-2 )</f>
        <v>12.171147763008351</v>
      </c>
      <c r="D79" s="2" cm="1">
        <f t="array" ref="D79">INDEX( ComputeThermoProps($A79, $B79, ParametersRange), 1, COLUMN()-2 )</f>
        <v>5.8366189953705104E-4</v>
      </c>
      <c r="E79" s="2" cm="1">
        <f t="array" ref="E79">INDEX( ComputeThermoProps($A79, $B79, ParametersRange), 1, COLUMN()-2 )</f>
        <v>4.4709941798788937E-4</v>
      </c>
      <c r="F79" s="2" cm="1">
        <f t="array" ref="F79">INDEX( ComputeThermoProps($A79, $B79, ParametersRange), 1, COLUMN()-2 )</f>
        <v>2.4429969697360651E-3</v>
      </c>
      <c r="G79" s="2" cm="1">
        <f t="array" ref="G79">INDEX( ComputeThermoProps($A79, $B79, ParametersRange), 1, COLUMN()-2 )</f>
        <v>29.840689436954719</v>
      </c>
      <c r="H79" s="2" cm="1">
        <f t="array" ref="H79">INDEX( ComputeThermoProps($A79, $B79, ParametersRange), 1, COLUMN()-2 )</f>
        <v>22.858704483198625</v>
      </c>
      <c r="I79" s="2" cm="1">
        <f t="array" ref="I79">INDEX( ComputeThermoProps($A79, $B79, ParametersRange), 1, COLUMN()-2 )</f>
        <v>2.2286481329873293</v>
      </c>
      <c r="J79" s="2" cm="1">
        <f t="array" ref="J79">INDEX( ComputeThermoProps($A79, $B79, ParametersRange), 1, COLUMN()-2 )</f>
        <v>888.44130641018671</v>
      </c>
      <c r="K79" s="2" cm="1">
        <f t="array" ref="K79">INDEX( ComputeThermoProps($A79, $B79, ParametersRange), 1, COLUMN()-2 )</f>
        <v>27.137863345025444</v>
      </c>
      <c r="L79" s="2" cm="1">
        <f t="array" ref="L79">INDEX( ComputeThermoProps($A79, $B79, ParametersRange), 1, COLUMN()-2 )</f>
        <v>-633.99282724574073</v>
      </c>
      <c r="M79" s="2" cm="1">
        <f t="array" ref="M79">INDEX( ComputeThermoProps($A79, $B79, ParametersRange), 1, COLUMN()-2 )</f>
        <v>4270.1432154420945</v>
      </c>
      <c r="N79" s="2" cm="1">
        <f t="array" ref="N79">INDEX( ComputeThermoProps($A79, $B79, ParametersRange), 1, COLUMN()-2 )</f>
        <v>2747.7090817861672</v>
      </c>
      <c r="P79">
        <f t="shared" si="1"/>
        <v>2713.7139047649821</v>
      </c>
    </row>
    <row r="80" spans="1:16" x14ac:dyDescent="0.25">
      <c r="A80" s="2">
        <v>57.1</v>
      </c>
      <c r="B80" s="2">
        <f t="shared" si="0"/>
        <v>288.88824769365237</v>
      </c>
      <c r="C80" s="2" cm="1">
        <f t="array" ref="C80">INDEX( ComputeThermoProps($A80, $B80, ParametersRange), 1, COLUMN()-2 )</f>
        <v>12.123443708691697</v>
      </c>
      <c r="D80" s="2" cm="1">
        <f t="array" ref="D80">INDEX( ComputeThermoProps($A80, $B80, ParametersRange), 1, COLUMN()-2 )</f>
        <v>5.6258847266568246E-4</v>
      </c>
      <c r="E80" s="2" cm="1">
        <f t="array" ref="E80">INDEX( ComputeThermoProps($A80, $B80, ParametersRange), 1, COLUMN()-2 )</f>
        <v>4.3311328182474019E-4</v>
      </c>
      <c r="F80" s="2" cm="1">
        <f t="array" ref="F80">INDEX( ComputeThermoProps($A80, $B80, ParametersRange), 1, COLUMN()-2 )</f>
        <v>2.358375629430092E-3</v>
      </c>
      <c r="G80" s="2" cm="1">
        <f t="array" ref="G80">INDEX( ComputeThermoProps($A80, $B80, ParametersRange), 1, COLUMN()-2 )</f>
        <v>29.737298032788644</v>
      </c>
      <c r="H80" s="2" cm="1">
        <f t="array" ref="H80">INDEX( ComputeThermoProps($A80, $B80, ParametersRange), 1, COLUMN()-2 )</f>
        <v>22.893499190544524</v>
      </c>
      <c r="I80" s="2" cm="1">
        <f t="array" ref="I80">INDEX( ComputeThermoProps($A80, $B80, ParametersRange), 1, COLUMN()-2 )</f>
        <v>2.2199130856722467</v>
      </c>
      <c r="J80" s="2" cm="1">
        <f t="array" ref="J80">INDEX( ComputeThermoProps($A80, $B80, ParametersRange), 1, COLUMN()-2 )</f>
        <v>913.52404913302075</v>
      </c>
      <c r="K80" s="2" cm="1">
        <f t="array" ref="K80">INDEX( ComputeThermoProps($A80, $B80, ParametersRange), 1, COLUMN()-2 )</f>
        <v>27.342219445981307</v>
      </c>
      <c r="L80" s="2" cm="1">
        <f t="array" ref="L80">INDEX( ComputeThermoProps($A80, $B80, ParametersRange), 1, COLUMN()-2 )</f>
        <v>-647.71668123251197</v>
      </c>
      <c r="M80" s="2" cm="1">
        <f t="array" ref="M80">INDEX( ComputeThermoProps($A80, $B80, ParametersRange), 1, COLUMN()-2 )</f>
        <v>4415.8444581495996</v>
      </c>
      <c r="N80" s="2" cm="1">
        <f t="array" ref="N80">INDEX( ComputeThermoProps($A80, $B80, ParametersRange), 1, COLUMN()-2 )</f>
        <v>2854.6037277840669</v>
      </c>
      <c r="P80">
        <f t="shared" si="1"/>
        <v>2859.4151474724872</v>
      </c>
    </row>
    <row r="81" spans="1:16" x14ac:dyDescent="0.25">
      <c r="A81" s="2">
        <v>58.1</v>
      </c>
      <c r="B81" s="2">
        <f t="shared" si="0"/>
        <v>300.04703706744527</v>
      </c>
      <c r="C81" s="2" cm="1">
        <f t="array" ref="C81">INDEX( ComputeThermoProps($A81, $B81, ParametersRange), 1, COLUMN()-2 )</f>
        <v>12.076889406992478</v>
      </c>
      <c r="D81" s="2" cm="1">
        <f t="array" ref="D81">INDEX( ComputeThermoProps($A81, $B81, ParametersRange), 1, COLUMN()-2 )</f>
        <v>5.4264407430632846E-4</v>
      </c>
      <c r="E81" s="2" cm="1">
        <f t="array" ref="E81">INDEX( ComputeThermoProps($A81, $B81, ParametersRange), 1, COLUMN()-2 )</f>
        <v>4.1977614469453843E-4</v>
      </c>
      <c r="F81" s="2" cm="1">
        <f t="array" ref="F81">INDEX( ComputeThermoProps($A81, $B81, ParametersRange), 1, COLUMN()-2 )</f>
        <v>2.278135716926592E-3</v>
      </c>
      <c r="G81" s="2" cm="1">
        <f t="array" ref="G81">INDEX( ComputeThermoProps($A81, $B81, ParametersRange), 1, COLUMN()-2 )</f>
        <v>29.638202946028816</v>
      </c>
      <c r="H81" s="2" cm="1">
        <f t="array" ref="H81">INDEX( ComputeThermoProps($A81, $B81, ParametersRange), 1, COLUMN()-2 )</f>
        <v>22.927386766845952</v>
      </c>
      <c r="I81" s="2" cm="1">
        <f t="array" ref="I81">INDEX( ComputeThermoProps($A81, $B81, ParametersRange), 1, COLUMN()-2 )</f>
        <v>2.2113885685449604</v>
      </c>
      <c r="J81" s="2" cm="1">
        <f t="array" ref="J81">INDEX( ComputeThermoProps($A81, $B81, ParametersRange), 1, COLUMN()-2 )</f>
        <v>938.89286500367211</v>
      </c>
      <c r="K81" s="2" cm="1">
        <f t="array" ref="K81">INDEX( ComputeThermoProps($A81, $B81, ParametersRange), 1, COLUMN()-2 )</f>
        <v>27.544677692850357</v>
      </c>
      <c r="L81" s="2" cm="1">
        <f t="array" ref="L81">INDEX( ComputeThermoProps($A81, $B81, ParametersRange), 1, COLUMN()-2 )</f>
        <v>-661.45290895093365</v>
      </c>
      <c r="M81" s="2" cm="1">
        <f t="array" ref="M81">INDEX( ComputeThermoProps($A81, $B81, ParametersRange), 1, COLUMN()-2 )</f>
        <v>4562.5277485629813</v>
      </c>
      <c r="N81" s="2" cm="1">
        <f t="array" ref="N81">INDEX( ComputeThermoProps($A81, $B81, ParametersRange), 1, COLUMN()-2 )</f>
        <v>2962.1819746083756</v>
      </c>
      <c r="P81">
        <f t="shared" si="1"/>
        <v>3006.0984378858689</v>
      </c>
    </row>
    <row r="82" spans="1:16" x14ac:dyDescent="0.25">
      <c r="A82" s="2">
        <v>59.1</v>
      </c>
      <c r="B82" s="2">
        <f t="shared" si="0"/>
        <v>311.3200042743502</v>
      </c>
      <c r="C82" s="2" cm="1">
        <f t="array" ref="C82">INDEX( ComputeThermoProps($A82, $B82, ParametersRange), 1, COLUMN()-2 )</f>
        <v>12.031446327577564</v>
      </c>
      <c r="D82" s="2" cm="1">
        <f t="array" ref="D82">INDEX( ComputeThermoProps($A82, $B82, ParametersRange), 1, COLUMN()-2 )</f>
        <v>5.237709249111312E-4</v>
      </c>
      <c r="E82" s="2" cm="1">
        <f t="array" ref="E82">INDEX( ComputeThermoProps($A82, $B82, ParametersRange), 1, COLUMN()-2 )</f>
        <v>4.0706144242467931E-4</v>
      </c>
      <c r="F82" s="2" cm="1">
        <f t="array" ref="F82">INDEX( ComputeThermoProps($A82, $B82, ParametersRange), 1, COLUMN()-2 )</f>
        <v>2.202068813389703E-3</v>
      </c>
      <c r="G82" s="2" cm="1">
        <f t="array" ref="G82">INDEX( ComputeThermoProps($A82, $B82, ParametersRange), 1, COLUMN()-2 )</f>
        <v>29.543432215702722</v>
      </c>
      <c r="H82" s="2" cm="1">
        <f t="array" ref="H82">INDEX( ComputeThermoProps($A82, $B82, ParametersRange), 1, COLUMN()-2 )</f>
        <v>22.960404176578059</v>
      </c>
      <c r="I82" s="2" cm="1">
        <f t="array" ref="I82">INDEX( ComputeThermoProps($A82, $B82, ParametersRange), 1, COLUMN()-2 )</f>
        <v>2.2030675263501509</v>
      </c>
      <c r="J82" s="2" cm="1">
        <f t="array" ref="J82">INDEX( ComputeThermoProps($A82, $B82, ParametersRange), 1, COLUMN()-2 )</f>
        <v>964.53919153015067</v>
      </c>
      <c r="K82" s="2" cm="1">
        <f t="array" ref="K82">INDEX( ComputeThermoProps($A82, $B82, ParametersRange), 1, COLUMN()-2 )</f>
        <v>27.745302064200011</v>
      </c>
      <c r="L82" s="2" cm="1">
        <f t="array" ref="L82">INDEX( ComputeThermoProps($A82, $B82, ParametersRange), 1, COLUMN()-2 )</f>
        <v>-675.20816046407003</v>
      </c>
      <c r="M82" s="2" cm="1">
        <f t="array" ref="M82">INDEX( ComputeThermoProps($A82, $B82, ParametersRange), 1, COLUMN()-2 )</f>
        <v>4710.1691136582131</v>
      </c>
      <c r="N82" s="2" cm="1">
        <f t="array" ref="N82">INDEX( ComputeThermoProps($A82, $B82, ParametersRange), 1, COLUMN()-2 )</f>
        <v>3070.4217616639926</v>
      </c>
      <c r="P82">
        <f t="shared" si="1"/>
        <v>3153.7398029811006</v>
      </c>
    </row>
    <row r="83" spans="1:16" x14ac:dyDescent="0.25">
      <c r="A83" s="2">
        <v>60.1</v>
      </c>
      <c r="B83" s="2">
        <f t="shared" si="0"/>
        <v>322.70511266370062</v>
      </c>
      <c r="C83" s="2" cm="1">
        <f t="array" ref="C83">INDEX( ComputeThermoProps($A83, $B83, ParametersRange), 1, COLUMN()-2 )</f>
        <v>11.987075459300183</v>
      </c>
      <c r="D83" s="2" cm="1">
        <f t="array" ref="D83">INDEX( ComputeThermoProps($A83, $B83, ParametersRange), 1, COLUMN()-2 )</f>
        <v>5.0591051452870245E-4</v>
      </c>
      <c r="E83" s="2" cm="1">
        <f t="array" ref="E83">INDEX( ComputeThermoProps($A83, $B83, ParametersRange), 1, COLUMN()-2 )</f>
        <v>3.949414611122288E-4</v>
      </c>
      <c r="F83" s="2" cm="1">
        <f t="array" ref="F83">INDEX( ComputeThermoProps($A83, $B83, ParametersRange), 1, COLUMN()-2 )</f>
        <v>2.1299601134648076E-3</v>
      </c>
      <c r="G83" s="2" cm="1">
        <f t="array" ref="G83">INDEX( ComputeThermoProps($A83, $B83, ParametersRange), 1, COLUMN()-2 )</f>
        <v>29.452948042436759</v>
      </c>
      <c r="H83" s="2" cm="1">
        <f t="array" ref="H83">INDEX( ComputeThermoProps($A83, $B83, ParametersRange), 1, COLUMN()-2 )</f>
        <v>22.992584656555085</v>
      </c>
      <c r="I83" s="2" cm="1">
        <f t="array" ref="I83">INDEX( ComputeThermoProps($A83, $B83, ParametersRange), 1, COLUMN()-2 )</f>
        <v>2.1949428157911335</v>
      </c>
      <c r="J83" s="2" cm="1">
        <f t="array" ref="J83">INDEX( ComputeThermoProps($A83, $B83, ParametersRange), 1, COLUMN()-2 )</f>
        <v>990.45484101824002</v>
      </c>
      <c r="K83" s="2" cm="1">
        <f t="array" ref="K83">INDEX( ComputeThermoProps($A83, $B83, ParametersRange), 1, COLUMN()-2 )</f>
        <v>27.944143299245557</v>
      </c>
      <c r="L83" s="2" cm="1">
        <f t="array" ref="L83">INDEX( ComputeThermoProps($A83, $B83, ParametersRange), 1, COLUMN()-2 )</f>
        <v>-688.98817126641802</v>
      </c>
      <c r="M83" s="2" cm="1">
        <f t="array" ref="M83">INDEX( ComputeThermoProps($A83, $B83, ParametersRange), 1, COLUMN()-2 )</f>
        <v>4858.7453776199864</v>
      </c>
      <c r="N83" s="2" cm="1">
        <f t="array" ref="N83">INDEX( ComputeThermoProps($A83, $B83, ParametersRange), 1, COLUMN()-2 )</f>
        <v>3179.3023653353284</v>
      </c>
      <c r="P83">
        <f t="shared" si="1"/>
        <v>3302.3160669428739</v>
      </c>
    </row>
    <row r="84" spans="1:16" x14ac:dyDescent="0.25">
      <c r="A84" s="2">
        <v>61.1</v>
      </c>
      <c r="B84" s="2">
        <f t="shared" si="0"/>
        <v>334.20041498844677</v>
      </c>
      <c r="C84" s="2" cm="1">
        <f t="array" ref="C84">INDEX( ComputeThermoProps($A84, $B84, ParametersRange), 1, COLUMN()-2 )</f>
        <v>11.94373786506865</v>
      </c>
      <c r="D84" s="2" cm="1">
        <f t="array" ref="D84">INDEX( ComputeThermoProps($A84, $B84, ParametersRange), 1, COLUMN()-2 )</f>
        <v>4.8900485381898342E-4</v>
      </c>
      <c r="E84" s="2" cm="1">
        <f t="array" ref="E84">INDEX( ComputeThermoProps($A84, $B84, ParametersRange), 1, COLUMN()-2 )</f>
        <v>3.8338802534985939E-4</v>
      </c>
      <c r="F84" s="2" cm="1">
        <f t="array" ref="F84">INDEX( ComputeThermoProps($A84, $B84, ParametersRange), 1, COLUMN()-2 )</f>
        <v>2.0615939622705736E-3</v>
      </c>
      <c r="G84" s="2" cm="1">
        <f t="array" ref="G84">INDEX( ComputeThermoProps($A84, $B84, ParametersRange), 1, COLUMN()-2 )</f>
        <v>29.366664293944581</v>
      </c>
      <c r="H84" s="2" cm="1">
        <f t="array" ref="H84">INDEX( ComputeThermoProps($A84, $B84, ParametersRange), 1, COLUMN()-2 )</f>
        <v>23.023958447118712</v>
      </c>
      <c r="I84" s="2" cm="1">
        <f t="array" ref="I84">INDEX( ComputeThermoProps($A84, $B84, ParametersRange), 1, COLUMN()-2 )</f>
        <v>2.1870073071313705</v>
      </c>
      <c r="J84" s="2" cm="1">
        <f t="array" ref="J84">INDEX( ComputeThermoProps($A84, $B84, ParametersRange), 1, COLUMN()-2 )</f>
        <v>1016.6320085789266</v>
      </c>
      <c r="K84" s="2" cm="1">
        <f t="array" ref="K84">INDEX( ComputeThermoProps($A84, $B84, ParametersRange), 1, COLUMN()-2 )</f>
        <v>28.141241898781406</v>
      </c>
      <c r="L84" s="2" cm="1">
        <f t="array" ref="L84">INDEX( ComputeThermoProps($A84, $B84, ParametersRange), 1, COLUMN()-2 )</f>
        <v>-702.79787143661736</v>
      </c>
      <c r="M84" s="2" cm="1">
        <f t="array" ref="M84">INDEX( ComputeThermoProps($A84, $B84, ParametersRange), 1, COLUMN()-2 )</f>
        <v>5008.2341595980943</v>
      </c>
      <c r="N84" s="2" cm="1">
        <f t="array" ref="N84">INDEX( ComputeThermoProps($A84, $B84, ParametersRange), 1, COLUMN()-2 )</f>
        <v>3288.8042795825504</v>
      </c>
      <c r="P84">
        <f t="shared" si="1"/>
        <v>3451.8048489209818</v>
      </c>
    </row>
    <row r="85" spans="1:16" x14ac:dyDescent="0.25">
      <c r="A85" s="2">
        <v>62.1</v>
      </c>
      <c r="B85" s="2">
        <f t="shared" si="0"/>
        <v>345.80404730472151</v>
      </c>
      <c r="C85" s="2" cm="1">
        <f t="array" ref="C85">INDEX( ComputeThermoProps($A85, $B85, ParametersRange), 1, COLUMN()-2 )</f>
        <v>11.901395099064937</v>
      </c>
      <c r="D85" s="2" cm="1">
        <f t="array" ref="D85">INDEX( ComputeThermoProps($A85, $B85, ParametersRange), 1, COLUMN()-2 )</f>
        <v>4.7299736397936738E-4</v>
      </c>
      <c r="E85" s="2" cm="1">
        <f t="array" ref="E85">INDEX( ComputeThermoProps($A85, $B85, ParametersRange), 1, COLUMN()-2 )</f>
        <v>3.7237302122273473E-4</v>
      </c>
      <c r="F85" s="2" cm="1">
        <f t="array" ref="F85">INDEX( ComputeThermoProps($A85, $B85, ParametersRange), 1, COLUMN()-2 )</f>
        <v>1.9967578670772026E-3</v>
      </c>
      <c r="G85" s="2" cm="1">
        <f t="array" ref="G85">INDEX( ComputeThermoProps($A85, $B85, ParametersRange), 1, COLUMN()-2 )</f>
        <v>29.284460319032583</v>
      </c>
      <c r="H85" s="2" cm="1">
        <f t="array" ref="H85">INDEX( ComputeThermoProps($A85, $B85, ParametersRange), 1, COLUMN()-2 )</f>
        <v>23.054553353390631</v>
      </c>
      <c r="I85" s="2" cm="1">
        <f t="array" ref="I85">INDEX( ComputeThermoProps($A85, $B85, ParametersRange), 1, COLUMN()-2 )</f>
        <v>2.1792539605909593</v>
      </c>
      <c r="J85" s="2" cm="1">
        <f t="array" ref="J85">INDEX( ComputeThermoProps($A85, $B85, ParametersRange), 1, COLUMN()-2 )</f>
        <v>1043.0632711964515</v>
      </c>
      <c r="K85" s="2" cm="1">
        <f t="array" ref="K85">INDEX( ComputeThermoProps($A85, $B85, ParametersRange), 1, COLUMN()-2 )</f>
        <v>28.336630514428144</v>
      </c>
      <c r="L85" s="2" cm="1">
        <f t="array" ref="L85">INDEX( ComputeThermoProps($A85, $B85, ParametersRange), 1, COLUMN()-2 )</f>
        <v>-716.64148374953629</v>
      </c>
      <c r="M85" s="2" cm="1">
        <f t="array" ref="M85">INDEX( ComputeThermoProps($A85, $B85, ParametersRange), 1, COLUMN()-2 )</f>
        <v>5158.6138650256835</v>
      </c>
      <c r="N85" s="2" cm="1">
        <f t="array" ref="N85">INDEX( ComputeThermoProps($A85, $B85, ParametersRange), 1, COLUMN()-2 )</f>
        <v>3398.9091100796959</v>
      </c>
      <c r="P85">
        <f t="shared" si="1"/>
        <v>3602.1845543485711</v>
      </c>
    </row>
    <row r="86" spans="1:16" x14ac:dyDescent="0.25">
      <c r="A86" s="2">
        <v>63.1</v>
      </c>
      <c r="B86" s="2">
        <f t="shared" si="0"/>
        <v>357.51422342647209</v>
      </c>
      <c r="C86" s="2" cm="1">
        <f t="array" ref="C86">INDEX( ComputeThermoProps($A86, $B86, ParametersRange), 1, COLUMN()-2 )</f>
        <v>11.860009514075584</v>
      </c>
      <c r="D86" s="2" cm="1">
        <f t="array" ref="D86">INDEX( ComputeThermoProps($A86, $B86, ParametersRange), 1, COLUMN()-2 )</f>
        <v>4.5783348658037765E-4</v>
      </c>
      <c r="E86" s="2" cm="1">
        <f t="array" ref="E86">INDEX( ComputeThermoProps($A86, $B86, ParametersRange), 1, COLUMN()-2 )</f>
        <v>3.6186878526890437E-4</v>
      </c>
      <c r="F86" s="2" cm="1">
        <f t="array" ref="F86">INDEX( ComputeThermoProps($A86, $B86, ParametersRange), 1, COLUMN()-2 )</f>
        <v>1.9352453194165112E-3</v>
      </c>
      <c r="G86" s="2" cm="1">
        <f t="array" ref="G86">INDEX( ComputeThermoProps($A86, $B86, ParametersRange), 1, COLUMN()-2 )</f>
        <v>29.206191753482003</v>
      </c>
      <c r="H86" s="2" cm="1">
        <f t="array" ref="H86">INDEX( ComputeThermoProps($A86, $B86, ParametersRange), 1, COLUMN()-2 )</f>
        <v>23.08439518284942</v>
      </c>
      <c r="I86" s="2" cm="1">
        <f t="array" ref="I86">INDEX( ComputeThermoProps($A86, $B86, ParametersRange), 1, COLUMN()-2 )</f>
        <v>2.1716758826216251</v>
      </c>
      <c r="J86" s="2" cm="1">
        <f t="array" ref="J86">INDEX( ComputeThermoProps($A86, $B86, ParametersRange), 1, COLUMN()-2 )</f>
        <v>1069.741580446921</v>
      </c>
      <c r="K86" s="2" cm="1">
        <f t="array" ref="K86">INDEX( ComputeThermoProps($A86, $B86, ParametersRange), 1, COLUMN()-2 )</f>
        <v>28.530335841061198</v>
      </c>
      <c r="L86" s="2" cm="1">
        <f t="array" ref="L86">INDEX( ComputeThermoProps($A86, $B86, ParametersRange), 1, COLUMN()-2 )</f>
        <v>-730.52261112404062</v>
      </c>
      <c r="M86" s="2" cm="1">
        <f t="array" ref="M86">INDEX( ComputeThermoProps($A86, $B86, ParametersRange), 1, COLUMN()-2 )</f>
        <v>5309.8636717022237</v>
      </c>
      <c r="N86" s="2" cm="1">
        <f t="array" ref="N86">INDEX( ComputeThermoProps($A86, $B86, ParametersRange), 1, COLUMN()-2 )</f>
        <v>3509.5994801312618</v>
      </c>
      <c r="P86">
        <f t="shared" si="1"/>
        <v>3753.4343610251112</v>
      </c>
    </row>
    <row r="87" spans="1:16" x14ac:dyDescent="0.25">
      <c r="A87" s="2">
        <v>64.099999999999994</v>
      </c>
      <c r="B87" s="2">
        <f t="shared" si="0"/>
        <v>369.32922987285292</v>
      </c>
      <c r="C87" s="2" cm="1">
        <f t="array" ref="C87">INDEX( ComputeThermoProps($A87, $B87, ParametersRange), 1, COLUMN()-2 )</f>
        <v>11.819544481829684</v>
      </c>
      <c r="D87" s="2" cm="1">
        <f t="array" ref="D87">INDEX( ComputeThermoProps($A87, $B87, ParametersRange), 1, COLUMN()-2 )</f>
        <v>4.4346107934144539E-4</v>
      </c>
      <c r="E87" s="2" cm="1">
        <f t="array" ref="E87">INDEX( ComputeThermoProps($A87, $B87, ParametersRange), 1, COLUMN()-2 )</f>
        <v>3.5184838616673974E-4</v>
      </c>
      <c r="F87" s="2" cm="1">
        <f t="array" ref="F87">INDEX( ComputeThermoProps($A87, $B87, ParametersRange), 1, COLUMN()-2 )</f>
        <v>1.8768577033394748E-3</v>
      </c>
      <c r="G87" s="2" cm="1">
        <f t="array" ref="G87">INDEX( ComputeThermoProps($A87, $B87, ParametersRange), 1, COLUMN()-2 )</f>
        <v>29.131698925830637</v>
      </c>
      <c r="H87" s="2" cm="1">
        <f t="array" ref="H87">INDEX( ComputeThermoProps($A87, $B87, ParametersRange), 1, COLUMN()-2 )</f>
        <v>23.113508108919866</v>
      </c>
      <c r="I87" s="2" cm="1">
        <f t="array" ref="I87">INDEX( ComputeThermoProps($A87, $B87, ParametersRange), 1, COLUMN()-2 )</f>
        <v>2.1642663662523733</v>
      </c>
      <c r="J87" s="2" cm="1">
        <f t="array" ref="J87">INDEX( ComputeThermoProps($A87, $B87, ParametersRange), 1, COLUMN()-2 )</f>
        <v>1096.6602508523081</v>
      </c>
      <c r="K87" s="2" cm="1">
        <f t="array" ref="K87">INDEX( ComputeThermoProps($A87, $B87, ParametersRange), 1, COLUMN()-2 )</f>
        <v>28.72238010808384</v>
      </c>
      <c r="L87" s="2" cm="1">
        <f t="array" ref="L87">INDEX( ComputeThermoProps($A87, $B87, ParametersRange), 1, COLUMN()-2 )</f>
        <v>-744.44431407586592</v>
      </c>
      <c r="M87" s="2" cm="1">
        <f t="array" ref="M87">INDEX( ComputeThermoProps($A87, $B87, ParametersRange), 1, COLUMN()-2 )</f>
        <v>5461.9635117743937</v>
      </c>
      <c r="N87" s="2" cm="1">
        <f t="array" ref="N87">INDEX( ComputeThermoProps($A87, $B87, ParametersRange), 1, COLUMN()-2 )</f>
        <v>3620.8589468462196</v>
      </c>
      <c r="P87">
        <f t="shared" si="1"/>
        <v>3905.5342010972813</v>
      </c>
    </row>
    <row r="88" spans="1:16" x14ac:dyDescent="0.25">
      <c r="A88" s="2">
        <v>65.099999999999994</v>
      </c>
      <c r="B88" s="2">
        <f t="shared" ref="B88:B122" si="2">IF(
  A88 &lt;= $B$5,
  $B$6 * EXP( ($B$5/A88) * ( $B$13*(1 - A88/$B$5) + $B$14*(1 - A88/$B$5)^1.5 + $B$15*(1 - A88/$B$5)^5 ) ),
  $B$6 * ( 1 + $B$17 * MAX(A88/$B$5 - 1, 0)^$B$18 + $B$19 * MAX(A88/$B$5 - 1, 0)^$B$20 )
)</f>
        <v>381.24742125430674</v>
      </c>
      <c r="C88" s="2" cm="1">
        <f t="array" ref="C88">INDEX( ComputeThermoProps($A88, $B88, ParametersRange), 1, COLUMN()-2 )</f>
        <v>11.779964545019823</v>
      </c>
      <c r="D88" s="2" cm="1">
        <f t="array" ref="D88">INDEX( ComputeThermoProps($A88, $B88, ParametersRange), 1, COLUMN()-2 )</f>
        <v>4.2983065027909681E-4</v>
      </c>
      <c r="E88" s="2" cm="1">
        <f t="array" ref="E88">INDEX( ComputeThermoProps($A88, $B88, ParametersRange), 1, COLUMN()-2 )</f>
        <v>3.4228582161434715E-4</v>
      </c>
      <c r="F88" s="2" cm="1">
        <f t="array" ref="F88">INDEX( ComputeThermoProps($A88, $B88, ParametersRange), 1, COLUMN()-2 )</f>
        <v>1.8214055030499388E-3</v>
      </c>
      <c r="G88" s="2" cm="1">
        <f t="array" ref="G88">INDEX( ComputeThermoProps($A88, $B88, ParametersRange), 1, COLUMN()-2 )</f>
        <v>29.060813247295851</v>
      </c>
      <c r="H88" s="2" cm="1">
        <f t="array" ref="H88">INDEX( ComputeThermoProps($A88, $B88, ParametersRange), 1, COLUMN()-2 )</f>
        <v>23.141914920848311</v>
      </c>
      <c r="I88" s="2" cm="1">
        <f t="array" ref="I88">INDEX( ComputeThermoProps($A88, $B88, ParametersRange), 1, COLUMN()-2 )</f>
        <v>2.1570189189254125</v>
      </c>
      <c r="J88" s="2" cm="1">
        <f t="array" ref="J88">INDEX( ComputeThermoProps($A88, $B88, ParametersRange), 1, COLUMN()-2 )</f>
        <v>1123.8129453724541</v>
      </c>
      <c r="K88" s="2" cm="1">
        <f t="array" ref="K88">INDEX( ComputeThermoProps($A88, $B88, ParametersRange), 1, COLUMN()-2 )</f>
        <v>28.912782248372693</v>
      </c>
      <c r="L88" s="2" cm="1">
        <f t="array" ref="L88">INDEX( ComputeThermoProps($A88, $B88, ParametersRange), 1, COLUMN()-2 )</f>
        <v>-758.40917899660803</v>
      </c>
      <c r="M88" s="2" cm="1">
        <f t="array" ref="M88">INDEX( ComputeThermoProps($A88, $B88, ParametersRange), 1, COLUMN()-2 )</f>
        <v>5614.8940506284243</v>
      </c>
      <c r="N88" s="2" cm="1">
        <f t="array" ref="N88">INDEX( ComputeThermoProps($A88, $B88, ParametersRange), 1, COLUMN()-2 )</f>
        <v>3732.6719262593624</v>
      </c>
      <c r="P88">
        <f t="shared" ref="P88:P122" si="3">M88-$B$11</f>
        <v>4058.4647399513119</v>
      </c>
    </row>
    <row r="89" spans="1:16" x14ac:dyDescent="0.25">
      <c r="A89" s="2">
        <v>66.099999999999994</v>
      </c>
      <c r="B89" s="2">
        <f t="shared" si="2"/>
        <v>393.26721605024255</v>
      </c>
      <c r="C89" s="2" cm="1">
        <f t="array" ref="C89">INDEX( ComputeThermoProps($A89, $B89, ParametersRange), 1, COLUMN()-2 )</f>
        <v>11.741235516106661</v>
      </c>
      <c r="D89" s="2" cm="1">
        <f t="array" ref="D89">INDEX( ComputeThermoProps($A89, $B89, ParametersRange), 1, COLUMN()-2 )</f>
        <v>4.1689547223238191E-4</v>
      </c>
      <c r="E89" s="2" cm="1">
        <f t="array" ref="E89">INDEX( ComputeThermoProps($A89, $B89, ParametersRange), 1, COLUMN()-2 )</f>
        <v>3.3315614894025903E-4</v>
      </c>
      <c r="F89" s="2" cm="1">
        <f t="array" ref="F89">INDEX( ComputeThermoProps($A89, $B89, ParametersRange), 1, COLUMN()-2 )</f>
        <v>1.7687089916869842E-3</v>
      </c>
      <c r="G89" s="2" cm="1">
        <f t="array" ref="G89">INDEX( ComputeThermoProps($A89, $B89, ParametersRange), 1, COLUMN()-2 )</f>
        <v>28.993362096174106</v>
      </c>
      <c r="H89" s="2" cm="1">
        <f t="array" ref="H89">INDEX( ComputeThermoProps($A89, $B89, ParametersRange), 1, COLUMN()-2 )</f>
        <v>23.169637245202885</v>
      </c>
      <c r="I89" s="2" cm="1">
        <f t="array" ref="I89">INDEX( ComputeThermoProps($A89, $B89, ParametersRange), 1, COLUMN()-2 )</f>
        <v>2.1499272805872129</v>
      </c>
      <c r="J89" s="2" cm="1">
        <f t="array" ref="J89">INDEX( ComputeThermoProps($A89, $B89, ParametersRange), 1, COLUMN()-2 )</f>
        <v>1151.1936591585686</v>
      </c>
      <c r="K89" s="2" cm="1">
        <f t="array" ref="K89">INDEX( ComputeThermoProps($A89, $B89, ParametersRange), 1, COLUMN()-2 )</f>
        <v>29.101558809319307</v>
      </c>
      <c r="L89" s="2" cm="1">
        <f t="array" ref="L89">INDEX( ComputeThermoProps($A89, $B89, ParametersRange), 1, COLUMN()-2 )</f>
        <v>-772.41937813743743</v>
      </c>
      <c r="M89" s="2" cm="1">
        <f t="array" ref="M89">INDEX( ComputeThermoProps($A89, $B89, ParametersRange), 1, COLUMN()-2 )</f>
        <v>5768.6366635680679</v>
      </c>
      <c r="N89" s="2" cm="1">
        <f t="array" ref="N89">INDEX( ComputeThermoProps($A89, $B89, ParametersRange), 1, COLUMN()-2 )</f>
        <v>3845.0236262720618</v>
      </c>
      <c r="P89">
        <f t="shared" si="3"/>
        <v>4212.207352890955</v>
      </c>
    </row>
    <row r="90" spans="1:16" x14ac:dyDescent="0.25">
      <c r="A90" s="2">
        <v>67.099999999999994</v>
      </c>
      <c r="B90" s="2">
        <f t="shared" si="2"/>
        <v>405.38709273719024</v>
      </c>
      <c r="C90" s="2" cm="1">
        <f t="array" ref="C90">INDEX( ComputeThermoProps($A90, $B90, ParametersRange), 1, COLUMN()-2 )</f>
        <v>11.703324535028271</v>
      </c>
      <c r="D90" s="2" cm="1">
        <f t="array" ref="D90">INDEX( ComputeThermoProps($A90, $B90, ParametersRange), 1, COLUMN()-2 )</f>
        <v>4.0461161002749215E-4</v>
      </c>
      <c r="E90" s="2" cm="1">
        <f t="array" ref="E90">INDEX( ComputeThermoProps($A90, $B90, ParametersRange), 1, COLUMN()-2 )</f>
        <v>3.2443556458306886E-4</v>
      </c>
      <c r="F90" s="2" cm="1">
        <f t="array" ref="F90">INDEX( ComputeThermoProps($A90, $B90, ParametersRange), 1, COLUMN()-2 )</f>
        <v>1.7185985330490836E-3</v>
      </c>
      <c r="G90" s="2" cm="1">
        <f t="array" ref="G90">INDEX( ComputeThermoProps($A90, $B90, ParametersRange), 1, COLUMN()-2 )</f>
        <v>28.929172450241289</v>
      </c>
      <c r="H90" s="2" cm="1">
        <f t="array" ref="H90">INDEX( ComputeThermoProps($A90, $B90, ParametersRange), 1, COLUMN()-2 )</f>
        <v>23.196695705734363</v>
      </c>
      <c r="I90" s="2" cm="1">
        <f t="array" ref="I90">INDEX( ComputeThermoProps($A90, $B90, ParametersRange), 1, COLUMN()-2 )</f>
        <v>2.142985434291425</v>
      </c>
      <c r="J90" s="2" cm="1">
        <f t="array" ref="J90">INDEX( ComputeThermoProps($A90, $B90, ParametersRange), 1, COLUMN()-2 )</f>
        <v>1178.7967023725053</v>
      </c>
      <c r="K90" s="2" cm="1">
        <f t="array" ref="K90">INDEX( ComputeThermoProps($A90, $B90, ParametersRange), 1, COLUMN()-2 )</f>
        <v>29.288724659148965</v>
      </c>
      <c r="L90" s="2" cm="1">
        <f t="array" ref="L90">INDEX( ComputeThermoProps($A90, $B90, ParametersRange), 1, COLUMN()-2 )</f>
        <v>-786.47672225639008</v>
      </c>
      <c r="M90" s="2" cm="1">
        <f t="array" ref="M90">INDEX( ComputeThermoProps($A90, $B90, ParametersRange), 1, COLUMN()-2 )</f>
        <v>5923.1734109874451</v>
      </c>
      <c r="N90" s="2" cm="1">
        <f t="array" ref="N90">INDEX( ComputeThermoProps($A90, $B90, ParametersRange), 1, COLUMN()-2 )</f>
        <v>3957.8999863585495</v>
      </c>
      <c r="P90">
        <f t="shared" si="3"/>
        <v>4366.7441003103322</v>
      </c>
    </row>
    <row r="91" spans="1:16" x14ac:dyDescent="0.25">
      <c r="A91" s="2">
        <v>68.099999999999994</v>
      </c>
      <c r="B91" s="2">
        <f t="shared" si="2"/>
        <v>417.60558623139832</v>
      </c>
      <c r="C91" s="2" cm="1">
        <f t="array" ref="C91">INDEX( ComputeThermoProps($A91, $B91, ParametersRange), 1, COLUMN()-2 )</f>
        <v>11.666200095483175</v>
      </c>
      <c r="D91" s="2" cm="1">
        <f t="array" ref="D91">INDEX( ComputeThermoProps($A91, $B91, ParametersRange), 1, COLUMN()-2 )</f>
        <v>3.9293788501402566E-4</v>
      </c>
      <c r="E91" s="2" cm="1">
        <f t="array" ref="E91">INDEX( ComputeThermoProps($A91, $B91, ParametersRange), 1, COLUMN()-2 )</f>
        <v>3.1610144437647957E-4</v>
      </c>
      <c r="F91" s="2" cm="1">
        <f t="array" ref="F91">INDEX( ComputeThermoProps($A91, $B91, ParametersRange), 1, COLUMN()-2 )</f>
        <v>1.6709146018209508E-3</v>
      </c>
      <c r="G91" s="2" cm="1">
        <f t="array" ref="G91">INDEX( ComputeThermoProps($A91, $B91, ParametersRange), 1, COLUMN()-2 )</f>
        <v>28.868073544624277</v>
      </c>
      <c r="H91" s="2" cm="1">
        <f t="array" ref="H91">INDEX( ComputeThermoProps($A91, $B91, ParametersRange), 1, COLUMN()-2 )</f>
        <v>23.223110043197927</v>
      </c>
      <c r="I91" s="2" cm="1">
        <f t="array" ref="I91">INDEX( ComputeThermoProps($A91, $B91, ParametersRange), 1, COLUMN()-2 )</f>
        <v>2.1361876109068598</v>
      </c>
      <c r="J91" s="2" cm="1">
        <f t="array" ref="J91">INDEX( ComputeThermoProps($A91, $B91, ParametersRange), 1, COLUMN()-2 )</f>
        <v>1206.6166827867394</v>
      </c>
      <c r="K91" s="2" cm="1">
        <f t="array" ref="K91">INDEX( ComputeThermoProps($A91, $B91, ParametersRange), 1, COLUMN()-2 )</f>
        <v>29.47429352667497</v>
      </c>
      <c r="L91" s="2" cm="1">
        <f t="array" ref="L91">INDEX( ComputeThermoProps($A91, $B91, ParametersRange), 1, COLUMN()-2 )</f>
        <v>-800.58270637982594</v>
      </c>
      <c r="M91" s="2" cm="1">
        <f t="array" ref="M91">INDEX( ComputeThermoProps($A91, $B91, ParametersRange), 1, COLUMN()-2 )</f>
        <v>6078.4870127537861</v>
      </c>
      <c r="N91" s="2" cm="1">
        <f t="array" ref="N91">INDEX( ComputeThermoProps($A91, $B91, ParametersRange), 1, COLUMN()-2 )</f>
        <v>4071.2876235872209</v>
      </c>
      <c r="P91">
        <f t="shared" si="3"/>
        <v>4522.0577020766741</v>
      </c>
    </row>
    <row r="92" spans="1:16" x14ac:dyDescent="0.25">
      <c r="A92" s="2">
        <v>69.099999999999994</v>
      </c>
      <c r="B92" s="2">
        <f t="shared" si="2"/>
        <v>429.92128461422504</v>
      </c>
      <c r="C92" s="2" cm="1">
        <f t="array" ref="C92">INDEX( ComputeThermoProps($A92, $B92, ParametersRange), 1, COLUMN()-2 )</f>
        <v>11.629832047457427</v>
      </c>
      <c r="D92" s="2" cm="1">
        <f t="array" ref="D92">INDEX( ComputeThermoProps($A92, $B92, ParametersRange), 1, COLUMN()-2 )</f>
        <v>3.8183579685183134E-4</v>
      </c>
      <c r="E92" s="2" cm="1">
        <f t="array" ref="E92">INDEX( ComputeThermoProps($A92, $B92, ParametersRange), 1, COLUMN()-2 )</f>
        <v>3.0813235477581373E-4</v>
      </c>
      <c r="F92" s="2" cm="1">
        <f t="array" ref="F92">INDEX( ComputeThermoProps($A92, $B92, ParametersRange), 1, COLUMN()-2 )</f>
        <v>1.625507608173061E-3</v>
      </c>
      <c r="G92" s="2" cm="1">
        <f t="array" ref="G92">INDEX( ComputeThermoProps($A92, $B92, ParametersRange), 1, COLUMN()-2 )</f>
        <v>28.809898800024069</v>
      </c>
      <c r="H92" s="2" cm="1">
        <f t="array" ref="H92">INDEX( ComputeThermoProps($A92, $B92, ParametersRange), 1, COLUMN()-2 )</f>
        <v>23.24889921609174</v>
      </c>
      <c r="I92" s="2" cm="1">
        <f t="array" ref="I92">INDEX( ComputeThermoProps($A92, $B92, ParametersRange), 1, COLUMN()-2 )</f>
        <v>2.1295282897063306</v>
      </c>
      <c r="J92" s="2" cm="1">
        <f t="array" ref="J92">INDEX( ComputeThermoProps($A92, $B92, ParametersRange), 1, COLUMN()-2 )</f>
        <v>1234.6484883596549</v>
      </c>
      <c r="K92" s="2" cm="1">
        <f t="array" ref="K92">INDEX( ComputeThermoProps($A92, $B92, ParametersRange), 1, COLUMN()-2 )</f>
        <v>29.658278417101766</v>
      </c>
      <c r="L92" s="2" cm="1">
        <f t="array" ref="L92">INDEX( ComputeThermoProps($A92, $B92, ParametersRange), 1, COLUMN()-2 )</f>
        <v>-814.73855026207684</v>
      </c>
      <c r="M92" s="2" cm="1">
        <f t="array" ref="M92">INDEX( ComputeThermoProps($A92, $B92, ParametersRange), 1, COLUMN()-2 )</f>
        <v>6234.5608220502345</v>
      </c>
      <c r="N92" s="2" cm="1">
        <f t="array" ref="N92">INDEX( ComputeThermoProps($A92, $B92, ParametersRange), 1, COLUMN()-2 )</f>
        <v>4185.1737834285022</v>
      </c>
      <c r="P92">
        <f t="shared" si="3"/>
        <v>4678.1315113731216</v>
      </c>
    </row>
    <row r="93" spans="1:16" x14ac:dyDescent="0.25">
      <c r="A93" s="2">
        <v>70.099999999999994</v>
      </c>
      <c r="B93" s="2">
        <f t="shared" si="2"/>
        <v>442.33282611243709</v>
      </c>
      <c r="C93" s="2" cm="1">
        <f t="array" ref="C93">INDEX( ComputeThermoProps($A93, $B93, ParametersRange), 1, COLUMN()-2 )</f>
        <v>11.594191582049566</v>
      </c>
      <c r="D93" s="2" cm="1">
        <f t="array" ref="D93">INDEX( ComputeThermoProps($A93, $B93, ParametersRange), 1, COLUMN()-2 )</f>
        <v>3.7126941609840614E-4</v>
      </c>
      <c r="E93" s="2" cm="1">
        <f t="array" ref="E93">INDEX( ComputeThermoProps($A93, $B93, ParametersRange), 1, COLUMN()-2 )</f>
        <v>3.0050804216355737E-4</v>
      </c>
      <c r="F93" s="2" cm="1">
        <f t="array" ref="F93">INDEX( ComputeThermoProps($A93, $B93, ParametersRange), 1, COLUMN()-2 )</f>
        <v>1.5822375842874208E-3</v>
      </c>
      <c r="G93" s="2" cm="1">
        <f t="array" ref="G93">INDEX( ComputeThermoProps($A93, $B93, ParametersRange), 1, COLUMN()-2 )</f>
        <v>28.754487173700959</v>
      </c>
      <c r="H93" s="2" cm="1">
        <f t="array" ref="H93">INDEX( ComputeThermoProps($A93, $B93, ParametersRange), 1, COLUMN()-2 )</f>
        <v>23.274081487217586</v>
      </c>
      <c r="I93" s="2" cm="1">
        <f t="array" ref="I93">INDEX( ComputeThermoProps($A93, $B93, ParametersRange), 1, COLUMN()-2 )</f>
        <v>2.1230021955172971</v>
      </c>
      <c r="J93" s="2" cm="1">
        <f t="array" ref="J93">INDEX( ComputeThermoProps($A93, $B93, ParametersRange), 1, COLUMN()-2 )</f>
        <v>1262.8872703512561</v>
      </c>
      <c r="K93" s="2" cm="1">
        <f t="array" ref="K93">INDEX( ComputeThermoProps($A93, $B93, ParametersRange), 1, COLUMN()-2 )</f>
        <v>29.840691921239532</v>
      </c>
      <c r="L93" s="2" cm="1">
        <f t="array" ref="L93">INDEX( ComputeThermoProps($A93, $B93, ParametersRange), 1, COLUMN()-2 )</f>
        <v>-828.94523332763492</v>
      </c>
      <c r="M93" s="2" cm="1">
        <f t="array" ref="M93">INDEX( ComputeThermoProps($A93, $B93, ParametersRange), 1, COLUMN()-2 )</f>
        <v>6391.3787993282685</v>
      </c>
      <c r="N93" s="2" cm="1">
        <f t="array" ref="N93">INDEX( ComputeThermoProps($A93, $B93, ParametersRange), 1, COLUMN()-2 )</f>
        <v>4299.5462956493775</v>
      </c>
      <c r="P93">
        <f t="shared" si="3"/>
        <v>4834.9494886511566</v>
      </c>
    </row>
    <row r="94" spans="1:16" x14ac:dyDescent="0.25">
      <c r="A94" s="2">
        <v>71.099999999999994</v>
      </c>
      <c r="B94" s="2">
        <f t="shared" si="2"/>
        <v>454.8388963087811</v>
      </c>
      <c r="C94" s="2" cm="1">
        <f t="array" ref="C94">INDEX( ComputeThermoProps($A94, $B94, ParametersRange), 1, COLUMN()-2 )</f>
        <v>11.559251203347895</v>
      </c>
      <c r="D94" s="2" cm="1">
        <f t="array" ref="D94">INDEX( ComputeThermoProps($A94, $B94, ParametersRange), 1, COLUMN()-2 )</f>
        <v>3.6120525882737058E-4</v>
      </c>
      <c r="E94" s="2" cm="1">
        <f t="array" ref="E94">INDEX( ComputeThermoProps($A94, $B94, ParametersRange), 1, COLUMN()-2 )</f>
        <v>2.9320940658123938E-4</v>
      </c>
      <c r="F94" s="2" cm="1">
        <f t="array" ref="F94">INDEX( ComputeThermoProps($A94, $B94, ParametersRange), 1, COLUMN()-2 )</f>
        <v>1.5409737794808648E-3</v>
      </c>
      <c r="G94" s="2" cm="1">
        <f t="array" ref="G94">INDEX( ComputeThermoProps($A94, $B94, ParametersRange), 1, COLUMN()-2 )</f>
        <v>28.701684031076837</v>
      </c>
      <c r="H94" s="2" cm="1">
        <f t="array" ref="H94">INDEX( ComputeThermoProps($A94, $B94, ParametersRange), 1, COLUMN()-2 )</f>
        <v>23.298674471005725</v>
      </c>
      <c r="I94" s="2" cm="1">
        <f t="array" ref="I94">INDEX( ComputeThermoProps($A94, $B94, ParametersRange), 1, COLUMN()-2 )</f>
        <v>2.1166042935876188</v>
      </c>
      <c r="J94" s="2" cm="1">
        <f t="array" ref="J94">INDEX( ComputeThermoProps($A94, $B94, ParametersRange), 1, COLUMN()-2 )</f>
        <v>1291.3284270032455</v>
      </c>
      <c r="K94" s="2" cm="1">
        <f t="array" ref="K94">INDEX( ComputeThermoProps($A94, $B94, ParametersRange), 1, COLUMN()-2 )</f>
        <v>30.021546446489847</v>
      </c>
      <c r="L94" s="2" cm="1">
        <f t="array" ref="L94">INDEX( ComputeThermoProps($A94, $B94, ParametersRange), 1, COLUMN()-2 )</f>
        <v>-843.2035253421825</v>
      </c>
      <c r="M94" s="2" cm="1">
        <f t="array" ref="M94">INDEX( ComputeThermoProps($A94, $B94, ParametersRange), 1, COLUMN()-2 )</f>
        <v>6548.9254864899513</v>
      </c>
      <c r="N94" s="2" cm="1">
        <f t="array" ref="N94">INDEX( ComputeThermoProps($A94, $B94, ParametersRange), 1, COLUMN()-2 )</f>
        <v>4414.3935341445231</v>
      </c>
      <c r="P94">
        <f t="shared" si="3"/>
        <v>4992.4961758128393</v>
      </c>
    </row>
    <row r="95" spans="1:16" x14ac:dyDescent="0.25">
      <c r="A95" s="2">
        <v>72.099999999999994</v>
      </c>
      <c r="B95" s="2">
        <f t="shared" si="2"/>
        <v>467.43822556102043</v>
      </c>
      <c r="C95" s="2" cm="1">
        <f t="array" ref="C95">INDEX( ComputeThermoProps($A95, $B95, ParametersRange), 1, COLUMN()-2 )</f>
        <v>11.524984691075081</v>
      </c>
      <c r="D95" s="2" cm="1">
        <f t="array" ref="D95">INDEX( ComputeThermoProps($A95, $B95, ParametersRange), 1, COLUMN()-2 )</f>
        <v>3.5161215120298943E-4</v>
      </c>
      <c r="E95" s="2" cm="1">
        <f t="array" ref="E95">INDEX( ComputeThermoProps($A95, $B95, ParametersRange), 1, COLUMN()-2 )</f>
        <v>2.8621846443452169E-4</v>
      </c>
      <c r="F95" s="2" cm="1">
        <f t="array" ref="F95">INDEX( ComputeThermoProps($A95, $B95, ParametersRange), 1, COLUMN()-2 )</f>
        <v>1.501594201300576E-3</v>
      </c>
      <c r="G95" s="2" cm="1">
        <f t="array" ref="G95">INDEX( ComputeThermoProps($A95, $B95, ParametersRange), 1, COLUMN()-2 )</f>
        <v>28.65134170180097</v>
      </c>
      <c r="H95" s="2" cm="1">
        <f t="array" ref="H95">INDEX( ComputeThermoProps($A95, $B95, ParametersRange), 1, COLUMN()-2 )</f>
        <v>23.322695185081898</v>
      </c>
      <c r="I95" s="2" cm="1">
        <f t="array" ref="I95">INDEX( ComputeThermoProps($A95, $B95, ParametersRange), 1, COLUMN()-2 )</f>
        <v>2.1103297827454366</v>
      </c>
      <c r="J95" s="2" cm="1">
        <f t="array" ref="J95">INDEX( ComputeThermoProps($A95, $B95, ParametersRange), 1, COLUMN()-2 )</f>
        <v>1319.9675879727617</v>
      </c>
      <c r="K95" s="2" cm="1">
        <f t="array" ref="K95">INDEX( ComputeThermoProps($A95, $B95, ParametersRange), 1, COLUMN()-2 )</f>
        <v>30.200854384654175</v>
      </c>
      <c r="L95" s="2" cm="1">
        <f t="array" ref="L95">INDEX( ComputeThermoProps($A95, $B95, ParametersRange), 1, COLUMN()-2 )</f>
        <v>-857.5140131608041</v>
      </c>
      <c r="M95" s="2" cm="1">
        <f t="array" ref="M95">INDEX( ComputeThermoProps($A95, $B95, ParametersRange), 1, COLUMN()-2 )</f>
        <v>6707.1859815868229</v>
      </c>
      <c r="N95" s="2" cm="1">
        <f t="array" ref="N95">INDEX( ComputeThermoProps($A95, $B95, ParametersRange), 1, COLUMN()-2 )</f>
        <v>4529.7043804532568</v>
      </c>
      <c r="P95">
        <f t="shared" si="3"/>
        <v>5150.75667090971</v>
      </c>
    </row>
    <row r="96" spans="1:16" x14ac:dyDescent="0.25">
      <c r="A96" s="2">
        <v>73.099999999999994</v>
      </c>
      <c r="B96" s="2">
        <f t="shared" si="2"/>
        <v>480.12958661006644</v>
      </c>
      <c r="C96" s="2" cm="1">
        <f t="array" ref="C96">INDEX( ComputeThermoProps($A96, $B96, ParametersRange), 1, COLUMN()-2 )</f>
        <v>11.491367056887317</v>
      </c>
      <c r="D96" s="2" cm="1">
        <f t="array" ref="D96">INDEX( ComputeThermoProps($A96, $B96, ParametersRange), 1, COLUMN()-2 )</f>
        <v>3.4246108979338016E-4</v>
      </c>
      <c r="E96" s="2" cm="1">
        <f t="array" ref="E96">INDEX( ComputeThermoProps($A96, $B96, ParametersRange), 1, COLUMN()-2 )</f>
        <v>2.7951830379389892E-4</v>
      </c>
      <c r="F96" s="2" cm="1">
        <f t="array" ref="F96">INDEX( ComputeThermoProps($A96, $B96, ParametersRange), 1, COLUMN()-2 )</f>
        <v>1.4639851273256909E-3</v>
      </c>
      <c r="G96" s="2" cm="1">
        <f t="array" ref="G96">INDEX( ComputeThermoProps($A96, $B96, ParametersRange), 1, COLUMN()-2 )</f>
        <v>28.603319788113897</v>
      </c>
      <c r="H96" s="2" cm="1">
        <f t="array" ref="H96">INDEX( ComputeThermoProps($A96, $B96, ParametersRange), 1, COLUMN()-2 )</f>
        <v>23.346160099157078</v>
      </c>
      <c r="I96" s="2" cm="1">
        <f t="array" ref="I96">INDEX( ComputeThermoProps($A96, $B96, ParametersRange), 1, COLUMN()-2 )</f>
        <v>2.1041740873971539</v>
      </c>
      <c r="J96" s="2" cm="1">
        <f t="array" ref="J96">INDEX( ComputeThermoProps($A96, $B96, ParametersRange), 1, COLUMN()-2 )</f>
        <v>1348.8005995834012</v>
      </c>
      <c r="K96" s="2" cm="1">
        <f t="array" ref="K96">INDEX( ComputeThermoProps($A96, $B96, ParametersRange), 1, COLUMN()-2 )</f>
        <v>30.378628230769305</v>
      </c>
      <c r="L96" s="2" cm="1">
        <f t="array" ref="L96">INDEX( ComputeThermoProps($A96, $B96, ParametersRange), 1, COLUMN()-2 )</f>
        <v>-871.87712408583479</v>
      </c>
      <c r="M96" s="2" cm="1">
        <f t="array" ref="M96">INDEX( ComputeThermoProps($A96, $B96, ParametersRange), 1, COLUMN()-2 )</f>
        <v>6866.1459141912446</v>
      </c>
      <c r="N96" s="2" cm="1">
        <f t="array" ref="N96">INDEX( ComputeThermoProps($A96, $B96, ParametersRange), 1, COLUMN()-2 )</f>
        <v>4645.4681905220086</v>
      </c>
      <c r="P96">
        <f t="shared" si="3"/>
        <v>5309.7166035141327</v>
      </c>
    </row>
    <row r="97" spans="1:16" x14ac:dyDescent="0.25">
      <c r="A97" s="2">
        <v>74.099999999999994</v>
      </c>
      <c r="B97" s="2">
        <f t="shared" si="2"/>
        <v>492.91179235997663</v>
      </c>
      <c r="C97" s="2" cm="1">
        <f t="array" ref="C97">INDEX( ComputeThermoProps($A97, $B97, ParametersRange), 1, COLUMN()-2 )</f>
        <v>11.458374496558099</v>
      </c>
      <c r="D97" s="2" cm="1">
        <f t="array" ref="D97">INDEX( ComputeThermoProps($A97, $B97, ParametersRange), 1, COLUMN()-2 )</f>
        <v>3.3372510168342025E-4</v>
      </c>
      <c r="E97" s="2" cm="1">
        <f t="array" ref="E97">INDEX( ComputeThermoProps($A97, $B97, ParametersRange), 1, COLUMN()-2 )</f>
        <v>2.7309303504745829E-4</v>
      </c>
      <c r="F97" s="2" cm="1">
        <f t="array" ref="F97">INDEX( ComputeThermoProps($A97, $B97, ParametersRange), 1, COLUMN()-2 )</f>
        <v>1.4280406041144371E-3</v>
      </c>
      <c r="G97" s="2" cm="1">
        <f t="array" ref="G97">INDEX( ComputeThermoProps($A97, $B97, ParametersRange), 1, COLUMN()-2 )</f>
        <v>28.557485247682834</v>
      </c>
      <c r="H97" s="2" cm="1">
        <f t="array" ref="H97">INDEX( ComputeThermoProps($A97, $B97, ParametersRange), 1, COLUMN()-2 )</f>
        <v>23.369085155035474</v>
      </c>
      <c r="I97" s="2" cm="1">
        <f t="array" ref="I97">INDEX( ComputeThermoProps($A97, $B97, ParametersRange), 1, COLUMN()-2 )</f>
        <v>2.0981328487718494</v>
      </c>
      <c r="J97" s="2" cm="1">
        <f t="array" ref="J97">INDEX( ComputeThermoProps($A97, $B97, ParametersRange), 1, COLUMN()-2 )</f>
        <v>1377.8235109275956</v>
      </c>
      <c r="K97" s="2" cm="1">
        <f t="array" ref="K97">INDEX( ComputeThermoProps($A97, $B97, ParametersRange), 1, COLUMN()-2 )</f>
        <v>30.55488066397141</v>
      </c>
      <c r="L97" s="2" cm="1">
        <f t="array" ref="L97">INDEX( ComputeThermoProps($A97, $B97, ParametersRange), 1, COLUMN()-2 )</f>
        <v>-886.2931462726857</v>
      </c>
      <c r="M97" s="2" cm="1">
        <f t="array" ref="M97">INDEX( ComputeThermoProps($A97, $B97, ParametersRange), 1, COLUMN()-2 )</f>
        <v>7025.791421557893</v>
      </c>
      <c r="N97" s="2" cm="1">
        <f t="array" ref="N97">INDEX( ComputeThermoProps($A97, $B97, ParametersRange), 1, COLUMN()-2 )</f>
        <v>4761.6747643576118</v>
      </c>
      <c r="P97">
        <f t="shared" si="3"/>
        <v>5469.3621108807802</v>
      </c>
    </row>
    <row r="98" spans="1:16" x14ac:dyDescent="0.25">
      <c r="A98" s="2">
        <v>75.099999999999994</v>
      </c>
      <c r="B98" s="2">
        <f t="shared" si="2"/>
        <v>505.78369381445168</v>
      </c>
      <c r="C98" s="2" cm="1">
        <f t="array" ref="C98">INDEX( ComputeThermoProps($A98, $B98, ParametersRange), 1, COLUMN()-2 )</f>
        <v>11.425984339757123</v>
      </c>
      <c r="D98" s="2" cm="1">
        <f t="array" ref="D98">INDEX( ComputeThermoProps($A98, $B98, ParametersRange), 1, COLUMN()-2 )</f>
        <v>3.2537910742018352E-4</v>
      </c>
      <c r="E98" s="2" cm="1">
        <f t="array" ref="E98">INDEX( ComputeThermoProps($A98, $B98, ParametersRange), 1, COLUMN()-2 )</f>
        <v>2.669277389931003E-4</v>
      </c>
      <c r="F98" s="2" cm="1">
        <f t="array" ref="F98">INDEX( ComputeThermoProps($A98, $B98, ParametersRange), 1, COLUMN()-2 )</f>
        <v>1.3936619493950862E-3</v>
      </c>
      <c r="G98" s="2" cm="1">
        <f t="array" ref="G98">INDEX( ComputeThermoProps($A98, $B98, ParametersRange), 1, COLUMN()-2 )</f>
        <v>28.513712352427717</v>
      </c>
      <c r="H98" s="2" cm="1">
        <f t="array" ref="H98">INDEX( ComputeThermoProps($A98, $B98, ParametersRange), 1, COLUMN()-2 )</f>
        <v>23.391485792922929</v>
      </c>
      <c r="I98" s="2" cm="1">
        <f t="array" ref="I98">INDEX( ComputeThermoProps($A98, $B98, ParametersRange), 1, COLUMN()-2 )</f>
        <v>2.0922019157253322</v>
      </c>
      <c r="J98" s="2" cm="1">
        <f t="array" ref="J98">INDEX( ComputeThermoProps($A98, $B98, ParametersRange), 1, COLUMN()-2 )</f>
        <v>1407.0325608266046</v>
      </c>
      <c r="K98" s="2" cm="1">
        <f t="array" ref="K98">INDEX( ComputeThermoProps($A98, $B98, ParametersRange), 1, COLUMN()-2 )</f>
        <v>30.729624599112611</v>
      </c>
      <c r="L98" s="2" cm="1">
        <f t="array" ref="L98">INDEX( ComputeThermoProps($A98, $B98, ParametersRange), 1, COLUMN()-2 )</f>
        <v>-900.76224656675231</v>
      </c>
      <c r="M98" s="2" cm="1">
        <f t="array" ref="M98">INDEX( ComputeThermoProps($A98, $B98, ParametersRange), 1, COLUMN()-2 )</f>
        <v>7186.1091256550417</v>
      </c>
      <c r="N98" s="2" cm="1">
        <f t="array" ref="N98">INDEX( ComputeThermoProps($A98, $B98, ParametersRange), 1, COLUMN()-2 )</f>
        <v>4878.314318261685</v>
      </c>
      <c r="P98">
        <f t="shared" si="3"/>
        <v>5629.6798149779297</v>
      </c>
    </row>
    <row r="99" spans="1:16" x14ac:dyDescent="0.25">
      <c r="A99" s="2">
        <v>76.099999999999994</v>
      </c>
      <c r="B99" s="2">
        <f t="shared" si="2"/>
        <v>518.74417815609024</v>
      </c>
      <c r="C99" s="2" cm="1">
        <f t="array" ref="C99">INDEX( ComputeThermoProps($A99, $B99, ParametersRange), 1, COLUMN()-2 )</f>
        <v>11.394174998724758</v>
      </c>
      <c r="D99" s="2" cm="1">
        <f t="array" ref="D99">INDEX( ComputeThermoProps($A99, $B99, ParametersRange), 1, COLUMN()-2 )</f>
        <v>3.1739978873258033E-4</v>
      </c>
      <c r="E99" s="2" cm="1">
        <f t="array" ref="E99">INDEX( ComputeThermoProps($A99, $B99, ParametersRange), 1, COLUMN()-2 )</f>
        <v>2.6100841393229525E-4</v>
      </c>
      <c r="F99" s="2" cm="1">
        <f t="array" ref="F99">INDEX( ComputeThermoProps($A99, $B99, ParametersRange), 1, COLUMN()-2 )</f>
        <v>1.3607572661266938E-3</v>
      </c>
      <c r="G99" s="2" cm="1">
        <f t="array" ref="G99">INDEX( ComputeThermoProps($A99, $B99, ParametersRange), 1, COLUMN()-2 )</f>
        <v>28.471882551520057</v>
      </c>
      <c r="H99" s="2" cm="1">
        <f t="array" ref="H99">INDEX( ComputeThermoProps($A99, $B99, ParametersRange), 1, COLUMN()-2 )</f>
        <v>23.413376978332014</v>
      </c>
      <c r="I99" s="2" cm="1">
        <f t="array" ref="I99">INDEX( ComputeThermoProps($A99, $B99, ParametersRange), 1, COLUMN()-2 )</f>
        <v>2.0863773353419774</v>
      </c>
      <c r="J99" s="2" cm="1">
        <f t="array" ref="J99">INDEX( ComputeThermoProps($A99, $B99, ParametersRange), 1, COLUMN()-2 )</f>
        <v>1436.4241656348372</v>
      </c>
      <c r="K99" s="2" cm="1">
        <f t="array" ref="K99">INDEX( ComputeThermoProps($A99, $B99, ParametersRange), 1, COLUMN()-2 )</f>
        <v>30.902873216031399</v>
      </c>
      <c r="L99" s="2" cm="1">
        <f t="array" ref="L99">INDEX( ComputeThermoProps($A99, $B99, ParametersRange), 1, COLUMN()-2 )</f>
        <v>-915.28448610515204</v>
      </c>
      <c r="M99" s="2" cm="1">
        <f t="array" ref="M99">INDEX( ComputeThermoProps($A99, $B99, ParametersRange), 1, COLUMN()-2 )</f>
        <v>7347.0861111149825</v>
      </c>
      <c r="N99" s="2" cm="1">
        <f t="array" ref="N99">INDEX( ComputeThermoProps($A99, $B99, ParametersRange), 1, COLUMN()-2 )</f>
        <v>4995.3774593749931</v>
      </c>
      <c r="P99">
        <f t="shared" si="3"/>
        <v>5790.6568004378696</v>
      </c>
    </row>
    <row r="100" spans="1:16" x14ac:dyDescent="0.25">
      <c r="A100" s="2">
        <v>77.099999999999994</v>
      </c>
      <c r="B100" s="2">
        <f t="shared" si="2"/>
        <v>531.79216695610103</v>
      </c>
      <c r="C100" s="2" cm="1">
        <f t="array" ref="C100">INDEX( ComputeThermoProps($A100, $B100, ParametersRange), 1, COLUMN()-2 )</f>
        <v>11.362925916820405</v>
      </c>
      <c r="D100" s="2" cm="1">
        <f t="array" ref="D100">INDEX( ComputeThermoProps($A100, $B100, ParametersRange), 1, COLUMN()-2 )</f>
        <v>3.097654622772114E-4</v>
      </c>
      <c r="E100" s="2" cm="1">
        <f t="array" ref="E100">INDEX( ComputeThermoProps($A100, $B100, ParametersRange), 1, COLUMN()-2 )</f>
        <v>2.553219229171453E-4</v>
      </c>
      <c r="F100" s="2" cm="1">
        <f t="array" ref="F100">INDEX( ComputeThermoProps($A100, $B100, ParametersRange), 1, COLUMN()-2 )</f>
        <v>1.3292409741518271E-3</v>
      </c>
      <c r="G100" s="2" cm="1">
        <f t="array" ref="G100">INDEX( ComputeThermoProps($A100, $B100, ParametersRange), 1, COLUMN()-2 )</f>
        <v>28.43188425787416</v>
      </c>
      <c r="H100" s="2" cm="1">
        <f t="array" ref="H100">INDEX( ComputeThermoProps($A100, $B100, ParametersRange), 1, COLUMN()-2 )</f>
        <v>23.434773223303239</v>
      </c>
      <c r="I100" s="2" cm="1">
        <f t="array" ref="I100">INDEX( ComputeThermoProps($A100, $B100, ParametersRange), 1, COLUMN()-2 )</f>
        <v>2.080655343513452</v>
      </c>
      <c r="J100" s="2" cm="1">
        <f t="array" ref="J100">INDEX( ComputeThermoProps($A100, $B100, ParametersRange), 1, COLUMN()-2 )</f>
        <v>1465.994907861992</v>
      </c>
      <c r="K100" s="2" cm="1">
        <f t="array" ref="K100">INDEX( ComputeThermoProps($A100, $B100, ParametersRange), 1, COLUMN()-2 )</f>
        <v>31.074639971925066</v>
      </c>
      <c r="L100" s="2" cm="1">
        <f t="array" ref="L100">INDEX( ComputeThermoProps($A100, $B100, ParametersRange), 1, COLUMN()-2 )</f>
        <v>-929.85983397343034</v>
      </c>
      <c r="M100" s="2" cm="1">
        <f t="array" ref="M100">INDEX( ComputeThermoProps($A100, $B100, ParametersRange), 1, COLUMN()-2 )</f>
        <v>7508.709904129556</v>
      </c>
      <c r="N100" s="2" cm="1">
        <f t="array" ref="N100">INDEX( ComputeThermoProps($A100, $B100, ParametersRange), 1, COLUMN()-2 )</f>
        <v>5112.8551622941332</v>
      </c>
      <c r="P100">
        <f t="shared" si="3"/>
        <v>5952.280593452444</v>
      </c>
    </row>
    <row r="101" spans="1:16" x14ac:dyDescent="0.25">
      <c r="A101" s="2">
        <v>78.099999999999994</v>
      </c>
      <c r="B101" s="2">
        <f t="shared" si="2"/>
        <v>544.92661450342757</v>
      </c>
      <c r="C101" s="2" cm="1">
        <f t="array" ref="C101">INDEX( ComputeThermoProps($A101, $B101, ParametersRange), 1, COLUMN()-2 )</f>
        <v>11.332217517670433</v>
      </c>
      <c r="D101" s="2" cm="1">
        <f t="array" ref="D101">INDEX( ComputeThermoProps($A101, $B101, ParametersRange), 1, COLUMN()-2 )</f>
        <v>3.0245596012746682E-4</v>
      </c>
      <c r="E101" s="2" cm="1">
        <f t="array" ref="E101">INDEX( ComputeThermoProps($A101, $B101, ParametersRange), 1, COLUMN()-2 )</f>
        <v>2.4985594198386938E-4</v>
      </c>
      <c r="F101" s="2" cm="1">
        <f t="array" ref="F101">INDEX( ComputeThermoProps($A101, $B101, ParametersRange), 1, COLUMN()-2 )</f>
        <v>1.2990333623599843E-3</v>
      </c>
      <c r="G101" s="2" cm="1">
        <f t="array" ref="G101">INDEX( ComputeThermoProps($A101, $B101, ParametersRange), 1, COLUMN()-2 )</f>
        <v>28.393612556311709</v>
      </c>
      <c r="H101" s="2" cm="1">
        <f t="array" ref="H101">INDEX( ComputeThermoProps($A101, $B101, ParametersRange), 1, COLUMN()-2 )</f>
        <v>23.455688585513279</v>
      </c>
      <c r="I101" s="2" cm="1">
        <f t="array" ref="I101">INDEX( ComputeThermoProps($A101, $B101, ParametersRange), 1, COLUMN()-2 )</f>
        <v>2.0750323556272461</v>
      </c>
      <c r="J101" s="2" cm="1">
        <f t="array" ref="J101">INDEX( ComputeThermoProps($A101, $B101, ParametersRange), 1, COLUMN()-2 )</f>
        <v>1495.7415255778478</v>
      </c>
      <c r="K101" s="2" cm="1">
        <f t="array" ref="K101">INDEX( ComputeThermoProps($A101, $B101, ParametersRange), 1, COLUMN()-2 )</f>
        <v>31.244938601113013</v>
      </c>
      <c r="L101" s="2" cm="1">
        <f t="array" ref="L101">INDEX( ComputeThermoProps($A101, $B101, ParametersRange), 1, COLUMN()-2 )</f>
        <v>-944.48817916907831</v>
      </c>
      <c r="M101" s="2" cm="1">
        <f t="array" ref="M101">INDEX( ComputeThermoProps($A101, $B101, ParametersRange), 1, COLUMN()-2 )</f>
        <v>7670.9684522984326</v>
      </c>
      <c r="N101" s="2" cm="1">
        <f t="array" ref="N101">INDEX( ComputeThermoProps($A101, $B101, ParametersRange), 1, COLUMN()-2 )</f>
        <v>5230.7387475515061</v>
      </c>
      <c r="P101">
        <f t="shared" si="3"/>
        <v>6114.5391416213206</v>
      </c>
    </row>
    <row r="102" spans="1:16" x14ac:dyDescent="0.25">
      <c r="A102" s="2">
        <v>79.099999999999994</v>
      </c>
      <c r="B102" s="2">
        <f t="shared" si="2"/>
        <v>558.1465062433499</v>
      </c>
      <c r="C102" s="2" cm="1">
        <f t="array" ref="C102">INDEX( ComputeThermoProps($A102, $B102, ParametersRange), 1, COLUMN()-2 )</f>
        <v>11.302031155444123</v>
      </c>
      <c r="D102" s="2" cm="1">
        <f t="array" ref="D102">INDEX( ComputeThermoProps($A102, $B102, ParametersRange), 1, COLUMN()-2 )</f>
        <v>2.9545251755887605E-4</v>
      </c>
      <c r="E102" s="2" cm="1">
        <f t="array" ref="E102">INDEX( ComputeThermoProps($A102, $B102, ParametersRange), 1, COLUMN()-2 )</f>
        <v>2.4459890995973208E-4</v>
      </c>
      <c r="F102" s="2" cm="1">
        <f t="array" ref="F102">INDEX( ComputeThermoProps($A102, $B102, ParametersRange), 1, COLUMN()-2 )</f>
        <v>1.2700601678069603E-3</v>
      </c>
      <c r="G102" s="2" cm="1">
        <f t="array" ref="G102">INDEX( ComputeThermoProps($A102, $B102, ParametersRange), 1, COLUMN()-2 )</f>
        <v>28.356968937774788</v>
      </c>
      <c r="H102" s="2" cm="1">
        <f t="array" ref="H102">INDEX( ComputeThermoProps($A102, $B102, ParametersRange), 1, COLUMN()-2 )</f>
        <v>23.476136704638208</v>
      </c>
      <c r="I102" s="2" cm="1">
        <f t="array" ref="I102">INDEX( ComputeThermoProps($A102, $B102, ParametersRange), 1, COLUMN()-2 )</f>
        <v>2.0695049574617386</v>
      </c>
      <c r="J102" s="2" cm="1">
        <f t="array" ref="J102">INDEX( ComputeThermoProps($A102, $B102, ParametersRange), 1, COLUMN()-2 )</f>
        <v>1525.6609025593023</v>
      </c>
      <c r="K102" s="2" cm="1">
        <f t="array" ref="K102">INDEX( ComputeThermoProps($A102, $B102, ParametersRange), 1, COLUMN()-2 )</f>
        <v>31.413783105557666</v>
      </c>
      <c r="L102" s="2" cm="1">
        <f t="array" ref="L102">INDEX( ComputeThermoProps($A102, $B102, ParametersRange), 1, COLUMN()-2 )</f>
        <v>-959.16934109030899</v>
      </c>
      <c r="M102" s="2" cm="1">
        <f t="array" ref="M102">INDEX( ComputeThermoProps($A102, $B102, ParametersRange), 1, COLUMN()-2 )</f>
        <v>7833.8501054239305</v>
      </c>
      <c r="N102" s="2" cm="1">
        <f t="array" ref="N102">INDEX( ComputeThermoProps($A102, $B102, ParametersRange), 1, COLUMN()-2 )</f>
        <v>5349.019861774319</v>
      </c>
      <c r="P102">
        <f t="shared" si="3"/>
        <v>6277.4207947468185</v>
      </c>
    </row>
    <row r="103" spans="1:16" x14ac:dyDescent="0.25">
      <c r="A103" s="2">
        <v>80.099999999999994</v>
      </c>
      <c r="B103" s="2">
        <f t="shared" si="2"/>
        <v>571.45085731661868</v>
      </c>
      <c r="C103" s="2" cm="1">
        <f t="array" ref="C103">INDEX( ComputeThermoProps($A103, $B103, ParametersRange), 1, COLUMN()-2 )</f>
        <v>11.272349066632595</v>
      </c>
      <c r="D103" s="2" cm="1">
        <f t="array" ref="D103">INDEX( ComputeThermoProps($A103, $B103, ParametersRange), 1, COLUMN()-2 )</f>
        <v>2.8873766805547884E-4</v>
      </c>
      <c r="E103" s="2" cm="1">
        <f t="array" ref="E103">INDEX( ComputeThermoProps($A103, $B103, ParametersRange), 1, COLUMN()-2 )</f>
        <v>2.3953998024160339E-4</v>
      </c>
      <c r="F103" s="2" cm="1">
        <f t="array" ref="F103">INDEX( ComputeThermoProps($A103, $B103, ParametersRange), 1, COLUMN()-2 )</f>
        <v>1.2422521783545996E-3</v>
      </c>
      <c r="G103" s="2" cm="1">
        <f t="array" ref="G103">INDEX( ComputeThermoProps($A103, $B103, ParametersRange), 1, COLUMN()-2 )</f>
        <v>28.321860977402704</v>
      </c>
      <c r="H103" s="2" cm="1">
        <f t="array" ref="H103">INDEX( ComputeThermoProps($A103, $B103, ParametersRange), 1, COLUMN()-2 )</f>
        <v>23.496130811823775</v>
      </c>
      <c r="I103" s="2" cm="1">
        <f t="array" ref="I103">INDEX( ComputeThermoProps($A103, $B103, ParametersRange), 1, COLUMN()-2 )</f>
        <v>2.0640698963564867</v>
      </c>
      <c r="J103" s="2" cm="1">
        <f t="array" ref="J103">INDEX( ComputeThermoProps($A103, $B103, ParametersRange), 1, COLUMN()-2 )</f>
        <v>1555.7500591364856</v>
      </c>
      <c r="K103" s="2" cm="1">
        <f t="array" ref="K103">INDEX( ComputeThermoProps($A103, $B103, ParametersRange), 1, COLUMN()-2 )</f>
        <v>31.581187738775473</v>
      </c>
      <c r="L103" s="2" cm="1">
        <f t="array" ref="L103">INDEX( ComputeThermoProps($A103, $B103, ParametersRange), 1, COLUMN()-2 )</f>
        <v>-973.90307873942959</v>
      </c>
      <c r="M103" s="2" cm="1">
        <f t="array" ref="M103">INDEX( ComputeThermoProps($A103, $B103, ParametersRange), 1, COLUMN()-2 )</f>
        <v>7997.3435972358684</v>
      </c>
      <c r="N103" s="2" cm="1">
        <f t="array" ref="N103">INDEX( ComputeThermoProps($A103, $B103, ParametersRange), 1, COLUMN()-2 )</f>
        <v>5467.6904593599529</v>
      </c>
      <c r="P103">
        <f t="shared" si="3"/>
        <v>6440.9142865587564</v>
      </c>
    </row>
    <row r="104" spans="1:16" x14ac:dyDescent="0.25">
      <c r="A104" s="2">
        <v>81.099999999999994</v>
      </c>
      <c r="B104" s="2">
        <f t="shared" si="2"/>
        <v>584.83871119103833</v>
      </c>
      <c r="C104" s="2" cm="1">
        <f t="array" ref="C104">INDEX( ComputeThermoProps($A104, $B104, ParametersRange), 1, COLUMN()-2 )</f>
        <v>11.243154323586809</v>
      </c>
      <c r="D104" s="2" cm="1">
        <f t="array" ref="D104">INDEX( ComputeThermoProps($A104, $B104, ParametersRange), 1, COLUMN()-2 )</f>
        <v>2.822951454976389E-4</v>
      </c>
      <c r="E104" s="2" cm="1">
        <f t="array" ref="E104">INDEX( ComputeThermoProps($A104, $B104, ParametersRange), 1, COLUMN()-2 )</f>
        <v>2.3466897480047517E-4</v>
      </c>
      <c r="F104" s="2" cm="1">
        <f t="array" ref="F104">INDEX( ComputeThermoProps($A104, $B104, ParametersRange), 1, COLUMN()-2 )</f>
        <v>1.2155448598730311E-3</v>
      </c>
      <c r="G104" s="2" cm="1">
        <f t="array" ref="G104">INDEX( ComputeThermoProps($A104, $B104, ParametersRange), 1, COLUMN()-2 )</f>
        <v>28.288201978247756</v>
      </c>
      <c r="H104" s="2" cm="1">
        <f t="array" ref="H104">INDEX( ComputeThermoProps($A104, $B104, ParametersRange), 1, COLUMN()-2 )</f>
        <v>23.515683719894849</v>
      </c>
      <c r="I104" s="2" cm="1">
        <f t="array" ref="I104">INDEX( ComputeThermoProps($A104, $B104, ParametersRange), 1, COLUMN()-2 )</f>
        <v>2.0587240727046012</v>
      </c>
      <c r="J104" s="2" cm="1">
        <f t="array" ref="J104">INDEX( ComputeThermoProps($A104, $B104, ParametersRange), 1, COLUMN()-2 )</f>
        <v>1586.0061436937949</v>
      </c>
      <c r="K104" s="2" cm="1">
        <f t="array" ref="K104">INDEX( ComputeThermoProps($A104, $B104, ParametersRange), 1, COLUMN()-2 )</f>
        <v>31.747166985187391</v>
      </c>
      <c r="L104" s="2" cm="1">
        <f t="array" ref="L104">INDEX( ComputeThermoProps($A104, $B104, ParametersRange), 1, COLUMN()-2 )</f>
        <v>-988.6890988049023</v>
      </c>
      <c r="M104" s="2" cm="1">
        <f t="array" ref="M104">INDEX( ComputeThermoProps($A104, $B104, ParametersRange), 1, COLUMN()-2 )</f>
        <v>8161.4380280222549</v>
      </c>
      <c r="N104" s="2" cm="1">
        <f t="array" ref="N104">INDEX( ComputeThermoProps($A104, $B104, ParametersRange), 1, COLUMN()-2 )</f>
        <v>5586.7427855235574</v>
      </c>
      <c r="P104">
        <f t="shared" si="3"/>
        <v>6605.0087173451429</v>
      </c>
    </row>
    <row r="105" spans="1:16" x14ac:dyDescent="0.25">
      <c r="A105" s="2">
        <v>82.1</v>
      </c>
      <c r="B105" s="2">
        <f t="shared" si="2"/>
        <v>598.30913837819639</v>
      </c>
      <c r="C105" s="2" cm="1">
        <f t="array" ref="C105">INDEX( ComputeThermoProps($A105, $B105, ParametersRange), 1, COLUMN()-2 )</f>
        <v>11.214430789979261</v>
      </c>
      <c r="D105" s="2" cm="1">
        <f t="array" ref="D105">INDEX( ComputeThermoProps($A105, $B105, ParametersRange), 1, COLUMN()-2 )</f>
        <v>2.7610979349526068E-4</v>
      </c>
      <c r="E105" s="2" cm="1">
        <f t="array" ref="E105">INDEX( ComputeThermoProps($A105, $B105, ParametersRange), 1, COLUMN()-2 )</f>
        <v>2.2997634055763928E-4</v>
      </c>
      <c r="F105" s="2" cm="1">
        <f t="array" ref="F105">INDEX( ComputeThermoProps($A105, $B105, ParametersRange), 1, COLUMN()-2 )</f>
        <v>1.1898780119840701E-3</v>
      </c>
      <c r="G105" s="2" cm="1">
        <f t="array" ref="G105">INDEX( ComputeThermoProps($A105, $B105, ParametersRange), 1, COLUMN()-2 )</f>
        <v>28.255910686988642</v>
      </c>
      <c r="H105" s="2" cm="1">
        <f t="array" ref="H105">INDEX( ComputeThermoProps($A105, $B105, ParametersRange), 1, COLUMN()-2 )</f>
        <v>23.534807862686982</v>
      </c>
      <c r="I105" s="2" cm="1">
        <f t="array" ref="I105">INDEX( ComputeThermoProps($A105, $B105, ParametersRange), 1, COLUMN()-2 )</f>
        <v>2.0534645317973808</v>
      </c>
      <c r="J105" s="2" cm="1">
        <f t="array" ref="J105">INDEX( ComputeThermoProps($A105, $B105, ParametersRange), 1, COLUMN()-2 )</f>
        <v>1616.4264247819442</v>
      </c>
      <c r="K105" s="2" cm="1">
        <f t="array" ref="K105">INDEX( ComputeThermoProps($A105, $B105, ParametersRange), 1, COLUMN()-2 )</f>
        <v>31.911735536496003</v>
      </c>
      <c r="L105" s="2" cm="1">
        <f t="array" ref="L105">INDEX( ComputeThermoProps($A105, $B105, ParametersRange), 1, COLUMN()-2 )</f>
        <v>-1003.5270627643774</v>
      </c>
      <c r="M105" s="2" cm="1">
        <f t="array" ref="M105">INDEX( ComputeThermoProps($A105, $B105, ParametersRange), 1, COLUMN()-2 )</f>
        <v>8326.1228481363523</v>
      </c>
      <c r="N105" s="2" cm="1">
        <f t="array" ref="N105">INDEX( ComputeThermoProps($A105, $B105, ParametersRange), 1, COLUMN()-2 )</f>
        <v>5706.1693605900309</v>
      </c>
      <c r="P105">
        <f t="shared" si="3"/>
        <v>6769.6935374592395</v>
      </c>
    </row>
    <row r="106" spans="1:16" x14ac:dyDescent="0.25">
      <c r="A106" s="2">
        <v>83.1</v>
      </c>
      <c r="B106" s="2">
        <f t="shared" si="2"/>
        <v>611.86123522871981</v>
      </c>
      <c r="C106" s="2" cm="1">
        <f t="array" ref="C106">INDEX( ComputeThermoProps($A106, $B106, ParametersRange), 1, COLUMN()-2 )</f>
        <v>11.186163078283874</v>
      </c>
      <c r="D106" s="2" cm="1">
        <f t="array" ref="D106">INDEX( ComputeThermoProps($A106, $B106, ParametersRange), 1, COLUMN()-2 )</f>
        <v>2.7016748133644876E-4</v>
      </c>
      <c r="E106" s="2" cm="1">
        <f t="array" ref="E106">INDEX( ComputeThermoProps($A106, $B106, ParametersRange), 1, COLUMN()-2 )</f>
        <v>2.2545310819705627E-4</v>
      </c>
      <c r="F106" s="2" cm="1">
        <f t="array" ref="F106">INDEX( ComputeThermoProps($A106, $B106, ParametersRange), 1, COLUMN()-2 )</f>
        <v>1.1651954456527993E-3</v>
      </c>
      <c r="G106" s="2" cm="1">
        <f t="array" ref="G106">INDEX( ComputeThermoProps($A106, $B106, ParametersRange), 1, COLUMN()-2 )</f>
        <v>28.224910954148104</v>
      </c>
      <c r="H106" s="2" cm="1">
        <f t="array" ref="H106">INDEX( ComputeThermoProps($A106, $B106, ParametersRange), 1, COLUMN()-2 )</f>
        <v>23.553515292513239</v>
      </c>
      <c r="I106" s="2" cm="1">
        <f t="array" ref="I106">INDEX( ComputeThermoProps($A106, $B106, ParametersRange), 1, COLUMN()-2 )</f>
        <v>2.0482884560384966</v>
      </c>
      <c r="J106" s="2" cm="1">
        <f t="array" ref="J106">INDEX( ComputeThermoProps($A106, $B106, ParametersRange), 1, COLUMN()-2 )</f>
        <v>1647.008283798235</v>
      </c>
      <c r="K106" s="2" cm="1">
        <f t="array" ref="K106">INDEX( ComputeThermoProps($A106, $B106, ParametersRange), 1, COLUMN()-2 )</f>
        <v>32.074908266309365</v>
      </c>
      <c r="L106" s="2" cm="1">
        <f t="array" ref="L106">INDEX( ComputeThermoProps($A106, $B106, ParametersRange), 1, COLUMN()-2 )</f>
        <v>-1018.416593132073</v>
      </c>
      <c r="M106" s="2" cm="1">
        <f t="array" ref="M106">INDEX( ComputeThermoProps($A106, $B106, ParametersRange), 1, COLUMN()-2 )</f>
        <v>8491.387842346905</v>
      </c>
      <c r="N106" s="2" cm="1">
        <f t="array" ref="N106">INDEX( ComputeThermoProps($A106, $B106, ParametersRange), 1, COLUMN()-2 )</f>
        <v>5825.9629654165974</v>
      </c>
      <c r="P106">
        <f t="shared" si="3"/>
        <v>6934.9585316697921</v>
      </c>
    </row>
    <row r="107" spans="1:16" x14ac:dyDescent="0.25">
      <c r="A107" s="2">
        <v>84.1</v>
      </c>
      <c r="B107" s="2">
        <f t="shared" si="2"/>
        <v>625.49412280005311</v>
      </c>
      <c r="C107" s="2" cm="1">
        <f t="array" ref="C107">INDEX( ComputeThermoProps($A107, $B107, ParametersRange), 1, COLUMN()-2 )</f>
        <v>11.158336509315619</v>
      </c>
      <c r="D107" s="2" cm="1">
        <f t="array" ref="D107">INDEX( ComputeThermoProps($A107, $B107, ParametersRange), 1, COLUMN()-2 )</f>
        <v>2.6445502634500325E-4</v>
      </c>
      <c r="E107" s="2" cm="1">
        <f t="array" ref="E107">INDEX( ComputeThermoProps($A107, $B107, ParametersRange), 1, COLUMN()-2 )</f>
        <v>2.2109085341859682E-4</v>
      </c>
      <c r="F107" s="2" cm="1">
        <f t="array" ref="F107">INDEX( ComputeThermoProps($A107, $B107, ParametersRange), 1, COLUMN()-2 )</f>
        <v>1.1414446850712392E-3</v>
      </c>
      <c r="G107" s="2" cm="1">
        <f t="array" ref="G107">INDEX( ComputeThermoProps($A107, $B107, ParametersRange), 1, COLUMN()-2 )</f>
        <v>28.19513141982501</v>
      </c>
      <c r="H107" s="2" cm="1">
        <f t="array" ref="H107">INDEX( ComputeThermoProps($A107, $B107, ParametersRange), 1, COLUMN()-2 )</f>
        <v>23.571817688676678</v>
      </c>
      <c r="I107" s="2" cm="1">
        <f t="array" ref="I107">INDEX( ComputeThermoProps($A107, $B107, ParametersRange), 1, COLUMN()-2 )</f>
        <v>2.0431931575353177</v>
      </c>
      <c r="J107" s="2" cm="1">
        <f t="array" ref="J107">INDEX( ComputeThermoProps($A107, $B107, ParametersRange), 1, COLUMN()-2 )</f>
        <v>1677.7492081939743</v>
      </c>
      <c r="K107" s="2" cm="1">
        <f t="array" ref="K107">INDEX( ComputeThermoProps($A107, $B107, ParametersRange), 1, COLUMN()-2 )</f>
        <v>32.23670020394156</v>
      </c>
      <c r="L107" s="2" cm="1">
        <f t="array" ref="L107">INDEX( ComputeThermoProps($A107, $B107, ParametersRange), 1, COLUMN()-2 )</f>
        <v>-1033.3572789575107</v>
      </c>
      <c r="M107" s="2" cm="1">
        <f t="array" ref="M107">INDEX( ComputeThermoProps($A107, $B107, ParametersRange), 1, COLUMN()-2 )</f>
        <v>8657.2231149961535</v>
      </c>
      <c r="N107" s="2" cm="1">
        <f t="array" ref="N107">INDEX( ComputeThermoProps($A107, $B107, ParametersRange), 1, COLUMN()-2 )</f>
        <v>5946.116627844669</v>
      </c>
      <c r="P107">
        <f t="shared" si="3"/>
        <v>7100.7938043190406</v>
      </c>
    </row>
    <row r="108" spans="1:16" x14ac:dyDescent="0.25">
      <c r="A108" s="2">
        <v>85.1</v>
      </c>
      <c r="B108" s="2">
        <f t="shared" si="2"/>
        <v>639.20694579130281</v>
      </c>
      <c r="C108" s="2" cm="1">
        <f t="array" ref="C108">INDEX( ComputeThermoProps($A108, $B108, ParametersRange), 1, COLUMN()-2 )</f>
        <v>11.130937073831397</v>
      </c>
      <c r="D108" s="2" cm="1">
        <f t="array" ref="D108">INDEX( ComputeThermoProps($A108, $B108, ParametersRange), 1, COLUMN()-2 )</f>
        <v>2.5896012226065535E-4</v>
      </c>
      <c r="E108" s="2" cm="1">
        <f t="array" ref="E108">INDEX( ComputeThermoProps($A108, $B108, ParametersRange), 1, COLUMN()-2 )</f>
        <v>2.1688166059353285E-4</v>
      </c>
      <c r="F108" s="2" cm="1">
        <f t="array" ref="F108">INDEX( ComputeThermoProps($A108, $B108, ParametersRange), 1, COLUMN()-2 )</f>
        <v>1.1185766924250837E-3</v>
      </c>
      <c r="G108" s="2" cm="1">
        <f t="array" ref="G108">INDEX( ComputeThermoProps($A108, $B108, ParametersRange), 1, COLUMN()-2 )</f>
        <v>28.166505225334898</v>
      </c>
      <c r="H108" s="2" cm="1">
        <f t="array" ref="H108">INDEX( ComputeThermoProps($A108, $B108, ParametersRange), 1, COLUMN()-2 )</f>
        <v>23.589726375855911</v>
      </c>
      <c r="I108" s="2" cm="1">
        <f t="array" ref="I108">INDEX( ComputeThermoProps($A108, $B108, ParametersRange), 1, COLUMN()-2 )</f>
        <v>2.0381760710676922</v>
      </c>
      <c r="J108" s="2" cm="1">
        <f t="array" ref="J108">INDEX( ComputeThermoProps($A108, $B108, ParametersRange), 1, COLUMN()-2 )</f>
        <v>1708.6467851699674</v>
      </c>
      <c r="K108" s="2" cm="1">
        <f t="array" ref="K108">INDEX( ComputeThermoProps($A108, $B108, ParametersRange), 1, COLUMN()-2 )</f>
        <v>32.397126508091645</v>
      </c>
      <c r="L108" s="2" cm="1">
        <f t="array" ref="L108">INDEX( ComputeThermoProps($A108, $B108, ParametersRange), 1, COLUMN()-2 )</f>
        <v>-1048.3486806686315</v>
      </c>
      <c r="M108" s="2" cm="1">
        <f t="array" ref="M108">INDEX( ComputeThermoProps($A108, $B108, ParametersRange), 1, COLUMN()-2 )</f>
        <v>8823.6190759289166</v>
      </c>
      <c r="N108" s="2" cm="1">
        <f t="array" ref="N108">INDEX( ComputeThermoProps($A108, $B108, ParametersRange), 1, COLUMN()-2 )</f>
        <v>6066.6236100903179</v>
      </c>
      <c r="P108">
        <f t="shared" si="3"/>
        <v>7267.1897652518037</v>
      </c>
    </row>
    <row r="109" spans="1:16" x14ac:dyDescent="0.25">
      <c r="A109" s="2">
        <v>86.1</v>
      </c>
      <c r="B109" s="2">
        <f t="shared" si="2"/>
        <v>652.99887154017506</v>
      </c>
      <c r="C109" s="2" cm="1">
        <f t="array" ref="C109">INDEX( ComputeThermoProps($A109, $B109, ParametersRange), 1, COLUMN()-2 )</f>
        <v>11.103951396164454</v>
      </c>
      <c r="D109" s="2" cm="1">
        <f t="array" ref="D109">INDEX( ComputeThermoProps($A109, $B109, ParametersRange), 1, COLUMN()-2 )</f>
        <v>2.5367127319975461E-4</v>
      </c>
      <c r="E109" s="2" cm="1">
        <f t="array" ref="E109">INDEX( ComputeThermoProps($A109, $B109, ParametersRange), 1, COLUMN()-2 )</f>
        <v>2.1281808875299894E-4</v>
      </c>
      <c r="F109" s="2" cm="1">
        <f t="array" ref="F109">INDEX( ComputeThermoProps($A109, $B109, ParametersRange), 1, COLUMN()-2 )</f>
        <v>1.0965456128432913E-3</v>
      </c>
      <c r="G109" s="2" cm="1">
        <f t="array" ref="G109">INDEX( ComputeThermoProps($A109, $B109, ParametersRange), 1, COLUMN()-2 )</f>
        <v>28.138969718823311</v>
      </c>
      <c r="H109" s="2" cm="1">
        <f t="array" ref="H109">INDEX( ComputeThermoProps($A109, $B109, ParametersRange), 1, COLUMN()-2 )</f>
        <v>23.607252328973143</v>
      </c>
      <c r="I109" s="2" cm="1">
        <f t="array" ref="I109">INDEX( ComputeThermoProps($A109, $B109, ParametersRange), 1, COLUMN()-2 )</f>
        <v>2.0332347474290691</v>
      </c>
      <c r="J109" s="2" cm="1">
        <f t="array" ref="J109">INDEX( ComputeThermoProps($A109, $B109, ParametersRange), 1, COLUMN()-2 )</f>
        <v>1739.6986958233128</v>
      </c>
      <c r="K109" s="2" cm="1">
        <f t="array" ref="K109">INDEX( ComputeThermoProps($A109, $B109, ParametersRange), 1, COLUMN()-2 )</f>
        <v>32.556202440921169</v>
      </c>
      <c r="L109" s="2" cm="1">
        <f t="array" ref="L109">INDEX( ComputeThermoProps($A109, $B109, ParametersRange), 1, COLUMN()-2 )</f>
        <v>-1063.3903343399995</v>
      </c>
      <c r="M109" s="2" cm="1">
        <f t="array" ref="M109">INDEX( ComputeThermoProps($A109, $B109, ParametersRange), 1, COLUMN()-2 )</f>
        <v>8990.5664271556525</v>
      </c>
      <c r="N109" s="2" cm="1">
        <f t="array" ref="N109">INDEX( ComputeThermoProps($A109, $B109, ParametersRange), 1, COLUMN()-2 )</f>
        <v>6187.4773969923399</v>
      </c>
      <c r="P109">
        <f t="shared" si="3"/>
        <v>7434.1371164785396</v>
      </c>
    </row>
    <row r="110" spans="1:16" x14ac:dyDescent="0.25">
      <c r="A110" s="2">
        <v>87.1</v>
      </c>
      <c r="B110" s="2">
        <f t="shared" si="2"/>
        <v>666.86908907748557</v>
      </c>
      <c r="C110" s="2" cm="1">
        <f t="array" ref="C110">INDEX( ComputeThermoProps($A110, $B110, ParametersRange), 1, COLUMN()-2 )</f>
        <v>11.077366699843026</v>
      </c>
      <c r="D110" s="2" cm="1">
        <f t="array" ref="D110">INDEX( ComputeThermoProps($A110, $B110, ParametersRange), 1, COLUMN()-2 )</f>
        <v>2.4857773284169042E-4</v>
      </c>
      <c r="E110" s="2" cm="1">
        <f t="array" ref="E110">INDEX( ComputeThermoProps($A110, $B110, ParametersRange), 1, COLUMN()-2 )</f>
        <v>2.0889313981928262E-4</v>
      </c>
      <c r="F110" s="2" cm="1">
        <f t="array" ref="F110">INDEX( ComputeThermoProps($A110, $B110, ParametersRange), 1, COLUMN()-2 )</f>
        <v>1.0753085390560974E-3</v>
      </c>
      <c r="G110" s="2" cm="1">
        <f t="array" ref="G110">INDEX( ComputeThermoProps($A110, $B110, ParametersRange), 1, COLUMN()-2 )</f>
        <v>28.112466176059758</v>
      </c>
      <c r="H110" s="2" cm="1">
        <f t="array" ref="H110">INDEX( ComputeThermoProps($A110, $B110, ParametersRange), 1, COLUMN()-2 )</f>
        <v>23.62440617849095</v>
      </c>
      <c r="I110" s="2" cm="1">
        <f t="array" ref="I110">INDEX( ComputeThermoProps($A110, $B110, ParametersRange), 1, COLUMN()-2 )</f>
        <v>2.0283668471309637</v>
      </c>
      <c r="J110" s="2" cm="1">
        <f t="array" ref="J110">INDEX( ComputeThermoProps($A110, $B110, ParametersRange), 1, COLUMN()-2 )</f>
        <v>1770.9027097110168</v>
      </c>
      <c r="K110" s="2" cm="1">
        <f t="array" ref="K110">INDEX( ComputeThermoProps($A110, $B110, ParametersRange), 1, COLUMN()-2 )</f>
        <v>32.713943342909893</v>
      </c>
      <c r="L110" s="2" cm="1">
        <f t="array" ref="L110">INDEX( ComputeThermoProps($A110, $B110, ParametersRange), 1, COLUMN()-2 )</f>
        <v>-1078.4817554564347</v>
      </c>
      <c r="M110" s="2" cm="1">
        <f t="array" ref="M110">INDEX( ComputeThermoProps($A110, $B110, ParametersRange), 1, COLUMN()-2 )</f>
        <v>9158.0561502126075</v>
      </c>
      <c r="N110" s="2" cm="1">
        <f t="array" ref="N110">INDEX( ComputeThermoProps($A110, $B110, ParametersRange), 1, COLUMN()-2 )</f>
        <v>6308.6716850451558</v>
      </c>
      <c r="P110">
        <f t="shared" si="3"/>
        <v>7601.6268395354946</v>
      </c>
    </row>
    <row r="111" spans="1:16" x14ac:dyDescent="0.25">
      <c r="A111" s="2">
        <v>88.1</v>
      </c>
      <c r="B111" s="2">
        <f t="shared" si="2"/>
        <v>680.81680823509987</v>
      </c>
      <c r="C111" s="2" cm="1">
        <f t="array" ref="C111">INDEX( ComputeThermoProps($A111, $B111, ParametersRange), 1, COLUMN()-2 )</f>
        <v>11.051170775129027</v>
      </c>
      <c r="D111" s="2" cm="1">
        <f t="array" ref="D111">INDEX( ComputeThermoProps($A111, $B111, ParametersRange), 1, COLUMN()-2 )</f>
        <v>2.4366944850818259E-4</v>
      </c>
      <c r="E111" s="2" cm="1">
        <f t="array" ref="E111">INDEX( ComputeThermoProps($A111, $B111, ParametersRange), 1, COLUMN()-2 )</f>
        <v>2.0510022897628807E-4</v>
      </c>
      <c r="F111" s="2" cm="1">
        <f t="array" ref="F111">INDEX( ComputeThermoProps($A111, $B111, ParametersRange), 1, COLUMN()-2 )</f>
        <v>1.0548252957280461E-3</v>
      </c>
      <c r="G111" s="2" cm="1">
        <f t="array" ref="G111">INDEX( ComputeThermoProps($A111, $B111, ParametersRange), 1, COLUMN()-2 )</f>
        <v>28.086939572131083</v>
      </c>
      <c r="H111" s="2" cm="1">
        <f t="array" ref="H111">INDEX( ComputeThermoProps($A111, $B111, ParametersRange), 1, COLUMN()-2 )</f>
        <v>23.641198241123796</v>
      </c>
      <c r="I111" s="2" cm="1">
        <f t="array" ref="I111">INDEX( ComputeThermoProps($A111, $B111, ParametersRange), 1, COLUMN()-2 )</f>
        <v>2.0235701344589909</v>
      </c>
      <c r="J111" s="2" cm="1">
        <f t="array" ref="J111">INDEX( ComputeThermoProps($A111, $B111, ParametersRange), 1, COLUMN()-2 )</f>
        <v>1802.2566797983329</v>
      </c>
      <c r="K111" s="2" cm="1">
        <f t="array" ref="K111">INDEX( ComputeThermoProps($A111, $B111, ParametersRange), 1, COLUMN()-2 )</f>
        <v>32.870364608757633</v>
      </c>
      <c r="L111" s="2" cm="1">
        <f t="array" ref="L111">INDEX( ComputeThermoProps($A111, $B111, ParametersRange), 1, COLUMN()-2 )</f>
        <v>-1093.6224422332143</v>
      </c>
      <c r="M111" s="2" cm="1">
        <f t="array" ref="M111">INDEX( ComputeThermoProps($A111, $B111, ParametersRange), 1, COLUMN()-2 )</f>
        <v>9326.0794941826916</v>
      </c>
      <c r="N111" s="2" cm="1">
        <f t="array" ref="N111">INDEX( ComputeThermoProps($A111, $B111, ParametersRange), 1, COLUMN()-2 )</f>
        <v>6430.2003721511446</v>
      </c>
      <c r="P111">
        <f t="shared" si="3"/>
        <v>7769.6501835055788</v>
      </c>
    </row>
    <row r="112" spans="1:16" x14ac:dyDescent="0.25">
      <c r="A112" s="2">
        <v>89.1</v>
      </c>
      <c r="B112" s="2">
        <f t="shared" si="2"/>
        <v>694.84125880352713</v>
      </c>
      <c r="C112" s="2" cm="1">
        <f t="array" ref="C112">INDEX( ComputeThermoProps($A112, $B112, ParametersRange), 1, COLUMN()-2 )</f>
        <v>11.025351948401866</v>
      </c>
      <c r="D112" s="2" cm="1">
        <f t="array" ref="D112">INDEX( ComputeThermoProps($A112, $B112, ParametersRange), 1, COLUMN()-2 )</f>
        <v>2.3893700960477359E-4</v>
      </c>
      <c r="E112" s="2" cm="1">
        <f t="array" ref="E112">INDEX( ComputeThermoProps($A112, $B112, ParametersRange), 1, COLUMN()-2 )</f>
        <v>2.0143315706758457E-4</v>
      </c>
      <c r="F112" s="2" cm="1">
        <f t="array" ref="F112">INDEX( ComputeThermoProps($A112, $B112, ParametersRange), 1, COLUMN()-2 )</f>
        <v>1.0350582377079971E-3</v>
      </c>
      <c r="G112" s="2" cm="1">
        <f t="array" ref="G112">INDEX( ComputeThermoProps($A112, $B112, ParametersRange), 1, COLUMN()-2 )</f>
        <v>28.062338288432116</v>
      </c>
      <c r="H112" s="2" cm="1">
        <f t="array" ref="H112">INDEX( ComputeThermoProps($A112, $B112, ParametersRange), 1, COLUMN()-2 )</f>
        <v>23.657638494294218</v>
      </c>
      <c r="I112" s="2" cm="1">
        <f t="array" ref="I112">INDEX( ComputeThermoProps($A112, $B112, ParametersRange), 1, COLUMN()-2 )</f>
        <v>2.0188424718667646</v>
      </c>
      <c r="J112" s="2" cm="1">
        <f t="array" ref="J112">INDEX( ComputeThermoProps($A112, $B112, ParametersRange), 1, COLUMN()-2 )</f>
        <v>1833.7585377612641</v>
      </c>
      <c r="K112" s="2" cm="1">
        <f t="array" ref="K112">INDEX( ComputeThermoProps($A112, $B112, ParametersRange), 1, COLUMN()-2 )</f>
        <v>33.025481664499523</v>
      </c>
      <c r="L112" s="2" cm="1">
        <f t="array" ref="L112">INDEX( ComputeThermoProps($A112, $B112, ParametersRange), 1, COLUMN()-2 )</f>
        <v>-1108.8118785456434</v>
      </c>
      <c r="M112" s="2" cm="1">
        <f t="array" ref="M112">INDEX( ComputeThermoProps($A112, $B112, ParametersRange), 1, COLUMN()-2 )</f>
        <v>9494.6279643407379</v>
      </c>
      <c r="N112" s="2" cm="1">
        <f t="array" ref="N112">INDEX( ComputeThermoProps($A112, $B112, ParametersRange), 1, COLUMN()-2 )</f>
        <v>6552.0575480338302</v>
      </c>
      <c r="P112">
        <f t="shared" si="3"/>
        <v>7938.198653663625</v>
      </c>
    </row>
    <row r="113" spans="1:16" x14ac:dyDescent="0.25">
      <c r="A113" s="2">
        <v>90.1</v>
      </c>
      <c r="B113" s="2">
        <f t="shared" si="2"/>
        <v>708.94168973570822</v>
      </c>
      <c r="C113" s="2" cm="1">
        <f t="array" ref="C113">INDEX( ComputeThermoProps($A113, $B113, ParametersRange), 1, COLUMN()-2 )</f>
        <v>10.999899053309012</v>
      </c>
      <c r="D113" s="2" cm="1">
        <f t="array" ref="D113">INDEX( ComputeThermoProps($A113, $B113, ParametersRange), 1, COLUMN()-2 )</f>
        <v>2.3437160032176881E-4</v>
      </c>
      <c r="E113" s="2" cm="1">
        <f t="array" ref="E113">INDEX( ComputeThermoProps($A113, $B113, ParametersRange), 1, COLUMN()-2 )</f>
        <v>1.9788608490699903E-4</v>
      </c>
      <c r="F113" s="2" cm="1">
        <f t="array" ref="F113">INDEX( ComputeThermoProps($A113, $B113, ParametersRange), 1, COLUMN()-2 )</f>
        <v>1.0159720675671426E-3</v>
      </c>
      <c r="G113" s="2" cm="1">
        <f t="array" ref="G113">INDEX( ComputeThermoProps($A113, $B113, ParametersRange), 1, COLUMN()-2 )</f>
        <v>28.038613927584116</v>
      </c>
      <c r="H113" s="2" cm="1">
        <f t="array" ref="H113">INDEX( ComputeThermoProps($A113, $B113, ParametersRange), 1, COLUMN()-2 )</f>
        <v>23.67373661625814</v>
      </c>
      <c r="I113" s="2" cm="1">
        <f t="array" ref="I113">INDEX( ComputeThermoProps($A113, $B113, ParametersRange), 1, COLUMN()-2 )</f>
        <v>2.0141818146933015</v>
      </c>
      <c r="J113" s="2" cm="1">
        <f t="array" ref="J113">INDEX( ComputeThermoProps($A113, $B113, ParametersRange), 1, COLUMN()-2 )</f>
        <v>1865.4062896201424</v>
      </c>
      <c r="K113" s="2" cm="1">
        <f t="array" ref="K113">INDEX( ComputeThermoProps($A113, $B113, ParametersRange), 1, COLUMN()-2 )</f>
        <v>33.179309946039758</v>
      </c>
      <c r="L113" s="2" cm="1">
        <f t="array" ref="L113">INDEX( ComputeThermoProps($A113, $B113, ParametersRange), 1, COLUMN()-2 )</f>
        <v>-1124.0495365180398</v>
      </c>
      <c r="M113" s="2" cm="1">
        <f t="array" ref="M113">INDEX( ComputeThermoProps($A113, $B113, ParametersRange), 1, COLUMN()-2 )</f>
        <v>9663.6933113952509</v>
      </c>
      <c r="N113" s="2" cm="1">
        <f t="array" ref="N113">INDEX( ComputeThermoProps($A113, $B113, ParametersRange), 1, COLUMN()-2 )</f>
        <v>6674.2374852570692</v>
      </c>
      <c r="P113">
        <f t="shared" si="3"/>
        <v>8107.264000718138</v>
      </c>
    </row>
    <row r="114" spans="1:16" x14ac:dyDescent="0.25">
      <c r="A114" s="2">
        <v>91.1</v>
      </c>
      <c r="B114" s="2">
        <f t="shared" si="2"/>
        <v>723.11736839382115</v>
      </c>
      <c r="C114" s="2" cm="1">
        <f t="array" ref="C114">INDEX( ComputeThermoProps($A114, $B114, ParametersRange), 1, COLUMN()-2 )</f>
        <v>10.974801403591908</v>
      </c>
      <c r="D114" s="2" cm="1">
        <f t="array" ref="D114">INDEX( ComputeThermoProps($A114, $B114, ParametersRange), 1, COLUMN()-2 )</f>
        <v>2.2996495604721065E-4</v>
      </c>
      <c r="E114" s="2" cm="1">
        <f t="array" ref="E114">INDEX( ComputeThermoProps($A114, $B114, ParametersRange), 1, COLUMN()-2 )</f>
        <v>1.9445350938515141E-4</v>
      </c>
      <c r="F114" s="2" cm="1">
        <f t="array" ref="F114">INDEX( ComputeThermoProps($A114, $B114, ParametersRange), 1, COLUMN()-2 )</f>
        <v>9.9753366532422463E-4</v>
      </c>
      <c r="G114" s="2" cm="1">
        <f t="array" ref="G114">INDEX( ComputeThermoProps($A114, $B114, ParametersRange), 1, COLUMN()-2 )</f>
        <v>28.015721082602706</v>
      </c>
      <c r="H114" s="2" cm="1">
        <f t="array" ref="H114">INDEX( ComputeThermoProps($A114, $B114, ParametersRange), 1, COLUMN()-2 )</f>
        <v>23.689501983725176</v>
      </c>
      <c r="I114" s="2" cm="1">
        <f t="array" ref="I114">INDEX( ComputeThermoProps($A114, $B114, ParametersRange), 1, COLUMN()-2 )</f>
        <v>2.0095862061871999</v>
      </c>
      <c r="J114" s="2" cm="1">
        <f t="array" ref="J114">INDEX( ComputeThermoProps($A114, $B114, ParametersRange), 1, COLUMN()-2 )</f>
        <v>1897.1980116666703</v>
      </c>
      <c r="K114" s="2" cm="1">
        <f t="array" ref="K114">INDEX( ComputeThermoProps($A114, $B114, ParametersRange), 1, COLUMN()-2 )</f>
        <v>33.331864878923682</v>
      </c>
      <c r="L114" s="2" cm="1">
        <f t="array" ref="L114">INDEX( ComputeThermoProps($A114, $B114, ParametersRange), 1, COLUMN()-2 )</f>
        <v>-1139.334878803277</v>
      </c>
      <c r="M114" s="2" cm="1">
        <f t="array" ref="M114">INDEX( ComputeThermoProps($A114, $B114, ParametersRange), 1, COLUMN()-2 )</f>
        <v>9833.2675212768645</v>
      </c>
      <c r="N114" s="2" cm="1">
        <f t="array" ref="N114">INDEX( ComputeThermoProps($A114, $B114, ParametersRange), 1, COLUMN()-2 )</f>
        <v>6796.7346308069173</v>
      </c>
      <c r="P114">
        <f t="shared" si="3"/>
        <v>8276.8382105997516</v>
      </c>
    </row>
    <row r="115" spans="1:16" x14ac:dyDescent="0.25">
      <c r="A115" s="2">
        <v>92.1</v>
      </c>
      <c r="B115" s="2">
        <f t="shared" si="2"/>
        <v>737.36757983619725</v>
      </c>
      <c r="C115" s="2" cm="1">
        <f t="array" ref="C115">INDEX( ComputeThermoProps($A115, $B115, ParametersRange), 1, COLUMN()-2 )</f>
        <v>10.950048767512865</v>
      </c>
      <c r="D115" s="2" cm="1">
        <f t="array" ref="D115">INDEX( ComputeThermoProps($A115, $B115, ParametersRange), 1, COLUMN()-2 )</f>
        <v>2.2570932328891402E-4</v>
      </c>
      <c r="E115" s="2" cm="1">
        <f t="array" ref="E115">INDEX( ComputeThermoProps($A115, $B115, ParametersRange), 1, COLUMN()-2 )</f>
        <v>1.9113024125868371E-4</v>
      </c>
      <c r="F115" s="2" cm="1">
        <f t="array" ref="F115">INDEX( ComputeThermoProps($A115, $B115, ParametersRange), 1, COLUMN()-2 )</f>
        <v>9.7971193199456429E-4</v>
      </c>
      <c r="G115" s="2" cm="1">
        <f t="array" ref="G115">INDEX( ComputeThermoProps($A115, $B115, ParametersRange), 1, COLUMN()-2 )</f>
        <v>27.993617131037059</v>
      </c>
      <c r="H115" s="2" cm="1">
        <f t="array" ref="H115">INDEX( ComputeThermoProps($A115, $B115, ParametersRange), 1, COLUMN()-2 )</f>
        <v>23.704943677092345</v>
      </c>
      <c r="I115" s="2" cm="1">
        <f t="array" ref="I115">INDEX( ComputeThermoProps($A115, $B115, ParametersRange), 1, COLUMN()-2 )</f>
        <v>2.0050537728239703</v>
      </c>
      <c r="J115" s="2" cm="1">
        <f t="array" ref="J115">INDEX( ComputeThermoProps($A115, $B115, ParametersRange), 1, COLUMN()-2 )</f>
        <v>1929.1318466814359</v>
      </c>
      <c r="K115" s="2" cm="1">
        <f t="array" ref="K115">INDEX( ComputeThermoProps($A115, $B115, ParametersRange), 1, COLUMN()-2 )</f>
        <v>33.483161859782818</v>
      </c>
      <c r="L115" s="2" cm="1">
        <f t="array" ref="L115">INDEX( ComputeThermoProps($A115, $B115, ParametersRange), 1, COLUMN()-2 )</f>
        <v>-1154.6673606045615</v>
      </c>
      <c r="M115" s="2" cm="1">
        <f t="array" ref="M115">INDEX( ComputeThermoProps($A115, $B115, ParametersRange), 1, COLUMN()-2 )</f>
        <v>10003.342805470731</v>
      </c>
      <c r="N115" s="2" cm="1">
        <f t="array" ref="N115">INDEX( ComputeThermoProps($A115, $B115, ParametersRange), 1, COLUMN()-2 )</f>
        <v>6919.543598184734</v>
      </c>
      <c r="P115">
        <f t="shared" si="3"/>
        <v>8446.9134947936182</v>
      </c>
    </row>
    <row r="116" spans="1:16" x14ac:dyDescent="0.25">
      <c r="A116" s="2">
        <v>93.1</v>
      </c>
      <c r="B116" s="2">
        <f t="shared" si="2"/>
        <v>751.69162614166385</v>
      </c>
      <c r="C116" s="2" cm="1">
        <f t="array" ref="C116">INDEX( ComputeThermoProps($A116, $B116, ParametersRange), 1, COLUMN()-2 )</f>
        <v>10.925631343782678</v>
      </c>
      <c r="D116" s="2" cm="1">
        <f t="array" ref="D116">INDEX( ComputeThermoProps($A116, $B116, ParametersRange), 1, COLUMN()-2 )</f>
        <v>2.2159742281822574E-4</v>
      </c>
      <c r="E116" s="2" cm="1">
        <f t="array" ref="E116">INDEX( ComputeThermoProps($A116, $B116, ParametersRange), 1, COLUMN()-2 )</f>
        <v>1.8791138450960791E-4</v>
      </c>
      <c r="F116" s="2" cm="1">
        <f t="array" ref="F116">INDEX( ComputeThermoProps($A116, $B116, ParametersRange), 1, COLUMN()-2 )</f>
        <v>9.6247764594265255E-4</v>
      </c>
      <c r="G116" s="2" cm="1">
        <f t="array" ref="G116">INDEX( ComputeThermoProps($A116, $B116, ParametersRange), 1, COLUMN()-2 )</f>
        <v>27.972262056535008</v>
      </c>
      <c r="H116" s="2" cm="1">
        <f t="array" ref="H116">INDEX( ComputeThermoProps($A116, $B116, ParametersRange), 1, COLUMN()-2 )</f>
        <v>23.72007049567884</v>
      </c>
      <c r="I116" s="2" cm="1">
        <f t="array" ref="I116">INDEX( ComputeThermoProps($A116, $B116, ParametersRange), 1, COLUMN()-2 )</f>
        <v>2.0005827198981603</v>
      </c>
      <c r="J116" s="2" cm="1">
        <f t="array" ref="J116">INDEX( ComputeThermoProps($A116, $B116, ParametersRange), 1, COLUMN()-2 )</f>
        <v>1961.206000394272</v>
      </c>
      <c r="K116" s="2" cm="1">
        <f t="array" ref="K116">INDEX( ComputeThermoProps($A116, $B116, ParametersRange), 1, COLUMN()-2 )</f>
        <v>33.633216238929926</v>
      </c>
      <c r="L116" s="2" cm="1">
        <f t="array" ref="L116">INDEX( ComputeThermoProps($A116, $B116, ParametersRange), 1, COLUMN()-2 )</f>
        <v>-1170.0464314501039</v>
      </c>
      <c r="M116" s="2" cm="1">
        <f t="array" ref="M116">INDEX( ComputeThermoProps($A116, $B116, ParametersRange), 1, COLUMN()-2 )</f>
        <v>10173.911591826605</v>
      </c>
      <c r="N116" s="2" cm="1">
        <f t="array" ref="N116">INDEX( ComputeThermoProps($A116, $B116, ParametersRange), 1, COLUMN()-2 )</f>
        <v>7042.6591599822295</v>
      </c>
      <c r="P116">
        <f t="shared" si="3"/>
        <v>8617.4822811494923</v>
      </c>
    </row>
    <row r="117" spans="1:16" x14ac:dyDescent="0.25">
      <c r="A117" s="2">
        <v>94.1</v>
      </c>
      <c r="B117" s="2">
        <f t="shared" si="2"/>
        <v>766.08882576885821</v>
      </c>
      <c r="C117" s="2" cm="1">
        <f t="array" ref="C117">INDEX( ComputeThermoProps($A117, $B117, ParametersRange), 1, COLUMN()-2 )</f>
        <v>10.901539738919947</v>
      </c>
      <c r="D117" s="2" cm="1">
        <f t="array" ref="D117">INDEX( ComputeThermoProps($A117, $B117, ParametersRange), 1, COLUMN()-2 )</f>
        <v>2.1762241574029524E-4</v>
      </c>
      <c r="E117" s="2" cm="1">
        <f t="array" ref="E117">INDEX( ComputeThermoProps($A117, $B117, ParametersRange), 1, COLUMN()-2 )</f>
        <v>1.8479231716926202E-4</v>
      </c>
      <c r="F117" s="2" cm="1">
        <f t="array" ref="F117">INDEX( ComputeThermoProps($A117, $B117, ParametersRange), 1, COLUMN()-2 )</f>
        <v>9.4580333015942643E-4</v>
      </c>
      <c r="G117" s="2" cm="1">
        <f t="array" ref="G117">INDEX( ComputeThermoProps($A117, $B117, ParametersRange), 1, COLUMN()-2 )</f>
        <v>27.951618272495498</v>
      </c>
      <c r="H117" s="2" cm="1">
        <f t="array" ref="H117">INDEX( ComputeThermoProps($A117, $B117, ParametersRange), 1, COLUMN()-2 )</f>
        <v>23.734890965318534</v>
      </c>
      <c r="I117" s="2" cm="1">
        <f t="array" ref="I117">INDEX( ComputeThermoProps($A117, $B117, ParametersRange), 1, COLUMN()-2 )</f>
        <v>1.9961713273776418</v>
      </c>
      <c r="J117" s="2" cm="1">
        <f t="array" ref="J117">INDEX( ComputeThermoProps($A117, $B117, ParametersRange), 1, COLUMN()-2 )</f>
        <v>1993.4187381955949</v>
      </c>
      <c r="K117" s="2" cm="1">
        <f t="array" ref="K117">INDEX( ComputeThermoProps($A117, $B117, ParametersRange), 1, COLUMN()-2 )</f>
        <v>33.782043304629703</v>
      </c>
      <c r="L117" s="2" cm="1">
        <f t="array" ref="L117">INDEX( ComputeThermoProps($A117, $B117, ParametersRange), 1, COLUMN()-2 )</f>
        <v>-1185.4715367700599</v>
      </c>
      <c r="M117" s="2" cm="1">
        <f t="array" ref="M117">INDEX( ComputeThermoProps($A117, $B117, ParametersRange), 1, COLUMN()-2 )</f>
        <v>10344.966515857323</v>
      </c>
      <c r="N117" s="2" cm="1">
        <f t="array" ref="N117">INDEX( ComputeThermoProps($A117, $B117, ParametersRange), 1, COLUMN()-2 )</f>
        <v>7166.076240891668</v>
      </c>
      <c r="P117">
        <f t="shared" si="3"/>
        <v>8788.5372051802096</v>
      </c>
    </row>
    <row r="118" spans="1:16" x14ac:dyDescent="0.25">
      <c r="A118" s="2">
        <v>95.1</v>
      </c>
      <c r="B118" s="2">
        <f t="shared" si="2"/>
        <v>780.5585129482397</v>
      </c>
      <c r="C118" s="2" cm="1">
        <f t="array" ref="C118">INDEX( ComputeThermoProps($A118, $B118, ParametersRange), 1, COLUMN()-2 )</f>
        <v>10.877764945946694</v>
      </c>
      <c r="D118" s="2" cm="1">
        <f t="array" ref="D118">INDEX( ComputeThermoProps($A118, $B118, ParametersRange), 1, COLUMN()-2 )</f>
        <v>2.1377787225268638E-4</v>
      </c>
      <c r="E118" s="2" cm="1">
        <f t="array" ref="E118">INDEX( ComputeThermoProps($A118, $B118, ParametersRange), 1, COLUMN()-2 )</f>
        <v>1.8176867350363344E-4</v>
      </c>
      <c r="F118" s="2" cm="1">
        <f t="array" ref="F118">INDEX( ComputeThermoProps($A118, $B118, ParametersRange), 1, COLUMN()-2 )</f>
        <v>9.2966312975736084E-4</v>
      </c>
      <c r="G118" s="2" cm="1">
        <f t="array" ref="G118">INDEX( ComputeThermoProps($A118, $B118, ParametersRange), 1, COLUMN()-2 )</f>
        <v>27.931650452409599</v>
      </c>
      <c r="H118" s="2" cm="1">
        <f t="array" ref="H118">INDEX( ComputeThermoProps($A118, $B118, ParametersRange), 1, COLUMN()-2 )</f>
        <v>23.749413341996885</v>
      </c>
      <c r="I118" s="2" cm="1">
        <f t="array" ref="I118">INDEX( ComputeThermoProps($A118, $B118, ParametersRange), 1, COLUMN()-2 )</f>
        <v>1.9918179460025875</v>
      </c>
      <c r="J118" s="2" cm="1">
        <f t="array" ref="J118">INDEX( ComputeThermoProps($A118, $B118, ParametersRange), 1, COLUMN()-2 )</f>
        <v>2025.7683820559205</v>
      </c>
      <c r="K118" s="2" cm="1">
        <f t="array" ref="K118">INDEX( ComputeThermoProps($A118, $B118, ParametersRange), 1, COLUMN()-2 )</f>
        <v>33.929658268520392</v>
      </c>
      <c r="L118" s="2" cm="1">
        <f t="array" ref="L118">INDEX( ComputeThermoProps($A118, $B118, ParametersRange), 1, COLUMN()-2 )</f>
        <v>-1200.9421192803686</v>
      </c>
      <c r="M118" s="2" cm="1">
        <f t="array" ref="M118">INDEX( ComputeThermoProps($A118, $B118, ParametersRange), 1, COLUMN()-2 )</f>
        <v>10516.500412464562</v>
      </c>
      <c r="N118" s="2" cm="1">
        <f t="array" ref="N118">INDEX( ComputeThermoProps($A118, $B118, ParametersRange), 1, COLUMN()-2 )</f>
        <v>7289.7899111282732</v>
      </c>
      <c r="P118">
        <f t="shared" si="3"/>
        <v>8960.0711017874492</v>
      </c>
    </row>
    <row r="119" spans="1:16" x14ac:dyDescent="0.25">
      <c r="A119" s="2">
        <v>96.1</v>
      </c>
      <c r="B119" s="2">
        <f t="shared" si="2"/>
        <v>795.10003710470664</v>
      </c>
      <c r="C119" s="2" cm="1">
        <f t="array" ref="C119">INDEX( ComputeThermoProps($A119, $B119, ParametersRange), 1, COLUMN()-2 )</f>
        <v>10.854298324349289</v>
      </c>
      <c r="D119" s="2" cm="1">
        <f t="array" ref="D119">INDEX( ComputeThermoProps($A119, $B119, ParametersRange), 1, COLUMN()-2 )</f>
        <v>2.1005774288857294E-4</v>
      </c>
      <c r="E119" s="2" cm="1">
        <f t="array" ref="E119">INDEX( ComputeThermoProps($A119, $B119, ParametersRange), 1, COLUMN()-2 )</f>
        <v>1.7883632746417953E-4</v>
      </c>
      <c r="F119" s="2" cm="1">
        <f t="array" ref="F119">INDEX( ComputeThermoProps($A119, $B119, ParametersRange), 1, COLUMN()-2 )</f>
        <v>9.1403269943024989E-4</v>
      </c>
      <c r="G119" s="2" cm="1">
        <f t="array" ref="G119">INDEX( ComputeThermoProps($A119, $B119, ParametersRange), 1, COLUMN()-2 )</f>
        <v>27.91232538375677</v>
      </c>
      <c r="H119" s="2" cm="1">
        <f t="array" ref="H119">INDEX( ComputeThermoProps($A119, $B119, ParametersRange), 1, COLUMN()-2 )</f>
        <v>23.763645624166159</v>
      </c>
      <c r="I119" s="2" cm="1">
        <f t="array" ref="I119">INDEX( ComputeThermoProps($A119, $B119, ParametersRange), 1, COLUMN()-2 )</f>
        <v>1.9875209936161298</v>
      </c>
      <c r="J119" s="2" cm="1">
        <f t="array" ref="J119">INDEX( ComputeThermoProps($A119, $B119, ParametersRange), 1, COLUMN()-2 )</f>
        <v>2058.2533076521117</v>
      </c>
      <c r="K119" s="2" cm="1">
        <f t="array" ref="K119">INDEX( ComputeThermoProps($A119, $B119, ParametersRange), 1, COLUMN()-2 )</f>
        <v>34.076076252431733</v>
      </c>
      <c r="L119" s="2" cm="1">
        <f t="array" ref="L119">INDEX( ComputeThermoProps($A119, $B119, ParametersRange), 1, COLUMN()-2 )</f>
        <v>-1216.4576202065775</v>
      </c>
      <c r="M119" s="2" cm="1">
        <f t="array" ref="M119">INDEX( ComputeThermoProps($A119, $B119, ParametersRange), 1, COLUMN()-2 )</f>
        <v>10688.506308087786</v>
      </c>
      <c r="N119" s="2" cm="1">
        <f t="array" ref="N119">INDEX( ComputeThermoProps($A119, $B119, ParametersRange), 1, COLUMN()-2 )</f>
        <v>7413.7953802290967</v>
      </c>
      <c r="P119">
        <f t="shared" si="3"/>
        <v>9132.0769974106734</v>
      </c>
    </row>
    <row r="120" spans="1:16" x14ac:dyDescent="0.25">
      <c r="A120" s="2">
        <v>97.1</v>
      </c>
      <c r="B120" s="2">
        <f t="shared" si="2"/>
        <v>809.71276230888361</v>
      </c>
      <c r="C120" s="2" cm="1">
        <f t="array" ref="C120">INDEX( ComputeThermoProps($A120, $B120, ParametersRange), 1, COLUMN()-2 )</f>
        <v>10.831131581225645</v>
      </c>
      <c r="D120" s="2" cm="1">
        <f t="array" ref="D120">INDEX( ComputeThermoProps($A120, $B120, ParametersRange), 1, COLUMN()-2 )</f>
        <v>2.0645633201726933E-4</v>
      </c>
      <c r="E120" s="2" cm="1">
        <f t="array" ref="E120">INDEX( ComputeThermoProps($A120, $B120, ParametersRange), 1, COLUMN()-2 )</f>
        <v>1.7599137731281282E-4</v>
      </c>
      <c r="F120" s="2" cm="1">
        <f t="array" ref="F120">INDEX( ComputeThermoProps($A120, $B120, ParametersRange), 1, COLUMN()-2 )</f>
        <v>8.9888909953288773E-4</v>
      </c>
      <c r="G120" s="2" cm="1">
        <f t="array" ref="G120">INDEX( ComputeThermoProps($A120, $B120, ParametersRange), 1, COLUMN()-2 )</f>
        <v>27.893611828898447</v>
      </c>
      <c r="H120" s="2" cm="1">
        <f t="array" ref="H120">INDEX( ComputeThermoProps($A120, $B120, ParametersRange), 1, COLUMN()-2 )</f>
        <v>23.777595562369008</v>
      </c>
      <c r="I120" s="2" cm="1">
        <f t="array" ref="I120">INDEX( ComputeThermoProps($A120, $B120, ParametersRange), 1, COLUMN()-2 )</f>
        <v>1.9832789517122467</v>
      </c>
      <c r="J120" s="2" cm="1">
        <f t="array" ref="J120">INDEX( ComputeThermoProps($A120, $B120, ParametersRange), 1, COLUMN()-2 )</f>
        <v>2090.871941679316</v>
      </c>
      <c r="K120" s="2" cm="1">
        <f t="array" ref="K120">INDEX( ComputeThermoProps($A120, $B120, ParametersRange), 1, COLUMN()-2 )</f>
        <v>34.221312276427717</v>
      </c>
      <c r="L120" s="2" cm="1">
        <f t="array" ref="L120">INDEX( ComputeThermoProps($A120, $B120, ParametersRange), 1, COLUMN()-2 )</f>
        <v>-1232.0174803618152</v>
      </c>
      <c r="M120" s="2" cm="1">
        <f t="array" ref="M120">INDEX( ComputeThermoProps($A120, $B120, ParametersRange), 1, COLUMN()-2 )</f>
        <v>10860.977413244518</v>
      </c>
      <c r="N120" s="2" cm="1">
        <f t="array" ref="N120">INDEX( ComputeThermoProps($A120, $B120, ParametersRange), 1, COLUMN()-2 )</f>
        <v>7538.087991203387</v>
      </c>
      <c r="P120">
        <f t="shared" si="3"/>
        <v>9304.5481025674053</v>
      </c>
    </row>
    <row r="121" spans="1:16" x14ac:dyDescent="0.25">
      <c r="A121" s="2">
        <v>98.1</v>
      </c>
      <c r="B121" s="2">
        <f t="shared" si="2"/>
        <v>824.39606675529956</v>
      </c>
      <c r="C121" s="2" cm="1">
        <f t="array" ref="C121">INDEX( ComputeThermoProps($A121, $B121, ParametersRange), 1, COLUMN()-2 )</f>
        <v>10.808256753547374</v>
      </c>
      <c r="D121" s="2" cm="1">
        <f t="array" ref="D121">INDEX( ComputeThermoProps($A121, $B121, ParametersRange), 1, COLUMN()-2 )</f>
        <v>2.029682734157183E-4</v>
      </c>
      <c r="E121" s="2" cm="1">
        <f t="array" ref="E121">INDEX( ComputeThermoProps($A121, $B121, ParametersRange), 1, COLUMN()-2 )</f>
        <v>1.7323013133570299E-4</v>
      </c>
      <c r="F121" s="2" cm="1">
        <f t="array" ref="F121">INDEX( ComputeThermoProps($A121, $B121, ParametersRange), 1, COLUMN()-2 )</f>
        <v>8.8421070015305681E-4</v>
      </c>
      <c r="G121" s="2" cm="1">
        <f t="array" ref="G121">INDEX( ComputeThermoProps($A121, $B121, ParametersRange), 1, COLUMN()-2 )</f>
        <v>27.87548039480016</v>
      </c>
      <c r="H121" s="2" cm="1">
        <f t="array" ref="H121">INDEX( ComputeThermoProps($A121, $B121, ParametersRange), 1, COLUMN()-2 )</f>
        <v>23.79127066793626</v>
      </c>
      <c r="I121" s="2" cm="1">
        <f t="array" ref="I121">INDEX( ComputeThermoProps($A121, $B121, ParametersRange), 1, COLUMN()-2 )</f>
        <v>1.9790903621877987</v>
      </c>
      <c r="J121" s="2" cm="1">
        <f t="array" ref="J121">INDEX( ComputeThermoProps($A121, $B121, ParametersRange), 1, COLUMN()-2 )</f>
        <v>2123.6227593368112</v>
      </c>
      <c r="K121" s="2" cm="1">
        <f t="array" ref="K121">INDEX( ComputeThermoProps($A121, $B121, ParametersRange), 1, COLUMN()-2 )</f>
        <v>34.365381248050973</v>
      </c>
      <c r="L121" s="2" cm="1">
        <f t="array" ref="L121">INDEX( ComputeThermoProps($A121, $B121, ParametersRange), 1, COLUMN()-2 )</f>
        <v>-1247.621141096989</v>
      </c>
      <c r="M121" s="2" cm="1">
        <f t="array" ref="M121">INDEX( ComputeThermoProps($A121, $B121, ParametersRange), 1, COLUMN()-2 )</f>
        <v>11033.907115442669</v>
      </c>
      <c r="N121" s="2" cm="1">
        <f t="array" ref="N121">INDEX( ComputeThermoProps($A121, $B121, ParametersRange), 1, COLUMN()-2 )</f>
        <v>7662.663215008869</v>
      </c>
      <c r="P121">
        <f t="shared" si="3"/>
        <v>9477.4778047655564</v>
      </c>
    </row>
    <row r="122" spans="1:16" x14ac:dyDescent="0.25">
      <c r="A122" s="2">
        <v>99.1</v>
      </c>
      <c r="B122" s="2">
        <f t="shared" si="2"/>
        <v>839.14934226579544</v>
      </c>
      <c r="C122" s="2" cm="1">
        <f t="array" ref="C122">INDEX( ComputeThermoProps($A122, $B122, ParametersRange), 1, COLUMN()-2 )</f>
        <v>10.785666191464735</v>
      </c>
      <c r="D122" s="2" cm="1">
        <f t="array" ref="D122">INDEX( ComputeThermoProps($A122, $B122, ParametersRange), 1, COLUMN()-2 )</f>
        <v>1.995885077195542E-4</v>
      </c>
      <c r="E122" s="2" cm="1">
        <f t="array" ref="E122">INDEX( ComputeThermoProps($A122, $B122, ParametersRange), 1, COLUMN()-2 )</f>
        <v>1.7054909456574812E-4</v>
      </c>
      <c r="F122" s="2" cm="1">
        <f t="array" ref="F122">INDEX( ComputeThermoProps($A122, $B122, ParametersRange), 1, COLUMN()-2 )</f>
        <v>8.6997709199757999E-4</v>
      </c>
      <c r="G122" s="2" cm="1">
        <f t="array" ref="G122">INDEX( ComputeThermoProps($A122, $B122, ParametersRange), 1, COLUMN()-2 )</f>
        <v>27.857903394343158</v>
      </c>
      <c r="H122" s="2" cm="1">
        <f t="array" ref="H122">INDEX( ComputeThermoProps($A122, $B122, ParametersRange), 1, COLUMN()-2 )</f>
        <v>23.804678208633277</v>
      </c>
      <c r="I122" s="2" cm="1">
        <f t="array" ref="I122">INDEX( ComputeThermoProps($A122, $B122, ParametersRange), 1, COLUMN()-2 )</f>
        <v>1.974953824285514</v>
      </c>
      <c r="J122" s="2" cm="1">
        <f t="array" ref="J122">INDEX( ComputeThermoProps($A122, $B122, ParametersRange), 1, COLUMN()-2 )</f>
        <v>2156.5042819679015</v>
      </c>
      <c r="K122" s="2" cm="1">
        <f t="array" ref="K122">INDEX( ComputeThermoProps($A122, $B122, ParametersRange), 1, COLUMN()-2 )</f>
        <v>34.508297952574061</v>
      </c>
      <c r="L122" s="2" cm="1">
        <f t="array" ref="L122">INDEX( ComputeThermoProps($A122, $B122, ParametersRange), 1, COLUMN()-2 )</f>
        <v>-1263.2680451321878</v>
      </c>
      <c r="M122" s="2" cm="1">
        <f t="array" ref="M122">INDEX( ComputeThermoProps($A122, $B122, ParametersRange), 1, COLUMN()-2 )</f>
        <v>11207.28897243396</v>
      </c>
      <c r="N122" s="2" cm="1">
        <f t="array" ref="N122">INDEX( ComputeThermoProps($A122, $B122, ParametersRange), 1, COLUMN()-2 )</f>
        <v>7787.5166453338707</v>
      </c>
      <c r="P122">
        <f t="shared" si="3"/>
        <v>9650.8596617568473</v>
      </c>
    </row>
    <row r="123" spans="1:1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Parameters</vt:lpstr>
      <vt:lpstr>Inputs</vt:lpstr>
      <vt:lpstr>Outputs</vt:lpstr>
      <vt:lpstr>Sweep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2025-10-05T09:43:25Z</dcterms:modified>
</cp:coreProperties>
</file>