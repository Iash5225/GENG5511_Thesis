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204" documentId="8_{B0C8A4BE-9622-4CEE-91F7-C2B4B71EBE2F}" xr6:coauthVersionLast="47" xr6:coauthVersionMax="47" xr10:uidLastSave="{983D8293-D8EC-4043-AC3E-4987E8EAC1A1}"/>
  <bookViews>
    <workbookView xWindow="28680" yWindow="-120" windowWidth="29040" windowHeight="15720" activeTab="3" xr2:uid="{00000000-000D-0000-FFFF-FFFF00000000}"/>
  </bookViews>
  <sheets>
    <sheet name="Parameters" sheetId="2" r:id="rId1"/>
    <sheet name="Inputs" sheetId="1" r:id="rId2"/>
    <sheet name="Outputs" sheetId="3" r:id="rId3"/>
    <sheet name="Sweep" sheetId="4" r:id="rId4"/>
  </sheets>
  <functionGroups builtInGroupCount="19"/>
  <definedNames>
    <definedName name="p_in">Inputs!$B$3</definedName>
    <definedName name="ParametersRange">Parameters!$B$2:$B$32</definedName>
    <definedName name="T_in">Inputs!$B$2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" i="4" l="1" a="1"/>
  <c r="A18" i="4" s="1"/>
  <c r="B18" i="4" s="1"/>
  <c r="G18" i="4" a="1"/>
  <c r="B4" i="3"/>
  <c r="B16" i="3"/>
  <c r="C18" i="4" a="1"/>
  <c r="B3" i="3"/>
  <c r="B6" i="3"/>
  <c r="D18" i="4" a="1"/>
  <c r="B2" i="3"/>
  <c r="F18" i="4" a="1"/>
  <c r="J18" i="4" a="1"/>
  <c r="B13" i="3"/>
  <c r="K18" i="4" a="1"/>
  <c r="B12" i="3"/>
  <c r="H18" i="4" a="1"/>
  <c r="B11" i="3"/>
  <c r="E18" i="4" a="1"/>
  <c r="B10" i="3"/>
  <c r="I18" i="4" a="1"/>
  <c r="B9" i="3"/>
  <c r="N18" i="4" a="1"/>
  <c r="L18" i="4" a="1"/>
  <c r="B8" i="3"/>
  <c r="B7" i="3"/>
  <c r="M18" i="4" a="1"/>
  <c r="B5" i="3"/>
  <c r="B76" i="4" l="1"/>
  <c r="B99" i="4"/>
  <c r="B114" i="4"/>
  <c r="B102" i="4"/>
  <c r="B90" i="4"/>
  <c r="B78" i="4"/>
  <c r="B66" i="4"/>
  <c r="B54" i="4"/>
  <c r="B42" i="4"/>
  <c r="B30" i="4"/>
  <c r="B112" i="4"/>
  <c r="B40" i="4"/>
  <c r="B63" i="4"/>
  <c r="B113" i="4"/>
  <c r="B101" i="4"/>
  <c r="B89" i="4"/>
  <c r="B77" i="4"/>
  <c r="B65" i="4"/>
  <c r="B53" i="4"/>
  <c r="B41" i="4"/>
  <c r="B29" i="4"/>
  <c r="B28" i="4"/>
  <c r="B88" i="4"/>
  <c r="B52" i="4"/>
  <c r="B75" i="4"/>
  <c r="B39" i="4"/>
  <c r="B110" i="4"/>
  <c r="B86" i="4"/>
  <c r="B62" i="4"/>
  <c r="B38" i="4"/>
  <c r="B109" i="4"/>
  <c r="B85" i="4"/>
  <c r="B61" i="4"/>
  <c r="B37" i="4"/>
  <c r="B108" i="4"/>
  <c r="B72" i="4"/>
  <c r="B60" i="4"/>
  <c r="B36" i="4"/>
  <c r="B95" i="4"/>
  <c r="B59" i="4"/>
  <c r="B35" i="4"/>
  <c r="B82" i="4"/>
  <c r="B46" i="4"/>
  <c r="B22" i="4"/>
  <c r="B117" i="4"/>
  <c r="B105" i="4"/>
  <c r="B93" i="4"/>
  <c r="B81" i="4"/>
  <c r="B69" i="4"/>
  <c r="B57" i="4"/>
  <c r="B45" i="4"/>
  <c r="B33" i="4"/>
  <c r="B21" i="4"/>
  <c r="B83" i="4"/>
  <c r="B94" i="4"/>
  <c r="B58" i="4"/>
  <c r="B34" i="4"/>
  <c r="B116" i="4"/>
  <c r="B104" i="4"/>
  <c r="B92" i="4"/>
  <c r="B80" i="4"/>
  <c r="B68" i="4"/>
  <c r="B56" i="4"/>
  <c r="B44" i="4"/>
  <c r="B32" i="4"/>
  <c r="B20" i="4"/>
  <c r="B100" i="4"/>
  <c r="B64" i="4"/>
  <c r="B111" i="4"/>
  <c r="B87" i="4"/>
  <c r="B51" i="4"/>
  <c r="B27" i="4"/>
  <c r="B98" i="4"/>
  <c r="B74" i="4"/>
  <c r="B50" i="4"/>
  <c r="B26" i="4"/>
  <c r="B97" i="4"/>
  <c r="B73" i="4"/>
  <c r="B49" i="4"/>
  <c r="B25" i="4"/>
  <c r="B96" i="4"/>
  <c r="B84" i="4"/>
  <c r="B48" i="4"/>
  <c r="B24" i="4"/>
  <c r="B107" i="4"/>
  <c r="B71" i="4"/>
  <c r="B47" i="4"/>
  <c r="B23" i="4"/>
  <c r="B106" i="4"/>
  <c r="B70" i="4"/>
  <c r="B115" i="4"/>
  <c r="B103" i="4"/>
  <c r="B91" i="4"/>
  <c r="B79" i="4"/>
  <c r="B67" i="4"/>
  <c r="B55" i="4"/>
  <c r="B43" i="4"/>
  <c r="B31" i="4"/>
  <c r="B19" i="4"/>
  <c r="G18" i="4"/>
  <c r="M18" i="4"/>
  <c r="F18" i="4"/>
  <c r="N18" i="4"/>
  <c r="L18" i="4"/>
  <c r="I18" i="4"/>
  <c r="E18" i="4"/>
  <c r="H18" i="4"/>
  <c r="K18" i="4"/>
  <c r="J18" i="4"/>
  <c r="D18" i="4"/>
  <c r="C18" i="4"/>
  <c r="L76" i="4" a="1"/>
  <c r="L63" i="4" a="1"/>
  <c r="L75" i="4" a="1"/>
  <c r="L60" i="4" a="1"/>
  <c r="L69" i="4" a="1"/>
  <c r="L80" i="4" a="1"/>
  <c r="L98" i="4" a="1"/>
  <c r="L107" i="4" a="1"/>
  <c r="L43" i="4" a="1"/>
  <c r="L99" i="4" a="1"/>
  <c r="L113" i="4" a="1"/>
  <c r="L39" i="4" a="1"/>
  <c r="L36" i="4" a="1"/>
  <c r="L57" i="4" a="1"/>
  <c r="L68" i="4" a="1"/>
  <c r="L74" i="4" a="1"/>
  <c r="L71" i="4" a="1"/>
  <c r="L31" i="4" a="1"/>
  <c r="L114" i="4" a="1"/>
  <c r="L101" i="4" a="1"/>
  <c r="L110" i="4" a="1"/>
  <c r="L95" i="4" a="1"/>
  <c r="L45" i="4" a="1"/>
  <c r="L56" i="4" a="1"/>
  <c r="L50" i="4" a="1"/>
  <c r="L47" i="4" a="1"/>
  <c r="L19" i="4" a="1"/>
  <c r="L102" i="4" a="1"/>
  <c r="L89" i="4" a="1"/>
  <c r="L86" i="4" a="1"/>
  <c r="L59" i="4" a="1"/>
  <c r="L33" i="4" a="1"/>
  <c r="L44" i="4" a="1"/>
  <c r="L26" i="4" a="1"/>
  <c r="L23" i="4" a="1"/>
  <c r="L90" i="4" a="1"/>
  <c r="L77" i="4" a="1"/>
  <c r="L62" i="4" a="1"/>
  <c r="L35" i="4" a="1"/>
  <c r="L21" i="4" a="1"/>
  <c r="L32" i="4" a="1"/>
  <c r="L97" i="4" a="1"/>
  <c r="L106" i="4" a="1"/>
  <c r="L78" i="4" a="1"/>
  <c r="L65" i="4" a="1"/>
  <c r="L38" i="4" a="1"/>
  <c r="L82" i="4" a="1"/>
  <c r="L83" i="4" a="1"/>
  <c r="L20" i="4" a="1"/>
  <c r="L73" i="4" a="1"/>
  <c r="L70" i="4" a="1"/>
  <c r="L66" i="4" a="1"/>
  <c r="L53" i="4" a="1"/>
  <c r="L109" i="4" a="1"/>
  <c r="L46" i="4" a="1"/>
  <c r="L94" i="4" a="1"/>
  <c r="L100" i="4" a="1"/>
  <c r="L49" i="4" a="1"/>
  <c r="L115" i="4" a="1"/>
  <c r="L54" i="4" a="1"/>
  <c r="L41" i="4" a="1"/>
  <c r="L85" i="4" a="1"/>
  <c r="L22" i="4" a="1"/>
  <c r="L58" i="4" a="1"/>
  <c r="L64" i="4" a="1"/>
  <c r="L25" i="4" a="1"/>
  <c r="L103" i="4" a="1"/>
  <c r="L42" i="4" a="1"/>
  <c r="L29" i="4" a="1"/>
  <c r="L61" i="4" a="1"/>
  <c r="L117" i="4" a="1"/>
  <c r="L34" i="4" a="1"/>
  <c r="L111" i="4" a="1"/>
  <c r="L96" i="4" a="1"/>
  <c r="L91" i="4" a="1"/>
  <c r="L30" i="4" a="1"/>
  <c r="L28" i="4" a="1"/>
  <c r="L37" i="4" a="1"/>
  <c r="L105" i="4" a="1"/>
  <c r="L116" i="4" a="1"/>
  <c r="L87" i="4" a="1"/>
  <c r="L84" i="4" a="1"/>
  <c r="L79" i="4" a="1"/>
  <c r="L40" i="4" a="1"/>
  <c r="L52" i="4" a="1"/>
  <c r="L72" i="4" a="1"/>
  <c r="L81" i="4" a="1"/>
  <c r="L92" i="4" a="1"/>
  <c r="L27" i="4" a="1"/>
  <c r="L24" i="4" a="1"/>
  <c r="L55" i="4" a="1"/>
  <c r="L67" i="4" a="1"/>
  <c r="L108" i="4" a="1"/>
  <c r="M93" i="4" a="1"/>
  <c r="M112" i="4" a="1"/>
  <c r="N51" i="4" a="1"/>
  <c r="M76" i="4" a="1"/>
  <c r="M63" i="4" a="1"/>
  <c r="M75" i="4" a="1"/>
  <c r="M60" i="4" a="1"/>
  <c r="M69" i="4" a="1"/>
  <c r="M80" i="4" a="1"/>
  <c r="M98" i="4" a="1"/>
  <c r="M107" i="4" a="1"/>
  <c r="M43" i="4" a="1"/>
  <c r="M99" i="4" a="1"/>
  <c r="M113" i="4" a="1"/>
  <c r="M39" i="4" a="1"/>
  <c r="M36" i="4" a="1"/>
  <c r="M57" i="4" a="1"/>
  <c r="M68" i="4" a="1"/>
  <c r="M74" i="4" a="1"/>
  <c r="M71" i="4" a="1"/>
  <c r="M31" i="4" a="1"/>
  <c r="M114" i="4" a="1"/>
  <c r="M101" i="4" a="1"/>
  <c r="M110" i="4" a="1"/>
  <c r="M95" i="4" a="1"/>
  <c r="M45" i="4" a="1"/>
  <c r="M56" i="4" a="1"/>
  <c r="M50" i="4" a="1"/>
  <c r="M47" i="4" a="1"/>
  <c r="M19" i="4" a="1"/>
  <c r="M102" i="4" a="1"/>
  <c r="M89" i="4" a="1"/>
  <c r="M86" i="4" a="1"/>
  <c r="M59" i="4" a="1"/>
  <c r="M33" i="4" a="1"/>
  <c r="M44" i="4" a="1"/>
  <c r="M26" i="4" a="1"/>
  <c r="M23" i="4" a="1"/>
  <c r="M90" i="4" a="1"/>
  <c r="M77" i="4" a="1"/>
  <c r="M62" i="4" a="1"/>
  <c r="M35" i="4" a="1"/>
  <c r="M21" i="4" a="1"/>
  <c r="M32" i="4" a="1"/>
  <c r="M97" i="4" a="1"/>
  <c r="M106" i="4" a="1"/>
  <c r="M78" i="4" a="1"/>
  <c r="M65" i="4" a="1"/>
  <c r="M38" i="4" a="1"/>
  <c r="M82" i="4" a="1"/>
  <c r="M83" i="4" a="1"/>
  <c r="M20" i="4" a="1"/>
  <c r="M73" i="4" a="1"/>
  <c r="M70" i="4" a="1"/>
  <c r="M66" i="4" a="1"/>
  <c r="M53" i="4" a="1"/>
  <c r="M109" i="4" a="1"/>
  <c r="M46" i="4" a="1"/>
  <c r="M94" i="4" a="1"/>
  <c r="M100" i="4" a="1"/>
  <c r="M49" i="4" a="1"/>
  <c r="M115" i="4" a="1"/>
  <c r="M54" i="4" a="1"/>
  <c r="M41" i="4" a="1"/>
  <c r="M85" i="4" a="1"/>
  <c r="M22" i="4" a="1"/>
  <c r="M58" i="4" a="1"/>
  <c r="M64" i="4" a="1"/>
  <c r="M25" i="4" a="1"/>
  <c r="M103" i="4" a="1"/>
  <c r="M42" i="4" a="1"/>
  <c r="M29" i="4" a="1"/>
  <c r="M61" i="4" a="1"/>
  <c r="M117" i="4" a="1"/>
  <c r="M34" i="4" a="1"/>
  <c r="M111" i="4" a="1"/>
  <c r="M96" i="4" a="1"/>
  <c r="M91" i="4" a="1"/>
  <c r="M30" i="4" a="1"/>
  <c r="M28" i="4" a="1"/>
  <c r="M37" i="4" a="1"/>
  <c r="M105" i="4" a="1"/>
  <c r="M116" i="4" a="1"/>
  <c r="M87" i="4" a="1"/>
  <c r="M84" i="4" a="1"/>
  <c r="M79" i="4" a="1"/>
  <c r="M40" i="4" a="1"/>
  <c r="M52" i="4" a="1"/>
  <c r="M72" i="4" a="1"/>
  <c r="M81" i="4" a="1"/>
  <c r="M92" i="4" a="1"/>
  <c r="M27" i="4" a="1"/>
  <c r="M24" i="4" a="1"/>
  <c r="M55" i="4" a="1"/>
  <c r="M104" i="4" a="1"/>
  <c r="M88" i="4" a="1"/>
  <c r="N76" i="4" a="1"/>
  <c r="N63" i="4" a="1"/>
  <c r="N75" i="4" a="1"/>
  <c r="N60" i="4" a="1"/>
  <c r="N69" i="4" a="1"/>
  <c r="N80" i="4" a="1"/>
  <c r="N98" i="4" a="1"/>
  <c r="N107" i="4" a="1"/>
  <c r="N43" i="4" a="1"/>
  <c r="N99" i="4" a="1"/>
  <c r="N113" i="4" a="1"/>
  <c r="N39" i="4" a="1"/>
  <c r="N36" i="4" a="1"/>
  <c r="N57" i="4" a="1"/>
  <c r="N68" i="4" a="1"/>
  <c r="N74" i="4" a="1"/>
  <c r="N71" i="4" a="1"/>
  <c r="N31" i="4" a="1"/>
  <c r="N114" i="4" a="1"/>
  <c r="N101" i="4" a="1"/>
  <c r="N110" i="4" a="1"/>
  <c r="N95" i="4" a="1"/>
  <c r="N45" i="4" a="1"/>
  <c r="N56" i="4" a="1"/>
  <c r="N50" i="4" a="1"/>
  <c r="N47" i="4" a="1"/>
  <c r="N19" i="4" a="1"/>
  <c r="N102" i="4" a="1"/>
  <c r="N89" i="4" a="1"/>
  <c r="N86" i="4" a="1"/>
  <c r="N59" i="4" a="1"/>
  <c r="N33" i="4" a="1"/>
  <c r="N44" i="4" a="1"/>
  <c r="N26" i="4" a="1"/>
  <c r="N23" i="4" a="1"/>
  <c r="N90" i="4" a="1"/>
  <c r="N77" i="4" a="1"/>
  <c r="N62" i="4" a="1"/>
  <c r="N35" i="4" a="1"/>
  <c r="N21" i="4" a="1"/>
  <c r="N32" i="4" a="1"/>
  <c r="N97" i="4" a="1"/>
  <c r="N106" i="4" a="1"/>
  <c r="N78" i="4" a="1"/>
  <c r="N65" i="4" a="1"/>
  <c r="N38" i="4" a="1"/>
  <c r="N82" i="4" a="1"/>
  <c r="N83" i="4" a="1"/>
  <c r="N20" i="4" a="1"/>
  <c r="N73" i="4" a="1"/>
  <c r="N70" i="4" a="1"/>
  <c r="N66" i="4" a="1"/>
  <c r="N53" i="4" a="1"/>
  <c r="N109" i="4" a="1"/>
  <c r="N46" i="4" a="1"/>
  <c r="N94" i="4" a="1"/>
  <c r="N100" i="4" a="1"/>
  <c r="N49" i="4" a="1"/>
  <c r="N115" i="4" a="1"/>
  <c r="N54" i="4" a="1"/>
  <c r="N41" i="4" a="1"/>
  <c r="N85" i="4" a="1"/>
  <c r="N22" i="4" a="1"/>
  <c r="N58" i="4" a="1"/>
  <c r="N64" i="4" a="1"/>
  <c r="N25" i="4" a="1"/>
  <c r="N103" i="4" a="1"/>
  <c r="N42" i="4" a="1"/>
  <c r="N29" i="4" a="1"/>
  <c r="N61" i="4" a="1"/>
  <c r="N117" i="4" a="1"/>
  <c r="N34" i="4" a="1"/>
  <c r="N111" i="4" a="1"/>
  <c r="N96" i="4" a="1"/>
  <c r="N91" i="4" a="1"/>
  <c r="N30" i="4" a="1"/>
  <c r="N28" i="4" a="1"/>
  <c r="N37" i="4" a="1"/>
  <c r="N105" i="4" a="1"/>
  <c r="N116" i="4" a="1"/>
  <c r="N87" i="4" a="1"/>
  <c r="N84" i="4" a="1"/>
  <c r="N79" i="4" a="1"/>
  <c r="N40" i="4" a="1"/>
  <c r="N52" i="4" a="1"/>
  <c r="N72" i="4" a="1"/>
  <c r="N81" i="4" a="1"/>
  <c r="N92" i="4" a="1"/>
  <c r="N27" i="4" a="1"/>
  <c r="N24" i="4" a="1"/>
  <c r="N55" i="4" a="1"/>
  <c r="N104" i="4" a="1"/>
  <c r="N48" i="4" a="1"/>
  <c r="N67" i="4" a="1"/>
  <c r="N93" i="4" a="1"/>
  <c r="N88" i="4" a="1"/>
  <c r="C76" i="4" a="1"/>
  <c r="C63" i="4" a="1"/>
  <c r="C75" i="4" a="1"/>
  <c r="C60" i="4" a="1"/>
  <c r="C69" i="4" a="1"/>
  <c r="C80" i="4" a="1"/>
  <c r="C98" i="4" a="1"/>
  <c r="C107" i="4" a="1"/>
  <c r="C43" i="4" a="1"/>
  <c r="C99" i="4" a="1"/>
  <c r="C113" i="4" a="1"/>
  <c r="C39" i="4" a="1"/>
  <c r="C36" i="4" a="1"/>
  <c r="C57" i="4" a="1"/>
  <c r="C68" i="4" a="1"/>
  <c r="C74" i="4" a="1"/>
  <c r="C71" i="4" a="1"/>
  <c r="C31" i="4" a="1"/>
  <c r="C114" i="4" a="1"/>
  <c r="C101" i="4" a="1"/>
  <c r="C110" i="4" a="1"/>
  <c r="C95" i="4" a="1"/>
  <c r="C45" i="4" a="1"/>
  <c r="C56" i="4" a="1"/>
  <c r="C50" i="4" a="1"/>
  <c r="C47" i="4" a="1"/>
  <c r="C19" i="4" a="1"/>
  <c r="C102" i="4" a="1"/>
  <c r="C89" i="4" a="1"/>
  <c r="C86" i="4" a="1"/>
  <c r="C59" i="4" a="1"/>
  <c r="C33" i="4" a="1"/>
  <c r="C44" i="4" a="1"/>
  <c r="C26" i="4" a="1"/>
  <c r="C23" i="4" a="1"/>
  <c r="C90" i="4" a="1"/>
  <c r="C77" i="4" a="1"/>
  <c r="C62" i="4" a="1"/>
  <c r="C35" i="4" a="1"/>
  <c r="C21" i="4" a="1"/>
  <c r="C32" i="4" a="1"/>
  <c r="C97" i="4" a="1"/>
  <c r="C106" i="4" a="1"/>
  <c r="C78" i="4" a="1"/>
  <c r="C65" i="4" a="1"/>
  <c r="C38" i="4" a="1"/>
  <c r="C82" i="4" a="1"/>
  <c r="C83" i="4" a="1"/>
  <c r="C20" i="4" a="1"/>
  <c r="C73" i="4" a="1"/>
  <c r="C70" i="4" a="1"/>
  <c r="C66" i="4" a="1"/>
  <c r="C53" i="4" a="1"/>
  <c r="C109" i="4" a="1"/>
  <c r="C46" i="4" a="1"/>
  <c r="C94" i="4" a="1"/>
  <c r="C100" i="4" a="1"/>
  <c r="C49" i="4" a="1"/>
  <c r="C115" i="4" a="1"/>
  <c r="C54" i="4" a="1"/>
  <c r="C41" i="4" a="1"/>
  <c r="C85" i="4" a="1"/>
  <c r="C22" i="4" a="1"/>
  <c r="C58" i="4" a="1"/>
  <c r="C64" i="4" a="1"/>
  <c r="C25" i="4" a="1"/>
  <c r="C103" i="4" a="1"/>
  <c r="C42" i="4" a="1"/>
  <c r="C29" i="4" a="1"/>
  <c r="C61" i="4" a="1"/>
  <c r="C117" i="4" a="1"/>
  <c r="C34" i="4" a="1"/>
  <c r="C111" i="4" a="1"/>
  <c r="C96" i="4" a="1"/>
  <c r="C91" i="4" a="1"/>
  <c r="C30" i="4" a="1"/>
  <c r="C28" i="4" a="1"/>
  <c r="C37" i="4" a="1"/>
  <c r="C105" i="4" a="1"/>
  <c r="C116" i="4" a="1"/>
  <c r="C87" i="4" a="1"/>
  <c r="C84" i="4" a="1"/>
  <c r="C79" i="4" a="1"/>
  <c r="C40" i="4" a="1"/>
  <c r="C52" i="4" a="1"/>
  <c r="C72" i="4" a="1"/>
  <c r="C81" i="4" a="1"/>
  <c r="C92" i="4" a="1"/>
  <c r="C27" i="4" a="1"/>
  <c r="C24" i="4" a="1"/>
  <c r="C55" i="4" a="1"/>
  <c r="C104" i="4" a="1"/>
  <c r="C48" i="4" a="1"/>
  <c r="C67" i="4" a="1"/>
  <c r="C93" i="4" a="1"/>
  <c r="C88" i="4" a="1"/>
  <c r="C112" i="4" a="1"/>
  <c r="D76" i="4" a="1"/>
  <c r="D63" i="4" a="1"/>
  <c r="D75" i="4" a="1"/>
  <c r="D60" i="4" a="1"/>
  <c r="D69" i="4" a="1"/>
  <c r="D80" i="4" a="1"/>
  <c r="D98" i="4" a="1"/>
  <c r="D107" i="4" a="1"/>
  <c r="D43" i="4" a="1"/>
  <c r="D99" i="4" a="1"/>
  <c r="D113" i="4" a="1"/>
  <c r="D39" i="4" a="1"/>
  <c r="D36" i="4" a="1"/>
  <c r="D57" i="4" a="1"/>
  <c r="D68" i="4" a="1"/>
  <c r="D74" i="4" a="1"/>
  <c r="D71" i="4" a="1"/>
  <c r="D31" i="4" a="1"/>
  <c r="D114" i="4" a="1"/>
  <c r="D101" i="4" a="1"/>
  <c r="D110" i="4" a="1"/>
  <c r="D95" i="4" a="1"/>
  <c r="D45" i="4" a="1"/>
  <c r="D56" i="4" a="1"/>
  <c r="D50" i="4" a="1"/>
  <c r="D47" i="4" a="1"/>
  <c r="D19" i="4" a="1"/>
  <c r="D102" i="4" a="1"/>
  <c r="D89" i="4" a="1"/>
  <c r="D86" i="4" a="1"/>
  <c r="D59" i="4" a="1"/>
  <c r="D33" i="4" a="1"/>
  <c r="D44" i="4" a="1"/>
  <c r="D26" i="4" a="1"/>
  <c r="D23" i="4" a="1"/>
  <c r="D90" i="4" a="1"/>
  <c r="D77" i="4" a="1"/>
  <c r="D62" i="4" a="1"/>
  <c r="D35" i="4" a="1"/>
  <c r="D21" i="4" a="1"/>
  <c r="D32" i="4" a="1"/>
  <c r="D97" i="4" a="1"/>
  <c r="D106" i="4" a="1"/>
  <c r="D78" i="4" a="1"/>
  <c r="D65" i="4" a="1"/>
  <c r="D38" i="4" a="1"/>
  <c r="D82" i="4" a="1"/>
  <c r="D83" i="4" a="1"/>
  <c r="D20" i="4" a="1"/>
  <c r="D73" i="4" a="1"/>
  <c r="D70" i="4" a="1"/>
  <c r="D66" i="4" a="1"/>
  <c r="D53" i="4" a="1"/>
  <c r="D109" i="4" a="1"/>
  <c r="D46" i="4" a="1"/>
  <c r="D94" i="4" a="1"/>
  <c r="D100" i="4" a="1"/>
  <c r="D49" i="4" a="1"/>
  <c r="D115" i="4" a="1"/>
  <c r="D54" i="4" a="1"/>
  <c r="D41" i="4" a="1"/>
  <c r="D85" i="4" a="1"/>
  <c r="D22" i="4" a="1"/>
  <c r="D58" i="4" a="1"/>
  <c r="D64" i="4" a="1"/>
  <c r="D25" i="4" a="1"/>
  <c r="D103" i="4" a="1"/>
  <c r="D42" i="4" a="1"/>
  <c r="D29" i="4" a="1"/>
  <c r="D61" i="4" a="1"/>
  <c r="D117" i="4" a="1"/>
  <c r="D34" i="4" a="1"/>
  <c r="D111" i="4" a="1"/>
  <c r="D96" i="4" a="1"/>
  <c r="D91" i="4" a="1"/>
  <c r="D30" i="4" a="1"/>
  <c r="D28" i="4" a="1"/>
  <c r="D37" i="4" a="1"/>
  <c r="D105" i="4" a="1"/>
  <c r="D116" i="4" a="1"/>
  <c r="D87" i="4" a="1"/>
  <c r="D84" i="4" a="1"/>
  <c r="D79" i="4" a="1"/>
  <c r="D40" i="4" a="1"/>
  <c r="D52" i="4" a="1"/>
  <c r="D72" i="4" a="1"/>
  <c r="D81" i="4" a="1"/>
  <c r="D92" i="4" a="1"/>
  <c r="D27" i="4" a="1"/>
  <c r="D24" i="4" a="1"/>
  <c r="D55" i="4" a="1"/>
  <c r="D104" i="4" a="1"/>
  <c r="D48" i="4" a="1"/>
  <c r="D67" i="4" a="1"/>
  <c r="D93" i="4" a="1"/>
  <c r="D88" i="4" a="1"/>
  <c r="D108" i="4" a="1"/>
  <c r="D51" i="4" a="1"/>
  <c r="D112" i="4" a="1"/>
  <c r="E48" i="4" a="1"/>
  <c r="E93" i="4" a="1"/>
  <c r="E108" i="4" a="1"/>
  <c r="E51" i="4" a="1"/>
  <c r="F67" i="4" a="1"/>
  <c r="F88" i="4" a="1"/>
  <c r="F51" i="4" a="1"/>
  <c r="G51" i="4" a="1"/>
  <c r="E76" i="4" a="1"/>
  <c r="E63" i="4" a="1"/>
  <c r="E75" i="4" a="1"/>
  <c r="E60" i="4" a="1"/>
  <c r="E69" i="4" a="1"/>
  <c r="E80" i="4" a="1"/>
  <c r="E98" i="4" a="1"/>
  <c r="E107" i="4" a="1"/>
  <c r="E43" i="4" a="1"/>
  <c r="E99" i="4" a="1"/>
  <c r="E113" i="4" a="1"/>
  <c r="E39" i="4" a="1"/>
  <c r="E36" i="4" a="1"/>
  <c r="E57" i="4" a="1"/>
  <c r="E68" i="4" a="1"/>
  <c r="E74" i="4" a="1"/>
  <c r="E71" i="4" a="1"/>
  <c r="E31" i="4" a="1"/>
  <c r="E114" i="4" a="1"/>
  <c r="E101" i="4" a="1"/>
  <c r="E110" i="4" a="1"/>
  <c r="E95" i="4" a="1"/>
  <c r="E45" i="4" a="1"/>
  <c r="E56" i="4" a="1"/>
  <c r="E50" i="4" a="1"/>
  <c r="E47" i="4" a="1"/>
  <c r="E19" i="4" a="1"/>
  <c r="E102" i="4" a="1"/>
  <c r="E89" i="4" a="1"/>
  <c r="E86" i="4" a="1"/>
  <c r="E59" i="4" a="1"/>
  <c r="E33" i="4" a="1"/>
  <c r="E44" i="4" a="1"/>
  <c r="E26" i="4" a="1"/>
  <c r="E23" i="4" a="1"/>
  <c r="E90" i="4" a="1"/>
  <c r="E77" i="4" a="1"/>
  <c r="E62" i="4" a="1"/>
  <c r="E35" i="4" a="1"/>
  <c r="E21" i="4" a="1"/>
  <c r="E32" i="4" a="1"/>
  <c r="E97" i="4" a="1"/>
  <c r="E106" i="4" a="1"/>
  <c r="E78" i="4" a="1"/>
  <c r="E65" i="4" a="1"/>
  <c r="E38" i="4" a="1"/>
  <c r="E82" i="4" a="1"/>
  <c r="E83" i="4" a="1"/>
  <c r="E20" i="4" a="1"/>
  <c r="E73" i="4" a="1"/>
  <c r="E70" i="4" a="1"/>
  <c r="E66" i="4" a="1"/>
  <c r="E53" i="4" a="1"/>
  <c r="E109" i="4" a="1"/>
  <c r="E46" i="4" a="1"/>
  <c r="E94" i="4" a="1"/>
  <c r="E100" i="4" a="1"/>
  <c r="E49" i="4" a="1"/>
  <c r="E115" i="4" a="1"/>
  <c r="E54" i="4" a="1"/>
  <c r="E41" i="4" a="1"/>
  <c r="E85" i="4" a="1"/>
  <c r="E22" i="4" a="1"/>
  <c r="E58" i="4" a="1"/>
  <c r="E64" i="4" a="1"/>
  <c r="E25" i="4" a="1"/>
  <c r="E103" i="4" a="1"/>
  <c r="E42" i="4" a="1"/>
  <c r="E29" i="4" a="1"/>
  <c r="E61" i="4" a="1"/>
  <c r="E117" i="4" a="1"/>
  <c r="E34" i="4" a="1"/>
  <c r="E111" i="4" a="1"/>
  <c r="E96" i="4" a="1"/>
  <c r="E91" i="4" a="1"/>
  <c r="E30" i="4" a="1"/>
  <c r="E28" i="4" a="1"/>
  <c r="E37" i="4" a="1"/>
  <c r="E105" i="4" a="1"/>
  <c r="E116" i="4" a="1"/>
  <c r="E87" i="4" a="1"/>
  <c r="E84" i="4" a="1"/>
  <c r="E79" i="4" a="1"/>
  <c r="E40" i="4" a="1"/>
  <c r="E52" i="4" a="1"/>
  <c r="E72" i="4" a="1"/>
  <c r="E81" i="4" a="1"/>
  <c r="E92" i="4" a="1"/>
  <c r="E27" i="4" a="1"/>
  <c r="E24" i="4" a="1"/>
  <c r="E55" i="4" a="1"/>
  <c r="E104" i="4" a="1"/>
  <c r="E67" i="4" a="1"/>
  <c r="E88" i="4" a="1"/>
  <c r="E112" i="4" a="1"/>
  <c r="F108" i="4" a="1"/>
  <c r="F112" i="4" a="1"/>
  <c r="G112" i="4" a="1"/>
  <c r="F76" i="4" a="1"/>
  <c r="F63" i="4" a="1"/>
  <c r="F75" i="4" a="1"/>
  <c r="F60" i="4" a="1"/>
  <c r="F69" i="4" a="1"/>
  <c r="F80" i="4" a="1"/>
  <c r="F98" i="4" a="1"/>
  <c r="F107" i="4" a="1"/>
  <c r="F43" i="4" a="1"/>
  <c r="F99" i="4" a="1"/>
  <c r="F113" i="4" a="1"/>
  <c r="F39" i="4" a="1"/>
  <c r="F36" i="4" a="1"/>
  <c r="F57" i="4" a="1"/>
  <c r="F68" i="4" a="1"/>
  <c r="F74" i="4" a="1"/>
  <c r="F71" i="4" a="1"/>
  <c r="F31" i="4" a="1"/>
  <c r="F114" i="4" a="1"/>
  <c r="F101" i="4" a="1"/>
  <c r="F110" i="4" a="1"/>
  <c r="F95" i="4" a="1"/>
  <c r="F45" i="4" a="1"/>
  <c r="F56" i="4" a="1"/>
  <c r="F50" i="4" a="1"/>
  <c r="F47" i="4" a="1"/>
  <c r="F19" i="4" a="1"/>
  <c r="F102" i="4" a="1"/>
  <c r="F89" i="4" a="1"/>
  <c r="F86" i="4" a="1"/>
  <c r="F59" i="4" a="1"/>
  <c r="F33" i="4" a="1"/>
  <c r="F44" i="4" a="1"/>
  <c r="F26" i="4" a="1"/>
  <c r="F23" i="4" a="1"/>
  <c r="F90" i="4" a="1"/>
  <c r="F77" i="4" a="1"/>
  <c r="F62" i="4" a="1"/>
  <c r="F35" i="4" a="1"/>
  <c r="F21" i="4" a="1"/>
  <c r="F32" i="4" a="1"/>
  <c r="F97" i="4" a="1"/>
  <c r="F106" i="4" a="1"/>
  <c r="F78" i="4" a="1"/>
  <c r="F65" i="4" a="1"/>
  <c r="F38" i="4" a="1"/>
  <c r="F82" i="4" a="1"/>
  <c r="F83" i="4" a="1"/>
  <c r="F20" i="4" a="1"/>
  <c r="F73" i="4" a="1"/>
  <c r="F70" i="4" a="1"/>
  <c r="F66" i="4" a="1"/>
  <c r="F53" i="4" a="1"/>
  <c r="F109" i="4" a="1"/>
  <c r="F46" i="4" a="1"/>
  <c r="F94" i="4" a="1"/>
  <c r="F100" i="4" a="1"/>
  <c r="F49" i="4" a="1"/>
  <c r="F115" i="4" a="1"/>
  <c r="F54" i="4" a="1"/>
  <c r="F41" i="4" a="1"/>
  <c r="F85" i="4" a="1"/>
  <c r="F22" i="4" a="1"/>
  <c r="F58" i="4" a="1"/>
  <c r="F64" i="4" a="1"/>
  <c r="F25" i="4" a="1"/>
  <c r="F103" i="4" a="1"/>
  <c r="F42" i="4" a="1"/>
  <c r="F29" i="4" a="1"/>
  <c r="F61" i="4" a="1"/>
  <c r="F117" i="4" a="1"/>
  <c r="F34" i="4" a="1"/>
  <c r="F111" i="4" a="1"/>
  <c r="F96" i="4" a="1"/>
  <c r="F91" i="4" a="1"/>
  <c r="F30" i="4" a="1"/>
  <c r="F28" i="4" a="1"/>
  <c r="F37" i="4" a="1"/>
  <c r="F105" i="4" a="1"/>
  <c r="F116" i="4" a="1"/>
  <c r="F87" i="4" a="1"/>
  <c r="F84" i="4" a="1"/>
  <c r="F79" i="4" a="1"/>
  <c r="F40" i="4" a="1"/>
  <c r="F52" i="4" a="1"/>
  <c r="F72" i="4" a="1"/>
  <c r="F81" i="4" a="1"/>
  <c r="F92" i="4" a="1"/>
  <c r="F27" i="4" a="1"/>
  <c r="F24" i="4" a="1"/>
  <c r="F55" i="4" a="1"/>
  <c r="F104" i="4" a="1"/>
  <c r="F48" i="4" a="1"/>
  <c r="F93" i="4" a="1"/>
  <c r="G76" i="4" a="1"/>
  <c r="G63" i="4" a="1"/>
  <c r="G75" i="4" a="1"/>
  <c r="G60" i="4" a="1"/>
  <c r="G69" i="4" a="1"/>
  <c r="G80" i="4" a="1"/>
  <c r="G98" i="4" a="1"/>
  <c r="G107" i="4" a="1"/>
  <c r="G43" i="4" a="1"/>
  <c r="G99" i="4" a="1"/>
  <c r="G113" i="4" a="1"/>
  <c r="G39" i="4" a="1"/>
  <c r="G36" i="4" a="1"/>
  <c r="G57" i="4" a="1"/>
  <c r="G68" i="4" a="1"/>
  <c r="G74" i="4" a="1"/>
  <c r="G71" i="4" a="1"/>
  <c r="G31" i="4" a="1"/>
  <c r="G114" i="4" a="1"/>
  <c r="G101" i="4" a="1"/>
  <c r="G110" i="4" a="1"/>
  <c r="G95" i="4" a="1"/>
  <c r="G45" i="4" a="1"/>
  <c r="G56" i="4" a="1"/>
  <c r="G50" i="4" a="1"/>
  <c r="G47" i="4" a="1"/>
  <c r="G19" i="4" a="1"/>
  <c r="G102" i="4" a="1"/>
  <c r="G89" i="4" a="1"/>
  <c r="G86" i="4" a="1"/>
  <c r="G59" i="4" a="1"/>
  <c r="G33" i="4" a="1"/>
  <c r="G44" i="4" a="1"/>
  <c r="G26" i="4" a="1"/>
  <c r="G23" i="4" a="1"/>
  <c r="G90" i="4" a="1"/>
  <c r="G77" i="4" a="1"/>
  <c r="G62" i="4" a="1"/>
  <c r="G35" i="4" a="1"/>
  <c r="G21" i="4" a="1"/>
  <c r="G32" i="4" a="1"/>
  <c r="G97" i="4" a="1"/>
  <c r="G106" i="4" a="1"/>
  <c r="G78" i="4" a="1"/>
  <c r="G65" i="4" a="1"/>
  <c r="G38" i="4" a="1"/>
  <c r="G82" i="4" a="1"/>
  <c r="G83" i="4" a="1"/>
  <c r="G20" i="4" a="1"/>
  <c r="G73" i="4" a="1"/>
  <c r="G70" i="4" a="1"/>
  <c r="G66" i="4" a="1"/>
  <c r="G53" i="4" a="1"/>
  <c r="G109" i="4" a="1"/>
  <c r="G46" i="4" a="1"/>
  <c r="G94" i="4" a="1"/>
  <c r="G100" i="4" a="1"/>
  <c r="G49" i="4" a="1"/>
  <c r="G115" i="4" a="1"/>
  <c r="G54" i="4" a="1"/>
  <c r="G41" i="4" a="1"/>
  <c r="G85" i="4" a="1"/>
  <c r="G22" i="4" a="1"/>
  <c r="G58" i="4" a="1"/>
  <c r="G64" i="4" a="1"/>
  <c r="G25" i="4" a="1"/>
  <c r="G103" i="4" a="1"/>
  <c r="G42" i="4" a="1"/>
  <c r="G29" i="4" a="1"/>
  <c r="G61" i="4" a="1"/>
  <c r="G117" i="4" a="1"/>
  <c r="G34" i="4" a="1"/>
  <c r="G111" i="4" a="1"/>
  <c r="G96" i="4" a="1"/>
  <c r="G91" i="4" a="1"/>
  <c r="G30" i="4" a="1"/>
  <c r="G28" i="4" a="1"/>
  <c r="G37" i="4" a="1"/>
  <c r="G105" i="4" a="1"/>
  <c r="G116" i="4" a="1"/>
  <c r="G87" i="4" a="1"/>
  <c r="G84" i="4" a="1"/>
  <c r="G79" i="4" a="1"/>
  <c r="G40" i="4" a="1"/>
  <c r="G52" i="4" a="1"/>
  <c r="G72" i="4" a="1"/>
  <c r="G81" i="4" a="1"/>
  <c r="G92" i="4" a="1"/>
  <c r="G27" i="4" a="1"/>
  <c r="G24" i="4" a="1"/>
  <c r="G55" i="4" a="1"/>
  <c r="G104" i="4" a="1"/>
  <c r="G48" i="4" a="1"/>
  <c r="G67" i="4" a="1"/>
  <c r="G93" i="4" a="1"/>
  <c r="G88" i="4" a="1"/>
  <c r="G108" i="4" a="1"/>
  <c r="H76" i="4" a="1"/>
  <c r="H63" i="4" a="1"/>
  <c r="H75" i="4" a="1"/>
  <c r="H60" i="4" a="1"/>
  <c r="H69" i="4" a="1"/>
  <c r="H80" i="4" a="1"/>
  <c r="H98" i="4" a="1"/>
  <c r="H107" i="4" a="1"/>
  <c r="H43" i="4" a="1"/>
  <c r="H99" i="4" a="1"/>
  <c r="H113" i="4" a="1"/>
  <c r="H39" i="4" a="1"/>
  <c r="H36" i="4" a="1"/>
  <c r="H57" i="4" a="1"/>
  <c r="H68" i="4" a="1"/>
  <c r="H74" i="4" a="1"/>
  <c r="H71" i="4" a="1"/>
  <c r="H31" i="4" a="1"/>
  <c r="H114" i="4" a="1"/>
  <c r="H101" i="4" a="1"/>
  <c r="H110" i="4" a="1"/>
  <c r="H95" i="4" a="1"/>
  <c r="H45" i="4" a="1"/>
  <c r="H56" i="4" a="1"/>
  <c r="H50" i="4" a="1"/>
  <c r="H47" i="4" a="1"/>
  <c r="H19" i="4" a="1"/>
  <c r="H102" i="4" a="1"/>
  <c r="H89" i="4" a="1"/>
  <c r="H86" i="4" a="1"/>
  <c r="H59" i="4" a="1"/>
  <c r="H33" i="4" a="1"/>
  <c r="H44" i="4" a="1"/>
  <c r="H26" i="4" a="1"/>
  <c r="H23" i="4" a="1"/>
  <c r="H90" i="4" a="1"/>
  <c r="H77" i="4" a="1"/>
  <c r="H62" i="4" a="1"/>
  <c r="H35" i="4" a="1"/>
  <c r="H21" i="4" a="1"/>
  <c r="H32" i="4" a="1"/>
  <c r="H97" i="4" a="1"/>
  <c r="H106" i="4" a="1"/>
  <c r="H78" i="4" a="1"/>
  <c r="H65" i="4" a="1"/>
  <c r="H38" i="4" a="1"/>
  <c r="H82" i="4" a="1"/>
  <c r="H83" i="4" a="1"/>
  <c r="H20" i="4" a="1"/>
  <c r="H73" i="4" a="1"/>
  <c r="H70" i="4" a="1"/>
  <c r="H66" i="4" a="1"/>
  <c r="H53" i="4" a="1"/>
  <c r="H109" i="4" a="1"/>
  <c r="H46" i="4" a="1"/>
  <c r="H94" i="4" a="1"/>
  <c r="H100" i="4" a="1"/>
  <c r="H49" i="4" a="1"/>
  <c r="H115" i="4" a="1"/>
  <c r="H54" i="4" a="1"/>
  <c r="H41" i="4" a="1"/>
  <c r="H85" i="4" a="1"/>
  <c r="H22" i="4" a="1"/>
  <c r="H58" i="4" a="1"/>
  <c r="H64" i="4" a="1"/>
  <c r="H25" i="4" a="1"/>
  <c r="H103" i="4" a="1"/>
  <c r="H42" i="4" a="1"/>
  <c r="H29" i="4" a="1"/>
  <c r="H61" i="4" a="1"/>
  <c r="H117" i="4" a="1"/>
  <c r="H34" i="4" a="1"/>
  <c r="H111" i="4" a="1"/>
  <c r="H96" i="4" a="1"/>
  <c r="H91" i="4" a="1"/>
  <c r="H30" i="4" a="1"/>
  <c r="H28" i="4" a="1"/>
  <c r="H37" i="4" a="1"/>
  <c r="H105" i="4" a="1"/>
  <c r="H116" i="4" a="1"/>
  <c r="H87" i="4" a="1"/>
  <c r="H84" i="4" a="1"/>
  <c r="H79" i="4" a="1"/>
  <c r="H40" i="4" a="1"/>
  <c r="H52" i="4" a="1"/>
  <c r="H72" i="4" a="1"/>
  <c r="H81" i="4" a="1"/>
  <c r="H92" i="4" a="1"/>
  <c r="H27" i="4" a="1"/>
  <c r="H24" i="4" a="1"/>
  <c r="H55" i="4" a="1"/>
  <c r="H104" i="4" a="1"/>
  <c r="H48" i="4" a="1"/>
  <c r="H67" i="4" a="1"/>
  <c r="H93" i="4" a="1"/>
  <c r="H88" i="4" a="1"/>
  <c r="H108" i="4" a="1"/>
  <c r="H51" i="4" a="1"/>
  <c r="H112" i="4" a="1"/>
  <c r="I24" i="4" a="1"/>
  <c r="I104" i="4" a="1"/>
  <c r="I67" i="4" a="1"/>
  <c r="I93" i="4" a="1"/>
  <c r="I108" i="4" a="1"/>
  <c r="I51" i="4" a="1"/>
  <c r="N112" i="4" a="1"/>
  <c r="I76" i="4" a="1"/>
  <c r="I63" i="4" a="1"/>
  <c r="I75" i="4" a="1"/>
  <c r="I60" i="4" a="1"/>
  <c r="I69" i="4" a="1"/>
  <c r="I80" i="4" a="1"/>
  <c r="I98" i="4" a="1"/>
  <c r="I107" i="4" a="1"/>
  <c r="I43" i="4" a="1"/>
  <c r="I99" i="4" a="1"/>
  <c r="I113" i="4" a="1"/>
  <c r="I39" i="4" a="1"/>
  <c r="I36" i="4" a="1"/>
  <c r="I57" i="4" a="1"/>
  <c r="I68" i="4" a="1"/>
  <c r="I74" i="4" a="1"/>
  <c r="I71" i="4" a="1"/>
  <c r="I31" i="4" a="1"/>
  <c r="I114" i="4" a="1"/>
  <c r="I101" i="4" a="1"/>
  <c r="I110" i="4" a="1"/>
  <c r="I95" i="4" a="1"/>
  <c r="I45" i="4" a="1"/>
  <c r="I56" i="4" a="1"/>
  <c r="I50" i="4" a="1"/>
  <c r="I47" i="4" a="1"/>
  <c r="I19" i="4" a="1"/>
  <c r="I102" i="4" a="1"/>
  <c r="I89" i="4" a="1"/>
  <c r="I86" i="4" a="1"/>
  <c r="I59" i="4" a="1"/>
  <c r="I33" i="4" a="1"/>
  <c r="I44" i="4" a="1"/>
  <c r="I26" i="4" a="1"/>
  <c r="I23" i="4" a="1"/>
  <c r="I90" i="4" a="1"/>
  <c r="I77" i="4" a="1"/>
  <c r="I62" i="4" a="1"/>
  <c r="I35" i="4" a="1"/>
  <c r="I21" i="4" a="1"/>
  <c r="I32" i="4" a="1"/>
  <c r="I97" i="4" a="1"/>
  <c r="I106" i="4" a="1"/>
  <c r="I78" i="4" a="1"/>
  <c r="I65" i="4" a="1"/>
  <c r="I38" i="4" a="1"/>
  <c r="I82" i="4" a="1"/>
  <c r="I83" i="4" a="1"/>
  <c r="I20" i="4" a="1"/>
  <c r="I73" i="4" a="1"/>
  <c r="I70" i="4" a="1"/>
  <c r="I66" i="4" a="1"/>
  <c r="I53" i="4" a="1"/>
  <c r="I109" i="4" a="1"/>
  <c r="I46" i="4" a="1"/>
  <c r="I94" i="4" a="1"/>
  <c r="I100" i="4" a="1"/>
  <c r="I49" i="4" a="1"/>
  <c r="I115" i="4" a="1"/>
  <c r="I54" i="4" a="1"/>
  <c r="I41" i="4" a="1"/>
  <c r="I85" i="4" a="1"/>
  <c r="I22" i="4" a="1"/>
  <c r="I58" i="4" a="1"/>
  <c r="I64" i="4" a="1"/>
  <c r="I25" i="4" a="1"/>
  <c r="I103" i="4" a="1"/>
  <c r="I42" i="4" a="1"/>
  <c r="I29" i="4" a="1"/>
  <c r="I61" i="4" a="1"/>
  <c r="I117" i="4" a="1"/>
  <c r="I34" i="4" a="1"/>
  <c r="I111" i="4" a="1"/>
  <c r="I96" i="4" a="1"/>
  <c r="I91" i="4" a="1"/>
  <c r="I30" i="4" a="1"/>
  <c r="I28" i="4" a="1"/>
  <c r="I37" i="4" a="1"/>
  <c r="I105" i="4" a="1"/>
  <c r="I116" i="4" a="1"/>
  <c r="I87" i="4" a="1"/>
  <c r="I84" i="4" a="1"/>
  <c r="I79" i="4" a="1"/>
  <c r="I40" i="4" a="1"/>
  <c r="I52" i="4" a="1"/>
  <c r="I72" i="4" a="1"/>
  <c r="I81" i="4" a="1"/>
  <c r="I92" i="4" a="1"/>
  <c r="I27" i="4" a="1"/>
  <c r="I55" i="4" a="1"/>
  <c r="I48" i="4" a="1"/>
  <c r="I88" i="4" a="1"/>
  <c r="I112" i="4" a="1"/>
  <c r="J76" i="4" a="1"/>
  <c r="J63" i="4" a="1"/>
  <c r="J75" i="4" a="1"/>
  <c r="J60" i="4" a="1"/>
  <c r="J69" i="4" a="1"/>
  <c r="J80" i="4" a="1"/>
  <c r="J98" i="4" a="1"/>
  <c r="J107" i="4" a="1"/>
  <c r="J43" i="4" a="1"/>
  <c r="J99" i="4" a="1"/>
  <c r="J113" i="4" a="1"/>
  <c r="J39" i="4" a="1"/>
  <c r="J36" i="4" a="1"/>
  <c r="J57" i="4" a="1"/>
  <c r="J68" i="4" a="1"/>
  <c r="J74" i="4" a="1"/>
  <c r="J71" i="4" a="1"/>
  <c r="J31" i="4" a="1"/>
  <c r="J114" i="4" a="1"/>
  <c r="J101" i="4" a="1"/>
  <c r="J110" i="4" a="1"/>
  <c r="J95" i="4" a="1"/>
  <c r="J45" i="4" a="1"/>
  <c r="J56" i="4" a="1"/>
  <c r="J50" i="4" a="1"/>
  <c r="J47" i="4" a="1"/>
  <c r="J19" i="4" a="1"/>
  <c r="J102" i="4" a="1"/>
  <c r="J89" i="4" a="1"/>
  <c r="J86" i="4" a="1"/>
  <c r="J59" i="4" a="1"/>
  <c r="J33" i="4" a="1"/>
  <c r="J44" i="4" a="1"/>
  <c r="J26" i="4" a="1"/>
  <c r="J23" i="4" a="1"/>
  <c r="J90" i="4" a="1"/>
  <c r="J77" i="4" a="1"/>
  <c r="J62" i="4" a="1"/>
  <c r="J35" i="4" a="1"/>
  <c r="J21" i="4" a="1"/>
  <c r="J32" i="4" a="1"/>
  <c r="J97" i="4" a="1"/>
  <c r="J106" i="4" a="1"/>
  <c r="J78" i="4" a="1"/>
  <c r="J65" i="4" a="1"/>
  <c r="J38" i="4" a="1"/>
  <c r="J82" i="4" a="1"/>
  <c r="J83" i="4" a="1"/>
  <c r="J20" i="4" a="1"/>
  <c r="J73" i="4" a="1"/>
  <c r="J70" i="4" a="1"/>
  <c r="J66" i="4" a="1"/>
  <c r="J53" i="4" a="1"/>
  <c r="J109" i="4" a="1"/>
  <c r="J46" i="4" a="1"/>
  <c r="J94" i="4" a="1"/>
  <c r="J100" i="4" a="1"/>
  <c r="J49" i="4" a="1"/>
  <c r="J115" i="4" a="1"/>
  <c r="J54" i="4" a="1"/>
  <c r="J41" i="4" a="1"/>
  <c r="J85" i="4" a="1"/>
  <c r="J22" i="4" a="1"/>
  <c r="J58" i="4" a="1"/>
  <c r="J64" i="4" a="1"/>
  <c r="J25" i="4" a="1"/>
  <c r="J103" i="4" a="1"/>
  <c r="J42" i="4" a="1"/>
  <c r="J29" i="4" a="1"/>
  <c r="J61" i="4" a="1"/>
  <c r="J117" i="4" a="1"/>
  <c r="J34" i="4" a="1"/>
  <c r="J111" i="4" a="1"/>
  <c r="J96" i="4" a="1"/>
  <c r="J91" i="4" a="1"/>
  <c r="J30" i="4" a="1"/>
  <c r="J28" i="4" a="1"/>
  <c r="J37" i="4" a="1"/>
  <c r="J105" i="4" a="1"/>
  <c r="J116" i="4" a="1"/>
  <c r="J87" i="4" a="1"/>
  <c r="J84" i="4" a="1"/>
  <c r="J79" i="4" a="1"/>
  <c r="J40" i="4" a="1"/>
  <c r="J52" i="4" a="1"/>
  <c r="J72" i="4" a="1"/>
  <c r="J81" i="4" a="1"/>
  <c r="J92" i="4" a="1"/>
  <c r="J27" i="4" a="1"/>
  <c r="J24" i="4" a="1"/>
  <c r="J55" i="4" a="1"/>
  <c r="J104" i="4" a="1"/>
  <c r="J48" i="4" a="1"/>
  <c r="J67" i="4" a="1"/>
  <c r="J93" i="4" a="1"/>
  <c r="J88" i="4" a="1"/>
  <c r="J108" i="4" a="1"/>
  <c r="J51" i="4" a="1"/>
  <c r="J112" i="4" a="1"/>
  <c r="L48" i="4" a="1"/>
  <c r="L88" i="4" a="1"/>
  <c r="L112" i="4" a="1"/>
  <c r="M67" i="4" a="1"/>
  <c r="M108" i="4" a="1"/>
  <c r="C108" i="4" a="1"/>
  <c r="K76" i="4" a="1"/>
  <c r="K63" i="4" a="1"/>
  <c r="K75" i="4" a="1"/>
  <c r="K60" i="4" a="1"/>
  <c r="K69" i="4" a="1"/>
  <c r="K80" i="4" a="1"/>
  <c r="K98" i="4" a="1"/>
  <c r="K107" i="4" a="1"/>
  <c r="K43" i="4" a="1"/>
  <c r="K99" i="4" a="1"/>
  <c r="K113" i="4" a="1"/>
  <c r="K39" i="4" a="1"/>
  <c r="K36" i="4" a="1"/>
  <c r="K57" i="4" a="1"/>
  <c r="K68" i="4" a="1"/>
  <c r="K74" i="4" a="1"/>
  <c r="K71" i="4" a="1"/>
  <c r="K31" i="4" a="1"/>
  <c r="K114" i="4" a="1"/>
  <c r="K101" i="4" a="1"/>
  <c r="K110" i="4" a="1"/>
  <c r="K95" i="4" a="1"/>
  <c r="K45" i="4" a="1"/>
  <c r="K56" i="4" a="1"/>
  <c r="K50" i="4" a="1"/>
  <c r="K47" i="4" a="1"/>
  <c r="K19" i="4" a="1"/>
  <c r="K102" i="4" a="1"/>
  <c r="K89" i="4" a="1"/>
  <c r="K86" i="4" a="1"/>
  <c r="K59" i="4" a="1"/>
  <c r="K33" i="4" a="1"/>
  <c r="K44" i="4" a="1"/>
  <c r="K26" i="4" a="1"/>
  <c r="K23" i="4" a="1"/>
  <c r="K90" i="4" a="1"/>
  <c r="K77" i="4" a="1"/>
  <c r="K62" i="4" a="1"/>
  <c r="K35" i="4" a="1"/>
  <c r="K21" i="4" a="1"/>
  <c r="K32" i="4" a="1"/>
  <c r="K97" i="4" a="1"/>
  <c r="K106" i="4" a="1"/>
  <c r="K78" i="4" a="1"/>
  <c r="K65" i="4" a="1"/>
  <c r="K38" i="4" a="1"/>
  <c r="K82" i="4" a="1"/>
  <c r="K83" i="4" a="1"/>
  <c r="K20" i="4" a="1"/>
  <c r="K73" i="4" a="1"/>
  <c r="K70" i="4" a="1"/>
  <c r="K66" i="4" a="1"/>
  <c r="K53" i="4" a="1"/>
  <c r="K109" i="4" a="1"/>
  <c r="K46" i="4" a="1"/>
  <c r="K94" i="4" a="1"/>
  <c r="K100" i="4" a="1"/>
  <c r="K49" i="4" a="1"/>
  <c r="K115" i="4" a="1"/>
  <c r="K54" i="4" a="1"/>
  <c r="K41" i="4" a="1"/>
  <c r="K85" i="4" a="1"/>
  <c r="K22" i="4" a="1"/>
  <c r="K58" i="4" a="1"/>
  <c r="K64" i="4" a="1"/>
  <c r="K25" i="4" a="1"/>
  <c r="K103" i="4" a="1"/>
  <c r="K42" i="4" a="1"/>
  <c r="K29" i="4" a="1"/>
  <c r="K61" i="4" a="1"/>
  <c r="K117" i="4" a="1"/>
  <c r="K34" i="4" a="1"/>
  <c r="K111" i="4" a="1"/>
  <c r="K96" i="4" a="1"/>
  <c r="K91" i="4" a="1"/>
  <c r="K30" i="4" a="1"/>
  <c r="K28" i="4" a="1"/>
  <c r="K37" i="4" a="1"/>
  <c r="K105" i="4" a="1"/>
  <c r="K116" i="4" a="1"/>
  <c r="K87" i="4" a="1"/>
  <c r="K84" i="4" a="1"/>
  <c r="K79" i="4" a="1"/>
  <c r="K40" i="4" a="1"/>
  <c r="K52" i="4" a="1"/>
  <c r="K72" i="4" a="1"/>
  <c r="K81" i="4" a="1"/>
  <c r="K92" i="4" a="1"/>
  <c r="K27" i="4" a="1"/>
  <c r="K24" i="4" a="1"/>
  <c r="K55" i="4" a="1"/>
  <c r="K104" i="4" a="1"/>
  <c r="K48" i="4" a="1"/>
  <c r="K67" i="4" a="1"/>
  <c r="K93" i="4" a="1"/>
  <c r="K88" i="4" a="1"/>
  <c r="K108" i="4" a="1"/>
  <c r="K51" i="4" a="1"/>
  <c r="K112" i="4" a="1"/>
  <c r="L104" i="4" a="1"/>
  <c r="L93" i="4" a="1"/>
  <c r="L51" i="4" a="1"/>
  <c r="M48" i="4" a="1"/>
  <c r="M51" i="4" a="1"/>
  <c r="N108" i="4" a="1"/>
  <c r="C51" i="4" a="1"/>
  <c r="N112" i="4" l="1"/>
  <c r="M112" i="4"/>
  <c r="L112" i="4"/>
  <c r="K112" i="4"/>
  <c r="J112" i="4"/>
  <c r="I112" i="4"/>
  <c r="H112" i="4"/>
  <c r="G112" i="4"/>
  <c r="F112" i="4"/>
  <c r="E112" i="4"/>
  <c r="D112" i="4"/>
  <c r="C112" i="4"/>
  <c r="N51" i="4"/>
  <c r="M51" i="4"/>
  <c r="L51" i="4"/>
  <c r="K51" i="4"/>
  <c r="J51" i="4"/>
  <c r="I51" i="4"/>
  <c r="H51" i="4"/>
  <c r="G51" i="4"/>
  <c r="F51" i="4"/>
  <c r="E51" i="4"/>
  <c r="D51" i="4"/>
  <c r="C51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N88" i="4"/>
  <c r="M88" i="4"/>
  <c r="L88" i="4"/>
  <c r="K88" i="4"/>
  <c r="J88" i="4"/>
  <c r="I88" i="4"/>
  <c r="H88" i="4"/>
  <c r="G88" i="4"/>
  <c r="F88" i="4"/>
  <c r="E88" i="4"/>
  <c r="D88" i="4"/>
  <c r="C88" i="4"/>
  <c r="N93" i="4"/>
  <c r="M93" i="4"/>
  <c r="L93" i="4"/>
  <c r="K93" i="4"/>
  <c r="J93" i="4"/>
  <c r="I93" i="4"/>
  <c r="H93" i="4"/>
  <c r="G93" i="4"/>
  <c r="F93" i="4"/>
  <c r="E93" i="4"/>
  <c r="D93" i="4"/>
  <c r="C93" i="4"/>
  <c r="N67" i="4"/>
  <c r="M67" i="4"/>
  <c r="L67" i="4"/>
  <c r="K67" i="4"/>
  <c r="J67" i="4"/>
  <c r="I67" i="4"/>
  <c r="H67" i="4"/>
  <c r="G67" i="4"/>
  <c r="F67" i="4"/>
  <c r="E67" i="4"/>
  <c r="D67" i="4"/>
  <c r="C67" i="4"/>
  <c r="N48" i="4"/>
  <c r="M48" i="4"/>
  <c r="L48" i="4"/>
  <c r="K48" i="4"/>
  <c r="J48" i="4"/>
  <c r="I48" i="4"/>
  <c r="H48" i="4"/>
  <c r="G48" i="4"/>
  <c r="F48" i="4"/>
  <c r="E48" i="4"/>
  <c r="D48" i="4"/>
  <c r="C48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N55" i="4"/>
  <c r="M55" i="4"/>
  <c r="L55" i="4"/>
  <c r="K55" i="4"/>
  <c r="J55" i="4"/>
  <c r="I55" i="4"/>
  <c r="H55" i="4"/>
  <c r="G55" i="4"/>
  <c r="F55" i="4"/>
  <c r="E55" i="4"/>
  <c r="D55" i="4"/>
  <c r="C55" i="4"/>
  <c r="N24" i="4"/>
  <c r="M24" i="4"/>
  <c r="L24" i="4"/>
  <c r="K24" i="4"/>
  <c r="J24" i="4"/>
  <c r="I24" i="4"/>
  <c r="H24" i="4"/>
  <c r="G24" i="4"/>
  <c r="F24" i="4"/>
  <c r="E24" i="4"/>
  <c r="D24" i="4"/>
  <c r="C24" i="4"/>
  <c r="N27" i="4"/>
  <c r="M27" i="4"/>
  <c r="L27" i="4"/>
  <c r="K27" i="4"/>
  <c r="J27" i="4"/>
  <c r="I27" i="4"/>
  <c r="H27" i="4"/>
  <c r="G27" i="4"/>
  <c r="F27" i="4"/>
  <c r="E27" i="4"/>
  <c r="D27" i="4"/>
  <c r="C27" i="4"/>
  <c r="N92" i="4"/>
  <c r="M92" i="4"/>
  <c r="L92" i="4"/>
  <c r="K92" i="4"/>
  <c r="J92" i="4"/>
  <c r="I92" i="4"/>
  <c r="H92" i="4"/>
  <c r="G92" i="4"/>
  <c r="F92" i="4"/>
  <c r="E92" i="4"/>
  <c r="D92" i="4"/>
  <c r="C92" i="4"/>
  <c r="N81" i="4"/>
  <c r="M81" i="4"/>
  <c r="L81" i="4"/>
  <c r="K81" i="4"/>
  <c r="J81" i="4"/>
  <c r="I81" i="4"/>
  <c r="H81" i="4"/>
  <c r="G81" i="4"/>
  <c r="F81" i="4"/>
  <c r="E81" i="4"/>
  <c r="D81" i="4"/>
  <c r="C81" i="4"/>
  <c r="N72" i="4"/>
  <c r="M72" i="4"/>
  <c r="L72" i="4"/>
  <c r="K72" i="4"/>
  <c r="J72" i="4"/>
  <c r="I72" i="4"/>
  <c r="H72" i="4"/>
  <c r="G72" i="4"/>
  <c r="F72" i="4"/>
  <c r="E72" i="4"/>
  <c r="D72" i="4"/>
  <c r="C72" i="4"/>
  <c r="N52" i="4"/>
  <c r="M52" i="4"/>
  <c r="L52" i="4"/>
  <c r="K52" i="4"/>
  <c r="J52" i="4"/>
  <c r="I52" i="4"/>
  <c r="H52" i="4"/>
  <c r="G52" i="4"/>
  <c r="F52" i="4"/>
  <c r="E52" i="4"/>
  <c r="D52" i="4"/>
  <c r="C52" i="4"/>
  <c r="N40" i="4"/>
  <c r="M40" i="4"/>
  <c r="L40" i="4"/>
  <c r="K40" i="4"/>
  <c r="J40" i="4"/>
  <c r="I40" i="4"/>
  <c r="H40" i="4"/>
  <c r="G40" i="4"/>
  <c r="F40" i="4"/>
  <c r="E40" i="4"/>
  <c r="D40" i="4"/>
  <c r="C40" i="4"/>
  <c r="N79" i="4"/>
  <c r="M79" i="4"/>
  <c r="L79" i="4"/>
  <c r="K79" i="4"/>
  <c r="J79" i="4"/>
  <c r="I79" i="4"/>
  <c r="H79" i="4"/>
  <c r="G79" i="4"/>
  <c r="F79" i="4"/>
  <c r="E79" i="4"/>
  <c r="D79" i="4"/>
  <c r="C79" i="4"/>
  <c r="N84" i="4"/>
  <c r="M84" i="4"/>
  <c r="L84" i="4"/>
  <c r="K84" i="4"/>
  <c r="J84" i="4"/>
  <c r="I84" i="4"/>
  <c r="H84" i="4"/>
  <c r="G84" i="4"/>
  <c r="F84" i="4"/>
  <c r="E84" i="4"/>
  <c r="D84" i="4"/>
  <c r="C84" i="4"/>
  <c r="N87" i="4"/>
  <c r="M87" i="4"/>
  <c r="L87" i="4"/>
  <c r="K87" i="4"/>
  <c r="J87" i="4"/>
  <c r="I87" i="4"/>
  <c r="H87" i="4"/>
  <c r="G87" i="4"/>
  <c r="F87" i="4"/>
  <c r="E87" i="4"/>
  <c r="D87" i="4"/>
  <c r="C8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N37" i="4"/>
  <c r="M37" i="4"/>
  <c r="L37" i="4"/>
  <c r="K37" i="4"/>
  <c r="J37" i="4"/>
  <c r="I37" i="4"/>
  <c r="H37" i="4"/>
  <c r="G37" i="4"/>
  <c r="F37" i="4"/>
  <c r="E37" i="4"/>
  <c r="D37" i="4"/>
  <c r="C37" i="4"/>
  <c r="N28" i="4"/>
  <c r="M28" i="4"/>
  <c r="L28" i="4"/>
  <c r="K28" i="4"/>
  <c r="J28" i="4"/>
  <c r="I28" i="4"/>
  <c r="H28" i="4"/>
  <c r="G28" i="4"/>
  <c r="F28" i="4"/>
  <c r="E28" i="4"/>
  <c r="D28" i="4"/>
  <c r="C28" i="4"/>
  <c r="N30" i="4"/>
  <c r="M30" i="4"/>
  <c r="L30" i="4"/>
  <c r="K30" i="4"/>
  <c r="J30" i="4"/>
  <c r="I30" i="4"/>
  <c r="H30" i="4"/>
  <c r="G30" i="4"/>
  <c r="F30" i="4"/>
  <c r="E30" i="4"/>
  <c r="D30" i="4"/>
  <c r="C30" i="4"/>
  <c r="N91" i="4"/>
  <c r="M91" i="4"/>
  <c r="L91" i="4"/>
  <c r="K91" i="4"/>
  <c r="J91" i="4"/>
  <c r="I91" i="4"/>
  <c r="H91" i="4"/>
  <c r="G91" i="4"/>
  <c r="F91" i="4"/>
  <c r="E91" i="4"/>
  <c r="D91" i="4"/>
  <c r="C91" i="4"/>
  <c r="N96" i="4"/>
  <c r="M96" i="4"/>
  <c r="L96" i="4"/>
  <c r="K96" i="4"/>
  <c r="J96" i="4"/>
  <c r="I96" i="4"/>
  <c r="H96" i="4"/>
  <c r="G96" i="4"/>
  <c r="F96" i="4"/>
  <c r="E96" i="4"/>
  <c r="D96" i="4"/>
  <c r="C96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N34" i="4"/>
  <c r="M34" i="4"/>
  <c r="L34" i="4"/>
  <c r="K34" i="4"/>
  <c r="J34" i="4"/>
  <c r="I34" i="4"/>
  <c r="H34" i="4"/>
  <c r="G34" i="4"/>
  <c r="F34" i="4"/>
  <c r="E34" i="4"/>
  <c r="D34" i="4"/>
  <c r="C34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N61" i="4"/>
  <c r="M61" i="4"/>
  <c r="L61" i="4"/>
  <c r="K61" i="4"/>
  <c r="J61" i="4"/>
  <c r="I61" i="4"/>
  <c r="H61" i="4"/>
  <c r="G61" i="4"/>
  <c r="F61" i="4"/>
  <c r="E61" i="4"/>
  <c r="D61" i="4"/>
  <c r="C61" i="4"/>
  <c r="N29" i="4"/>
  <c r="M29" i="4"/>
  <c r="L29" i="4"/>
  <c r="K29" i="4"/>
  <c r="J29" i="4"/>
  <c r="I29" i="4"/>
  <c r="H29" i="4"/>
  <c r="G29" i="4"/>
  <c r="F29" i="4"/>
  <c r="E29" i="4"/>
  <c r="D29" i="4"/>
  <c r="C29" i="4"/>
  <c r="N42" i="4"/>
  <c r="M42" i="4"/>
  <c r="L42" i="4"/>
  <c r="K42" i="4"/>
  <c r="J42" i="4"/>
  <c r="I42" i="4"/>
  <c r="H42" i="4"/>
  <c r="G42" i="4"/>
  <c r="F42" i="4"/>
  <c r="E42" i="4"/>
  <c r="D42" i="4"/>
  <c r="C42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N25" i="4"/>
  <c r="M25" i="4"/>
  <c r="L25" i="4"/>
  <c r="K25" i="4"/>
  <c r="J25" i="4"/>
  <c r="I25" i="4"/>
  <c r="H25" i="4"/>
  <c r="G25" i="4"/>
  <c r="F25" i="4"/>
  <c r="E25" i="4"/>
  <c r="D25" i="4"/>
  <c r="C25" i="4"/>
  <c r="N64" i="4"/>
  <c r="M64" i="4"/>
  <c r="L64" i="4"/>
  <c r="K64" i="4"/>
  <c r="J64" i="4"/>
  <c r="I64" i="4"/>
  <c r="H64" i="4"/>
  <c r="G64" i="4"/>
  <c r="F64" i="4"/>
  <c r="E64" i="4"/>
  <c r="D64" i="4"/>
  <c r="C64" i="4"/>
  <c r="N58" i="4"/>
  <c r="M58" i="4"/>
  <c r="L58" i="4"/>
  <c r="K58" i="4"/>
  <c r="J58" i="4"/>
  <c r="I58" i="4"/>
  <c r="H58" i="4"/>
  <c r="G58" i="4"/>
  <c r="F58" i="4"/>
  <c r="E58" i="4"/>
  <c r="D58" i="4"/>
  <c r="C58" i="4"/>
  <c r="N22" i="4"/>
  <c r="M22" i="4"/>
  <c r="L22" i="4"/>
  <c r="K22" i="4"/>
  <c r="J22" i="4"/>
  <c r="I22" i="4"/>
  <c r="H22" i="4"/>
  <c r="G22" i="4"/>
  <c r="F22" i="4"/>
  <c r="E22" i="4"/>
  <c r="D22" i="4"/>
  <c r="C22" i="4"/>
  <c r="N85" i="4"/>
  <c r="M85" i="4"/>
  <c r="L85" i="4"/>
  <c r="K85" i="4"/>
  <c r="J85" i="4"/>
  <c r="I85" i="4"/>
  <c r="H85" i="4"/>
  <c r="G85" i="4"/>
  <c r="F85" i="4"/>
  <c r="E85" i="4"/>
  <c r="D85" i="4"/>
  <c r="C85" i="4"/>
  <c r="N41" i="4"/>
  <c r="M41" i="4"/>
  <c r="L41" i="4"/>
  <c r="K41" i="4"/>
  <c r="J41" i="4"/>
  <c r="I41" i="4"/>
  <c r="H41" i="4"/>
  <c r="G41" i="4"/>
  <c r="F41" i="4"/>
  <c r="E41" i="4"/>
  <c r="D41" i="4"/>
  <c r="C41" i="4"/>
  <c r="N54" i="4"/>
  <c r="M54" i="4"/>
  <c r="L54" i="4"/>
  <c r="K54" i="4"/>
  <c r="J54" i="4"/>
  <c r="I54" i="4"/>
  <c r="H54" i="4"/>
  <c r="G54" i="4"/>
  <c r="F54" i="4"/>
  <c r="E54" i="4"/>
  <c r="D54" i="4"/>
  <c r="C54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N49" i="4"/>
  <c r="M49" i="4"/>
  <c r="L49" i="4"/>
  <c r="K49" i="4"/>
  <c r="J49" i="4"/>
  <c r="I49" i="4"/>
  <c r="H49" i="4"/>
  <c r="G49" i="4"/>
  <c r="F49" i="4"/>
  <c r="E49" i="4"/>
  <c r="D49" i="4"/>
  <c r="C49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N94" i="4"/>
  <c r="M94" i="4"/>
  <c r="L94" i="4"/>
  <c r="K94" i="4"/>
  <c r="J94" i="4"/>
  <c r="I94" i="4"/>
  <c r="H94" i="4"/>
  <c r="G94" i="4"/>
  <c r="F94" i="4"/>
  <c r="E94" i="4"/>
  <c r="D94" i="4"/>
  <c r="C94" i="4"/>
  <c r="N46" i="4"/>
  <c r="M46" i="4"/>
  <c r="L46" i="4"/>
  <c r="K46" i="4"/>
  <c r="J46" i="4"/>
  <c r="I46" i="4"/>
  <c r="H46" i="4"/>
  <c r="G46" i="4"/>
  <c r="F46" i="4"/>
  <c r="E46" i="4"/>
  <c r="D46" i="4"/>
  <c r="C46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N53" i="4"/>
  <c r="M53" i="4"/>
  <c r="L53" i="4"/>
  <c r="K53" i="4"/>
  <c r="J53" i="4"/>
  <c r="I53" i="4"/>
  <c r="H53" i="4"/>
  <c r="G53" i="4"/>
  <c r="F53" i="4"/>
  <c r="E53" i="4"/>
  <c r="D53" i="4"/>
  <c r="C53" i="4"/>
  <c r="N66" i="4"/>
  <c r="M66" i="4"/>
  <c r="L66" i="4"/>
  <c r="K66" i="4"/>
  <c r="J66" i="4"/>
  <c r="I66" i="4"/>
  <c r="H66" i="4"/>
  <c r="G66" i="4"/>
  <c r="F66" i="4"/>
  <c r="E66" i="4"/>
  <c r="D66" i="4"/>
  <c r="C66" i="4"/>
  <c r="N70" i="4"/>
  <c r="M70" i="4"/>
  <c r="L70" i="4"/>
  <c r="K70" i="4"/>
  <c r="J70" i="4"/>
  <c r="I70" i="4"/>
  <c r="H70" i="4"/>
  <c r="G70" i="4"/>
  <c r="F70" i="4"/>
  <c r="E70" i="4"/>
  <c r="D70" i="4"/>
  <c r="C70" i="4"/>
  <c r="N73" i="4"/>
  <c r="M73" i="4"/>
  <c r="L73" i="4"/>
  <c r="K73" i="4"/>
  <c r="J73" i="4"/>
  <c r="I73" i="4"/>
  <c r="H73" i="4"/>
  <c r="G73" i="4"/>
  <c r="F73" i="4"/>
  <c r="E73" i="4"/>
  <c r="D73" i="4"/>
  <c r="C73" i="4"/>
  <c r="N20" i="4"/>
  <c r="M20" i="4"/>
  <c r="L20" i="4"/>
  <c r="K20" i="4"/>
  <c r="J20" i="4"/>
  <c r="I20" i="4"/>
  <c r="H20" i="4"/>
  <c r="G20" i="4"/>
  <c r="F20" i="4"/>
  <c r="E20" i="4"/>
  <c r="D20" i="4"/>
  <c r="C20" i="4"/>
  <c r="N83" i="4"/>
  <c r="M83" i="4"/>
  <c r="L83" i="4"/>
  <c r="K83" i="4"/>
  <c r="J83" i="4"/>
  <c r="I83" i="4"/>
  <c r="H83" i="4"/>
  <c r="G83" i="4"/>
  <c r="F83" i="4"/>
  <c r="E83" i="4"/>
  <c r="D83" i="4"/>
  <c r="C83" i="4"/>
  <c r="N82" i="4"/>
  <c r="M82" i="4"/>
  <c r="L82" i="4"/>
  <c r="K82" i="4"/>
  <c r="J82" i="4"/>
  <c r="I82" i="4"/>
  <c r="H82" i="4"/>
  <c r="G82" i="4"/>
  <c r="F82" i="4"/>
  <c r="E82" i="4"/>
  <c r="D82" i="4"/>
  <c r="C82" i="4"/>
  <c r="N38" i="4"/>
  <c r="M38" i="4"/>
  <c r="L38" i="4"/>
  <c r="K38" i="4"/>
  <c r="J38" i="4"/>
  <c r="I38" i="4"/>
  <c r="H38" i="4"/>
  <c r="G38" i="4"/>
  <c r="F38" i="4"/>
  <c r="E38" i="4"/>
  <c r="D38" i="4"/>
  <c r="C38" i="4"/>
  <c r="N65" i="4"/>
  <c r="M65" i="4"/>
  <c r="L65" i="4"/>
  <c r="K65" i="4"/>
  <c r="J65" i="4"/>
  <c r="I65" i="4"/>
  <c r="H65" i="4"/>
  <c r="G65" i="4"/>
  <c r="F65" i="4"/>
  <c r="E65" i="4"/>
  <c r="D65" i="4"/>
  <c r="C65" i="4"/>
  <c r="N78" i="4"/>
  <c r="M78" i="4"/>
  <c r="L78" i="4"/>
  <c r="K78" i="4"/>
  <c r="J78" i="4"/>
  <c r="I78" i="4"/>
  <c r="H78" i="4"/>
  <c r="G78" i="4"/>
  <c r="F78" i="4"/>
  <c r="E78" i="4"/>
  <c r="D78" i="4"/>
  <c r="C78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N97" i="4"/>
  <c r="M97" i="4"/>
  <c r="L97" i="4"/>
  <c r="K97" i="4"/>
  <c r="J97" i="4"/>
  <c r="I97" i="4"/>
  <c r="H97" i="4"/>
  <c r="G97" i="4"/>
  <c r="F97" i="4"/>
  <c r="E97" i="4"/>
  <c r="D97" i="4"/>
  <c r="C97" i="4"/>
  <c r="N32" i="4"/>
  <c r="M32" i="4"/>
  <c r="L32" i="4"/>
  <c r="K32" i="4"/>
  <c r="J32" i="4"/>
  <c r="I32" i="4"/>
  <c r="H32" i="4"/>
  <c r="G32" i="4"/>
  <c r="F32" i="4"/>
  <c r="E32" i="4"/>
  <c r="D32" i="4"/>
  <c r="C32" i="4"/>
  <c r="N21" i="4"/>
  <c r="M21" i="4"/>
  <c r="L21" i="4"/>
  <c r="K21" i="4"/>
  <c r="J21" i="4"/>
  <c r="I21" i="4"/>
  <c r="H21" i="4"/>
  <c r="G21" i="4"/>
  <c r="F21" i="4"/>
  <c r="E21" i="4"/>
  <c r="D21" i="4"/>
  <c r="C21" i="4"/>
  <c r="N35" i="4"/>
  <c r="M35" i="4"/>
  <c r="L35" i="4"/>
  <c r="K35" i="4"/>
  <c r="J35" i="4"/>
  <c r="I35" i="4"/>
  <c r="H35" i="4"/>
  <c r="G35" i="4"/>
  <c r="F35" i="4"/>
  <c r="E35" i="4"/>
  <c r="D35" i="4"/>
  <c r="C35" i="4"/>
  <c r="N62" i="4"/>
  <c r="M62" i="4"/>
  <c r="L62" i="4"/>
  <c r="K62" i="4"/>
  <c r="J62" i="4"/>
  <c r="I62" i="4"/>
  <c r="H62" i="4"/>
  <c r="G62" i="4"/>
  <c r="F62" i="4"/>
  <c r="E62" i="4"/>
  <c r="D62" i="4"/>
  <c r="C62" i="4"/>
  <c r="N77" i="4"/>
  <c r="M77" i="4"/>
  <c r="L77" i="4"/>
  <c r="K77" i="4"/>
  <c r="J77" i="4"/>
  <c r="I77" i="4"/>
  <c r="H77" i="4"/>
  <c r="G77" i="4"/>
  <c r="F77" i="4"/>
  <c r="E77" i="4"/>
  <c r="D77" i="4"/>
  <c r="C77" i="4"/>
  <c r="N90" i="4"/>
  <c r="M90" i="4"/>
  <c r="L90" i="4"/>
  <c r="K90" i="4"/>
  <c r="J90" i="4"/>
  <c r="I90" i="4"/>
  <c r="H90" i="4"/>
  <c r="G90" i="4"/>
  <c r="F90" i="4"/>
  <c r="E90" i="4"/>
  <c r="D90" i="4"/>
  <c r="C90" i="4"/>
  <c r="N23" i="4"/>
  <c r="M23" i="4"/>
  <c r="L23" i="4"/>
  <c r="K23" i="4"/>
  <c r="J23" i="4"/>
  <c r="I23" i="4"/>
  <c r="H23" i="4"/>
  <c r="G23" i="4"/>
  <c r="F23" i="4"/>
  <c r="E23" i="4"/>
  <c r="D23" i="4"/>
  <c r="C23" i="4"/>
  <c r="N26" i="4"/>
  <c r="M26" i="4"/>
  <c r="L26" i="4"/>
  <c r="K26" i="4"/>
  <c r="J26" i="4"/>
  <c r="I26" i="4"/>
  <c r="H26" i="4"/>
  <c r="G26" i="4"/>
  <c r="F26" i="4"/>
  <c r="E26" i="4"/>
  <c r="D26" i="4"/>
  <c r="C26" i="4"/>
  <c r="N44" i="4"/>
  <c r="M44" i="4"/>
  <c r="L44" i="4"/>
  <c r="K44" i="4"/>
  <c r="J44" i="4"/>
  <c r="I44" i="4"/>
  <c r="H44" i="4"/>
  <c r="G44" i="4"/>
  <c r="F44" i="4"/>
  <c r="E44" i="4"/>
  <c r="D44" i="4"/>
  <c r="C44" i="4"/>
  <c r="N33" i="4"/>
  <c r="M33" i="4"/>
  <c r="L33" i="4"/>
  <c r="K33" i="4"/>
  <c r="J33" i="4"/>
  <c r="I33" i="4"/>
  <c r="H33" i="4"/>
  <c r="G33" i="4"/>
  <c r="F33" i="4"/>
  <c r="E33" i="4"/>
  <c r="D33" i="4"/>
  <c r="C33" i="4"/>
  <c r="N59" i="4"/>
  <c r="M59" i="4"/>
  <c r="L59" i="4"/>
  <c r="K59" i="4"/>
  <c r="J59" i="4"/>
  <c r="I59" i="4"/>
  <c r="H59" i="4"/>
  <c r="G59" i="4"/>
  <c r="F59" i="4"/>
  <c r="E59" i="4"/>
  <c r="D59" i="4"/>
  <c r="C59" i="4"/>
  <c r="N86" i="4"/>
  <c r="M86" i="4"/>
  <c r="L86" i="4"/>
  <c r="K86" i="4"/>
  <c r="J86" i="4"/>
  <c r="I86" i="4"/>
  <c r="H86" i="4"/>
  <c r="G86" i="4"/>
  <c r="F86" i="4"/>
  <c r="E86" i="4"/>
  <c r="D86" i="4"/>
  <c r="C86" i="4"/>
  <c r="N89" i="4"/>
  <c r="M89" i="4"/>
  <c r="L89" i="4"/>
  <c r="K89" i="4"/>
  <c r="J89" i="4"/>
  <c r="I89" i="4"/>
  <c r="H89" i="4"/>
  <c r="G89" i="4"/>
  <c r="F89" i="4"/>
  <c r="E89" i="4"/>
  <c r="D89" i="4"/>
  <c r="C89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N19" i="4"/>
  <c r="M19" i="4"/>
  <c r="L19" i="4"/>
  <c r="K19" i="4"/>
  <c r="J19" i="4"/>
  <c r="I19" i="4"/>
  <c r="H19" i="4"/>
  <c r="G19" i="4"/>
  <c r="F19" i="4"/>
  <c r="E19" i="4"/>
  <c r="D19" i="4"/>
  <c r="C19" i="4"/>
  <c r="N47" i="4"/>
  <c r="M47" i="4"/>
  <c r="L47" i="4"/>
  <c r="K47" i="4"/>
  <c r="J47" i="4"/>
  <c r="I47" i="4"/>
  <c r="H47" i="4"/>
  <c r="G47" i="4"/>
  <c r="F47" i="4"/>
  <c r="E47" i="4"/>
  <c r="D47" i="4"/>
  <c r="C47" i="4"/>
  <c r="N50" i="4"/>
  <c r="M50" i="4"/>
  <c r="L50" i="4"/>
  <c r="K50" i="4"/>
  <c r="J50" i="4"/>
  <c r="I50" i="4"/>
  <c r="H50" i="4"/>
  <c r="G50" i="4"/>
  <c r="F50" i="4"/>
  <c r="E50" i="4"/>
  <c r="D50" i="4"/>
  <c r="C50" i="4"/>
  <c r="N56" i="4"/>
  <c r="M56" i="4"/>
  <c r="L56" i="4"/>
  <c r="K56" i="4"/>
  <c r="J56" i="4"/>
  <c r="I56" i="4"/>
  <c r="H56" i="4"/>
  <c r="G56" i="4"/>
  <c r="F56" i="4"/>
  <c r="E56" i="4"/>
  <c r="D56" i="4"/>
  <c r="C56" i="4"/>
  <c r="N45" i="4"/>
  <c r="M45" i="4"/>
  <c r="L45" i="4"/>
  <c r="K45" i="4"/>
  <c r="J45" i="4"/>
  <c r="I45" i="4"/>
  <c r="H45" i="4"/>
  <c r="G45" i="4"/>
  <c r="F45" i="4"/>
  <c r="E45" i="4"/>
  <c r="D45" i="4"/>
  <c r="C45" i="4"/>
  <c r="N95" i="4"/>
  <c r="M95" i="4"/>
  <c r="L95" i="4"/>
  <c r="K95" i="4"/>
  <c r="J95" i="4"/>
  <c r="I95" i="4"/>
  <c r="H95" i="4"/>
  <c r="G95" i="4"/>
  <c r="F95" i="4"/>
  <c r="E95" i="4"/>
  <c r="D95" i="4"/>
  <c r="C95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N31" i="4"/>
  <c r="M31" i="4"/>
  <c r="L31" i="4"/>
  <c r="K31" i="4"/>
  <c r="J31" i="4"/>
  <c r="I31" i="4"/>
  <c r="H31" i="4"/>
  <c r="G31" i="4"/>
  <c r="F31" i="4"/>
  <c r="E31" i="4"/>
  <c r="D31" i="4"/>
  <c r="C31" i="4"/>
  <c r="N71" i="4"/>
  <c r="M71" i="4"/>
  <c r="L71" i="4"/>
  <c r="K71" i="4"/>
  <c r="J71" i="4"/>
  <c r="I71" i="4"/>
  <c r="H71" i="4"/>
  <c r="G71" i="4"/>
  <c r="F71" i="4"/>
  <c r="E71" i="4"/>
  <c r="D71" i="4"/>
  <c r="C71" i="4"/>
  <c r="N74" i="4"/>
  <c r="M74" i="4"/>
  <c r="L74" i="4"/>
  <c r="K74" i="4"/>
  <c r="J74" i="4"/>
  <c r="I74" i="4"/>
  <c r="H74" i="4"/>
  <c r="G74" i="4"/>
  <c r="F74" i="4"/>
  <c r="E74" i="4"/>
  <c r="D74" i="4"/>
  <c r="C74" i="4"/>
  <c r="N68" i="4"/>
  <c r="M68" i="4"/>
  <c r="L68" i="4"/>
  <c r="K68" i="4"/>
  <c r="J68" i="4"/>
  <c r="I68" i="4"/>
  <c r="H68" i="4"/>
  <c r="G68" i="4"/>
  <c r="F68" i="4"/>
  <c r="E68" i="4"/>
  <c r="D68" i="4"/>
  <c r="C68" i="4"/>
  <c r="N57" i="4"/>
  <c r="M57" i="4"/>
  <c r="L57" i="4"/>
  <c r="K57" i="4"/>
  <c r="J57" i="4"/>
  <c r="I57" i="4"/>
  <c r="H57" i="4"/>
  <c r="G57" i="4"/>
  <c r="F57" i="4"/>
  <c r="E57" i="4"/>
  <c r="D57" i="4"/>
  <c r="C57" i="4"/>
  <c r="N36" i="4"/>
  <c r="M36" i="4"/>
  <c r="L36" i="4"/>
  <c r="K36" i="4"/>
  <c r="J36" i="4"/>
  <c r="I36" i="4"/>
  <c r="H36" i="4"/>
  <c r="G36" i="4"/>
  <c r="F36" i="4"/>
  <c r="E36" i="4"/>
  <c r="D36" i="4"/>
  <c r="C36" i="4"/>
  <c r="N39" i="4"/>
  <c r="M39" i="4"/>
  <c r="L39" i="4"/>
  <c r="K39" i="4"/>
  <c r="J39" i="4"/>
  <c r="I39" i="4"/>
  <c r="H39" i="4"/>
  <c r="G39" i="4"/>
  <c r="F39" i="4"/>
  <c r="E39" i="4"/>
  <c r="D39" i="4"/>
  <c r="C39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N99" i="4"/>
  <c r="M99" i="4"/>
  <c r="L99" i="4"/>
  <c r="K99" i="4"/>
  <c r="J99" i="4"/>
  <c r="I99" i="4"/>
  <c r="H99" i="4"/>
  <c r="G99" i="4"/>
  <c r="F99" i="4"/>
  <c r="E99" i="4"/>
  <c r="D99" i="4"/>
  <c r="C99" i="4"/>
  <c r="N43" i="4"/>
  <c r="M43" i="4"/>
  <c r="L43" i="4"/>
  <c r="K43" i="4"/>
  <c r="J43" i="4"/>
  <c r="I43" i="4"/>
  <c r="H43" i="4"/>
  <c r="G43" i="4"/>
  <c r="F43" i="4"/>
  <c r="E43" i="4"/>
  <c r="D43" i="4"/>
  <c r="C43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N98" i="4"/>
  <c r="M98" i="4"/>
  <c r="L98" i="4"/>
  <c r="K98" i="4"/>
  <c r="J98" i="4"/>
  <c r="I98" i="4"/>
  <c r="H98" i="4"/>
  <c r="G98" i="4"/>
  <c r="F98" i="4"/>
  <c r="E98" i="4"/>
  <c r="D98" i="4"/>
  <c r="C98" i="4"/>
  <c r="N80" i="4"/>
  <c r="M80" i="4"/>
  <c r="L80" i="4"/>
  <c r="K80" i="4"/>
  <c r="J80" i="4"/>
  <c r="I80" i="4"/>
  <c r="H80" i="4"/>
  <c r="G80" i="4"/>
  <c r="F80" i="4"/>
  <c r="E80" i="4"/>
  <c r="D80" i="4"/>
  <c r="C80" i="4"/>
  <c r="N69" i="4"/>
  <c r="M69" i="4"/>
  <c r="L69" i="4"/>
  <c r="K69" i="4"/>
  <c r="J69" i="4"/>
  <c r="I69" i="4"/>
  <c r="H69" i="4"/>
  <c r="G69" i="4"/>
  <c r="F69" i="4"/>
  <c r="E69" i="4"/>
  <c r="D69" i="4"/>
  <c r="C69" i="4"/>
  <c r="N60" i="4"/>
  <c r="M60" i="4"/>
  <c r="L60" i="4"/>
  <c r="K60" i="4"/>
  <c r="J60" i="4"/>
  <c r="I60" i="4"/>
  <c r="H60" i="4"/>
  <c r="G60" i="4"/>
  <c r="F60" i="4"/>
  <c r="E60" i="4"/>
  <c r="D60" i="4"/>
  <c r="C60" i="4"/>
  <c r="N75" i="4"/>
  <c r="M75" i="4"/>
  <c r="L75" i="4"/>
  <c r="K75" i="4"/>
  <c r="J75" i="4"/>
  <c r="I75" i="4"/>
  <c r="H75" i="4"/>
  <c r="G75" i="4"/>
  <c r="F75" i="4"/>
  <c r="E75" i="4"/>
  <c r="D75" i="4"/>
  <c r="C75" i="4"/>
  <c r="N63" i="4"/>
  <c r="M63" i="4"/>
  <c r="L63" i="4"/>
  <c r="K63" i="4"/>
  <c r="J63" i="4"/>
  <c r="I63" i="4"/>
  <c r="H63" i="4"/>
  <c r="G63" i="4"/>
  <c r="F63" i="4"/>
  <c r="E63" i="4"/>
  <c r="D63" i="4"/>
  <c r="C63" i="4"/>
  <c r="N76" i="4"/>
  <c r="M76" i="4"/>
  <c r="L76" i="4"/>
  <c r="K76" i="4"/>
  <c r="J76" i="4"/>
  <c r="I76" i="4"/>
  <c r="H76" i="4"/>
  <c r="G76" i="4"/>
  <c r="F76" i="4"/>
  <c r="E76" i="4"/>
  <c r="D76" i="4"/>
  <c r="C7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<sst xmlns="http://schemas.openxmlformats.org/spreadsheetml/2006/main" count="83" uniqueCount="81">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</sst>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</cellXfs>
  <cellStyles count="2"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Sublimation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Sweep!$A$18:$A$119</c:f>
              <c:numCache>
                <c:formatCode>General</c:formatCode>
                <c:ptCount val="102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Sweep!$C$18:$C$119</c:f>
              <c:numCache>
                <c:formatCode>General</c:formatCode>
                <c:ptCount val="102"/>
                <c:pt idx="0">
                  <c:v>0</c:v>
                </c:pt>
                <c:pt idx="1">
                  <c:v>13.380009922007014</c:v>
                </c:pt>
                <c:pt idx="2">
                  <c:v>13.380131799843046</c:v>
                </c:pt>
                <c:pt idx="3">
                  <c:v>13.380626100072968</c:v>
                </c:pt>
                <c:pt idx="4">
                  <c:v>13.381917299338662</c:v>
                </c:pt>
                <c:pt idx="5">
                  <c:v>13.384591294858588</c:v>
                </c:pt>
                <c:pt idx="6">
                  <c:v>13.389363930178606</c:v>
                </c:pt>
                <c:pt idx="7">
                  <c:v>13.397000960883666</c:v>
                </c:pt>
                <c:pt idx="8">
                  <c:v>13.408220845527746</c:v>
                </c:pt>
                <c:pt idx="9">
                  <c:v>13.423626168305869</c:v>
                </c:pt>
                <c:pt idx="10">
                  <c:v>13.443678009178948</c:v>
                </c:pt>
                <c:pt idx="11">
                  <c:v>13.468701997486889</c:v>
                </c:pt>
                <c:pt idx="12">
                  <c:v>13.498909718081729</c:v>
                </c:pt>
                <c:pt idx="13">
                  <c:v>13.534423894131566</c:v>
                </c:pt>
                <c:pt idx="14">
                  <c:v>13.575301447390313</c:v>
                </c:pt>
                <c:pt idx="15">
                  <c:v>13.621552306133999</c:v>
                </c:pt>
                <c:pt idx="16">
                  <c:v>13.673153752673901</c:v>
                </c:pt>
                <c:pt idx="17">
                  <c:v>13.73006086970212</c:v>
                </c:pt>
                <c:pt idx="18">
                  <c:v>13.792213819653655</c:v>
                </c:pt>
                <c:pt idx="19">
                  <c:v>13.859542600239768</c:v>
                </c:pt>
                <c:pt idx="20">
                  <c:v>13.931969714397379</c:v>
                </c:pt>
                <c:pt idx="21">
                  <c:v>14.009410913442336</c:v>
                </c:pt>
                <c:pt idx="22">
                  <c:v>14.091773753392706</c:v>
                </c:pt>
                <c:pt idx="23">
                  <c:v>14.17895283923418</c:v>
                </c:pt>
                <c:pt idx="24">
                  <c:v>14.270817602116502</c:v>
                </c:pt>
                <c:pt idx="25">
                  <c:v>14.088574618700598</c:v>
                </c:pt>
                <c:pt idx="26">
                  <c:v>14.070048429419062</c:v>
                </c:pt>
                <c:pt idx="27">
                  <c:v>14.057139647345402</c:v>
                </c:pt>
                <c:pt idx="28">
                  <c:v>14.040687202979996</c:v>
                </c:pt>
                <c:pt idx="29">
                  <c:v>14.019531690010695</c:v>
                </c:pt>
                <c:pt idx="30">
                  <c:v>13.99367390793098</c:v>
                </c:pt>
                <c:pt idx="31">
                  <c:v>13.963390891858451</c:v>
                </c:pt>
                <c:pt idx="32">
                  <c:v>13.929028632108141</c:v>
                </c:pt>
                <c:pt idx="33">
                  <c:v>13.890940211300547</c:v>
                </c:pt>
                <c:pt idx="34">
                  <c:v>13.849465295664507</c:v>
                </c:pt>
                <c:pt idx="35">
                  <c:v>13.804923399574282</c:v>
                </c:pt>
                <c:pt idx="36">
                  <c:v>13.757612182115755</c:v>
                </c:pt>
                <c:pt idx="37">
                  <c:v>13.707807666771339</c:v>
                </c:pt>
                <c:pt idx="38">
                  <c:v>13.655765191863148</c:v>
                </c:pt>
                <c:pt idx="39">
                  <c:v>13.601720612856001</c:v>
                </c:pt>
                <c:pt idx="40">
                  <c:v>13.54589156021953</c:v>
                </c:pt>
                <c:pt idx="41">
                  <c:v>13.488478673079175</c:v>
                </c:pt>
                <c:pt idx="42">
                  <c:v>13.42966677795293</c:v>
                </c:pt>
                <c:pt idx="43">
                  <c:v>13.369626002551538</c:v>
                </c:pt>
                <c:pt idx="44">
                  <c:v>13.30851282313146</c:v>
                </c:pt>
                <c:pt idx="45">
                  <c:v>13.246471047178215</c:v>
                </c:pt>
                <c:pt idx="46">
                  <c:v>13.183632734290898</c:v>
                </c:pt>
                <c:pt idx="47">
                  <c:v>13.120119058359615</c:v>
                </c:pt>
                <c:pt idx="48">
                  <c:v>13.056041114043653</c:v>
                </c:pt>
                <c:pt idx="49">
                  <c:v>12.991500670400301</c:v>
                </c:pt>
                <c:pt idx="50">
                  <c:v>12.926590874366456</c:v>
                </c:pt>
                <c:pt idx="51">
                  <c:v>12.861396906678651</c:v>
                </c:pt>
                <c:pt idx="52">
                  <c:v>12.795996592729596</c:v>
                </c:pt>
                <c:pt idx="53">
                  <c:v>12.730460970791489</c:v>
                </c:pt>
                <c:pt idx="54">
                  <c:v>12.664854819978466</c:v>
                </c:pt>
                <c:pt idx="55">
                  <c:v>12.599237150264958</c:v>
                </c:pt>
                <c:pt idx="56">
                  <c:v>12.533661656818362</c:v>
                </c:pt>
                <c:pt idx="57">
                  <c:v>12.468177140840686</c:v>
                </c:pt>
                <c:pt idx="58">
                  <c:v>12.402827899043174</c:v>
                </c:pt>
                <c:pt idx="59">
                  <c:v>12.337654083800672</c:v>
                </c:pt>
                <c:pt idx="60">
                  <c:v>12.272692035949271</c:v>
                </c:pt>
                <c:pt idx="61">
                  <c:v>12.207974592102923</c:v>
                </c:pt>
                <c:pt idx="62">
                  <c:v>12.143531368273074</c:v>
                </c:pt>
                <c:pt idx="63">
                  <c:v>12.079389021482319</c:v>
                </c:pt>
                <c:pt idx="64">
                  <c:v>12.015571490968592</c:v>
                </c:pt>
                <c:pt idx="65">
                  <c:v>11.952100220482709</c:v>
                </c:pt>
                <c:pt idx="66">
                  <c:v>11.888994363089889</c:v>
                </c:pt>
                <c:pt idx="67">
                  <c:v>11.826270969795326</c:v>
                </c:pt>
                <c:pt idx="68">
                  <c:v>11.763945163226895</c:v>
                </c:pt>
                <c:pt idx="69">
                  <c:v>11.702030297523814</c:v>
                </c:pt>
                <c:pt idx="70">
                  <c:v>11.640538105499964</c:v>
                </c:pt>
                <c:pt idx="71">
                  <c:v>11.5794788340741</c:v>
                </c:pt>
                <c:pt idx="72">
                  <c:v>11.518861368886975</c:v>
                </c:pt>
                <c:pt idx="73">
                  <c:v>11.458693348957267</c:v>
                </c:pt>
                <c:pt idx="74">
                  <c:v>11.398981272164164</c:v>
                </c:pt>
                <c:pt idx="75">
                  <c:v>11.339730592284553</c:v>
                </c:pt>
                <c:pt idx="76">
                  <c:v>11.280945808256797</c:v>
                </c:pt>
                <c:pt idx="77">
                  <c:v>11.222630546290842</c:v>
                </c:pt>
                <c:pt idx="78">
                  <c:v>11.164787635396012</c:v>
                </c:pt>
                <c:pt idx="79">
                  <c:v>11.107419176852803</c:v>
                </c:pt>
                <c:pt idx="80">
                  <c:v>11.050526608113197</c:v>
                </c:pt>
                <c:pt idx="81">
                  <c:v>10.994110761575625</c:v>
                </c:pt>
                <c:pt idx="82">
                  <c:v>10.938171918644819</c:v>
                </c:pt>
                <c:pt idx="83">
                  <c:v>10.882709859454131</c:v>
                </c:pt>
                <c:pt idx="84">
                  <c:v>10.827723908597285</c:v>
                </c:pt>
                <c:pt idx="85">
                  <c:v>10.773212977188782</c:v>
                </c:pt>
                <c:pt idx="86">
                  <c:v>10.719175601546285</c:v>
                </c:pt>
                <c:pt idx="87">
                  <c:v>10.665609978764673</c:v>
                </c:pt>
                <c:pt idx="88">
                  <c:v>10.612513999429602</c:v>
                </c:pt>
                <c:pt idx="89">
                  <c:v>10.559885277698465</c:v>
                </c:pt>
                <c:pt idx="90">
                  <c:v>10.507721178958057</c:v>
                </c:pt>
                <c:pt idx="91">
                  <c:v>10.45601884525157</c:v>
                </c:pt>
                <c:pt idx="92">
                  <c:v>10.404775218651679</c:v>
                </c:pt>
                <c:pt idx="93">
                  <c:v>10.353987062742577</c:v>
                </c:pt>
                <c:pt idx="94">
                  <c:v>10.303650982360359</c:v>
                </c:pt>
                <c:pt idx="95">
                  <c:v>10.253763441729335</c:v>
                </c:pt>
                <c:pt idx="96">
                  <c:v>10.204320781120741</c:v>
                </c:pt>
                <c:pt idx="97">
                  <c:v>10.155319232150179</c:v>
                </c:pt>
                <c:pt idx="98">
                  <c:v>10.106754931820731</c:v>
                </c:pt>
                <c:pt idx="99">
                  <c:v>10.058623935410266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Vm (cm^3/mol)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Sweep!$A$18:$A$117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Sweep!$G$18:$G$117</c:f>
              <c:numCache>
                <c:formatCode>General</c:formatCode>
                <c:ptCount val="100"/>
                <c:pt idx="0">
                  <c:v>0</c:v>
                </c:pt>
                <c:pt idx="1">
                  <c:v>1.1249729399880903E-2</c:v>
                </c:pt>
                <c:pt idx="2">
                  <c:v>7.828620622871349E-2</c:v>
                </c:pt>
                <c:pt idx="3">
                  <c:v>0.25203140315832323</c:v>
                </c:pt>
                <c:pt idx="4">
                  <c:v>0.58385213193256402</c:v>
                </c:pt>
                <c:pt idx="5">
                  <c:v>1.1217532973116595</c:v>
                </c:pt>
                <c:pt idx="6">
                  <c:v>1.8963608869157786</c:v>
                </c:pt>
                <c:pt idx="7">
                  <c:v>2.9082352028063054</c:v>
                </c:pt>
                <c:pt idx="8">
                  <c:v>4.1307219616735527</c:v>
                </c:pt>
                <c:pt idx="9">
                  <c:v>5.5229577048700387</c:v>
                </c:pt>
                <c:pt idx="10">
                  <c:v>7.0421197418811596</c:v>
                </c:pt>
                <c:pt idx="11">
                  <c:v>8.6505063011734347</c:v>
                </c:pt>
                <c:pt idx="12">
                  <c:v>10.318077329656049</c:v>
                </c:pt>
                <c:pt idx="13">
                  <c:v>12.02237601147384</c:v>
                </c:pt>
                <c:pt idx="14">
                  <c:v>13.747344987630374</c:v>
                </c:pt>
                <c:pt idx="15">
                  <c:v>15.481888561329642</c:v>
                </c:pt>
                <c:pt idx="16">
                  <c:v>17.2185615826495</c:v>
                </c:pt>
                <c:pt idx="17">
                  <c:v>18.952509027495019</c:v>
                </c:pt>
                <c:pt idx="18">
                  <c:v>20.680662573810476</c:v>
                </c:pt>
                <c:pt idx="19">
                  <c:v>22.401156272135243</c:v>
                </c:pt>
                <c:pt idx="20">
                  <c:v>24.11291324485514</c:v>
                </c:pt>
                <c:pt idx="21">
                  <c:v>25.815358281176913</c:v>
                </c:pt>
                <c:pt idx="22">
                  <c:v>27.508217601502849</c:v>
                </c:pt>
                <c:pt idx="23">
                  <c:v>29.191370807869212</c:v>
                </c:pt>
                <c:pt idx="24">
                  <c:v>30.864710754269126</c:v>
                </c:pt>
                <c:pt idx="25">
                  <c:v>30.958805648088294</c:v>
                </c:pt>
                <c:pt idx="26">
                  <c:v>31.941538510164339</c:v>
                </c:pt>
                <c:pt idx="27">
                  <c:v>32.925202842779399</c:v>
                </c:pt>
                <c:pt idx="28">
                  <c:v>33.859377520260963</c:v>
                </c:pt>
                <c:pt idx="29">
                  <c:v>34.738918286893536</c:v>
                </c:pt>
                <c:pt idx="30">
                  <c:v>35.565176383004875</c:v>
                </c:pt>
                <c:pt idx="31">
                  <c:v>36.340982671706797</c:v>
                </c:pt>
                <c:pt idx="32">
                  <c:v>37.069474035481029</c:v>
                </c:pt>
                <c:pt idx="33">
                  <c:v>37.753747074666578</c:v>
                </c:pt>
                <c:pt idx="34">
                  <c:v>38.396747377576837</c:v>
                </c:pt>
                <c:pt idx="35">
                  <c:v>39.00123716554009</c:v>
                </c:pt>
                <c:pt idx="36">
                  <c:v>39.569791345355696</c:v>
                </c:pt>
                <c:pt idx="37">
                  <c:v>40.104803993787989</c:v>
                </c:pt>
                <c:pt idx="38">
                  <c:v>40.608498647346906</c:v>
                </c:pt>
                <c:pt idx="39">
                  <c:v>41.082939547901169</c:v>
                </c:pt>
                <c:pt idx="40">
                  <c:v>41.530042732950854</c:v>
                </c:pt>
                <c:pt idx="41">
                  <c:v>41.951586608071416</c:v>
                </c:pt>
                <c:pt idx="42">
                  <c:v>42.349221945474035</c:v>
                </c:pt>
                <c:pt idx="43">
                  <c:v>42.724481064191906</c:v>
                </c:pt>
                <c:pt idx="44">
                  <c:v>43.078786472498308</c:v>
                </c:pt>
                <c:pt idx="45">
                  <c:v>43.413458792580087</c:v>
                </c:pt>
                <c:pt idx="46">
                  <c:v>43.729724210318217</c:v>
                </c:pt>
                <c:pt idx="47">
                  <c:v>44.028721422544734</c:v>
                </c:pt>
                <c:pt idx="48">
                  <c:v>44.311507906839324</c:v>
                </c:pt>
                <c:pt idx="49">
                  <c:v>44.579066014692287</c:v>
                </c:pt>
                <c:pt idx="50">
                  <c:v>44.832308340051263</c:v>
                </c:pt>
                <c:pt idx="51">
                  <c:v>45.072082997919409</c:v>
                </c:pt>
                <c:pt idx="52">
                  <c:v>45.299178276617624</c:v>
                </c:pt>
                <c:pt idx="53">
                  <c:v>45.514327098746541</c:v>
                </c:pt>
                <c:pt idx="54">
                  <c:v>45.718211120656193</c:v>
                </c:pt>
                <c:pt idx="55">
                  <c:v>45.91146448590569</c:v>
                </c:pt>
                <c:pt idx="56">
                  <c:v>46.094677351977197</c:v>
                </c:pt>
                <c:pt idx="57">
                  <c:v>46.268399180097127</c:v>
                </c:pt>
                <c:pt idx="58">
                  <c:v>46.433141649828805</c:v>
                </c:pt>
                <c:pt idx="59">
                  <c:v>46.589381544234705</c:v>
                </c:pt>
                <c:pt idx="60">
                  <c:v>46.73756324538126</c:v>
                </c:pt>
                <c:pt idx="61">
                  <c:v>46.878101160224645</c:v>
                </c:pt>
                <c:pt idx="62">
                  <c:v>47.011381832359049</c:v>
                </c:pt>
                <c:pt idx="63">
                  <c:v>47.137766114464007</c:v>
                </c:pt>
                <c:pt idx="64">
                  <c:v>47.257590882978874</c:v>
                </c:pt>
                <c:pt idx="65">
                  <c:v>47.371170890692127</c:v>
                </c:pt>
                <c:pt idx="66">
                  <c:v>47.4788002666022</c:v>
                </c:pt>
                <c:pt idx="67">
                  <c:v>47.580754103216734</c:v>
                </c:pt>
                <c:pt idx="68">
                  <c:v>47.677289709176563</c:v>
                </c:pt>
                <c:pt idx="69">
                  <c:v>47.768647943994416</c:v>
                </c:pt>
                <c:pt idx="70">
                  <c:v>47.855054378182253</c:v>
                </c:pt>
                <c:pt idx="71">
                  <c:v>47.936720303318495</c:v>
                </c:pt>
                <c:pt idx="72">
                  <c:v>48.013843837407073</c:v>
                </c:pt>
                <c:pt idx="73">
                  <c:v>48.08661076980642</c:v>
                </c:pt>
                <c:pt idx="74">
                  <c:v>48.155195396027949</c:v>
                </c:pt>
                <c:pt idx="75">
                  <c:v>48.219761388697528</c:v>
                </c:pt>
                <c:pt idx="76">
                  <c:v>48.280462457955906</c:v>
                </c:pt>
                <c:pt idx="77">
                  <c:v>48.337443035797094</c:v>
                </c:pt>
                <c:pt idx="78">
                  <c:v>48.390838948434272</c:v>
                </c:pt>
                <c:pt idx="79">
                  <c:v>48.440777950772251</c:v>
                </c:pt>
                <c:pt idx="80">
                  <c:v>48.48738026546981</c:v>
                </c:pt>
                <c:pt idx="81">
                  <c:v>48.530759120033743</c:v>
                </c:pt>
                <c:pt idx="82">
                  <c:v>48.571021172790196</c:v>
                </c:pt>
                <c:pt idx="83">
                  <c:v>48.608266945461516</c:v>
                </c:pt>
                <c:pt idx="84">
                  <c:v>48.642591280078946</c:v>
                </c:pt>
                <c:pt idx="85">
                  <c:v>48.674083593913281</c:v>
                </c:pt>
                <c:pt idx="86">
                  <c:v>48.702828363952314</c:v>
                </c:pt>
                <c:pt idx="87">
                  <c:v>48.728905339109986</c:v>
                </c:pt>
                <c:pt idx="88">
                  <c:v>48.752389879782498</c:v>
                </c:pt>
                <c:pt idx="89">
                  <c:v>48.773353248677502</c:v>
                </c:pt>
                <c:pt idx="90">
                  <c:v>48.791862880993726</c:v>
                </c:pt>
                <c:pt idx="91">
                  <c:v>48.807982532078505</c:v>
                </c:pt>
                <c:pt idx="92">
                  <c:v>48.821772662297256</c:v>
                </c:pt>
                <c:pt idx="93">
                  <c:v>48.833290469653484</c:v>
                </c:pt>
                <c:pt idx="94">
                  <c:v>48.842590268568465</c:v>
                </c:pt>
                <c:pt idx="95">
                  <c:v>48.849723489309369</c:v>
                </c:pt>
                <c:pt idx="96">
                  <c:v>48.854738990684794</c:v>
                </c:pt>
                <c:pt idx="97">
                  <c:v>48.857683178140938</c:v>
                </c:pt>
                <c:pt idx="98">
                  <c:v>48.858600099840444</c:v>
                </c:pt>
                <c:pt idx="99">
                  <c:v>48.85753165875839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Sweep!$A$18:$A$117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Sweep!$F$18:$F$117</c:f>
              <c:numCache>
                <c:formatCode>General</c:formatCode>
                <c:ptCount val="100"/>
                <c:pt idx="0">
                  <c:v>0</c:v>
                </c:pt>
                <c:pt idx="1">
                  <c:v>2.6964737387574882E-6</c:v>
                </c:pt>
                <c:pt idx="2">
                  <c:v>1.8764284536200759E-5</c:v>
                </c:pt>
                <c:pt idx="3">
                  <c:v>6.0404818806093647E-5</c:v>
                </c:pt>
                <c:pt idx="4">
                  <c:v>1.3990778712443018E-4</c:v>
                </c:pt>
                <c:pt idx="5">
                  <c:v>2.6870460630063403E-4</c:v>
                </c:pt>
                <c:pt idx="6">
                  <c:v>4.5395334630181003E-4</c:v>
                </c:pt>
                <c:pt idx="7">
                  <c:v>6.9544128253329395E-4</c:v>
                </c:pt>
                <c:pt idx="8">
                  <c:v>9.8624294214740222E-4</c:v>
                </c:pt>
                <c:pt idx="9">
                  <c:v>1.3158580035255397E-3</c:v>
                </c:pt>
                <c:pt idx="10">
                  <c:v>1.6732016071686791E-3</c:v>
                </c:pt>
                <c:pt idx="11">
                  <c:v>2.0483657486147044E-3</c:v>
                </c:pt>
                <c:pt idx="12">
                  <c:v>2.4332852395186665E-3</c:v>
                </c:pt>
                <c:pt idx="13">
                  <c:v>2.8217609698541223E-3</c:v>
                </c:pt>
                <c:pt idx="14">
                  <c:v>3.2092031101309698E-3</c:v>
                </c:pt>
                <c:pt idx="15">
                  <c:v>3.5923012647444763E-3</c:v>
                </c:pt>
                <c:pt idx="16">
                  <c:v>3.968716377934731E-3</c:v>
                </c:pt>
                <c:pt idx="17">
                  <c:v>4.3368270972270317E-3</c:v>
                </c:pt>
                <c:pt idx="18">
                  <c:v>4.6955342263367934E-3</c:v>
                </c:pt>
                <c:pt idx="19">
                  <c:v>5.0441155394373386E-3</c:v>
                </c:pt>
                <c:pt idx="20">
                  <c:v>5.3821202244492827E-3</c:v>
                </c:pt>
                <c:pt idx="21">
                  <c:v>5.7092925388957539E-3</c:v>
                </c:pt>
                <c:pt idx="22">
                  <c:v>6.0255155174150392E-3</c:v>
                </c:pt>
                <c:pt idx="23">
                  <c:v>6.3307661627217031E-3</c:v>
                </c:pt>
                <c:pt idx="24">
                  <c:v>6.6250704139016424E-3</c:v>
                </c:pt>
                <c:pt idx="25">
                  <c:v>6.4414957366583587E-3</c:v>
                </c:pt>
                <c:pt idx="26">
                  <c:v>6.524919945908543E-3</c:v>
                </c:pt>
                <c:pt idx="27">
                  <c:v>6.6069390234485652E-3</c:v>
                </c:pt>
                <c:pt idx="28">
                  <c:v>6.6735965596782E-3</c:v>
                </c:pt>
                <c:pt idx="29">
                  <c:v>6.7243049735006867E-3</c:v>
                </c:pt>
                <c:pt idx="30">
                  <c:v>6.7602856465103917E-3</c:v>
                </c:pt>
                <c:pt idx="31">
                  <c:v>6.7830830868090778E-3</c:v>
                </c:pt>
                <c:pt idx="32">
                  <c:v>6.7942253492273815E-3</c:v>
                </c:pt>
                <c:pt idx="33">
                  <c:v>6.7951311320283841E-3</c:v>
                </c:pt>
                <c:pt idx="34">
                  <c:v>6.7870868653735813E-3</c:v>
                </c:pt>
                <c:pt idx="35">
                  <c:v>6.7712467386091858E-3</c:v>
                </c:pt>
                <c:pt idx="36">
                  <c:v>6.7486406363053836E-3</c:v>
                </c:pt>
                <c:pt idx="37">
                  <c:v>6.7201845575634812E-3</c:v>
                </c:pt>
                <c:pt idx="38">
                  <c:v>6.686691470178259E-3</c:v>
                </c:pt>
                <c:pt idx="39">
                  <c:v>6.648881748635805E-3</c:v>
                </c:pt>
                <c:pt idx="40">
                  <c:v>6.6073928736618288E-3</c:v>
                </c:pt>
                <c:pt idx="41">
                  <c:v>6.5627883053553547E-3</c:v>
                </c:pt>
                <c:pt idx="42">
                  <c:v>6.5155655338167409E-3</c:v>
                </c:pt>
                <c:pt idx="43">
                  <c:v>6.4661633117412617E-3</c:v>
                </c:pt>
                <c:pt idx="44">
                  <c:v>6.4149681634884329E-3</c:v>
                </c:pt>
                <c:pt idx="45">
                  <c:v>6.3623201973888096E-3</c:v>
                </c:pt>
                <c:pt idx="46">
                  <c:v>6.3085183131697045E-3</c:v>
                </c:pt>
                <c:pt idx="47">
                  <c:v>6.2538248521814598E-3</c:v>
                </c:pt>
                <c:pt idx="48">
                  <c:v>6.1984697157685138E-3</c:v>
                </c:pt>
                <c:pt idx="49">
                  <c:v>6.1426540702160413E-3</c:v>
                </c:pt>
                <c:pt idx="50">
                  <c:v>6.0865536025732029E-3</c:v>
                </c:pt>
                <c:pt idx="51">
                  <c:v>6.0303214556556703E-3</c:v>
                </c:pt>
                <c:pt idx="52">
                  <c:v>5.9740908025935633E-3</c:v>
                </c:pt>
                <c:pt idx="53">
                  <c:v>5.9179771527488783E-3</c:v>
                </c:pt>
                <c:pt idx="54">
                  <c:v>5.8620803949030291E-3</c:v>
                </c:pt>
                <c:pt idx="55">
                  <c:v>5.8064866026000935E-3</c:v>
                </c:pt>
                <c:pt idx="56">
                  <c:v>5.7512696449739395E-3</c:v>
                </c:pt>
                <c:pt idx="57">
                  <c:v>5.6964926169961183E-3</c:v>
                </c:pt>
                <c:pt idx="58">
                  <c:v>5.6422090924217521E-3</c:v>
                </c:pt>
                <c:pt idx="59">
                  <c:v>5.5884642579161828E-3</c:v>
                </c:pt>
                <c:pt idx="60">
                  <c:v>5.5352958976732239E-3</c:v>
                </c:pt>
                <c:pt idx="61">
                  <c:v>5.4827352808640099E-3</c:v>
                </c:pt>
                <c:pt idx="62">
                  <c:v>5.4308079322528983E-3</c:v>
                </c:pt>
                <c:pt idx="63">
                  <c:v>5.3795343418779401E-3</c:v>
                </c:pt>
                <c:pt idx="64">
                  <c:v>5.3289305597512488E-3</c:v>
                </c:pt>
                <c:pt idx="65">
                  <c:v>5.2790087536821687E-3</c:v>
                </c:pt>
                <c:pt idx="66">
                  <c:v>5.2297776798328199E-3</c:v>
                </c:pt>
                <c:pt idx="67">
                  <c:v>5.1812431219277529E-3</c:v>
                </c:pt>
                <c:pt idx="68">
                  <c:v>5.1334082575744807E-3</c:v>
                </c:pt>
                <c:pt idx="69">
                  <c:v>5.0862739999634528E-3</c:v>
                </c:pt>
                <c:pt idx="70">
                  <c:v>5.0398392957149421E-3</c:v>
                </c:pt>
                <c:pt idx="71">
                  <c:v>4.9941013795817444E-3</c:v>
                </c:pt>
                <c:pt idx="72">
                  <c:v>4.9490560188529811E-3</c:v>
                </c:pt>
                <c:pt idx="73">
                  <c:v>4.904697711148656E-3</c:v>
                </c:pt>
                <c:pt idx="74">
                  <c:v>4.8610198649267295E-3</c:v>
                </c:pt>
                <c:pt idx="75">
                  <c:v>4.8180149689896375E-3</c:v>
                </c:pt>
                <c:pt idx="76">
                  <c:v>4.7756747277493492E-3</c:v>
                </c:pt>
                <c:pt idx="77">
                  <c:v>4.7339901879479701E-3</c:v>
                </c:pt>
                <c:pt idx="78">
                  <c:v>4.692951854245622E-3</c:v>
                </c:pt>
                <c:pt idx="79">
                  <c:v>4.6525497826157376E-3</c:v>
                </c:pt>
                <c:pt idx="80">
                  <c:v>4.6127736668361043E-3</c:v>
                </c:pt>
                <c:pt idx="81">
                  <c:v>4.5736129181340656E-3</c:v>
                </c:pt>
                <c:pt idx="82">
                  <c:v>4.5350567284407946E-3</c:v>
                </c:pt>
                <c:pt idx="83">
                  <c:v>4.4970941293783909E-3</c:v>
                </c:pt>
                <c:pt idx="84">
                  <c:v>4.4597140490341821E-3</c:v>
                </c:pt>
                <c:pt idx="85">
                  <c:v>4.4229053462400188E-3</c:v>
                </c:pt>
                <c:pt idx="86">
                  <c:v>4.3866568627405943E-3</c:v>
                </c:pt>
                <c:pt idx="87">
                  <c:v>4.3509574474659097E-3</c:v>
                </c:pt>
                <c:pt idx="88">
                  <c:v>4.3157959900678982E-3</c:v>
                </c:pt>
                <c:pt idx="89">
                  <c:v>4.2811614478023372E-3</c:v>
                </c:pt>
                <c:pt idx="90">
                  <c:v>4.2470428686736238E-3</c:v>
                </c:pt>
                <c:pt idx="91">
                  <c:v>4.2134294023374059E-3</c:v>
                </c:pt>
                <c:pt idx="92">
                  <c:v>4.1803103303263639E-3</c:v>
                </c:pt>
                <c:pt idx="93">
                  <c:v>4.1476750644972426E-3</c:v>
                </c:pt>
                <c:pt idx="94">
                  <c:v>4.1155131743760313E-3</c:v>
                </c:pt>
                <c:pt idx="95">
                  <c:v>4.0838143814114491E-3</c:v>
                </c:pt>
                <c:pt idx="96">
                  <c:v>4.0525685782625701E-3</c:v>
                </c:pt>
                <c:pt idx="97">
                  <c:v>4.0217658327003731E-3</c:v>
                </c:pt>
                <c:pt idx="98">
                  <c:v>3.9913963877416083E-3</c:v>
                </c:pt>
                <c:pt idx="99">
                  <c:v>3.9614506717594346E-3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Sweep!$A$18:$A$117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Sweep!$D$18:$D$117</c:f>
              <c:numCache>
                <c:formatCode>General</c:formatCode>
                <c:ptCount val="100"/>
                <c:pt idx="0">
                  <c:v>0</c:v>
                </c:pt>
                <c:pt idx="1">
                  <c:v>1.0022236199860458E-3</c:v>
                </c:pt>
                <c:pt idx="2">
                  <c:v>1.0023308081521243E-3</c:v>
                </c:pt>
                <c:pt idx="3">
                  <c:v>1.0027657263944121E-3</c:v>
                </c:pt>
                <c:pt idx="4">
                  <c:v>1.0039022175285883E-3</c:v>
                </c:pt>
                <c:pt idx="5">
                  <c:v>1.0062445769136888E-3</c:v>
                </c:pt>
                <c:pt idx="6">
                  <c:v>1.0103489026130751E-3</c:v>
                </c:pt>
                <c:pt idx="7">
                  <c:v>1.0166895555512353E-3</c:v>
                </c:pt>
                <c:pt idx="8">
                  <c:v>1.025565011720021E-3</c:v>
                </c:pt>
                <c:pt idx="9">
                  <c:v>1.0370869353102546E-3</c:v>
                </c:pt>
                <c:pt idx="10">
                  <c:v>1.051222042267606E-3</c:v>
                </c:pt>
                <c:pt idx="11">
                  <c:v>1.0678457162587227E-3</c:v>
                </c:pt>
                <c:pt idx="12">
                  <c:v>1.086786032285711E-3</c:v>
                </c:pt>
                <c:pt idx="13">
                  <c:v>1.107853331057817E-3</c:v>
                </c:pt>
                <c:pt idx="14">
                  <c:v>1.1308576530637958E-3</c:v>
                </c:pt>
                <c:pt idx="15">
                  <c:v>1.1556178748489579E-3</c:v>
                </c:pt>
                <c:pt idx="16">
                  <c:v>1.1819657943602578E-3</c:v>
                </c:pt>
                <c:pt idx="17">
                  <c:v>1.209747395268972E-3</c:v>
                </c:pt>
                <c:pt idx="18">
                  <c:v>1.2388226597008082E-3</c:v>
                </c:pt>
                <c:pt idx="19">
                  <c:v>1.2690646948436547E-3</c:v>
                </c:pt>
                <c:pt idx="20">
                  <c:v>1.3003585443132962E-3</c:v>
                </c:pt>
                <c:pt idx="21">
                  <c:v>1.3325997870678276E-3</c:v>
                </c:pt>
                <c:pt idx="22">
                  <c:v>1.365692804429779E-3</c:v>
                </c:pt>
                <c:pt idx="23">
                  <c:v>1.3995482726432262E-3</c:v>
                </c:pt>
                <c:pt idx="24">
                  <c:v>1.4340784358905217E-3</c:v>
                </c:pt>
                <c:pt idx="25">
                  <c:v>1.3805925736669362E-3</c:v>
                </c:pt>
                <c:pt idx="26">
                  <c:v>1.3786702750472584E-3</c:v>
                </c:pt>
                <c:pt idx="27">
                  <c:v>1.3778866487093604E-3</c:v>
                </c:pt>
                <c:pt idx="28">
                  <c:v>1.3754730040460134E-3</c:v>
                </c:pt>
                <c:pt idx="29">
                  <c:v>1.3711673288392511E-3</c:v>
                </c:pt>
                <c:pt idx="30">
                  <c:v>1.3650661711505959E-3</c:v>
                </c:pt>
                <c:pt idx="31">
                  <c:v>1.3573459829317222E-3</c:v>
                </c:pt>
                <c:pt idx="32">
                  <c:v>1.3481971332099051E-3</c:v>
                </c:pt>
                <c:pt idx="33">
                  <c:v>1.3378040011473469E-3</c:v>
                </c:pt>
                <c:pt idx="34">
                  <c:v>1.3263384166130137E-3</c:v>
                </c:pt>
                <c:pt idx="35">
                  <c:v>1.313957697705036E-3</c:v>
                </c:pt>
                <c:pt idx="36">
                  <c:v>1.300804460001984E-3</c:v>
                </c:pt>
                <c:pt idx="37">
                  <c:v>1.2870071546677339E-3</c:v>
                </c:pt>
                <c:pt idx="38">
                  <c:v>1.2726809145007191E-3</c:v>
                </c:pt>
                <c:pt idx="39">
                  <c:v>1.2579285184593383E-3</c:v>
                </c:pt>
                <c:pt idx="40">
                  <c:v>1.2428413849062414E-3</c:v>
                </c:pt>
                <c:pt idx="41">
                  <c:v>1.2275005502145242E-3</c:v>
                </c:pt>
                <c:pt idx="42">
                  <c:v>1.2119776092930469E-3</c:v>
                </c:pt>
                <c:pt idx="43">
                  <c:v>1.1963356031797943E-3</c:v>
                </c:pt>
                <c:pt idx="44">
                  <c:v>1.180629850702813E-3</c:v>
                </c:pt>
                <c:pt idx="45">
                  <c:v>1.1649087187184232E-3</c:v>
                </c:pt>
                <c:pt idx="46">
                  <c:v>1.1492143333508222E-3</c:v>
                </c:pt>
                <c:pt idx="47">
                  <c:v>1.1335832325169459E-3</c:v>
                </c:pt>
                <c:pt idx="48">
                  <c:v>1.1180469593323852E-3</c:v>
                </c:pt>
                <c:pt idx="49">
                  <c:v>1.1026326051494359E-3</c:v>
                </c:pt>
                <c:pt idx="50">
                  <c:v>1.0873632982093193E-3</c:v>
                </c:pt>
                <c:pt idx="51">
                  <c:v>1.0722586488477574E-3</c:v>
                </c:pt>
                <c:pt idx="52">
                  <c:v>1.0573351478636039E-3</c:v>
                </c:pt>
                <c:pt idx="53">
                  <c:v>1.0426065264850278E-3</c:v>
                </c:pt>
                <c:pt idx="54">
                  <c:v>1.0280840792434944E-3</c:v>
                </c:pt>
                <c:pt idx="55">
                  <c:v>1.0137769521563853E-3</c:v>
                </c:pt>
                <c:pt idx="56">
                  <c:v>9.9969240168378578E-4</c:v>
                </c:pt>
                <c:pt idx="57">
                  <c:v>9.8583602581735381E-4</c:v>
                </c:pt>
                <c:pt idx="58">
                  <c:v>9.722119688531474E-4</c:v>
                </c:pt>
                <c:pt idx="59">
                  <c:v>9.5882310577493572E-4</c:v>
                </c:pt>
                <c:pt idx="60">
                  <c:v>9.4567120440295922E-4</c:v>
                </c:pt>
                <c:pt idx="61">
                  <c:v>9.3275707077596027E-4</c:v>
                </c:pt>
                <c:pt idx="62">
                  <c:v>9.2008067663160197E-4</c:v>
                </c:pt>
                <c:pt idx="63">
                  <c:v>9.0764127490425837E-4</c:v>
                </c:pt>
                <c:pt idx="64">
                  <c:v>8.9543749888496796E-4</c:v>
                </c:pt>
                <c:pt idx="65">
                  <c:v>8.8346745266320811E-4</c:v>
                </c:pt>
                <c:pt idx="66">
                  <c:v>8.7172878896889618E-4</c:v>
                </c:pt>
                <c:pt idx="67">
                  <c:v>8.6021877980678311E-4</c:v>
                </c:pt>
                <c:pt idx="68">
                  <c:v>8.4893437684134228E-4</c:v>
                </c:pt>
                <c:pt idx="69">
                  <c:v>8.3787226574825058E-4</c:v>
                </c:pt>
                <c:pt idx="70">
                  <c:v>8.2702891407535897E-4</c:v>
                </c:pt>
                <c:pt idx="71">
                  <c:v>8.1640061210533539E-4</c:v>
                </c:pt>
                <c:pt idx="72">
                  <c:v>8.0598351047079641E-4</c:v>
                </c:pt>
                <c:pt idx="73">
                  <c:v>7.9577365147014698E-4</c:v>
                </c:pt>
                <c:pt idx="74">
                  <c:v>7.8576699689906625E-4</c:v>
                </c:pt>
                <c:pt idx="75">
                  <c:v>7.7595945315769453E-4</c:v>
                </c:pt>
                <c:pt idx="76">
                  <c:v>7.6634689185599368E-4</c:v>
                </c:pt>
                <c:pt idx="77">
                  <c:v>7.5692516830003329E-4</c:v>
                </c:pt>
                <c:pt idx="78">
                  <c:v>7.4769013779699307E-4</c:v>
                </c:pt>
                <c:pt idx="79">
                  <c:v>7.3863766898961663E-4</c:v>
                </c:pt>
                <c:pt idx="80">
                  <c:v>7.297636556513001E-4</c:v>
                </c:pt>
                <c:pt idx="81">
                  <c:v>7.2106402705890036E-4</c:v>
                </c:pt>
                <c:pt idx="82">
                  <c:v>7.1253475624362265E-4</c:v>
                </c:pt>
                <c:pt idx="83">
                  <c:v>7.0417186723689543E-4</c:v>
                </c:pt>
                <c:pt idx="84">
                  <c:v>6.959714415609693E-4</c:v>
                </c:pt>
                <c:pt idx="85">
                  <c:v>6.8792962234201613E-4</c:v>
                </c:pt>
                <c:pt idx="86">
                  <c:v>6.8004261948853063E-4</c:v>
                </c:pt>
                <c:pt idx="87">
                  <c:v>6.7230671216560883E-4</c:v>
                </c:pt>
                <c:pt idx="88">
                  <c:v>6.6471825172101373E-4</c:v>
                </c:pt>
                <c:pt idx="89">
                  <c:v>6.572736637765475E-4</c:v>
                </c:pt>
                <c:pt idx="90">
                  <c:v>6.4996944976885716E-4</c:v>
                </c:pt>
                <c:pt idx="91">
                  <c:v>6.4280218727619806E-4</c:v>
                </c:pt>
                <c:pt idx="92">
                  <c:v>6.3576853176400305E-4</c:v>
                </c:pt>
                <c:pt idx="93">
                  <c:v>6.2886521556551329E-4</c:v>
                </c:pt>
                <c:pt idx="94">
                  <c:v>6.2208904911555823E-4</c:v>
                </c:pt>
                <c:pt idx="95">
                  <c:v>6.1543691939657474E-4</c:v>
                </c:pt>
                <c:pt idx="96">
                  <c:v>6.0890579021915972E-4</c:v>
                </c:pt>
                <c:pt idx="97">
                  <c:v>6.0249270141935634E-4</c:v>
                </c:pt>
                <c:pt idx="98">
                  <c:v>5.961947674725357E-4</c:v>
                </c:pt>
                <c:pt idx="99">
                  <c:v>5.9000917698349205E-4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  <c:max val="1.8000000000000004E-3"/>
          <c:min val="8.000000000000002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Sweep!$A$18:$A$117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Sweep!$E$18:$E$117</c:f>
              <c:numCache>
                <c:formatCode>General</c:formatCode>
                <c:ptCount val="100"/>
                <c:pt idx="0">
                  <c:v>0</c:v>
                </c:pt>
                <c:pt idx="1">
                  <c:v>1.0022141073816806E-3</c:v>
                </c:pt>
                <c:pt idx="2">
                  <c:v>1.0022044339407876E-3</c:v>
                </c:pt>
                <c:pt idx="3">
                  <c:v>1.0021652075453333E-3</c:v>
                </c:pt>
                <c:pt idx="4">
                  <c:v>1.0020627882157411E-3</c:v>
                </c:pt>
                <c:pt idx="5">
                  <c:v>1.001850899591862E-3</c:v>
                </c:pt>
                <c:pt idx="6">
                  <c:v>1.0014734351653171E-3</c:v>
                </c:pt>
                <c:pt idx="7">
                  <c:v>1.0008713452454923E-3</c:v>
                </c:pt>
                <c:pt idx="8">
                  <c:v>9.9999104908221311E-4</c:v>
                </c:pt>
                <c:pt idx="9">
                  <c:v>9.9879056828275424E-4</c:v>
                </c:pt>
                <c:pt idx="10">
                  <c:v>9.972420750331164E-4</c:v>
                </c:pt>
                <c:pt idx="11">
                  <c:v>9.9533165878083101E-4</c:v>
                </c:pt>
                <c:pt idx="12">
                  <c:v>9.9305760540006395E-4</c:v>
                </c:pt>
                <c:pt idx="13">
                  <c:v>9.9042815842810572E-4</c:v>
                </c:pt>
                <c:pt idx="14">
                  <c:v>9.8745929709877439E-4</c:v>
                </c:pt>
                <c:pt idx="15">
                  <c:v>9.8417275993993082E-4</c:v>
                </c:pt>
                <c:pt idx="16">
                  <c:v>9.8059437460281231E-4</c:v>
                </c:pt>
                <c:pt idx="17">
                  <c:v>9.767526768338097E-4</c:v>
                </c:pt>
                <c:pt idx="18">
                  <c:v>9.7267777186932857E-4</c:v>
                </c:pt>
                <c:pt idx="19">
                  <c:v>9.6840038330974301E-4</c:v>
                </c:pt>
                <c:pt idx="20">
                  <c:v>9.6395103242672591E-4</c:v>
                </c:pt>
                <c:pt idx="21">
                  <c:v>9.5935928479112592E-4</c:v>
                </c:pt>
                <c:pt idx="22">
                  <c:v>9.5465297863545334E-4</c:v>
                </c:pt>
                <c:pt idx="23">
                  <c:v>9.498572754240897E-4</c:v>
                </c:pt>
                <c:pt idx="24">
                  <c:v>9.4499305284320462E-4</c:v>
                </c:pt>
                <c:pt idx="25">
                  <c:v>9.0664530196102463E-4</c:v>
                </c:pt>
                <c:pt idx="26">
                  <c:v>8.8919512939498308E-4</c:v>
                </c:pt>
                <c:pt idx="27">
                  <c:v>8.7283198214932825E-4</c:v>
                </c:pt>
                <c:pt idx="28">
                  <c:v>8.5651094055179736E-4</c:v>
                </c:pt>
                <c:pt idx="29">
                  <c:v>8.4015450555516486E-4</c:v>
                </c:pt>
                <c:pt idx="30">
                  <c:v>8.2380936342152638E-4</c:v>
                </c:pt>
                <c:pt idx="31">
                  <c:v>8.0754072103158062E-4</c:v>
                </c:pt>
                <c:pt idx="32">
                  <c:v>7.9140981594405383E-4</c:v>
                </c:pt>
                <c:pt idx="33">
                  <c:v>7.7546881592853651E-4</c:v>
                </c:pt>
                <c:pt idx="34">
                  <c:v>7.5976034217641627E-4</c:v>
                </c:pt>
                <c:pt idx="35">
                  <c:v>7.443183074492335E-4</c:v>
                </c:pt>
                <c:pt idx="36">
                  <c:v>7.2916906777801356E-4</c:v>
                </c:pt>
                <c:pt idx="37">
                  <c:v>7.1433256361178737E-4</c:v>
                </c:pt>
                <c:pt idx="38">
                  <c:v>6.9982334930349566E-4</c:v>
                </c:pt>
                <c:pt idx="39">
                  <c:v>6.8565148802881648E-4</c:v>
                </c:pt>
                <c:pt idx="40">
                  <c:v>6.7182331671827552E-4</c:v>
                </c:pt>
                <c:pt idx="41">
                  <c:v>6.5834209488203248E-4</c:v>
                </c:pt>
                <c:pt idx="42">
                  <c:v>6.452085524434794E-4</c:v>
                </c:pt>
                <c:pt idx="43">
                  <c:v>6.324213514859574E-4</c:v>
                </c:pt>
                <c:pt idx="44">
                  <c:v>6.1997747486181314E-4</c:v>
                </c:pt>
                <c:pt idx="45">
                  <c:v>6.0787255293385525E-4</c:v>
                </c:pt>
                <c:pt idx="46">
                  <c:v>5.9610113803505672E-4</c:v>
                </c:pt>
                <c:pt idx="47">
                  <c:v>5.8465693475926253E-4</c:v>
                </c:pt>
                <c:pt idx="48">
                  <c:v>5.7353299293148538E-4</c:v>
                </c:pt>
                <c:pt idx="49">
                  <c:v>5.6272186903541532E-4</c:v>
                </c:pt>
                <c:pt idx="50">
                  <c:v>5.5221576097372338E-4</c:v>
                </c:pt>
                <c:pt idx="51">
                  <c:v>5.4200662027856976E-4</c:v>
                </c:pt>
                <c:pt idx="52">
                  <c:v>5.3208624525261929E-4</c:v>
                </c:pt>
                <c:pt idx="53">
                  <c:v>5.2244635797220936E-4</c:v>
                </c:pt>
                <c:pt idx="54">
                  <c:v>5.13078667732763E-4</c:v>
                </c:pt>
                <c:pt idx="55">
                  <c:v>5.0397492280244754E-4</c:v>
                </c:pt>
                <c:pt idx="56">
                  <c:v>4.9512695265916404E-4</c:v>
                </c:pt>
                <c:pt idx="57">
                  <c:v>4.8652670188686393E-4</c:v>
                </c:pt>
                <c:pt idx="58">
                  <c:v>4.7816625719443142E-4</c:v>
                </c:pt>
                <c:pt idx="59">
                  <c:v>4.7003786861345056E-4</c:v>
                </c:pt>
                <c:pt idx="60">
                  <c:v>4.6213396580187753E-4</c:v>
                </c:pt>
                <c:pt idx="61">
                  <c:v>4.5444717027235239E-4</c:v>
                </c:pt>
                <c:pt idx="62">
                  <c:v>4.4697030413198672E-4</c:v>
                </c:pt>
                <c:pt idx="63">
                  <c:v>4.3969639604422698E-4</c:v>
                </c:pt>
                <c:pt idx="64">
                  <c:v>4.3261868475564586E-4</c:v>
                </c:pt>
                <c:pt idx="65">
                  <c:v>4.2573062068232284E-4</c:v>
                </c:pt>
                <c:pt idx="66">
                  <c:v>4.1902586587540404E-4</c:v>
                </c:pt>
                <c:pt idx="67">
                  <c:v>4.1249829266445194E-4</c:v>
                </c:pt>
                <c:pt idx="68">
                  <c:v>4.0614198126581578E-4</c:v>
                </c:pt>
                <c:pt idx="69">
                  <c:v>3.9995121639204752E-4</c:v>
                </c:pt>
                <c:pt idx="70">
                  <c:v>3.9392048339903209E-4</c:v>
                </c:pt>
                <c:pt idx="71">
                  <c:v>3.8804446371446189E-4</c:v>
                </c:pt>
                <c:pt idx="72">
                  <c:v>3.8231802993918875E-4</c:v>
                </c:pt>
                <c:pt idx="73">
                  <c:v>3.7673624063330491E-4</c:v>
                </c:pt>
                <c:pt idx="74">
                  <c:v>3.7129433488962372E-4</c:v>
                </c:pt>
                <c:pt idx="75">
                  <c:v>3.6598772676843023E-4</c:v>
                </c:pt>
                <c:pt idx="76">
                  <c:v>3.6081199965487125E-4</c:v>
                </c:pt>
                <c:pt idx="77">
                  <c:v>3.5576290058969941E-4</c:v>
                </c:pt>
                <c:pt idx="78">
                  <c:v>3.5083633461505917E-4</c:v>
                </c:pt>
                <c:pt idx="79">
                  <c:v>3.4602835916932526E-4</c:v>
                </c:pt>
                <c:pt idx="80">
                  <c:v>3.4133517855851716E-4</c:v>
                </c:pt>
                <c:pt idx="81">
                  <c:v>3.3675313852629712E-4</c:v>
                </c:pt>
                <c:pt idx="82">
                  <c:v>3.3227872093992411E-4</c:v>
                </c:pt>
                <c:pt idx="83">
                  <c:v>3.2790853860560588E-4</c:v>
                </c:pt>
                <c:pt idx="84">
                  <c:v>3.2363933022340154E-4</c:v>
                </c:pt>
                <c:pt idx="85">
                  <c:v>3.1946795548904827E-4</c:v>
                </c:pt>
                <c:pt idx="86">
                  <c:v>3.1539139034778138E-4</c:v>
                </c:pt>
                <c:pt idx="87">
                  <c:v>3.1140672240327378E-4</c:v>
                </c:pt>
                <c:pt idx="88">
                  <c:v>3.0751114648323212E-4</c:v>
                </c:pt>
                <c:pt idx="89">
                  <c:v>3.0370196036185262E-4</c:v>
                </c:pt>
                <c:pt idx="90">
                  <c:v>2.9997656063826571E-4</c:v>
                </c:pt>
                <c:pt idx="91">
                  <c:v>2.963324387692056E-4</c:v>
                </c:pt>
                <c:pt idx="92">
                  <c:v>2.9276717725344427E-4</c:v>
                </c:pt>
                <c:pt idx="93">
                  <c:v>2.8927844596494874E-4</c:v>
                </c:pt>
                <c:pt idx="94">
                  <c:v>2.8586399863128544E-4</c:v>
                </c:pt>
                <c:pt idx="95">
                  <c:v>2.8252166946549995E-4</c:v>
                </c:pt>
                <c:pt idx="96">
                  <c:v>2.7924936988081399E-4</c:v>
                </c:pt>
                <c:pt idx="97">
                  <c:v>2.7604508543857206E-4</c:v>
                </c:pt>
                <c:pt idx="98">
                  <c:v>2.7290687283227304E-4</c:v>
                </c:pt>
                <c:pt idx="99">
                  <c:v>2.6983285703911114E-4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  <c:max val="1.8000000000000004E-3"/>
          <c:min val="8.000000000000002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Sweep!$A$18:$A$117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Sweep!$M$18:$M$117</c:f>
              <c:numCache>
                <c:formatCode>General</c:formatCode>
                <c:ptCount val="100"/>
                <c:pt idx="0">
                  <c:v>0</c:v>
                </c:pt>
                <c:pt idx="1">
                  <c:v>3.0937757918721247E-3</c:v>
                </c:pt>
                <c:pt idx="2">
                  <c:v>4.1096600686013993E-2</c:v>
                </c:pt>
                <c:pt idx="3">
                  <c:v>0.19522779868173562</c:v>
                </c:pt>
                <c:pt idx="4">
                  <c:v>0.59786872008037872</c:v>
                </c:pt>
                <c:pt idx="5">
                  <c:v>1.4318197887378794</c:v>
                </c:pt>
                <c:pt idx="6">
                  <c:v>2.9206382833672415</c:v>
                </c:pt>
                <c:pt idx="7">
                  <c:v>5.3039467560187434</c:v>
                </c:pt>
                <c:pt idx="8">
                  <c:v>8.8074678508953408</c:v>
                </c:pt>
                <c:pt idx="9">
                  <c:v>13.621987602666389</c:v>
                </c:pt>
                <c:pt idx="10">
                  <c:v>19.89562913697047</c:v>
                </c:pt>
                <c:pt idx="11">
                  <c:v>27.735881597979674</c:v>
                </c:pt>
                <c:pt idx="12">
                  <c:v>37.21629291139709</c:v>
                </c:pt>
                <c:pt idx="13">
                  <c:v>48.384246118246651</c:v>
                </c:pt>
                <c:pt idx="14">
                  <c:v>61.268021664828446</c:v>
                </c:pt>
                <c:pt idx="15">
                  <c:v>75.882527194212656</c:v>
                </c:pt>
                <c:pt idx="16">
                  <c:v>92.233677271173136</c:v>
                </c:pt>
                <c:pt idx="17">
                  <c:v>110.32164910106752</c:v>
                </c:pt>
                <c:pt idx="18">
                  <c:v>130.14330620348298</c:v>
                </c:pt>
                <c:pt idx="19">
                  <c:v>151.69407794070921</c:v>
                </c:pt>
                <c:pt idx="20">
                  <c:v>174.96956762989427</c:v>
                </c:pt>
                <c:pt idx="21">
                  <c:v>199.96717435347435</c:v>
                </c:pt>
                <c:pt idx="22">
                  <c:v>226.68810574983695</c:v>
                </c:pt>
                <c:pt idx="23">
                  <c:v>255.14048947051953</c:v>
                </c:pt>
                <c:pt idx="24">
                  <c:v>285.34576082885383</c:v>
                </c:pt>
                <c:pt idx="25">
                  <c:v>480.2255869088383</c:v>
                </c:pt>
                <c:pt idx="26">
                  <c:v>578.06148930386246</c:v>
                </c:pt>
                <c:pt idx="27">
                  <c:v>673.52528835872886</c:v>
                </c:pt>
                <c:pt idx="28">
                  <c:v>772.02653450468199</c:v>
                </c:pt>
                <c:pt idx="29">
                  <c:v>874.10837067202453</c:v>
                </c:pt>
                <c:pt idx="30">
                  <c:v>979.64296398665101</c:v>
                </c:pt>
                <c:pt idx="31">
                  <c:v>1088.3667175855912</c:v>
                </c:pt>
                <c:pt idx="32">
                  <c:v>1200.0001444863242</c:v>
                </c:pt>
                <c:pt idx="33">
                  <c:v>1314.2798156960735</c:v>
                </c:pt>
                <c:pt idx="34">
                  <c:v>1430.9661956481789</c:v>
                </c:pt>
                <c:pt idx="35">
                  <c:v>1549.8440446043705</c:v>
                </c:pt>
                <c:pt idx="36">
                  <c:v>1670.7205284268084</c:v>
                </c:pt>
                <c:pt idx="37">
                  <c:v>1793.4227690200296</c:v>
                </c:pt>
                <c:pt idx="38">
                  <c:v>1917.7954345882515</c:v>
                </c:pt>
                <c:pt idx="39">
                  <c:v>2043.6985624234133</c:v>
                </c:pt>
                <c:pt idx="40">
                  <c:v>2171.0056562839445</c:v>
                </c:pt>
                <c:pt idx="41">
                  <c:v>2299.6020462835577</c:v>
                </c:pt>
                <c:pt idx="42">
                  <c:v>2429.3834810498406</c:v>
                </c:pt>
                <c:pt idx="43">
                  <c:v>2560.2549196176078</c:v>
                </c:pt>
                <c:pt idx="44">
                  <c:v>2692.129492460233</c:v>
                </c:pt>
                <c:pt idx="45">
                  <c:v>2824.9276051414508</c:v>
                </c:pt>
                <c:pt idx="46">
                  <c:v>2958.5761621578145</c:v>
                </c:pt>
                <c:pt idx="47">
                  <c:v>3093.0078922597013</c:v>
                </c:pt>
                <c:pt idx="48">
                  <c:v>3228.1607597198968</c:v>
                </c:pt>
                <c:pt idx="49">
                  <c:v>3363.9774486690308</c:v>
                </c:pt>
                <c:pt idx="50">
                  <c:v>3500.4049097974462</c:v>
                </c:pt>
                <c:pt idx="51">
                  <c:v>3637.3939605077139</c:v>
                </c:pt>
                <c:pt idx="52">
                  <c:v>3774.8989310611332</c:v>
                </c:pt>
                <c:pt idx="53">
                  <c:v>3912.8773504423884</c:v>
                </c:pt>
                <c:pt idx="54">
                  <c:v>4051.2896667566647</c:v>
                </c:pt>
                <c:pt idx="55">
                  <c:v>4190.0989974164877</c:v>
                </c:pt>
                <c:pt idx="56">
                  <c:v>4329.270905736943</c:v>
                </c:pt>
                <c:pt idx="57">
                  <c:v>4468.7732003126494</c:v>
                </c:pt>
                <c:pt idx="58">
                  <c:v>4608.5757545861798</c:v>
                </c:pt>
                <c:pt idx="59">
                  <c:v>4748.6503441704426</c:v>
                </c:pt>
                <c:pt idx="60">
                  <c:v>4888.9704998574662</c:v>
                </c:pt>
                <c:pt idx="61">
                  <c:v>5029.5113745442186</c:v>
                </c:pt>
                <c:pt idx="62">
                  <c:v>5170.2496224650422</c:v>
                </c:pt>
                <c:pt idx="63">
                  <c:v>5311.1632894715121</c:v>
                </c:pt>
                <c:pt idx="64">
                  <c:v>5452.231713082193</c:v>
                </c:pt>
                <c:pt idx="65">
                  <c:v>5593.4354313226422</c:v>
                </c:pt>
                <c:pt idx="66">
                  <c:v>5734.7560994265159</c:v>
                </c:pt>
                <c:pt idx="67">
                  <c:v>5876.1764135991052</c:v>
                </c:pt>
                <c:pt idx="68">
                  <c:v>6017.6800411302411</c:v>
                </c:pt>
                <c:pt idx="69">
                  <c:v>6159.251556247089</c:v>
                </c:pt>
                <c:pt idx="70">
                  <c:v>6300.876381126428</c:v>
                </c:pt>
                <c:pt idx="71">
                  <c:v>6442.5407315960592</c:v>
                </c:pt>
                <c:pt idx="72">
                  <c:v>6584.2315670741618</c:v>
                </c:pt>
                <c:pt idx="73">
                  <c:v>6725.9365443586021</c:v>
                </c:pt>
                <c:pt idx="74">
                  <c:v>6867.6439749157771</c:v>
                </c:pt>
                <c:pt idx="75">
                  <c:v>7009.3427853557296</c:v>
                </c:pt>
                <c:pt idx="76">
                  <c:v>7151.0224808124694</c:v>
                </c:pt>
                <c:pt idx="77">
                  <c:v>7292.6731109770926</c:v>
                </c:pt>
                <c:pt idx="78">
                  <c:v>7434.2852385565448</c:v>
                </c:pt>
                <c:pt idx="79">
                  <c:v>7575.8499099532728</c:v>
                </c:pt>
                <c:pt idx="80">
                  <c:v>7717.3586279809097</c:v>
                </c:pt>
                <c:pt idx="81">
                  <c:v>7858.8033264489632</c:v>
                </c:pt>
                <c:pt idx="82">
                  <c:v>8000.1763464651503</c:v>
                </c:pt>
                <c:pt idx="83">
                  <c:v>8141.470414318298</c:v>
                </c:pt>
                <c:pt idx="84">
                  <c:v>8282.6786208171925</c:v>
                </c:pt>
                <c:pt idx="85">
                  <c:v>8423.7944019722418</c:v>
                </c:pt>
                <c:pt idx="86">
                  <c:v>8564.8115209167845</c:v>
                </c:pt>
                <c:pt idx="87">
                  <c:v>8705.7240509742369</c:v>
                </c:pt>
                <c:pt idx="88">
                  <c:v>8846.5263597851954</c:v>
                </c:pt>
                <c:pt idx="89">
                  <c:v>8987.2130944162764</c:v>
                </c:pt>
                <c:pt idx="90">
                  <c:v>9127.7791673789543</c:v>
                </c:pt>
                <c:pt idx="91">
                  <c:v>9268.2197434928494</c:v>
                </c:pt>
                <c:pt idx="92">
                  <c:v>9408.530227533176</c:v>
                </c:pt>
                <c:pt idx="93">
                  <c:v>9548.7062526072441</c:v>
                </c:pt>
                <c:pt idx="94">
                  <c:v>9688.743669209216</c:v>
                </c:pt>
                <c:pt idx="95">
                  <c:v>9828.6385348296499</c:v>
                </c:pt>
                <c:pt idx="96">
                  <c:v>9968.3871044954449</c:v>
                </c:pt>
                <c:pt idx="97">
                  <c:v>10107.985821238954</c:v>
                </c:pt>
                <c:pt idx="98">
                  <c:v>10247.431307647536</c:v>
                </c:pt>
                <c:pt idx="99">
                  <c:v>10386.720357629174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49-4FD6-8ECB-46049FA37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4242496"/>
        <c:axId val="1274254496"/>
      </c:scatterChart>
      <c:valAx>
        <c:axId val="127424249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254496"/>
        <c:crosses val="autoZero"/>
        <c:crossBetween val="midCat"/>
      </c:valAx>
      <c:valAx>
        <c:axId val="1274254496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242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6803</xdr:colOff>
      <xdr:row>15</xdr:row>
      <xdr:rowOff>179613</xdr:rowOff>
    </xdr:from>
    <xdr:to>
      <xdr:col>31</xdr:col>
      <xdr:colOff>40822</xdr:colOff>
      <xdr:row>48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20410</xdr:colOff>
      <xdr:row>49</xdr:row>
      <xdr:rowOff>2720</xdr:rowOff>
    </xdr:from>
    <xdr:to>
      <xdr:col>31</xdr:col>
      <xdr:colOff>54429</xdr:colOff>
      <xdr:row>79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39729</xdr:colOff>
      <xdr:row>81</xdr:row>
      <xdr:rowOff>47472</xdr:rowOff>
    </xdr:from>
    <xdr:to>
      <xdr:col>31</xdr:col>
      <xdr:colOff>23429</xdr:colOff>
      <xdr:row>115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1</xdr:colOff>
      <xdr:row>15</xdr:row>
      <xdr:rowOff>187037</xdr:rowOff>
    </xdr:from>
    <xdr:to>
      <xdr:col>46</xdr:col>
      <xdr:colOff>0</xdr:colOff>
      <xdr:row>48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23813</xdr:colOff>
      <xdr:row>49</xdr:row>
      <xdr:rowOff>23812</xdr:rowOff>
    </xdr:from>
    <xdr:to>
      <xdr:col>46</xdr:col>
      <xdr:colOff>1</xdr:colOff>
      <xdr:row>80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591909</xdr:colOff>
      <xdr:row>81</xdr:row>
      <xdr:rowOff>2721</xdr:rowOff>
    </xdr:from>
    <xdr:to>
      <xdr:col>46</xdr:col>
      <xdr:colOff>108856</xdr:colOff>
      <xdr:row>119</xdr:row>
      <xdr:rowOff>149678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458654F-B1A5-A1F7-7BF3-D3888679A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2"/>
  <sheetViews>
    <sheetView topLeftCell="A10" zoomScale="220" zoomScaleNormal="220" workbookViewId="0">
      <selection activeCell="B18" sqref="B18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13.38</v>
      </c>
      <c r="D2" s="3">
        <v>13.38</v>
      </c>
    </row>
    <row r="3" spans="1:4" x14ac:dyDescent="0.25">
      <c r="A3" s="2" t="s">
        <v>11</v>
      </c>
      <c r="B3" s="3">
        <v>997.79</v>
      </c>
      <c r="D3" s="3">
        <v>997.79</v>
      </c>
    </row>
    <row r="4" spans="1:4" x14ac:dyDescent="0.25">
      <c r="A4" s="2" t="s">
        <v>12</v>
      </c>
      <c r="B4" s="3">
        <v>469.13</v>
      </c>
      <c r="D4" s="3">
        <v>469.13</v>
      </c>
    </row>
    <row r="5" spans="1:4" x14ac:dyDescent="0.25">
      <c r="A5" s="2" t="s">
        <v>13</v>
      </c>
      <c r="B5" s="3">
        <v>114.76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61.27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4" x14ac:dyDescent="0.25">
      <c r="A17" s="2" t="s">
        <v>25</v>
      </c>
      <c r="B17" s="3">
        <v>3.2</v>
      </c>
      <c r="D17" s="3">
        <v>2.69</v>
      </c>
    </row>
    <row r="18" spans="1:4" x14ac:dyDescent="0.25">
      <c r="A18" s="2" t="s">
        <v>26</v>
      </c>
      <c r="B18" s="2">
        <v>0</v>
      </c>
      <c r="D18" s="2">
        <v>0</v>
      </c>
    </row>
    <row r="19" spans="1:4" x14ac:dyDescent="0.25">
      <c r="A19" s="2" t="s">
        <v>27</v>
      </c>
      <c r="B19" s="2">
        <v>0</v>
      </c>
      <c r="D19" s="2">
        <v>0</v>
      </c>
    </row>
    <row r="20" spans="1:4" x14ac:dyDescent="0.25">
      <c r="A20" s="2" t="s">
        <v>28</v>
      </c>
      <c r="B20" s="2">
        <v>0</v>
      </c>
      <c r="D20" s="2">
        <v>0</v>
      </c>
    </row>
    <row r="21" spans="1:4" x14ac:dyDescent="0.25">
      <c r="A21" s="2" t="s">
        <v>29</v>
      </c>
      <c r="B21" s="2">
        <v>0</v>
      </c>
      <c r="D21" s="2">
        <v>0</v>
      </c>
    </row>
    <row r="22" spans="1:4" x14ac:dyDescent="0.25">
      <c r="A22" s="2" t="s">
        <v>30</v>
      </c>
      <c r="B22" s="2">
        <v>0</v>
      </c>
      <c r="D22" s="2">
        <v>0</v>
      </c>
    </row>
    <row r="23" spans="1:4" x14ac:dyDescent="0.25">
      <c r="A23" s="2" t="s">
        <v>31</v>
      </c>
      <c r="B23" s="3">
        <v>0.2</v>
      </c>
      <c r="D23" s="3">
        <v>0.2</v>
      </c>
    </row>
    <row r="24" spans="1:4" x14ac:dyDescent="0.25">
      <c r="A24" s="2" t="s">
        <v>32</v>
      </c>
      <c r="B24" s="2">
        <v>0</v>
      </c>
      <c r="D24" s="2">
        <v>0</v>
      </c>
    </row>
    <row r="25" spans="1:4" x14ac:dyDescent="0.25">
      <c r="A25" s="2" t="s">
        <v>33</v>
      </c>
      <c r="B25" s="2">
        <v>0</v>
      </c>
      <c r="D25" s="2">
        <v>0</v>
      </c>
    </row>
    <row r="26" spans="1:4" x14ac:dyDescent="0.25">
      <c r="A26" s="2" t="s">
        <v>34</v>
      </c>
      <c r="B26" s="2">
        <v>0</v>
      </c>
      <c r="D26" s="2">
        <v>0</v>
      </c>
    </row>
    <row r="27" spans="1:4" x14ac:dyDescent="0.25">
      <c r="A27" s="2" t="s">
        <v>35</v>
      </c>
      <c r="B27" s="2">
        <v>0</v>
      </c>
      <c r="D27" s="2">
        <v>0</v>
      </c>
    </row>
    <row r="28" spans="1:4" x14ac:dyDescent="0.25">
      <c r="A28" s="2" t="s">
        <v>36</v>
      </c>
      <c r="B28" s="2">
        <v>0</v>
      </c>
      <c r="D28" s="2">
        <v>0</v>
      </c>
    </row>
    <row r="29" spans="1:4" x14ac:dyDescent="0.25">
      <c r="A29" s="2" t="s">
        <v>37</v>
      </c>
      <c r="B29" s="3">
        <v>0</v>
      </c>
      <c r="D29" s="3">
        <v>0</v>
      </c>
    </row>
    <row r="30" spans="1:4" x14ac:dyDescent="0.25">
      <c r="A30" s="2" t="s">
        <v>38</v>
      </c>
      <c r="B30" s="3">
        <v>0</v>
      </c>
      <c r="D30" s="3">
        <v>0</v>
      </c>
    </row>
    <row r="31" spans="1:4" x14ac:dyDescent="0.25">
      <c r="A31" s="2" t="s">
        <v>39</v>
      </c>
      <c r="B31" s="3">
        <v>0</v>
      </c>
      <c r="D31" s="3">
        <v>0</v>
      </c>
    </row>
    <row r="32" spans="1:4" x14ac:dyDescent="0.25">
      <c r="A32" s="2" t="s">
        <v>40</v>
      </c>
      <c r="B32" s="3">
        <v>69.25</v>
      </c>
      <c r="D32" s="3">
        <v>69.25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13.440042846066076</v>
      </c>
    </row>
    <row r="3" spans="1:2" x14ac:dyDescent="0.25">
      <c r="A3" t="s">
        <v>43</v>
      </c>
      <c r="B3">
        <f>INDEX(ComputeThermoProps(T_in,p_in,ParametersRange),1,2)</f>
        <v>1.0493397405902407E-3</v>
      </c>
    </row>
    <row r="4" spans="1:2" x14ac:dyDescent="0.25">
      <c r="A4" t="s">
        <v>44</v>
      </c>
      <c r="B4">
        <f>INDEX(ComputeThermoProps(T_in,p_in,ParametersRange),1,3)</f>
        <v>9.9712347917317742E-4</v>
      </c>
    </row>
    <row r="5" spans="1:2" x14ac:dyDescent="0.25">
      <c r="A5" t="s">
        <v>45</v>
      </c>
      <c r="B5">
        <f>INDEX(ComputeThermoProps(T_in,p_in,ParametersRange),1,4)</f>
        <v>1.6350007078279358E-3</v>
      </c>
    </row>
    <row r="6" spans="1:2" x14ac:dyDescent="0.25">
      <c r="A6" t="s">
        <v>46</v>
      </c>
      <c r="B6">
        <f>INDEX(ComputeThermoProps(T_in,p_in,ParametersRange),1,5)</f>
        <v>6.8806706321813627</v>
      </c>
    </row>
    <row r="7" spans="1:2" x14ac:dyDescent="0.25">
      <c r="A7" t="s">
        <v>47</v>
      </c>
      <c r="B7">
        <f>INDEX(ComputeThermoProps(T_in,p_in,ParametersRange),1,6)</f>
        <v>6.5382811442424034</v>
      </c>
    </row>
    <row r="8" spans="1:2" x14ac:dyDescent="0.25">
      <c r="A8" t="s">
        <v>48</v>
      </c>
      <c r="B8">
        <f>INDEX(ComputeThermoProps(T_in,p_in,ParametersRange),1,7)</f>
        <v>3.2028668631756894</v>
      </c>
    </row>
    <row r="9" spans="1:2" x14ac:dyDescent="0.25">
      <c r="A9" t="s">
        <v>49</v>
      </c>
      <c r="B9">
        <f>INDEX(ComputeThermoProps(T_in,p_in,ParametersRange),1,8)</f>
        <v>19.177334032823314</v>
      </c>
    </row>
    <row r="10" spans="1:2" x14ac:dyDescent="0.25">
      <c r="A10" t="s">
        <v>50</v>
      </c>
      <c r="B10">
        <f>INDEX(ComputeThermoProps(T_in,p_in,ParametersRange),1,9)</f>
        <v>2.5986470839549574</v>
      </c>
    </row>
    <row r="11" spans="1:2" x14ac:dyDescent="0.25">
      <c r="A11" t="s">
        <v>51</v>
      </c>
      <c r="B11">
        <f>INDEX(ComputeThermoProps(T_in,p_in,ParametersRange),1,10)</f>
        <v>-6.8091368067262596</v>
      </c>
    </row>
    <row r="12" spans="1:2" x14ac:dyDescent="0.25">
      <c r="A12" t="s">
        <v>52</v>
      </c>
      <c r="B12">
        <f>INDEX(ComputeThermoProps(T_in,p_in,ParametersRange),1,11)</f>
        <v>20.521338317429922</v>
      </c>
    </row>
    <row r="13" spans="1:2" x14ac:dyDescent="0.25">
      <c r="A13" t="s">
        <v>53</v>
      </c>
      <c r="B13">
        <f>INDEX(ComputeThermoProps(T_in,p_in,ParametersRange),1,12)</f>
        <v>-5.4651325221196512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13.440042846066076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dimension ref="A2:N118"/>
  <sheetViews>
    <sheetView tabSelected="1" topLeftCell="P82" zoomScale="70" zoomScaleNormal="70" workbookViewId="0">
      <selection activeCell="AF79" sqref="AF79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2" x14ac:dyDescent="0.25">
      <c r="A2" s="2" t="s">
        <v>55</v>
      </c>
      <c r="B2" s="3">
        <v>0.1</v>
      </c>
    </row>
    <row r="3" spans="1:2" x14ac:dyDescent="0.25">
      <c r="A3" s="2" t="s">
        <v>56</v>
      </c>
      <c r="B3" s="3">
        <v>100</v>
      </c>
    </row>
    <row r="4" spans="1:2" x14ac:dyDescent="0.25">
      <c r="A4" s="2" t="s">
        <v>57</v>
      </c>
      <c r="B4" s="3">
        <v>1</v>
      </c>
    </row>
    <row r="5" spans="1:2" x14ac:dyDescent="0.25">
      <c r="A5" s="2" t="s">
        <v>70</v>
      </c>
      <c r="B5" s="3">
        <v>24.556100000000001</v>
      </c>
    </row>
    <row r="6" spans="1:2" x14ac:dyDescent="0.25">
      <c r="A6" s="2" t="s">
        <v>71</v>
      </c>
      <c r="B6" s="3">
        <v>4.3332000000000002E-2</v>
      </c>
    </row>
    <row r="8" spans="1:2" x14ac:dyDescent="0.25">
      <c r="A8" s="2" t="s">
        <v>72</v>
      </c>
      <c r="B8" s="3">
        <v>-14.883845098313699</v>
      </c>
    </row>
    <row r="9" spans="1:2" x14ac:dyDescent="0.25">
      <c r="A9" s="2" t="s">
        <v>73</v>
      </c>
      <c r="B9" s="3">
        <v>5.8217591179742998</v>
      </c>
    </row>
    <row r="10" spans="1:2" x14ac:dyDescent="0.25">
      <c r="A10" s="2" t="s">
        <v>74</v>
      </c>
      <c r="B10" s="3">
        <v>-0.39834285015300502</v>
      </c>
    </row>
    <row r="12" spans="1:2" x14ac:dyDescent="0.25">
      <c r="A12" s="2" t="s">
        <v>75</v>
      </c>
      <c r="B12" s="3">
        <v>4151.2700000000004</v>
      </c>
    </row>
    <row r="13" spans="1:2" x14ac:dyDescent="0.25">
      <c r="A13" s="2" t="s">
        <v>76</v>
      </c>
      <c r="B13" s="3">
        <v>1.355</v>
      </c>
    </row>
    <row r="14" spans="1:2" x14ac:dyDescent="0.25">
      <c r="A14" s="2" t="s">
        <v>77</v>
      </c>
      <c r="B14" s="3">
        <v>558.6</v>
      </c>
    </row>
    <row r="15" spans="1:2" x14ac:dyDescent="0.25">
      <c r="A15" s="2" t="s">
        <v>78</v>
      </c>
      <c r="B15" s="3">
        <v>0.16850999999999999</v>
      </c>
    </row>
    <row r="17" spans="1:14" x14ac:dyDescent="0.25">
      <c r="A17" s="2" t="s">
        <v>80</v>
      </c>
      <c r="B17" s="2" t="s">
        <v>79</v>
      </c>
      <c r="C17" s="2" t="s">
        <v>58</v>
      </c>
      <c r="D17" s="2" t="s">
        <v>59</v>
      </c>
      <c r="E17" s="2" t="s">
        <v>60</v>
      </c>
      <c r="F17" s="2" t="s">
        <v>61</v>
      </c>
      <c r="G17" s="2" t="s">
        <v>62</v>
      </c>
      <c r="H17" s="2" t="s">
        <v>63</v>
      </c>
      <c r="I17" s="2" t="s">
        <v>64</v>
      </c>
      <c r="J17" s="2" t="s">
        <v>65</v>
      </c>
      <c r="K17" s="2" t="s">
        <v>66</v>
      </c>
      <c r="L17" s="2" t="s">
        <v>67</v>
      </c>
      <c r="M17" s="2" t="s">
        <v>68</v>
      </c>
      <c r="N17" s="2" t="s">
        <v>69</v>
      </c>
    </row>
    <row r="18" spans="1:14" x14ac:dyDescent="0.25">
      <c r="A18" s="2" cm="1">
        <f t="array" ref="A18:A117">_xlfn.SEQUENCE( 1+INT( (B3-B2)/B4 ), 1, B2, B4 )</f>
        <v>0.1</v>
      </c>
      <c r="B18" s="2">
        <f>IF(
  A18 &lt;= $B$5,
  $B$6 * EXP( ($B$5/A18) * ( $B$8*(1 - A18/$B$5) + $B$9*(1 - A18/$B$5)^1.5 + $B$10*(1 - A18/$B$5)^5 ) ),
  $B$6 * ( 1 + $B$12 * MAX(A18/$B$5 - 1, 0)^$B$13 + $B$14 * MAX(A18/$B$5 - 1, 0)^$B$15 )
)</f>
        <v>0</v>
      </c>
      <c r="C18" s="2" t="e" cm="1">
        <f t="array" ref="C18">INDEX( ComputeThermoProps($A18, $B18, ParametersRange), 1, COLUMN()-2 )</f>
        <v>#VALUE!</v>
      </c>
      <c r="D18" s="2" t="e" cm="1">
        <f t="array" ref="D18">INDEX( ComputeThermoProps($A18, $B18, ParametersRange), 1, COLUMN()-2 )</f>
        <v>#VALUE!</v>
      </c>
      <c r="E18" s="2" t="e" cm="1">
        <f t="array" ref="E18">INDEX( ComputeThermoProps($A18, $B18, ParametersRange), 1, COLUMN()-2 )</f>
        <v>#VALUE!</v>
      </c>
      <c r="F18" s="2" t="e" cm="1">
        <f t="array" ref="F18">INDEX( ComputeThermoProps($A18, $B18, ParametersRange), 1, COLUMN()-2 )</f>
        <v>#VALUE!</v>
      </c>
      <c r="G18" s="2" t="e" cm="1">
        <f t="array" ref="G18">INDEX( ComputeThermoProps($A18, $B18, ParametersRange), 1, COLUMN()-2 )</f>
        <v>#VALUE!</v>
      </c>
      <c r="H18" s="2" t="e" cm="1">
        <f t="array" ref="H18">INDEX( ComputeThermoProps($A18, $B18, ParametersRange), 1, COLUMN()-2 )</f>
        <v>#VALUE!</v>
      </c>
      <c r="I18" s="2" t="e" cm="1">
        <f t="array" ref="I18">INDEX( ComputeThermoProps($A18, $B18, ParametersRange), 1, COLUMN()-2 )</f>
        <v>#VALUE!</v>
      </c>
      <c r="J18" s="2" t="e" cm="1">
        <f t="array" ref="J18">INDEX( ComputeThermoProps($A18, $B18, ParametersRange), 1, COLUMN()-2 )</f>
        <v>#VALUE!</v>
      </c>
      <c r="K18" s="2" t="e" cm="1">
        <f t="array" ref="K18">INDEX( ComputeThermoProps($A18, $B18, ParametersRange), 1, COLUMN()-2 )</f>
        <v>#VALUE!</v>
      </c>
      <c r="L18" s="2" t="e" cm="1">
        <f t="array" ref="L18">INDEX( ComputeThermoProps($A18, $B18, ParametersRange), 1, COLUMN()-2 )</f>
        <v>#VALUE!</v>
      </c>
      <c r="M18" s="2" t="e" cm="1">
        <f t="array" ref="M18">INDEX( ComputeThermoProps($A18, $B18, ParametersRange), 1, COLUMN()-2 )</f>
        <v>#VALUE!</v>
      </c>
      <c r="N18" s="2" t="e" cm="1">
        <f t="array" ref="N18">INDEX( ComputeThermoProps($A18, $B18, ParametersRange), 1, COLUMN()-2 )</f>
        <v>#VALUE!</v>
      </c>
    </row>
    <row r="19" spans="1:14" x14ac:dyDescent="0.25">
      <c r="A19" s="2">
        <v>1.1000000000000001</v>
      </c>
      <c r="B19" s="2">
        <f t="shared" ref="B19:B82" si="0">IF(
  A19 &lt;= $B$5,
  $B$6 * EXP( ($B$5/A19) * ( $B$8*(1 - A19/$B$5) + $B$9*(1 - A19/$B$5)^1.5 + $B$10*(1 - A19/$B$5)^5 ) ),
  $B$6 * ( 1 + $B$12 * MAX(A19/$B$5 - 1, 0)^$B$13 + $B$14 * MAX(A19/$B$5 - 1, 0)^$B$15 )
)</f>
        <v>2.6448036454247749E-90</v>
      </c>
      <c r="C19" s="2" cm="1">
        <f t="array" ref="C19">INDEX( ComputeThermoProps($A19, $B19, ParametersRange), 1, COLUMN()-2 )</f>
        <v>13.380009922007014</v>
      </c>
      <c r="D19" s="2" cm="1">
        <f t="array" ref="D19">INDEX( ComputeThermoProps($A19, $B19, ParametersRange), 1, COLUMN()-2 )</f>
        <v>1.0022236199860458E-3</v>
      </c>
      <c r="E19" s="2" cm="1">
        <f t="array" ref="E19">INDEX( ComputeThermoProps($A19, $B19, ParametersRange), 1, COLUMN()-2 )</f>
        <v>1.0022141073816806E-3</v>
      </c>
      <c r="F19" s="2" cm="1">
        <f t="array" ref="F19">INDEX( ComputeThermoProps($A19, $B19, ParametersRange), 1, COLUMN()-2 )</f>
        <v>2.6964737387574882E-6</v>
      </c>
      <c r="G19" s="2" cm="1">
        <f t="array" ref="G19">INDEX( ComputeThermoProps($A19, $B19, ParametersRange), 1, COLUMN()-2 )</f>
        <v>1.1249729399880903E-2</v>
      </c>
      <c r="H19" s="2" cm="1">
        <f t="array" ref="H19">INDEX( ComputeThermoProps($A19, $B19, ParametersRange), 1, COLUMN()-2 )</f>
        <v>1.1249622623086918E-2</v>
      </c>
      <c r="I19" s="2" cm="1">
        <f t="array" ref="I19">INDEX( ComputeThermoProps($A19, $B19, ParametersRange), 1, COLUMN()-2 )</f>
        <v>3.2000004745951132</v>
      </c>
      <c r="J19" s="2" cm="1">
        <f t="array" ref="J19">INDEX( ComputeThermoProps($A19, $B19, ParametersRange), 1, COLUMN()-2 )</f>
        <v>3.0937757918721247E-3</v>
      </c>
      <c r="K19" s="2" cm="1">
        <f t="array" ref="K19">INDEX( ComputeThermoProps($A19, $B19, ParametersRange), 1, COLUMN()-2 )</f>
        <v>3.7500268135134615E-3</v>
      </c>
      <c r="L19" s="2" cm="1">
        <f t="array" ref="L19">INDEX( ComputeThermoProps($A19, $B19, ParametersRange), 1, COLUMN()-2 )</f>
        <v>-1.0312537029926834E-3</v>
      </c>
      <c r="M19" s="2" cm="1">
        <f t="array" ref="M19">INDEX( ComputeThermoProps($A19, $B19, ParametersRange), 1, COLUMN()-2 )</f>
        <v>3.0937757918721247E-3</v>
      </c>
      <c r="N19" s="2" cm="1">
        <f t="array" ref="N19">INDEX( ComputeThermoProps($A19, $B19, ParametersRange), 1, COLUMN()-2 )</f>
        <v>-1.0312537029926834E-3</v>
      </c>
    </row>
    <row r="20" spans="1:14" x14ac:dyDescent="0.25">
      <c r="A20" s="2">
        <v>2.1</v>
      </c>
      <c r="B20" s="2">
        <f t="shared" si="0"/>
        <v>1.1915736706224596E-46</v>
      </c>
      <c r="C20" s="2" cm="1">
        <f t="array" ref="C20">INDEX( ComputeThermoProps($A20, $B20, ParametersRange), 1, COLUMN()-2 )</f>
        <v>13.380131799843046</v>
      </c>
      <c r="D20" s="2" cm="1">
        <f t="array" ref="D20">INDEX( ComputeThermoProps($A20, $B20, ParametersRange), 1, COLUMN()-2 )</f>
        <v>1.0023308081521243E-3</v>
      </c>
      <c r="E20" s="2" cm="1">
        <f t="array" ref="E20">INDEX( ComputeThermoProps($A20, $B20, ParametersRange), 1, COLUMN()-2 )</f>
        <v>1.0022044339407876E-3</v>
      </c>
      <c r="F20" s="2" cm="1">
        <f t="array" ref="F20">INDEX( ComputeThermoProps($A20, $B20, ParametersRange), 1, COLUMN()-2 )</f>
        <v>1.8764284536200759E-5</v>
      </c>
      <c r="G20" s="2" cm="1">
        <f t="array" ref="G20">INDEX( ComputeThermoProps($A20, $B20, ParametersRange), 1, COLUMN()-2 )</f>
        <v>7.828620622871349E-2</v>
      </c>
      <c r="H20" s="2" cm="1">
        <f t="array" ref="H20">INDEX( ComputeThermoProps($A20, $B20, ParametersRange), 1, COLUMN()-2 )</f>
        <v>7.8276335877038944E-2</v>
      </c>
      <c r="I20" s="2" cm="1">
        <f t="array" ref="I20">INDEX( ComputeThermoProps($A20, $B20, ParametersRange), 1, COLUMN()-2 )</f>
        <v>3.2000063043024807</v>
      </c>
      <c r="J20" s="2" cm="1">
        <f t="array" ref="J20">INDEX( ComputeThermoProps($A20, $B20, ParametersRange), 1, COLUMN()-2 )</f>
        <v>4.1096600686013993E-2</v>
      </c>
      <c r="K20" s="2" cm="1">
        <f t="array" ref="K20">INDEX( ComputeThermoProps($A20, $B20, ParametersRange), 1, COLUMN()-2 )</f>
        <v>2.6092668564741388E-2</v>
      </c>
      <c r="L20" s="2" cm="1">
        <f t="array" ref="L20">INDEX( ComputeThermoProps($A20, $B20, ParametersRange), 1, COLUMN()-2 )</f>
        <v>-1.3698003299942925E-2</v>
      </c>
      <c r="M20" s="2" cm="1">
        <f t="array" ref="M20">INDEX( ComputeThermoProps($A20, $B20, ParametersRange), 1, COLUMN()-2 )</f>
        <v>4.1096600686013993E-2</v>
      </c>
      <c r="N20" s="2" cm="1">
        <f t="array" ref="N20">INDEX( ComputeThermoProps($A20, $B20, ParametersRange), 1, COLUMN()-2 )</f>
        <v>-1.3698003299942925E-2</v>
      </c>
    </row>
    <row r="21" spans="1:14" x14ac:dyDescent="0.25">
      <c r="A21" s="2">
        <v>3.1</v>
      </c>
      <c r="B21" s="2">
        <f t="shared" si="0"/>
        <v>3.6092035634128807E-31</v>
      </c>
      <c r="C21" s="2" cm="1">
        <f t="array" ref="C21">INDEX( ComputeThermoProps($A21, $B21, ParametersRange), 1, COLUMN()-2 )</f>
        <v>13.380626100072968</v>
      </c>
      <c r="D21" s="2" cm="1">
        <f t="array" ref="D21">INDEX( ComputeThermoProps($A21, $B21, ParametersRange), 1, COLUMN()-2 )</f>
        <v>1.0027657263944121E-3</v>
      </c>
      <c r="E21" s="2" cm="1">
        <f t="array" ref="E21">INDEX( ComputeThermoProps($A21, $B21, ParametersRange), 1, COLUMN()-2 )</f>
        <v>1.0021652075453333E-3</v>
      </c>
      <c r="F21" s="2" cm="1">
        <f t="array" ref="F21">INDEX( ComputeThermoProps($A21, $B21, ParametersRange), 1, COLUMN()-2 )</f>
        <v>6.0404818806093647E-5</v>
      </c>
      <c r="G21" s="2" cm="1">
        <f t="array" ref="G21">INDEX( ComputeThermoProps($A21, $B21, ParametersRange), 1, COLUMN()-2 )</f>
        <v>0.25203140315832323</v>
      </c>
      <c r="H21" s="2" cm="1">
        <f t="array" ref="H21">INDEX( ComputeThermoProps($A21, $B21, ParametersRange), 1, COLUMN()-2 )</f>
        <v>0.25188047098725619</v>
      </c>
      <c r="I21" s="2" cm="1">
        <f t="array" ref="I21">INDEX( ComputeThermoProps($A21, $B21, ParametersRange), 1, COLUMN()-2 )</f>
        <v>3.2000299474250173</v>
      </c>
      <c r="J21" s="2" cm="1">
        <f t="array" ref="J21">INDEX( ComputeThermoProps($A21, $B21, ParametersRange), 1, COLUMN()-2 )</f>
        <v>0.19522779868173562</v>
      </c>
      <c r="K21" s="2" cm="1">
        <f t="array" ref="K21">INDEX( ComputeThermoProps($A21, $B21, ParametersRange), 1, COLUMN()-2 )</f>
        <v>8.3962724686786047E-2</v>
      </c>
      <c r="L21" s="2" cm="1">
        <f t="array" ref="L21">INDEX( ComputeThermoProps($A21, $B21, ParametersRange), 1, COLUMN()-2 )</f>
        <v>-6.5056647847301127E-2</v>
      </c>
      <c r="M21" s="2" cm="1">
        <f t="array" ref="M21">INDEX( ComputeThermoProps($A21, $B21, ParametersRange), 1, COLUMN()-2 )</f>
        <v>0.19522779868173562</v>
      </c>
      <c r="N21" s="2" cm="1">
        <f t="array" ref="N21">INDEX( ComputeThermoProps($A21, $B21, ParametersRange), 1, COLUMN()-2 )</f>
        <v>-6.5056647847301127E-2</v>
      </c>
    </row>
    <row r="22" spans="1:14" x14ac:dyDescent="0.25">
      <c r="A22" s="2">
        <v>4.0999999999999996</v>
      </c>
      <c r="B22" s="2">
        <f t="shared" si="0"/>
        <v>3.0482837930433757E-23</v>
      </c>
      <c r="C22" s="2" cm="1">
        <f t="array" ref="C22">INDEX( ComputeThermoProps($A22, $B22, ParametersRange), 1, COLUMN()-2 )</f>
        <v>13.381917299338662</v>
      </c>
      <c r="D22" s="2" cm="1">
        <f t="array" ref="D22">INDEX( ComputeThermoProps($A22, $B22, ParametersRange), 1, COLUMN()-2 )</f>
        <v>1.0039022175285883E-3</v>
      </c>
      <c r="E22" s="2" cm="1">
        <f t="array" ref="E22">INDEX( ComputeThermoProps($A22, $B22, ParametersRange), 1, COLUMN()-2 )</f>
        <v>1.0020627882157411E-3</v>
      </c>
      <c r="F22" s="2" cm="1">
        <f t="array" ref="F22">INDEX( ComputeThermoProps($A22, $B22, ParametersRange), 1, COLUMN()-2 )</f>
        <v>1.3990778712443018E-4</v>
      </c>
      <c r="G22" s="2" cm="1">
        <f t="array" ref="G22">INDEX( ComputeThermoProps($A22, $B22, ParametersRange), 1, COLUMN()-2 )</f>
        <v>0.58385213193256402</v>
      </c>
      <c r="H22" s="2" cm="1">
        <f t="array" ref="H22">INDEX( ComputeThermoProps($A22, $B22, ParametersRange), 1, COLUMN()-2 )</f>
        <v>0.58278235172180903</v>
      </c>
      <c r="I22" s="2" cm="1">
        <f t="array" ref="I22">INDEX( ComputeThermoProps($A22, $B22, ParametersRange), 1, COLUMN()-2 )</f>
        <v>3.2000917041292274</v>
      </c>
      <c r="J22" s="2" cm="1">
        <f t="array" ref="J22">INDEX( ComputeThermoProps($A22, $B22, ParametersRange), 1, COLUMN()-2 )</f>
        <v>0.59786872008037872</v>
      </c>
      <c r="K22" s="2" cm="1">
        <f t="array" ref="K22">INDEX( ComputeThermoProps($A22, $B22, ParametersRange), 1, COLUMN()-2 )</f>
        <v>0.19439241185149864</v>
      </c>
      <c r="L22" s="2" cm="1">
        <f t="array" ref="L22">INDEX( ComputeThermoProps($A22, $B22, ParametersRange), 1, COLUMN()-2 )</f>
        <v>-0.19914016851076563</v>
      </c>
      <c r="M22" s="2" cm="1">
        <f t="array" ref="M22">INDEX( ComputeThermoProps($A22, $B22, ParametersRange), 1, COLUMN()-2 )</f>
        <v>0.59786872008037872</v>
      </c>
      <c r="N22" s="2" cm="1">
        <f t="array" ref="N22">INDEX( ComputeThermoProps($A22, $B22, ParametersRange), 1, COLUMN()-2 )</f>
        <v>-0.19914016851076563</v>
      </c>
    </row>
    <row r="23" spans="1:14" x14ac:dyDescent="0.25">
      <c r="A23" s="2">
        <v>5.0999999999999996</v>
      </c>
      <c r="B23" s="2">
        <f t="shared" si="0"/>
        <v>2.0082309765629534E-18</v>
      </c>
      <c r="C23" s="2" cm="1">
        <f t="array" ref="C23">INDEX( ComputeThermoProps($A23, $B23, ParametersRange), 1, COLUMN()-2 )</f>
        <v>13.384591294858588</v>
      </c>
      <c r="D23" s="2" cm="1">
        <f t="array" ref="D23">INDEX( ComputeThermoProps($A23, $B23, ParametersRange), 1, COLUMN()-2 )</f>
        <v>1.0062445769136888E-3</v>
      </c>
      <c r="E23" s="2" cm="1">
        <f t="array" ref="E23">INDEX( ComputeThermoProps($A23, $B23, ParametersRange), 1, COLUMN()-2 )</f>
        <v>1.001850899591862E-3</v>
      </c>
      <c r="F23" s="2" cm="1">
        <f t="array" ref="F23">INDEX( ComputeThermoProps($A23, $B23, ParametersRange), 1, COLUMN()-2 )</f>
        <v>2.6870460630063403E-4</v>
      </c>
      <c r="G23" s="2" cm="1">
        <f t="array" ref="G23">INDEX( ComputeThermoProps($A23, $B23, ParametersRange), 1, COLUMN()-2 )</f>
        <v>1.1217532973116595</v>
      </c>
      <c r="H23" s="2" cm="1">
        <f t="array" ref="H23">INDEX( ComputeThermoProps($A23, $B23, ParametersRange), 1, COLUMN()-2 )</f>
        <v>1.1168552614502394</v>
      </c>
      <c r="I23" s="2" cm="1">
        <f t="array" ref="I23">INDEX( ComputeThermoProps($A23, $B23, ParametersRange), 1, COLUMN()-2 )</f>
        <v>3.2002195833683391</v>
      </c>
      <c r="J23" s="2" cm="1">
        <f t="array" ref="J23">INDEX( ComputeThermoProps($A23, $B23, ParametersRange), 1, COLUMN()-2 )</f>
        <v>1.4318197887378794</v>
      </c>
      <c r="K23" s="2" cm="1">
        <f t="array" ref="K23">INDEX( ComputeThermoProps($A23, $B23, ParametersRange), 1, COLUMN()-2 )</f>
        <v>0.37427974856018703</v>
      </c>
      <c r="L23" s="2" cm="1">
        <f t="array" ref="L23">INDEX( ComputeThermoProps($A23, $B23, ParametersRange), 1, COLUMN()-2 )</f>
        <v>-0.47700692891907431</v>
      </c>
      <c r="M23" s="2" cm="1">
        <f t="array" ref="M23">INDEX( ComputeThermoProps($A23, $B23, ParametersRange), 1, COLUMN()-2 )</f>
        <v>1.4318197887378794</v>
      </c>
      <c r="N23" s="2" cm="1">
        <f t="array" ref="N23">INDEX( ComputeThermoProps($A23, $B23, ParametersRange), 1, COLUMN()-2 )</f>
        <v>-0.47700692891907431</v>
      </c>
    </row>
    <row r="24" spans="1:14" x14ac:dyDescent="0.25">
      <c r="A24" s="2">
        <v>6.1</v>
      </c>
      <c r="B24" s="2">
        <f t="shared" si="0"/>
        <v>3.5024480627789821E-15</v>
      </c>
      <c r="C24" s="2" cm="1">
        <f t="array" ref="C24">INDEX( ComputeThermoProps($A24, $B24, ParametersRange), 1, COLUMN()-2 )</f>
        <v>13.389363930178606</v>
      </c>
      <c r="D24" s="2" cm="1">
        <f t="array" ref="D24">INDEX( ComputeThermoProps($A24, $B24, ParametersRange), 1, COLUMN()-2 )</f>
        <v>1.0103489026130751E-3</v>
      </c>
      <c r="E24" s="2" cm="1">
        <f t="array" ref="E24">INDEX( ComputeThermoProps($A24, $B24, ParametersRange), 1, COLUMN()-2 )</f>
        <v>1.0014734351653171E-3</v>
      </c>
      <c r="F24" s="2" cm="1">
        <f t="array" ref="F24">INDEX( ComputeThermoProps($A24, $B24, ParametersRange), 1, COLUMN()-2 )</f>
        <v>4.5395334630181003E-4</v>
      </c>
      <c r="G24" s="2" cm="1">
        <f t="array" ref="G24">INDEX( ComputeThermoProps($A24, $B24, ParametersRange), 1, COLUMN()-2 )</f>
        <v>1.8963608869157786</v>
      </c>
      <c r="H24" s="2" cm="1">
        <f t="array" ref="H24">INDEX( ComputeThermoProps($A24, $B24, ParametersRange), 1, COLUMN()-2 )</f>
        <v>1.8797021967568721</v>
      </c>
      <c r="I24" s="2" cm="1">
        <f t="array" ref="I24">INDEX( ComputeThermoProps($A24, $B24, ParametersRange), 1, COLUMN()-2 )</f>
        <v>3.2004477756631515</v>
      </c>
      <c r="J24" s="2" cm="1">
        <f t="array" ref="J24">INDEX( ComputeThermoProps($A24, $B24, ParametersRange), 1, COLUMN()-2 )</f>
        <v>2.9206382833671944</v>
      </c>
      <c r="K24" s="2" cm="1">
        <f t="array" ref="K24">INDEX( ComputeThermoProps($A24, $B24, ParametersRange), 1, COLUMN()-2 )</f>
        <v>0.63878495255313905</v>
      </c>
      <c r="L24" s="2" cm="1">
        <f t="array" ref="L24">INDEX( ComputeThermoProps($A24, $B24, ParametersRange), 1, COLUMN()-2 )</f>
        <v>-0.9759499272069535</v>
      </c>
      <c r="M24" s="2" cm="1">
        <f t="array" ref="M24">INDEX( ComputeThermoProps($A24, $B24, ParametersRange), 1, COLUMN()-2 )</f>
        <v>2.9206382833672415</v>
      </c>
      <c r="N24" s="2" cm="1">
        <f t="array" ref="N24">INDEX( ComputeThermoProps($A24, $B24, ParametersRange), 1, COLUMN()-2 )</f>
        <v>-0.97594992720690643</v>
      </c>
    </row>
    <row r="25" spans="1:14" x14ac:dyDescent="0.25">
      <c r="A25" s="2">
        <v>7.1</v>
      </c>
      <c r="B25" s="2">
        <f t="shared" si="0"/>
        <v>7.5322523292031271E-13</v>
      </c>
      <c r="C25" s="2" cm="1">
        <f t="array" ref="C25">INDEX( ComputeThermoProps($A25, $B25, ParametersRange), 1, COLUMN()-2 )</f>
        <v>13.397000960883666</v>
      </c>
      <c r="D25" s="2" cm="1">
        <f t="array" ref="D25">INDEX( ComputeThermoProps($A25, $B25, ParametersRange), 1, COLUMN()-2 )</f>
        <v>1.0166895555512353E-3</v>
      </c>
      <c r="E25" s="2" cm="1">
        <f t="array" ref="E25">INDEX( ComputeThermoProps($A25, $B25, ParametersRange), 1, COLUMN()-2 )</f>
        <v>1.0008713452454923E-3</v>
      </c>
      <c r="F25" s="2" cm="1">
        <f t="array" ref="F25">INDEX( ComputeThermoProps($A25, $B25, ParametersRange), 1, COLUMN()-2 )</f>
        <v>6.9544128253329395E-4</v>
      </c>
      <c r="G25" s="2" cm="1">
        <f t="array" ref="G25">INDEX( ComputeThermoProps($A25, $B25, ParametersRange), 1, COLUMN()-2 )</f>
        <v>2.9082352028063054</v>
      </c>
      <c r="H25" s="2" cm="1">
        <f t="array" ref="H25">INDEX( ComputeThermoProps($A25, $B25, ParametersRange), 1, COLUMN()-2 )</f>
        <v>2.8629872942334536</v>
      </c>
      <c r="I25" s="2" cm="1">
        <f t="array" ref="I25">INDEX( ComputeThermoProps($A25, $B25, ParametersRange), 1, COLUMN()-2 )</f>
        <v>3.2008127869286822</v>
      </c>
      <c r="J25" s="2" cm="1">
        <f t="array" ref="J25">INDEX( ComputeThermoProps($A25, $B25, ParametersRange), 1, COLUMN()-2 )</f>
        <v>5.3039467560086528</v>
      </c>
      <c r="K25" s="2" cm="1">
        <f t="array" ref="K25">INDEX( ComputeThermoProps($A25, $B25, ParametersRange), 1, COLUMN()-2 )</f>
        <v>0.99864349239141725</v>
      </c>
      <c r="L25" s="2" cm="1">
        <f t="array" ref="L25">INDEX( ComputeThermoProps($A25, $B25, ParametersRange), 1, COLUMN()-2 )</f>
        <v>-1.7864220399704094</v>
      </c>
      <c r="M25" s="2" cm="1">
        <f t="array" ref="M25">INDEX( ComputeThermoProps($A25, $B25, ParametersRange), 1, COLUMN()-2 )</f>
        <v>5.3039467560187434</v>
      </c>
      <c r="N25" s="2" cm="1">
        <f t="array" ref="N25">INDEX( ComputeThermoProps($A25, $B25, ParametersRange), 1, COLUMN()-2 )</f>
        <v>-1.7864220399603188</v>
      </c>
    </row>
    <row r="26" spans="1:14" x14ac:dyDescent="0.25">
      <c r="A26" s="2">
        <v>8.1</v>
      </c>
      <c r="B26" s="2">
        <f t="shared" si="0"/>
        <v>4.3510060810813322E-11</v>
      </c>
      <c r="C26" s="2" cm="1">
        <f t="array" ref="C26">INDEX( ComputeThermoProps($A26, $B26, ParametersRange), 1, COLUMN()-2 )</f>
        <v>13.408220845527746</v>
      </c>
      <c r="D26" s="2" cm="1">
        <f t="array" ref="D26">INDEX( ComputeThermoProps($A26, $B26, ParametersRange), 1, COLUMN()-2 )</f>
        <v>1.025565011720021E-3</v>
      </c>
      <c r="E26" s="2" cm="1">
        <f t="array" ref="E26">INDEX( ComputeThermoProps($A26, $B26, ParametersRange), 1, COLUMN()-2 )</f>
        <v>9.9999104908221311E-4</v>
      </c>
      <c r="F26" s="2" cm="1">
        <f t="array" ref="F26">INDEX( ComputeThermoProps($A26, $B26, ParametersRange), 1, COLUMN()-2 )</f>
        <v>9.8624294214740222E-4</v>
      </c>
      <c r="G26" s="2" cm="1">
        <f t="array" ref="G26">INDEX( ComputeThermoProps($A26, $B26, ParametersRange), 1, COLUMN()-2 )</f>
        <v>4.1307219616735527</v>
      </c>
      <c r="H26" s="2" cm="1">
        <f t="array" ref="H26">INDEX( ComputeThermoProps($A26, $B26, ParametersRange), 1, COLUMN()-2 )</f>
        <v>4.0277163716741038</v>
      </c>
      <c r="I26" s="2" cm="1">
        <f t="array" ref="I26">INDEX( ComputeThermoProps($A26, $B26, ParametersRange), 1, COLUMN()-2 )</f>
        <v>3.201348738605077</v>
      </c>
      <c r="J26" s="2" cm="1">
        <f t="array" ref="J26">INDEX( ComputeThermoProps($A26, $B26, ParametersRange), 1, COLUMN()-2 )</f>
        <v>8.8074678503119479</v>
      </c>
      <c r="K26" s="2" cm="1">
        <f t="array" ref="K26">INDEX( ComputeThermoProps($A26, $B26, ParametersRange), 1, COLUMN()-2 )</f>
        <v>1.4585308067984939</v>
      </c>
      <c r="L26" s="2" cm="1">
        <f t="array" ref="L26">INDEX( ComputeThermoProps($A26, $B26, ParametersRange), 1, COLUMN()-2 )</f>
        <v>-3.0066316847558521</v>
      </c>
      <c r="M26" s="2" cm="1">
        <f t="array" ref="M26">INDEX( ComputeThermoProps($A26, $B26, ParametersRange), 1, COLUMN()-2 )</f>
        <v>8.8074678508953408</v>
      </c>
      <c r="N26" s="2" cm="1">
        <f t="array" ref="N26">INDEX( ComputeThermoProps($A26, $B26, ParametersRange), 1, COLUMN()-2 )</f>
        <v>-3.0066316841724592</v>
      </c>
    </row>
    <row r="27" spans="1:14" x14ac:dyDescent="0.25">
      <c r="A27" s="2">
        <v>9.1</v>
      </c>
      <c r="B27" s="2">
        <f t="shared" si="0"/>
        <v>1.0441802197839621E-9</v>
      </c>
      <c r="C27" s="2" cm="1">
        <f t="array" ref="C27">INDEX( ComputeThermoProps($A27, $B27, ParametersRange), 1, COLUMN()-2 )</f>
        <v>13.423626168305869</v>
      </c>
      <c r="D27" s="2" cm="1">
        <f t="array" ref="D27">INDEX( ComputeThermoProps($A27, $B27, ParametersRange), 1, COLUMN()-2 )</f>
        <v>1.0370869353102546E-3</v>
      </c>
      <c r="E27" s="2" cm="1">
        <f t="array" ref="E27">INDEX( ComputeThermoProps($A27, $B27, ParametersRange), 1, COLUMN()-2 )</f>
        <v>9.9879056828275424E-4</v>
      </c>
      <c r="F27" s="2" cm="1">
        <f t="array" ref="F27">INDEX( ComputeThermoProps($A27, $B27, ParametersRange), 1, COLUMN()-2 )</f>
        <v>1.3158580035255397E-3</v>
      </c>
      <c r="G27" s="2" cm="1">
        <f t="array" ref="G27">INDEX( ComputeThermoProps($A27, $B27, ParametersRange), 1, COLUMN()-2 )</f>
        <v>5.5229577048700387</v>
      </c>
      <c r="H27" s="2" cm="1">
        <f t="array" ref="H27">INDEX( ComputeThermoProps($A27, $B27, ParametersRange), 1, COLUMN()-2 )</f>
        <v>5.3190122031558653</v>
      </c>
      <c r="I27" s="2" cm="1">
        <f t="array" ref="I27">INDEX( ComputeThermoProps($A27, $B27, ParametersRange), 1, COLUMN()-2 )</f>
        <v>3.202084036172467</v>
      </c>
      <c r="J27" s="2" cm="1">
        <f t="array" ref="J27">INDEX( ComputeThermoProps($A27, $B27, ParametersRange), 1, COLUMN()-2 )</f>
        <v>13.621987588649704</v>
      </c>
      <c r="K27" s="2" cm="1">
        <f t="array" ref="K27">INDEX( ComputeThermoProps($A27, $B27, ParametersRange), 1, COLUMN()-2 )</f>
        <v>2.0174175626910373</v>
      </c>
      <c r="L27" s="2" cm="1">
        <f t="array" ref="L27">INDEX( ComputeThermoProps($A27, $B27, ParametersRange), 1, COLUMN()-2 )</f>
        <v>-4.7365122318387352</v>
      </c>
      <c r="M27" s="2" cm="1">
        <f t="array" ref="M27">INDEX( ComputeThermoProps($A27, $B27, ParametersRange), 1, COLUMN()-2 )</f>
        <v>13.621987602666389</v>
      </c>
      <c r="N27" s="2" cm="1">
        <f t="array" ref="N27">INDEX( ComputeThermoProps($A27, $B27, ParametersRange), 1, COLUMN()-2 )</f>
        <v>-4.7365122178220505</v>
      </c>
    </row>
    <row r="28" spans="1:14" x14ac:dyDescent="0.25">
      <c r="A28" s="2">
        <v>10.1</v>
      </c>
      <c r="B28" s="2">
        <f t="shared" si="0"/>
        <v>1.354599329384741E-8</v>
      </c>
      <c r="C28" s="2" cm="1">
        <f t="array" ref="C28">INDEX( ComputeThermoProps($A28, $B28, ParametersRange), 1, COLUMN()-2 )</f>
        <v>13.443678009178948</v>
      </c>
      <c r="D28" s="2" cm="1">
        <f t="array" ref="D28">INDEX( ComputeThermoProps($A28, $B28, ParametersRange), 1, COLUMN()-2 )</f>
        <v>1.051222042267606E-3</v>
      </c>
      <c r="E28" s="2" cm="1">
        <f t="array" ref="E28">INDEX( ComputeThermoProps($A28, $B28, ParametersRange), 1, COLUMN()-2 )</f>
        <v>9.972420750331164E-4</v>
      </c>
      <c r="F28" s="2" cm="1">
        <f t="array" ref="F28">INDEX( ComputeThermoProps($A28, $B28, ParametersRange), 1, COLUMN()-2 )</f>
        <v>1.6732016071686791E-3</v>
      </c>
      <c r="G28" s="2" cm="1">
        <f t="array" ref="G28">INDEX( ComputeThermoProps($A28, $B28, ParametersRange), 1, COLUMN()-2 )</f>
        <v>7.0421197418811596</v>
      </c>
      <c r="H28" s="2" cm="1">
        <f t="array" ref="H28">INDEX( ComputeThermoProps($A28, $B28, ParametersRange), 1, COLUMN()-2 )</f>
        <v>6.680508799907277</v>
      </c>
      <c r="I28" s="2" cm="1">
        <f t="array" ref="I28">INDEX( ComputeThermoProps($A28, $B28, ParametersRange), 1, COLUMN()-2 )</f>
        <v>3.2030401019692749</v>
      </c>
      <c r="J28" s="2" cm="1">
        <f t="array" ref="J28">INDEX( ComputeThermoProps($A28, $B28, ParametersRange), 1, COLUMN()-2 )</f>
        <v>19.895628954862499</v>
      </c>
      <c r="K28" s="2" cm="1">
        <f t="array" ref="K28">INDEX( ComputeThermoProps($A28, $B28, ParametersRange), 1, COLUMN()-2 )</f>
        <v>2.6701363097770439</v>
      </c>
      <c r="L28" s="2" cm="1">
        <f t="array" ref="L28">INDEX( ComputeThermoProps($A28, $B28, ParametersRange), 1, COLUMN()-2 )</f>
        <v>-7.0727477738856432</v>
      </c>
      <c r="M28" s="2" cm="1">
        <f t="array" ref="M28">INDEX( ComputeThermoProps($A28, $B28, ParametersRange), 1, COLUMN()-2 )</f>
        <v>19.89562913697047</v>
      </c>
      <c r="N28" s="2" cm="1">
        <f t="array" ref="N28">INDEX( ComputeThermoProps($A28, $B28, ParametersRange), 1, COLUMN()-2 )</f>
        <v>-7.0727475917776719</v>
      </c>
    </row>
    <row r="29" spans="1:14" x14ac:dyDescent="0.25">
      <c r="A29" s="2">
        <v>11.1</v>
      </c>
      <c r="B29" s="2">
        <f t="shared" si="0"/>
        <v>1.1240179060268277E-7</v>
      </c>
      <c r="C29" s="2" cm="1">
        <f t="array" ref="C29">INDEX( ComputeThermoProps($A29, $B29, ParametersRange), 1, COLUMN()-2 )</f>
        <v>13.468701997486889</v>
      </c>
      <c r="D29" s="2" cm="1">
        <f t="array" ref="D29">INDEX( ComputeThermoProps($A29, $B29, ParametersRange), 1, COLUMN()-2 )</f>
        <v>1.0678457162587227E-3</v>
      </c>
      <c r="E29" s="2" cm="1">
        <f t="array" ref="E29">INDEX( ComputeThermoProps($A29, $B29, ParametersRange), 1, COLUMN()-2 )</f>
        <v>9.9533165878083101E-4</v>
      </c>
      <c r="F29" s="2" cm="1">
        <f t="array" ref="F29">INDEX( ComputeThermoProps($A29, $B29, ParametersRange), 1, COLUMN()-2 )</f>
        <v>2.0483657486147044E-3</v>
      </c>
      <c r="G29" s="2" cm="1">
        <f t="array" ref="G29">INDEX( ComputeThermoProps($A29, $B29, ParametersRange), 1, COLUMN()-2 )</f>
        <v>8.6505063011734347</v>
      </c>
      <c r="H29" s="2" cm="1">
        <f t="array" ref="H29">INDEX( ComputeThermoProps($A29, $B29, ParametersRange), 1, COLUMN()-2 )</f>
        <v>8.0630775166727204</v>
      </c>
      <c r="I29" s="2" cm="1">
        <f t="array" ref="I29">INDEX( ComputeThermoProps($A29, $B29, ParametersRange), 1, COLUMN()-2 )</f>
        <v>3.2042316393766783</v>
      </c>
      <c r="J29" s="2" cm="1">
        <f t="array" ref="J29">INDEX( ComputeThermoProps($A29, $B29, ParametersRange), 1, COLUMN()-2 )</f>
        <v>27.735880084073454</v>
      </c>
      <c r="K29" s="2" cm="1">
        <f t="array" ref="K29">INDEX( ComputeThermoProps($A29, $B29, ParametersRange), 1, COLUMN()-2 )</f>
        <v>3.4091357921077559</v>
      </c>
      <c r="L29" s="2" cm="1">
        <f t="array" ref="L29">INDEX( ComputeThermoProps($A29, $B29, ParametersRange), 1, COLUMN()-2 )</f>
        <v>-10.105527208322634</v>
      </c>
      <c r="M29" s="2" cm="1">
        <f t="array" ref="M29">INDEX( ComputeThermoProps($A29, $B29, ParametersRange), 1, COLUMN()-2 )</f>
        <v>27.735881597979674</v>
      </c>
      <c r="N29" s="2" cm="1">
        <f t="array" ref="N29">INDEX( ComputeThermoProps($A29, $B29, ParametersRange), 1, COLUMN()-2 )</f>
        <v>-10.105525694416414</v>
      </c>
    </row>
    <row r="30" spans="1:14" x14ac:dyDescent="0.25">
      <c r="A30" s="2">
        <v>12.1</v>
      </c>
      <c r="B30" s="2">
        <f t="shared" si="0"/>
        <v>6.6764251838809963E-7</v>
      </c>
      <c r="C30" s="2" cm="1">
        <f t="array" ref="C30">INDEX( ComputeThermoProps($A30, $B30, ParametersRange), 1, COLUMN()-2 )</f>
        <v>13.498909718081729</v>
      </c>
      <c r="D30" s="2" cm="1">
        <f t="array" ref="D30">INDEX( ComputeThermoProps($A30, $B30, ParametersRange), 1, COLUMN()-2 )</f>
        <v>1.086786032285711E-3</v>
      </c>
      <c r="E30" s="2" cm="1">
        <f t="array" ref="E30">INDEX( ComputeThermoProps($A30, $B30, ParametersRange), 1, COLUMN()-2 )</f>
        <v>9.9305760540006395E-4</v>
      </c>
      <c r="F30" s="2" cm="1">
        <f t="array" ref="F30">INDEX( ComputeThermoProps($A30, $B30, ParametersRange), 1, COLUMN()-2 )</f>
        <v>2.4332852395186665E-3</v>
      </c>
      <c r="G30" s="2" cm="1">
        <f t="array" ref="G30">INDEX( ComputeThermoProps($A30, $B30, ParametersRange), 1, COLUMN()-2 )</f>
        <v>10.318077329656049</v>
      </c>
      <c r="H30" s="2" cm="1">
        <f t="array" ref="H30">INDEX( ComputeThermoProps($A30, $B30, ParametersRange), 1, COLUMN()-2 )</f>
        <v>9.4282083693795382</v>
      </c>
      <c r="I30" s="2" cm="1">
        <f t="array" ref="I30">INDEX( ComputeThermoProps($A30, $B30, ParametersRange), 1, COLUMN()-2 )</f>
        <v>3.2056676473293346</v>
      </c>
      <c r="J30" s="2" cm="1">
        <f t="array" ref="J30">INDEX( ComputeThermoProps($A30, $B30, ParametersRange), 1, COLUMN()-2 )</f>
        <v>37.216283898951012</v>
      </c>
      <c r="K30" s="2" cm="1">
        <f t="array" ref="K30">INDEX( ComputeThermoProps($A30, $B30, ParametersRange), 1, COLUMN()-2 )</f>
        <v>4.2258829929789501</v>
      </c>
      <c r="L30" s="2" cm="1">
        <f t="array" ref="L30">INDEX( ComputeThermoProps($A30, $B30, ParametersRange), 1, COLUMN()-2 )</f>
        <v>-13.916900316094283</v>
      </c>
      <c r="M30" s="2" cm="1">
        <f t="array" ref="M30">INDEX( ComputeThermoProps($A30, $B30, ParametersRange), 1, COLUMN()-2 )</f>
        <v>37.21629291139709</v>
      </c>
      <c r="N30" s="2" cm="1">
        <f t="array" ref="N30">INDEX( ComputeThermoProps($A30, $B30, ParametersRange), 1, COLUMN()-2 )</f>
        <v>-13.916891303648205</v>
      </c>
    </row>
    <row r="31" spans="1:14" x14ac:dyDescent="0.25">
      <c r="A31" s="2">
        <v>13.1</v>
      </c>
      <c r="B31" s="2">
        <f t="shared" si="0"/>
        <v>3.0694002160721521E-6</v>
      </c>
      <c r="C31" s="2" cm="1">
        <f t="array" ref="C31">INDEX( ComputeThermoProps($A31, $B31, ParametersRange), 1, COLUMN()-2 )</f>
        <v>13.534423894131566</v>
      </c>
      <c r="D31" s="2" cm="1">
        <f t="array" ref="D31">INDEX( ComputeThermoProps($A31, $B31, ParametersRange), 1, COLUMN()-2 )</f>
        <v>1.107853331057817E-3</v>
      </c>
      <c r="E31" s="2" cm="1">
        <f t="array" ref="E31">INDEX( ComputeThermoProps($A31, $B31, ParametersRange), 1, COLUMN()-2 )</f>
        <v>9.9042815842810572E-4</v>
      </c>
      <c r="F31" s="2" cm="1">
        <f t="array" ref="F31">INDEX( ComputeThermoProps($A31, $B31, ParametersRange), 1, COLUMN()-2 )</f>
        <v>2.8217609698541223E-3</v>
      </c>
      <c r="G31" s="2" cm="1">
        <f t="array" ref="G31">INDEX( ComputeThermoProps($A31, $B31, ParametersRange), 1, COLUMN()-2 )</f>
        <v>12.02237601147384</v>
      </c>
      <c r="H31" s="2" cm="1">
        <f t="array" ref="H31">INDEX( ComputeThermoProps($A31, $B31, ParametersRange), 1, COLUMN()-2 )</f>
        <v>10.748083161518108</v>
      </c>
      <c r="I31" s="2" cm="1">
        <f t="array" ref="I31">INDEX( ComputeThermoProps($A31, $B31, ParametersRange), 1, COLUMN()-2 )</f>
        <v>3.2073526282504994</v>
      </c>
      <c r="J31" s="2" cm="1">
        <f t="array" ref="J31">INDEX( ComputeThermoProps($A31, $B31, ParametersRange), 1, COLUMN()-2 )</f>
        <v>48.384204575683029</v>
      </c>
      <c r="K31" s="2" cm="1">
        <f t="array" ref="K31">INDEX( ComputeThermoProps($A31, $B31, ParametersRange), 1, COLUMN()-2 )</f>
        <v>5.1117941792349244</v>
      </c>
      <c r="L31" s="2" cm="1">
        <f t="array" ref="L31">INDEX( ComputeThermoProps($A31, $B31, ParametersRange), 1, COLUMN()-2 )</f>
        <v>-18.580299172294477</v>
      </c>
      <c r="M31" s="2" cm="1">
        <f t="array" ref="M31">INDEX( ComputeThermoProps($A31, $B31, ParametersRange), 1, COLUMN()-2 )</f>
        <v>48.384246118246651</v>
      </c>
      <c r="N31" s="2" cm="1">
        <f t="array" ref="N31">INDEX( ComputeThermoProps($A31, $B31, ParametersRange), 1, COLUMN()-2 )</f>
        <v>-18.580257629730855</v>
      </c>
    </row>
    <row r="32" spans="1:14" x14ac:dyDescent="0.25">
      <c r="A32" s="2">
        <v>14.1</v>
      </c>
      <c r="B32" s="2">
        <f t="shared" si="0"/>
        <v>1.155031065365764E-5</v>
      </c>
      <c r="C32" s="2" cm="1">
        <f t="array" ref="C32">INDEX( ComputeThermoProps($A32, $B32, ParametersRange), 1, COLUMN()-2 )</f>
        <v>13.575301447390313</v>
      </c>
      <c r="D32" s="2" cm="1">
        <f t="array" ref="D32">INDEX( ComputeThermoProps($A32, $B32, ParametersRange), 1, COLUMN()-2 )</f>
        <v>1.1308576530637958E-3</v>
      </c>
      <c r="E32" s="2" cm="1">
        <f t="array" ref="E32">INDEX( ComputeThermoProps($A32, $B32, ParametersRange), 1, COLUMN()-2 )</f>
        <v>9.8745929709877439E-4</v>
      </c>
      <c r="F32" s="2" cm="1">
        <f t="array" ref="F32">INDEX( ComputeThermoProps($A32, $B32, ParametersRange), 1, COLUMN()-2 )</f>
        <v>3.2092031101309698E-3</v>
      </c>
      <c r="G32" s="2" cm="1">
        <f t="array" ref="G32">INDEX( ComputeThermoProps($A32, $B32, ParametersRange), 1, COLUMN()-2 )</f>
        <v>13.747344987630374</v>
      </c>
      <c r="H32" s="2" cm="1">
        <f t="array" ref="H32">INDEX( ComputeThermoProps($A32, $B32, ParametersRange), 1, COLUMN()-2 )</f>
        <v>12.004113498884404</v>
      </c>
      <c r="I32" s="2" cm="1">
        <f t="array" ref="I32">INDEX( ComputeThermoProps($A32, $B32, ParametersRange), 1, COLUMN()-2 )</f>
        <v>3.2092877031686147</v>
      </c>
      <c r="J32" s="2" cm="1">
        <f t="array" ref="J32">INDEX( ComputeThermoProps($A32, $B32, ParametersRange), 1, COLUMN()-2 )</f>
        <v>61.26786486587951</v>
      </c>
      <c r="K32" s="2" cm="1">
        <f t="array" ref="K32">INDEX( ComputeThermoProps($A32, $B32, ParametersRange), 1, COLUMN()-2 )</f>
        <v>6.0587693384616417</v>
      </c>
      <c r="L32" s="2" cm="1">
        <f t="array" ref="L32">INDEX( ComputeThermoProps($A32, $B32, ParametersRange), 1, COLUMN()-2 )</f>
        <v>-24.160782806429637</v>
      </c>
      <c r="M32" s="2" cm="1">
        <f t="array" ref="M32">INDEX( ComputeThermoProps($A32, $B32, ParametersRange), 1, COLUMN()-2 )</f>
        <v>61.268021664828446</v>
      </c>
      <c r="N32" s="2" cm="1">
        <f t="array" ref="N32">INDEX( ComputeThermoProps($A32, $B32, ParametersRange), 1, COLUMN()-2 )</f>
        <v>-24.160626007480701</v>
      </c>
    </row>
    <row r="33" spans="1:14" x14ac:dyDescent="0.25">
      <c r="A33" s="2">
        <v>15.1</v>
      </c>
      <c r="B33" s="2">
        <f t="shared" si="0"/>
        <v>3.7069889444936479E-5</v>
      </c>
      <c r="C33" s="2" cm="1">
        <f t="array" ref="C33">INDEX( ComputeThermoProps($A33, $B33, ParametersRange), 1, COLUMN()-2 )</f>
        <v>13.621552306133999</v>
      </c>
      <c r="D33" s="2" cm="1">
        <f t="array" ref="D33">INDEX( ComputeThermoProps($A33, $B33, ParametersRange), 1, COLUMN()-2 )</f>
        <v>1.1556178748489579E-3</v>
      </c>
      <c r="E33" s="2" cm="1">
        <f t="array" ref="E33">INDEX( ComputeThermoProps($A33, $B33, ParametersRange), 1, COLUMN()-2 )</f>
        <v>9.8417275993993082E-4</v>
      </c>
      <c r="F33" s="2" cm="1">
        <f t="array" ref="F33">INDEX( ComputeThermoProps($A33, $B33, ParametersRange), 1, COLUMN()-2 )</f>
        <v>3.5923012647444763E-3</v>
      </c>
      <c r="G33" s="2" cm="1">
        <f t="array" ref="G33">INDEX( ComputeThermoProps($A33, $B33, ParametersRange), 1, COLUMN()-2 )</f>
        <v>15.481888561329642</v>
      </c>
      <c r="H33" s="2" cm="1">
        <f t="array" ref="H33">INDEX( ComputeThermoProps($A33, $B33, ParametersRange), 1, COLUMN()-2 )</f>
        <v>13.185027097714055</v>
      </c>
      <c r="I33" s="2" cm="1">
        <f t="array" ref="I33">INDEX( ComputeThermoProps($A33, $B33, ParametersRange), 1, COLUMN()-2 )</f>
        <v>3.2114715285902862</v>
      </c>
      <c r="J33" s="2" cm="1">
        <f t="array" ref="J33">INDEX( ComputeThermoProps($A33, $B33, ParametersRange), 1, COLUMN()-2 )</f>
        <v>75.882022244774603</v>
      </c>
      <c r="K33" s="2" cm="1">
        <f t="array" ref="K33">INDEX( ComputeThermoProps($A33, $B33, ParametersRange), 1, COLUMN()-2 )</f>
        <v>7.0594497007875399</v>
      </c>
      <c r="L33" s="2" cm="1">
        <f t="array" ref="L33">INDEX( ComputeThermoProps($A33, $B33, ParametersRange), 1, COLUMN()-2 )</f>
        <v>-30.715668237117246</v>
      </c>
      <c r="M33" s="2" cm="1">
        <f t="array" ref="M33">INDEX( ComputeThermoProps($A33, $B33, ParametersRange), 1, COLUMN()-2 )</f>
        <v>75.882527194212656</v>
      </c>
      <c r="N33" s="2" cm="1">
        <f t="array" ref="N33">INDEX( ComputeThermoProps($A33, $B33, ParametersRange), 1, COLUMN()-2 )</f>
        <v>-30.715163287679193</v>
      </c>
    </row>
    <row r="34" spans="1:14" x14ac:dyDescent="0.25">
      <c r="A34" s="2">
        <v>16.100000000000001</v>
      </c>
      <c r="B34" s="2">
        <f t="shared" si="0"/>
        <v>1.0465760776566444E-4</v>
      </c>
      <c r="C34" s="2" cm="1">
        <f t="array" ref="C34">INDEX( ComputeThermoProps($A34, $B34, ParametersRange), 1, COLUMN()-2 )</f>
        <v>13.673153752673901</v>
      </c>
      <c r="D34" s="2" cm="1">
        <f t="array" ref="D34">INDEX( ComputeThermoProps($A34, $B34, ParametersRange), 1, COLUMN()-2 )</f>
        <v>1.1819657943602578E-3</v>
      </c>
      <c r="E34" s="2" cm="1">
        <f t="array" ref="E34">INDEX( ComputeThermoProps($A34, $B34, ParametersRange), 1, COLUMN()-2 )</f>
        <v>9.8059437460281231E-4</v>
      </c>
      <c r="F34" s="2" cm="1">
        <f t="array" ref="F34">INDEX( ComputeThermoProps($A34, $B34, ParametersRange), 1, COLUMN()-2 )</f>
        <v>3.968716377934731E-3</v>
      </c>
      <c r="G34" s="2" cm="1">
        <f t="array" ref="G34">INDEX( ComputeThermoProps($A34, $B34, ParametersRange), 1, COLUMN()-2 )</f>
        <v>17.2185615826495</v>
      </c>
      <c r="H34" s="2" cm="1">
        <f t="array" ref="H34">INDEX( ComputeThermoProps($A34, $B34, ParametersRange), 1, COLUMN()-2 )</f>
        <v>14.285036595189236</v>
      </c>
      <c r="I34" s="2" cm="1">
        <f t="array" ref="I34">INDEX( ComputeThermoProps($A34, $B34, ParametersRange), 1, COLUMN()-2 )</f>
        <v>3.2139010026110855</v>
      </c>
      <c r="J34" s="2" cm="1">
        <f t="array" ref="J34">INDEX( ComputeThermoProps($A34, $B34, ParametersRange), 1, COLUMN()-2 )</f>
        <v>92.232246271610762</v>
      </c>
      <c r="K34" s="2" cm="1">
        <f t="array" ref="K34">INDEX( ComputeThermoProps($A34, $B34, ParametersRange), 1, COLUMN()-2 )</f>
        <v>8.1073026025735135</v>
      </c>
      <c r="L34" s="2" cm="1">
        <f t="array" ref="L34">INDEX( ComputeThermoProps($A34, $B34, ParametersRange), 1, COLUMN()-2 )</f>
        <v>-38.29532562982282</v>
      </c>
      <c r="M34" s="2" cm="1">
        <f t="array" ref="M34">INDEX( ComputeThermoProps($A34, $B34, ParametersRange), 1, COLUMN()-2 )</f>
        <v>92.233677271173136</v>
      </c>
      <c r="N34" s="2" cm="1">
        <f t="array" ref="N34">INDEX( ComputeThermoProps($A34, $B34, ParametersRange), 1, COLUMN()-2 )</f>
        <v>-38.293894630260446</v>
      </c>
    </row>
    <row r="35" spans="1:14" x14ac:dyDescent="0.25">
      <c r="A35" s="2">
        <v>17.100000000000001</v>
      </c>
      <c r="B35" s="2">
        <f t="shared" si="0"/>
        <v>2.6617333259291922E-4</v>
      </c>
      <c r="C35" s="2" cm="1">
        <f t="array" ref="C35">INDEX( ComputeThermoProps($A35, $B35, ParametersRange), 1, COLUMN()-2 )</f>
        <v>13.73006086970212</v>
      </c>
      <c r="D35" s="2" cm="1">
        <f t="array" ref="D35">INDEX( ComputeThermoProps($A35, $B35, ParametersRange), 1, COLUMN()-2 )</f>
        <v>1.209747395268972E-3</v>
      </c>
      <c r="E35" s="2" cm="1">
        <f t="array" ref="E35">INDEX( ComputeThermoProps($A35, $B35, ParametersRange), 1, COLUMN()-2 )</f>
        <v>9.767526768338097E-4</v>
      </c>
      <c r="F35" s="2" cm="1">
        <f t="array" ref="F35">INDEX( ComputeThermoProps($A35, $B35, ParametersRange), 1, COLUMN()-2 )</f>
        <v>4.3368270972270317E-3</v>
      </c>
      <c r="G35" s="2" cm="1">
        <f t="array" ref="G35">INDEX( ComputeThermoProps($A35, $B35, ParametersRange), 1, COLUMN()-2 )</f>
        <v>18.952509027495019</v>
      </c>
      <c r="H35" s="2" cm="1">
        <f t="array" ref="H35">INDEX( ComputeThermoProps($A35, $B35, ParametersRange), 1, COLUMN()-2 )</f>
        <v>15.302296990031387</v>
      </c>
      <c r="I35" s="2" cm="1">
        <f t="array" ref="I35">INDEX( ComputeThermoProps($A35, $B35, ParametersRange), 1, COLUMN()-2 )</f>
        <v>3.2165717854191409</v>
      </c>
      <c r="J35" s="2" cm="1">
        <f t="array" ref="J35">INDEX( ComputeThermoProps($A35, $B35, ParametersRange), 1, COLUMN()-2 )</f>
        <v>110.31799452500913</v>
      </c>
      <c r="K35" s="2" cm="1">
        <f t="array" ref="K35">INDEX( ComputeThermoProps($A35, $B35, ParametersRange), 1, COLUMN()-2 )</f>
        <v>9.196608162642038</v>
      </c>
      <c r="L35" s="2" cm="1">
        <f t="array" ref="L35">INDEX( ComputeThermoProps($A35, $B35, ParametersRange), 1, COLUMN()-2 )</f>
        <v>-46.944005056169736</v>
      </c>
      <c r="M35" s="2" cm="1">
        <f t="array" ref="M35">INDEX( ComputeThermoProps($A35, $B35, ParametersRange), 1, COLUMN()-2 )</f>
        <v>110.32164910106752</v>
      </c>
      <c r="N35" s="2" cm="1">
        <f t="array" ref="N35">INDEX( ComputeThermoProps($A35, $B35, ParametersRange), 1, COLUMN()-2 )</f>
        <v>-46.940350480111341</v>
      </c>
    </row>
    <row r="36" spans="1:14" x14ac:dyDescent="0.25">
      <c r="A36" s="2">
        <v>18.100000000000001</v>
      </c>
      <c r="B36" s="2">
        <f t="shared" si="0"/>
        <v>6.2129069033045018E-4</v>
      </c>
      <c r="C36" s="2" cm="1">
        <f t="array" ref="C36">INDEX( ComputeThermoProps($A36, $B36, ParametersRange), 1, COLUMN()-2 )</f>
        <v>13.792213819653655</v>
      </c>
      <c r="D36" s="2" cm="1">
        <f t="array" ref="D36">INDEX( ComputeThermoProps($A36, $B36, ParametersRange), 1, COLUMN()-2 )</f>
        <v>1.2388226597008082E-3</v>
      </c>
      <c r="E36" s="2" cm="1">
        <f t="array" ref="E36">INDEX( ComputeThermoProps($A36, $B36, ParametersRange), 1, COLUMN()-2 )</f>
        <v>9.7267777186932857E-4</v>
      </c>
      <c r="F36" s="2" cm="1">
        <f t="array" ref="F36">INDEX( ComputeThermoProps($A36, $B36, ParametersRange), 1, COLUMN()-2 )</f>
        <v>4.6955342263367934E-3</v>
      </c>
      <c r="G36" s="2" cm="1">
        <f t="array" ref="G36">INDEX( ComputeThermoProps($A36, $B36, ParametersRange), 1, COLUMN()-2 )</f>
        <v>20.680662573810476</v>
      </c>
      <c r="H36" s="2" cm="1">
        <f t="array" ref="H36">INDEX( ComputeThermoProps($A36, $B36, ParametersRange), 1, COLUMN()-2 )</f>
        <v>16.237692001802397</v>
      </c>
      <c r="I36" s="2" cm="1">
        <f t="array" ref="I36">INDEX( ComputeThermoProps($A36, $B36, ParametersRange), 1, COLUMN()-2 )</f>
        <v>3.2194786685098329</v>
      </c>
      <c r="J36" s="2" cm="1">
        <f t="array" ref="J36">INDEX( ComputeThermoProps($A36, $B36, ParametersRange), 1, COLUMN()-2 )</f>
        <v>130.13473722943777</v>
      </c>
      <c r="K36" s="2" cm="1">
        <f t="array" ref="K36">INDEX( ComputeThermoProps($A36, $B36, ParametersRange), 1, COLUMN()-2 )</f>
        <v>10.322395605422241</v>
      </c>
      <c r="L36" s="2" cm="1">
        <f t="array" ref="L36">INDEX( ComputeThermoProps($A36, $B36, ParametersRange), 1, COLUMN()-2 )</f>
        <v>-56.700623228704792</v>
      </c>
      <c r="M36" s="2" cm="1">
        <f t="array" ref="M36">INDEX( ComputeThermoProps($A36, $B36, ParametersRange), 1, COLUMN()-2 )</f>
        <v>130.14330620348298</v>
      </c>
      <c r="N36" s="2" cm="1">
        <f t="array" ref="N36">INDEX( ComputeThermoProps($A36, $B36, ParametersRange), 1, COLUMN()-2 )</f>
        <v>-56.692054254659588</v>
      </c>
    </row>
    <row r="37" spans="1:14" x14ac:dyDescent="0.25">
      <c r="A37" s="2">
        <v>19.100000000000001</v>
      </c>
      <c r="B37" s="2">
        <f t="shared" si="0"/>
        <v>1.3509482334256285E-3</v>
      </c>
      <c r="C37" s="2" cm="1">
        <f t="array" ref="C37">INDEX( ComputeThermoProps($A37, $B37, ParametersRange), 1, COLUMN()-2 )</f>
        <v>13.859542600239768</v>
      </c>
      <c r="D37" s="2" cm="1">
        <f t="array" ref="D37">INDEX( ComputeThermoProps($A37, $B37, ParametersRange), 1, COLUMN()-2 )</f>
        <v>1.2690646948436547E-3</v>
      </c>
      <c r="E37" s="2" cm="1">
        <f t="array" ref="E37">INDEX( ComputeThermoProps($A37, $B37, ParametersRange), 1, COLUMN()-2 )</f>
        <v>9.6840038330974301E-4</v>
      </c>
      <c r="F37" s="2" cm="1">
        <f t="array" ref="F37">INDEX( ComputeThermoProps($A37, $B37, ParametersRange), 1, COLUMN()-2 )</f>
        <v>5.0441155394373386E-3</v>
      </c>
      <c r="G37" s="2" cm="1">
        <f t="array" ref="G37">INDEX( ComputeThermoProps($A37, $B37, ParametersRange), 1, COLUMN()-2 )</f>
        <v>22.401156272135243</v>
      </c>
      <c r="H37" s="2" cm="1">
        <f t="array" ref="H37">INDEX( ComputeThermoProps($A37, $B37, ParametersRange), 1, COLUMN()-2 )</f>
        <v>17.093918386240961</v>
      </c>
      <c r="I37" s="2" cm="1">
        <f t="array" ref="I37">INDEX( ComputeThermoProps($A37, $B37, ParametersRange), 1, COLUMN()-2 )</f>
        <v>3.2226158232195745</v>
      </c>
      <c r="J37" s="2" cm="1">
        <f t="array" ref="J37">INDEX( ComputeThermoProps($A37, $B37, ParametersRange), 1, COLUMN()-2 )</f>
        <v>151.67535441611733</v>
      </c>
      <c r="K37" s="2" cm="1">
        <f t="array" ref="K37">INDEX( ComputeThermoProps($A37, $B37, ParametersRange), 1, COLUMN()-2 )</f>
        <v>11.480357643073544</v>
      </c>
      <c r="L37" s="2" cm="1">
        <f t="array" ref="L37">INDEX( ComputeThermoProps($A37, $B37, ParametersRange), 1, COLUMN()-2 )</f>
        <v>-67.599476566587384</v>
      </c>
      <c r="M37" s="2" cm="1">
        <f t="array" ref="M37">INDEX( ComputeThermoProps($A37, $B37, ParametersRange), 1, COLUMN()-2 )</f>
        <v>151.69407794070921</v>
      </c>
      <c r="N37" s="2" cm="1">
        <f t="array" ref="N37">INDEX( ComputeThermoProps($A37, $B37, ParametersRange), 1, COLUMN()-2 )</f>
        <v>-67.580753041995507</v>
      </c>
    </row>
    <row r="38" spans="1:14" x14ac:dyDescent="0.25">
      <c r="A38" s="2">
        <v>20.100000000000001</v>
      </c>
      <c r="B38" s="2">
        <f t="shared" si="0"/>
        <v>2.770164685567214E-3</v>
      </c>
      <c r="C38" s="2" cm="1">
        <f t="array" ref="C38">INDEX( ComputeThermoProps($A38, $B38, ParametersRange), 1, COLUMN()-2 )</f>
        <v>13.931969714397379</v>
      </c>
      <c r="D38" s="2" cm="1">
        <f t="array" ref="D38">INDEX( ComputeThermoProps($A38, $B38, ParametersRange), 1, COLUMN()-2 )</f>
        <v>1.3003585443132962E-3</v>
      </c>
      <c r="E38" s="2" cm="1">
        <f t="array" ref="E38">INDEX( ComputeThermoProps($A38, $B38, ParametersRange), 1, COLUMN()-2 )</f>
        <v>9.6395103242672591E-4</v>
      </c>
      <c r="F38" s="2" cm="1">
        <f t="array" ref="F38">INDEX( ComputeThermoProps($A38, $B38, ParametersRange), 1, COLUMN()-2 )</f>
        <v>5.3821202244492827E-3</v>
      </c>
      <c r="G38" s="2" cm="1">
        <f t="array" ref="G38">INDEX( ComputeThermoProps($A38, $B38, ParametersRange), 1, COLUMN()-2 )</f>
        <v>24.11291324485514</v>
      </c>
      <c r="H38" s="2" cm="1">
        <f t="array" ref="H38">INDEX( ComputeThermoProps($A38, $B38, ParametersRange), 1, COLUMN()-2 )</f>
        <v>17.874814387803241</v>
      </c>
      <c r="I38" s="2" cm="1">
        <f t="array" ref="I38">INDEX( ComputeThermoProps($A38, $B38, ParametersRange), 1, COLUMN()-2 )</f>
        <v>3.2259769499889503</v>
      </c>
      <c r="J38" s="2" cm="1">
        <f t="array" ref="J38">INDEX( ComputeThermoProps($A38, $B38, ParametersRange), 1, COLUMN()-2 )</f>
        <v>174.93097377939105</v>
      </c>
      <c r="K38" s="2" cm="1">
        <f t="array" ref="K38">INDEX( ComputeThermoProps($A38, $B38, ParametersRange), 1, COLUMN()-2 )</f>
        <v>12.666758354001418</v>
      </c>
      <c r="L38" s="2" cm="1">
        <f t="array" ref="L38">INDEX( ComputeThermoProps($A38, $B38, ParametersRange), 1, COLUMN()-2 )</f>
        <v>-79.670869136037467</v>
      </c>
      <c r="M38" s="2" cm="1">
        <f t="array" ref="M38">INDEX( ComputeThermoProps($A38, $B38, ParametersRange), 1, COLUMN()-2 )</f>
        <v>174.96956762989427</v>
      </c>
      <c r="N38" s="2" cm="1">
        <f t="array" ref="N38">INDEX( ComputeThermoProps($A38, $B38, ParametersRange), 1, COLUMN()-2 )</f>
        <v>-79.632275285534249</v>
      </c>
    </row>
    <row r="39" spans="1:14" x14ac:dyDescent="0.25">
      <c r="A39" s="2">
        <v>21.1</v>
      </c>
      <c r="B39" s="2">
        <f t="shared" si="0"/>
        <v>5.4123951021896833E-3</v>
      </c>
      <c r="C39" s="2" cm="1">
        <f t="array" ref="C39">INDEX( ComputeThermoProps($A39, $B39, ParametersRange), 1, COLUMN()-2 )</f>
        <v>14.009410913442336</v>
      </c>
      <c r="D39" s="2" cm="1">
        <f t="array" ref="D39">INDEX( ComputeThermoProps($A39, $B39, ParametersRange), 1, COLUMN()-2 )</f>
        <v>1.3325997870678276E-3</v>
      </c>
      <c r="E39" s="2" cm="1">
        <f t="array" ref="E39">INDEX( ComputeThermoProps($A39, $B39, ParametersRange), 1, COLUMN()-2 )</f>
        <v>9.5935928479112592E-4</v>
      </c>
      <c r="F39" s="2" cm="1">
        <f t="array" ref="F39">INDEX( ComputeThermoProps($A39, $B39, ParametersRange), 1, COLUMN()-2 )</f>
        <v>5.7092925388957539E-3</v>
      </c>
      <c r="G39" s="2" cm="1">
        <f t="array" ref="G39">INDEX( ComputeThermoProps($A39, $B39, ParametersRange), 1, COLUMN()-2 )</f>
        <v>25.815358281176913</v>
      </c>
      <c r="H39" s="2" cm="1">
        <f t="array" ref="H39">INDEX( ComputeThermoProps($A39, $B39, ParametersRange), 1, COLUMN()-2 )</f>
        <v>18.584877393497575</v>
      </c>
      <c r="I39" s="2" cm="1">
        <f t="array" ref="I39">INDEX( ComputeThermoProps($A39, $B39, ParametersRange), 1, COLUMN()-2 )</f>
        <v>3.2295553371582506</v>
      </c>
      <c r="J39" s="2" cm="1">
        <f t="array" ref="J39">INDEX( ComputeThermoProps($A39, $B39, ParametersRange), 1, COLUMN()-2 )</f>
        <v>199.89134988646188</v>
      </c>
      <c r="K39" s="2" cm="1">
        <f t="array" ref="K39">INDEX( ComputeThermoProps($A39, $B39, ParametersRange), 1, COLUMN()-2 )</f>
        <v>13.878341517311778</v>
      </c>
      <c r="L39" s="2" cm="1">
        <f t="array" ref="L39">INDEX( ComputeThermoProps($A39, $B39, ParametersRange), 1, COLUMN()-2 )</f>
        <v>-92.94165612881666</v>
      </c>
      <c r="M39" s="2" cm="1">
        <f t="array" ref="M39">INDEX( ComputeThermoProps($A39, $B39, ParametersRange), 1, COLUMN()-2 )</f>
        <v>199.96717435347435</v>
      </c>
      <c r="N39" s="2" cm="1">
        <f t="array" ref="N39">INDEX( ComputeThermoProps($A39, $B39, ParametersRange), 1, COLUMN()-2 )</f>
        <v>-92.865831661804194</v>
      </c>
    </row>
    <row r="40" spans="1:14" x14ac:dyDescent="0.25">
      <c r="A40" s="2">
        <v>22.1</v>
      </c>
      <c r="B40" s="2">
        <f t="shared" si="0"/>
        <v>1.0169380105608659E-2</v>
      </c>
      <c r="C40" s="2" cm="1">
        <f t="array" ref="C40">INDEX( ComputeThermoProps($A40, $B40, ParametersRange), 1, COLUMN()-2 )</f>
        <v>14.091773753392706</v>
      </c>
      <c r="D40" s="2" cm="1">
        <f t="array" ref="D40">INDEX( ComputeThermoProps($A40, $B40, ParametersRange), 1, COLUMN()-2 )</f>
        <v>1.365692804429779E-3</v>
      </c>
      <c r="E40" s="2" cm="1">
        <f t="array" ref="E40">INDEX( ComputeThermoProps($A40, $B40, ParametersRange), 1, COLUMN()-2 )</f>
        <v>9.5465297863545334E-4</v>
      </c>
      <c r="F40" s="2" cm="1">
        <f t="array" ref="F40">INDEX( ComputeThermoProps($A40, $B40, ParametersRange), 1, COLUMN()-2 )</f>
        <v>6.0255155174150392E-3</v>
      </c>
      <c r="G40" s="2" cm="1">
        <f t="array" ref="G40">INDEX( ComputeThermoProps($A40, $B40, ParametersRange), 1, COLUMN()-2 )</f>
        <v>27.508217601502849</v>
      </c>
      <c r="H40" s="2" cm="1">
        <f t="array" ref="H40">INDEX( ComputeThermoProps($A40, $B40, ParametersRange), 1, COLUMN()-2 )</f>
        <v>19.22892306750612</v>
      </c>
      <c r="I40" s="2" cm="1">
        <f t="array" ref="I40">INDEX( ComputeThermoProps($A40, $B40, ParametersRange), 1, COLUMN()-2 )</f>
        <v>3.233343819376528</v>
      </c>
      <c r="J40" s="2" cm="1">
        <f t="array" ref="J40">INDEX( ComputeThermoProps($A40, $B40, ParametersRange), 1, COLUMN()-2 )</f>
        <v>226.54480114617647</v>
      </c>
      <c r="K40" s="2" cm="1">
        <f t="array" ref="K40">INDEX( ComputeThermoProps($A40, $B40, ParametersRange), 1, COLUMN()-2 )</f>
        <v>15.11224030206699</v>
      </c>
      <c r="L40" s="2" cm="1">
        <f t="array" ref="L40">INDEX( ComputeThermoProps($A40, $B40, ParametersRange), 1, COLUMN()-2 )</f>
        <v>-107.43570952950404</v>
      </c>
      <c r="M40" s="2" cm="1">
        <f t="array" ref="M40">INDEX( ComputeThermoProps($A40, $B40, ParametersRange), 1, COLUMN()-2 )</f>
        <v>226.68810574983695</v>
      </c>
      <c r="N40" s="2" cm="1">
        <f t="array" ref="N40">INDEX( ComputeThermoProps($A40, $B40, ParametersRange), 1, COLUMN()-2 )</f>
        <v>-107.29240492584356</v>
      </c>
    </row>
    <row r="41" spans="1:14" x14ac:dyDescent="0.25">
      <c r="A41" s="2">
        <v>23.1</v>
      </c>
      <c r="B41" s="2">
        <f t="shared" si="0"/>
        <v>1.8542300916479761E-2</v>
      </c>
      <c r="C41" s="2" cm="1">
        <f t="array" ref="C41">INDEX( ComputeThermoProps($A41, $B41, ParametersRange), 1, COLUMN()-2 )</f>
        <v>14.17895283923418</v>
      </c>
      <c r="D41" s="2" cm="1">
        <f t="array" ref="D41">INDEX( ComputeThermoProps($A41, $B41, ParametersRange), 1, COLUMN()-2 )</f>
        <v>1.3995482726432262E-3</v>
      </c>
      <c r="E41" s="2" cm="1">
        <f t="array" ref="E41">INDEX( ComputeThermoProps($A41, $B41, ParametersRange), 1, COLUMN()-2 )</f>
        <v>9.498572754240897E-4</v>
      </c>
      <c r="F41" s="2" cm="1">
        <f t="array" ref="F41">INDEX( ComputeThermoProps($A41, $B41, ParametersRange), 1, COLUMN()-2 )</f>
        <v>6.3307661627217031E-3</v>
      </c>
      <c r="G41" s="2" cm="1">
        <f t="array" ref="G41">INDEX( ComputeThermoProps($A41, $B41, ParametersRange), 1, COLUMN()-2 )</f>
        <v>29.191370807869212</v>
      </c>
      <c r="H41" s="2" cm="1">
        <f t="array" ref="H41">INDEX( ComputeThermoProps($A41, $B41, ParametersRange), 1, COLUMN()-2 )</f>
        <v>19.811846781883247</v>
      </c>
      <c r="I41" s="2" cm="1">
        <f t="array" ref="I41">INDEX( ComputeThermoProps($A41, $B41, ParametersRange), 1, COLUMN()-2 )</f>
        <v>3.2373345873039439</v>
      </c>
      <c r="J41" s="2" cm="1">
        <f t="array" ref="J41">INDEX( ComputeThermoProps($A41, $B41, ParametersRange), 1, COLUMN()-2 )</f>
        <v>254.87757906029387</v>
      </c>
      <c r="K41" s="2" cm="1">
        <f t="array" ref="K41">INDEX( ComputeThermoProps($A41, $B41, ParametersRange), 1, COLUMN()-2 )</f>
        <v>16.365882858134572</v>
      </c>
      <c r="L41" s="2" cm="1">
        <f t="array" ref="L41">INDEX( ComputeThermoProps($A41, $B41, ParametersRange), 1, COLUMN()-2 )</f>
        <v>-123.17431496261477</v>
      </c>
      <c r="M41" s="2" cm="1">
        <f t="array" ref="M41">INDEX( ComputeThermoProps($A41, $B41, ParametersRange), 1, COLUMN()-2 )</f>
        <v>255.14048947051953</v>
      </c>
      <c r="N41" s="2" cm="1">
        <f t="array" ref="N41">INDEX( ComputeThermoProps($A41, $B41, ParametersRange), 1, COLUMN()-2 )</f>
        <v>-122.91140455238911</v>
      </c>
    </row>
    <row r="42" spans="1:14" x14ac:dyDescent="0.25">
      <c r="A42" s="2">
        <v>24.1</v>
      </c>
      <c r="B42" s="2">
        <f t="shared" si="0"/>
        <v>3.3189241114309674E-2</v>
      </c>
      <c r="C42" s="2" cm="1">
        <f t="array" ref="C42">INDEX( ComputeThermoProps($A42, $B42, ParametersRange), 1, COLUMN()-2 )</f>
        <v>14.270817602116502</v>
      </c>
      <c r="D42" s="2" cm="1">
        <f t="array" ref="D42">INDEX( ComputeThermoProps($A42, $B42, ParametersRange), 1, COLUMN()-2 )</f>
        <v>1.4340784358905217E-3</v>
      </c>
      <c r="E42" s="2" cm="1">
        <f t="array" ref="E42">INDEX( ComputeThermoProps($A42, $B42, ParametersRange), 1, COLUMN()-2 )</f>
        <v>9.4499305284320462E-4</v>
      </c>
      <c r="F42" s="2" cm="1">
        <f t="array" ref="F42">INDEX( ComputeThermoProps($A42, $B42, ParametersRange), 1, COLUMN()-2 )</f>
        <v>6.6250704139016424E-3</v>
      </c>
      <c r="G42" s="2" cm="1">
        <f t="array" ref="G42">INDEX( ComputeThermoProps($A42, $B42, ParametersRange), 1, COLUMN()-2 )</f>
        <v>30.864710754269126</v>
      </c>
      <c r="H42" s="2" cm="1">
        <f t="array" ref="H42">INDEX( ComputeThermoProps($A42, $B42, ParametersRange), 1, COLUMN()-2 )</f>
        <v>20.338453260882787</v>
      </c>
      <c r="I42" s="2" cm="1">
        <f t="array" ref="I42">INDEX( ComputeThermoProps($A42, $B42, ParametersRange), 1, COLUMN()-2 )</f>
        <v>3.2415186653783183</v>
      </c>
      <c r="J42" s="2" cm="1">
        <f t="array" ref="J42">INDEX( ComputeThermoProps($A42, $B42, ParametersRange), 1, COLUMN()-2 )</f>
        <v>284.87212322255886</v>
      </c>
      <c r="K42" s="2" cm="1">
        <f t="array" ref="K42">INDEX( ComputeThermoProps($A42, $B42, ParametersRange), 1, COLUMN()-2 )</f>
        <v>17.636872692849273</v>
      </c>
      <c r="L42" s="2" cm="1">
        <f t="array" ref="L42">INDEX( ComputeThermoProps($A42, $B42, ParametersRange), 1, COLUMN()-2 )</f>
        <v>-140.17650867510866</v>
      </c>
      <c r="M42" s="2" cm="1">
        <f t="array" ref="M42">INDEX( ComputeThermoProps($A42, $B42, ParametersRange), 1, COLUMN()-2 )</f>
        <v>285.34576082885383</v>
      </c>
      <c r="N42" s="2" cm="1">
        <f t="array" ref="N42">INDEX( ComputeThermoProps($A42, $B42, ParametersRange), 1, COLUMN()-2 )</f>
        <v>-139.70287106881369</v>
      </c>
    </row>
    <row r="43" spans="1:14" x14ac:dyDescent="0.25">
      <c r="A43" s="2">
        <v>25.1</v>
      </c>
      <c r="B43" s="2">
        <f t="shared" si="0"/>
        <v>13.81116381471697</v>
      </c>
      <c r="C43" s="2" cm="1">
        <f t="array" ref="C43">INDEX( ComputeThermoProps($A43, $B43, ParametersRange), 1, COLUMN()-2 )</f>
        <v>14.088574618700598</v>
      </c>
      <c r="D43" s="2" cm="1">
        <f t="array" ref="D43">INDEX( ComputeThermoProps($A43, $B43, ParametersRange), 1, COLUMN()-2 )</f>
        <v>1.3805925736669362E-3</v>
      </c>
      <c r="E43" s="2" cm="1">
        <f t="array" ref="E43">INDEX( ComputeThermoProps($A43, $B43, ParametersRange), 1, COLUMN()-2 )</f>
        <v>9.0664530196102463E-4</v>
      </c>
      <c r="F43" s="2" cm="1">
        <f t="array" ref="F43">INDEX( ComputeThermoProps($A43, $B43, ParametersRange), 1, COLUMN()-2 )</f>
        <v>6.4414957366583587E-3</v>
      </c>
      <c r="G43" s="2" cm="1">
        <f t="array" ref="G43">INDEX( ComputeThermoProps($A43, $B43, ParametersRange), 1, COLUMN()-2 )</f>
        <v>30.958805648088294</v>
      </c>
      <c r="H43" s="2" cm="1">
        <f t="array" ref="H43">INDEX( ComputeThermoProps($A43, $B43, ParametersRange), 1, COLUMN()-2 )</f>
        <v>20.330875473718987</v>
      </c>
      <c r="I43" s="2" cm="1">
        <f t="array" ref="I43">INDEX( ComputeThermoProps($A43, $B43, ParametersRange), 1, COLUMN()-2 )</f>
        <v>3.2331969983724522</v>
      </c>
      <c r="J43" s="2" cm="1">
        <f t="array" ref="J43">INDEX( ComputeThermoProps($A43, $B43, ParametersRange), 1, COLUMN()-2 )</f>
        <v>285.64597493410065</v>
      </c>
      <c r="K43" s="2" cm="1">
        <f t="array" ref="K43">INDEX( ComputeThermoProps($A43, $B43, ParametersRange), 1, COLUMN()-2 )</f>
        <v>17.617507499151856</v>
      </c>
      <c r="L43" s="2" cm="1">
        <f t="array" ref="L43">INDEX( ComputeThermoProps($A43, $B43, ParametersRange), 1, COLUMN()-2 )</f>
        <v>-156.55346329461096</v>
      </c>
      <c r="M43" s="2" cm="1">
        <f t="array" ref="M43">INDEX( ComputeThermoProps($A43, $B43, ParametersRange), 1, COLUMN()-2 )</f>
        <v>480.2255869088383</v>
      </c>
      <c r="N43" s="2" cm="1">
        <f t="array" ref="N43">INDEX( ComputeThermoProps($A43, $B43, ParametersRange), 1, COLUMN()-2 )</f>
        <v>38.026148680126695</v>
      </c>
    </row>
    <row r="44" spans="1:14" x14ac:dyDescent="0.25">
      <c r="A44" s="2">
        <v>26.1</v>
      </c>
      <c r="B44" s="2">
        <f t="shared" si="0"/>
        <v>19.464628332074657</v>
      </c>
      <c r="C44" s="2" cm="1">
        <f t="array" ref="C44">INDEX( ComputeThermoProps($A44, $B44, ParametersRange), 1, COLUMN()-2 )</f>
        <v>14.070048429419062</v>
      </c>
      <c r="D44" s="2" cm="1">
        <f t="array" ref="D44">INDEX( ComputeThermoProps($A44, $B44, ParametersRange), 1, COLUMN()-2 )</f>
        <v>1.3786702750472584E-3</v>
      </c>
      <c r="E44" s="2" cm="1">
        <f t="array" ref="E44">INDEX( ComputeThermoProps($A44, $B44, ParametersRange), 1, COLUMN()-2 )</f>
        <v>8.8919512939498308E-4</v>
      </c>
      <c r="F44" s="2" cm="1">
        <f t="array" ref="F44">INDEX( ComputeThermoProps($A44, $B44, ParametersRange), 1, COLUMN()-2 )</f>
        <v>6.524919945908543E-3</v>
      </c>
      <c r="G44" s="2" cm="1">
        <f t="array" ref="G44">INDEX( ComputeThermoProps($A44, $B44, ParametersRange), 1, COLUMN()-2 )</f>
        <v>31.941538510164339</v>
      </c>
      <c r="H44" s="2" cm="1">
        <f t="array" ref="H44">INDEX( ComputeThermoProps($A44, $B44, ParametersRange), 1, COLUMN()-2 )</f>
        <v>20.601198838240588</v>
      </c>
      <c r="I44" s="2" cm="1">
        <f t="array" ref="I44">INDEX( ComputeThermoProps($A44, $B44, ParametersRange), 1, COLUMN()-2 )</f>
        <v>3.2323462330910351</v>
      </c>
      <c r="J44" s="2" cm="1">
        <f t="array" ref="J44">INDEX( ComputeThermoProps($A44, $B44, ParametersRange), 1, COLUMN()-2 )</f>
        <v>304.19322601092966</v>
      </c>
      <c r="K44" s="2" cm="1">
        <f t="array" ref="K44">INDEX( ComputeThermoProps($A44, $B44, ParametersRange), 1, COLUMN()-2 )</f>
        <v>18.330040547974892</v>
      </c>
      <c r="L44" s="2" cm="1">
        <f t="array" ref="L44">INDEX( ComputeThermoProps($A44, $B44, ParametersRange), 1, COLUMN()-2 )</f>
        <v>-174.22083229121506</v>
      </c>
      <c r="M44" s="2" cm="1">
        <f t="array" ref="M44">INDEX( ComputeThermoProps($A44, $B44, ParametersRange), 1, COLUMN()-2 )</f>
        <v>578.06148930386246</v>
      </c>
      <c r="N44" s="2" cm="1">
        <f t="array" ref="N44">INDEX( ComputeThermoProps($A44, $B44, ParametersRange), 1, COLUMN()-2 )</f>
        <v>99.647431001717734</v>
      </c>
    </row>
    <row r="45" spans="1:14" x14ac:dyDescent="0.25">
      <c r="A45" s="2">
        <v>27.1</v>
      </c>
      <c r="B45" s="2">
        <f t="shared" si="0"/>
        <v>24.894887153870684</v>
      </c>
      <c r="C45" s="2" cm="1">
        <f t="array" ref="C45">INDEX( ComputeThermoProps($A45, $B45, ParametersRange), 1, COLUMN()-2 )</f>
        <v>14.057139647345402</v>
      </c>
      <c r="D45" s="2" cm="1">
        <f t="array" ref="D45">INDEX( ComputeThermoProps($A45, $B45, ParametersRange), 1, COLUMN()-2 )</f>
        <v>1.3778866487093604E-3</v>
      </c>
      <c r="E45" s="2" cm="1">
        <f t="array" ref="E45">INDEX( ComputeThermoProps($A45, $B45, ParametersRange), 1, COLUMN()-2 )</f>
        <v>8.7283198214932825E-4</v>
      </c>
      <c r="F45" s="2" cm="1">
        <f t="array" ref="F45">INDEX( ComputeThermoProps($A45, $B45, ParametersRange), 1, COLUMN()-2 )</f>
        <v>6.6069390234485652E-3</v>
      </c>
      <c r="G45" s="2" cm="1">
        <f t="array" ref="G45">INDEX( ComputeThermoProps($A45, $B45, ParametersRange), 1, COLUMN()-2 )</f>
        <v>32.925202842779399</v>
      </c>
      <c r="H45" s="2" cm="1">
        <f t="array" ref="H45">INDEX( ComputeThermoProps($A45, $B45, ParametersRange), 1, COLUMN()-2 )</f>
        <v>20.856701156695529</v>
      </c>
      <c r="I45" s="2" cm="1">
        <f t="array" ref="I45">INDEX( ComputeThermoProps($A45, $B45, ParametersRange), 1, COLUMN()-2 )</f>
        <v>3.2317529021655669</v>
      </c>
      <c r="J45" s="2" cm="1">
        <f t="array" ref="J45">INDEX( ComputeThermoProps($A45, $B45, ParametersRange), 1, COLUMN()-2 )</f>
        <v>323.5743831318635</v>
      </c>
      <c r="K45" s="2" cm="1">
        <f t="array" ref="K45">INDEX( ComputeThermoProps($A45, $B45, ParametersRange), 1, COLUMN()-2 )</f>
        <v>19.047954330760469</v>
      </c>
      <c r="L45" s="2" cm="1">
        <f t="array" ref="L45">INDEX( ComputeThermoProps($A45, $B45, ParametersRange), 1, COLUMN()-2 )</f>
        <v>-192.62517923174522</v>
      </c>
      <c r="M45" s="2" cm="1">
        <f t="array" ref="M45">INDEX( ComputeThermoProps($A45, $B45, ParametersRange), 1, COLUMN()-2 )</f>
        <v>673.52528835872886</v>
      </c>
      <c r="N45" s="2" cm="1">
        <f t="array" ref="N45">INDEX( ComputeThermoProps($A45, $B45, ParametersRange), 1, COLUMN()-2 )</f>
        <v>157.32572599512014</v>
      </c>
    </row>
    <row r="46" spans="1:14" x14ac:dyDescent="0.25">
      <c r="A46" s="2">
        <v>28.1</v>
      </c>
      <c r="B46" s="2">
        <f t="shared" si="0"/>
        <v>30.569319726806857</v>
      </c>
      <c r="C46" s="2" cm="1">
        <f t="array" ref="C46">INDEX( ComputeThermoProps($A46, $B46, ParametersRange), 1, COLUMN()-2 )</f>
        <v>14.040687202979996</v>
      </c>
      <c r="D46" s="2" cm="1">
        <f t="array" ref="D46">INDEX( ComputeThermoProps($A46, $B46, ParametersRange), 1, COLUMN()-2 )</f>
        <v>1.3754730040460134E-3</v>
      </c>
      <c r="E46" s="2" cm="1">
        <f t="array" ref="E46">INDEX( ComputeThermoProps($A46, $B46, ParametersRange), 1, COLUMN()-2 )</f>
        <v>8.5651094055179736E-4</v>
      </c>
      <c r="F46" s="2" cm="1">
        <f t="array" ref="F46">INDEX( ComputeThermoProps($A46, $B46, ParametersRange), 1, COLUMN()-2 )</f>
        <v>6.6735965596782E-3</v>
      </c>
      <c r="G46" s="2" cm="1">
        <f t="array" ref="G46">INDEX( ComputeThermoProps($A46, $B46, ParametersRange), 1, COLUMN()-2 )</f>
        <v>33.859377520260963</v>
      </c>
      <c r="H46" s="2" cm="1">
        <f t="array" ref="H46">INDEX( ComputeThermoProps($A46, $B46, ParametersRange), 1, COLUMN()-2 )</f>
        <v>21.084330409298925</v>
      </c>
      <c r="I46" s="2" cm="1">
        <f t="array" ref="I46">INDEX( ComputeThermoProps($A46, $B46, ParametersRange), 1, COLUMN()-2 )</f>
        <v>3.2309960605066772</v>
      </c>
      <c r="J46" s="2" cm="1">
        <f t="array" ref="J46">INDEX( ComputeThermoProps($A46, $B46, ParametersRange), 1, COLUMN()-2 )</f>
        <v>342.81227821270107</v>
      </c>
      <c r="K46" s="2" cm="1">
        <f t="array" ref="K46">INDEX( ComputeThermoProps($A46, $B46, ParametersRange), 1, COLUMN()-2 )</f>
        <v>19.728508065985924</v>
      </c>
      <c r="L46" s="2" cm="1">
        <f t="array" ref="L46">INDEX( ComputeThermoProps($A46, $B46, ParametersRange), 1, COLUMN()-2 )</f>
        <v>-211.55879844150343</v>
      </c>
      <c r="M46" s="2" cm="1">
        <f t="array" ref="M46">INDEX( ComputeThermoProps($A46, $B46, ParametersRange), 1, COLUMN()-2 )</f>
        <v>772.02653450468199</v>
      </c>
      <c r="N46" s="2" cm="1">
        <f t="array" ref="N46">INDEX( ComputeThermoProps($A46, $B46, ParametersRange), 1, COLUMN()-2 )</f>
        <v>217.65545785047749</v>
      </c>
    </row>
    <row r="47" spans="1:14" x14ac:dyDescent="0.25">
      <c r="A47" s="2">
        <v>29.1</v>
      </c>
      <c r="B47" s="2">
        <f t="shared" si="0"/>
        <v>36.545553895931427</v>
      </c>
      <c r="C47" s="2" cm="1">
        <f t="array" ref="C47">INDEX( ComputeThermoProps($A47, $B47, ParametersRange), 1, COLUMN()-2 )</f>
        <v>14.019531690010695</v>
      </c>
      <c r="D47" s="2" cm="1">
        <f t="array" ref="D47">INDEX( ComputeThermoProps($A47, $B47, ParametersRange), 1, COLUMN()-2 )</f>
        <v>1.3711673288392511E-3</v>
      </c>
      <c r="E47" s="2" cm="1">
        <f t="array" ref="E47">INDEX( ComputeThermoProps($A47, $B47, ParametersRange), 1, COLUMN()-2 )</f>
        <v>8.4015450555516486E-4</v>
      </c>
      <c r="F47" s="2" cm="1">
        <f t="array" ref="F47">INDEX( ComputeThermoProps($A47, $B47, ParametersRange), 1, COLUMN()-2 )</f>
        <v>6.7243049735006867E-3</v>
      </c>
      <c r="G47" s="2" cm="1">
        <f t="array" ref="G47">INDEX( ComputeThermoProps($A47, $B47, ParametersRange), 1, COLUMN()-2 )</f>
        <v>34.738918286893536</v>
      </c>
      <c r="H47" s="2" cm="1">
        <f t="array" ref="H47">INDEX( ComputeThermoProps($A47, $B47, ParametersRange), 1, COLUMN()-2 )</f>
        <v>21.285555820202848</v>
      </c>
      <c r="I47" s="2" cm="1">
        <f t="array" ref="I47">INDEX( ComputeThermoProps($A47, $B47, ParametersRange), 1, COLUMN()-2 )</f>
        <v>3.2300218259643065</v>
      </c>
      <c r="J47" s="2" cm="1">
        <f t="array" ref="J47">INDEX( ComputeThermoProps($A47, $B47, ParametersRange), 1, COLUMN()-2 )</f>
        <v>361.75681969902007</v>
      </c>
      <c r="K47" s="2" cm="1">
        <f t="array" ref="K47">INDEX( ComputeThermoProps($A47, $B47, ParametersRange), 1, COLUMN()-2 )</f>
        <v>20.366139595006207</v>
      </c>
      <c r="L47" s="2" cm="1">
        <f t="array" ref="L47">INDEX( ComputeThermoProps($A47, $B47, ParametersRange), 1, COLUMN()-2 )</f>
        <v>-230.89784251566056</v>
      </c>
      <c r="M47" s="2" cm="1">
        <f t="array" ref="M47">INDEX( ComputeThermoProps($A47, $B47, ParametersRange), 1, COLUMN()-2 )</f>
        <v>874.10837067202453</v>
      </c>
      <c r="N47" s="2" cm="1">
        <f t="array" ref="N47">INDEX( ComputeThermoProps($A47, $B47, ParametersRange), 1, COLUMN()-2 )</f>
        <v>281.45370845734391</v>
      </c>
    </row>
    <row r="48" spans="1:14" x14ac:dyDescent="0.25">
      <c r="A48" s="2">
        <v>30.1</v>
      </c>
      <c r="B48" s="2">
        <f t="shared" si="0"/>
        <v>42.823401186547635</v>
      </c>
      <c r="C48" s="2" cm="1">
        <f t="array" ref="C48">INDEX( ComputeThermoProps($A48, $B48, ParametersRange), 1, COLUMN()-2 )</f>
        <v>13.99367390793098</v>
      </c>
      <c r="D48" s="2" cm="1">
        <f t="array" ref="D48">INDEX( ComputeThermoProps($A48, $B48, ParametersRange), 1, COLUMN()-2 )</f>
        <v>1.3650661711505959E-3</v>
      </c>
      <c r="E48" s="2" cm="1">
        <f t="array" ref="E48">INDEX( ComputeThermoProps($A48, $B48, ParametersRange), 1, COLUMN()-2 )</f>
        <v>8.2380936342152638E-4</v>
      </c>
      <c r="F48" s="2" cm="1">
        <f t="array" ref="F48">INDEX( ComputeThermoProps($A48, $B48, ParametersRange), 1, COLUMN()-2 )</f>
        <v>6.7602856465103917E-3</v>
      </c>
      <c r="G48" s="2" cm="1">
        <f t="array" ref="G48">INDEX( ComputeThermoProps($A48, $B48, ParametersRange), 1, COLUMN()-2 )</f>
        <v>35.565176383004875</v>
      </c>
      <c r="H48" s="2" cm="1">
        <f t="array" ref="H48">INDEX( ComputeThermoProps($A48, $B48, ParametersRange), 1, COLUMN()-2 )</f>
        <v>21.463373670275544</v>
      </c>
      <c r="I48" s="2" cm="1">
        <f t="array" ref="I48">INDEX( ComputeThermoProps($A48, $B48, ParametersRange), 1, COLUMN()-2 )</f>
        <v>3.2288294482216275</v>
      </c>
      <c r="J48" s="2" cm="1">
        <f t="array" ref="J48">INDEX( ComputeThermoProps($A48, $B48, ParametersRange), 1, COLUMN()-2 )</f>
        <v>380.38625215359878</v>
      </c>
      <c r="K48" s="2" cm="1">
        <f t="array" ref="K48">INDEX( ComputeThermoProps($A48, $B48, ParametersRange), 1, COLUMN()-2 )</f>
        <v>20.960900298940185</v>
      </c>
      <c r="L48" s="2" cm="1">
        <f t="array" ref="L48">INDEX( ComputeThermoProps($A48, $B48, ParametersRange), 1, COLUMN()-2 )</f>
        <v>-250.53684684450081</v>
      </c>
      <c r="M48" s="2" cm="1">
        <f t="array" ref="M48">INDEX( ComputeThermoProps($A48, $B48, ParametersRange), 1, COLUMN()-2 )</f>
        <v>979.64296398665101</v>
      </c>
      <c r="N48" s="2" cm="1">
        <f t="array" ref="N48">INDEX( ComputeThermoProps($A48, $B48, ParametersRange), 1, COLUMN()-2 )</f>
        <v>348.71986498855142</v>
      </c>
    </row>
    <row r="49" spans="1:14" x14ac:dyDescent="0.25">
      <c r="A49" s="2">
        <v>31.1</v>
      </c>
      <c r="B49" s="2">
        <f t="shared" si="0"/>
        <v>49.389975184962736</v>
      </c>
      <c r="C49" s="2" cm="1">
        <f t="array" ref="C49">INDEX( ComputeThermoProps($A49, $B49, ParametersRange), 1, COLUMN()-2 )</f>
        <v>13.963390891858451</v>
      </c>
      <c r="D49" s="2" cm="1">
        <f t="array" ref="D49">INDEX( ComputeThermoProps($A49, $B49, ParametersRange), 1, COLUMN()-2 )</f>
        <v>1.3573459829317222E-3</v>
      </c>
      <c r="E49" s="2" cm="1">
        <f t="array" ref="E49">INDEX( ComputeThermoProps($A49, $B49, ParametersRange), 1, COLUMN()-2 )</f>
        <v>8.0754072103158062E-4</v>
      </c>
      <c r="F49" s="2" cm="1">
        <f t="array" ref="F49">INDEX( ComputeThermoProps($A49, $B49, ParametersRange), 1, COLUMN()-2 )</f>
        <v>6.7830830868090778E-3</v>
      </c>
      <c r="G49" s="2" cm="1">
        <f t="array" ref="G49">INDEX( ComputeThermoProps($A49, $B49, ParametersRange), 1, COLUMN()-2 )</f>
        <v>36.340982671706797</v>
      </c>
      <c r="H49" s="2" cm="1">
        <f t="array" ref="H49">INDEX( ComputeThermoProps($A49, $B49, ParametersRange), 1, COLUMN()-2 )</f>
        <v>21.620739088438075</v>
      </c>
      <c r="I49" s="2" cm="1">
        <f t="array" ref="I49">INDEX( ComputeThermoProps($A49, $B49, ParametersRange), 1, COLUMN()-2 )</f>
        <v>3.2274307670174776</v>
      </c>
      <c r="J49" s="2" cm="1">
        <f t="array" ref="J49">INDEX( ComputeThermoProps($A49, $B49, ParametersRange), 1, COLUMN()-2 )</f>
        <v>398.71518793876771</v>
      </c>
      <c r="K49" s="2" cm="1">
        <f t="array" ref="K49">INDEX( ComputeThermoProps($A49, $B49, ParametersRange), 1, COLUMN()-2 )</f>
        <v>21.514309140929861</v>
      </c>
      <c r="L49" s="2" cm="1">
        <f t="array" ref="L49">INDEX( ComputeThermoProps($A49, $B49, ParametersRange), 1, COLUMN()-2 )</f>
        <v>-270.37982634415096</v>
      </c>
      <c r="M49" s="2" cm="1">
        <f t="array" ref="M49">INDEX( ComputeThermoProps($A49, $B49, ParametersRange), 1, COLUMN()-2 )</f>
        <v>1088.3667175855912</v>
      </c>
      <c r="N49" s="2" cm="1">
        <f t="array" ref="N49">INDEX( ComputeThermoProps($A49, $B49, ParametersRange), 1, COLUMN()-2 )</f>
        <v>419.27170330267256</v>
      </c>
    </row>
    <row r="50" spans="1:14" x14ac:dyDescent="0.25">
      <c r="A50" s="2">
        <v>32.1</v>
      </c>
      <c r="B50" s="2">
        <f t="shared" si="0"/>
        <v>56.229948618360389</v>
      </c>
      <c r="C50" s="2" cm="1">
        <f t="array" ref="C50">INDEX( ComputeThermoProps($A50, $B50, ParametersRange), 1, COLUMN()-2 )</f>
        <v>13.929028632108141</v>
      </c>
      <c r="D50" s="2" cm="1">
        <f t="array" ref="D50">INDEX( ComputeThermoProps($A50, $B50, ParametersRange), 1, COLUMN()-2 )</f>
        <v>1.3481971332099051E-3</v>
      </c>
      <c r="E50" s="2" cm="1">
        <f t="array" ref="E50">INDEX( ComputeThermoProps($A50, $B50, ParametersRange), 1, COLUMN()-2 )</f>
        <v>7.9140981594405383E-4</v>
      </c>
      <c r="F50" s="2" cm="1">
        <f t="array" ref="F50">INDEX( ComputeThermoProps($A50, $B50, ParametersRange), 1, COLUMN()-2 )</f>
        <v>6.7942253492273815E-3</v>
      </c>
      <c r="G50" s="2" cm="1">
        <f t="array" ref="G50">INDEX( ComputeThermoProps($A50, $B50, ParametersRange), 1, COLUMN()-2 )</f>
        <v>37.069474035481029</v>
      </c>
      <c r="H50" s="2" cm="1">
        <f t="array" ref="H50">INDEX( ComputeThermoProps($A50, $B50, ParametersRange), 1, COLUMN()-2 )</f>
        <v>21.760278894611275</v>
      </c>
      <c r="I50" s="2" cm="1">
        <f t="array" ref="I50">INDEX( ComputeThermoProps($A50, $B50, ParametersRange), 1, COLUMN()-2 )</f>
        <v>3.2258407357249128</v>
      </c>
      <c r="J50" s="2" cm="1">
        <f t="array" ref="J50">INDEX( ComputeThermoProps($A50, $B50, ParametersRange), 1, COLUMN()-2 )</f>
        <v>416.77158019921279</v>
      </c>
      <c r="K50" s="2" cm="1">
        <f t="array" ref="K50">INDEX( ComputeThermoProps($A50, $B50, ParametersRange), 1, COLUMN()-2 )</f>
        <v>22.028338623056662</v>
      </c>
      <c r="L50" s="2" cm="1">
        <f t="array" ref="L50">INDEX( ComputeThermoProps($A50, $B50, ParametersRange), 1, COLUMN()-2 )</f>
        <v>-290.33808960090607</v>
      </c>
      <c r="M50" s="2" cm="1">
        <f t="array" ref="M50">INDEX( ComputeThermoProps($A50, $B50, ParametersRange), 1, COLUMN()-2 )</f>
        <v>1200.0001444863242</v>
      </c>
      <c r="N50" s="2" cm="1">
        <f t="array" ref="N50">INDEX( ComputeThermoProps($A50, $B50, ParametersRange), 1, COLUMN()-2 )</f>
        <v>492.89047468620532</v>
      </c>
    </row>
    <row r="51" spans="1:14" x14ac:dyDescent="0.25">
      <c r="A51" s="2">
        <v>33.1</v>
      </c>
      <c r="B51" s="2">
        <f t="shared" si="0"/>
        <v>63.328395862429993</v>
      </c>
      <c r="C51" s="2" cm="1">
        <f t="array" ref="C51">INDEX( ComputeThermoProps($A51, $B51, ParametersRange), 1, COLUMN()-2 )</f>
        <v>13.890940211300547</v>
      </c>
      <c r="D51" s="2" cm="1">
        <f t="array" ref="D51">INDEX( ComputeThermoProps($A51, $B51, ParametersRange), 1, COLUMN()-2 )</f>
        <v>1.3378040011473469E-3</v>
      </c>
      <c r="E51" s="2" cm="1">
        <f t="array" ref="E51">INDEX( ComputeThermoProps($A51, $B51, ParametersRange), 1, COLUMN()-2 )</f>
        <v>7.7546881592853651E-4</v>
      </c>
      <c r="F51" s="2" cm="1">
        <f t="array" ref="F51">INDEX( ComputeThermoProps($A51, $B51, ParametersRange), 1, COLUMN()-2 )</f>
        <v>6.7951311320283841E-3</v>
      </c>
      <c r="G51" s="2" cm="1">
        <f t="array" ref="G51">INDEX( ComputeThermoProps($A51, $B51, ParametersRange), 1, COLUMN()-2 )</f>
        <v>37.753747074666578</v>
      </c>
      <c r="H51" s="2" cm="1">
        <f t="array" ref="H51">INDEX( ComputeThermoProps($A51, $B51, ParametersRange), 1, COLUMN()-2 )</f>
        <v>21.884262205635729</v>
      </c>
      <c r="I51" s="2" cm="1">
        <f t="array" ref="I51">INDEX( ComputeThermoProps($A51, $B51, ParametersRange), 1, COLUMN()-2 )</f>
        <v>3.2240746141393513</v>
      </c>
      <c r="J51" s="2" cm="1">
        <f t="array" ref="J51">INDEX( ComputeThermoProps($A51, $B51, ParametersRange), 1, COLUMN()-2 )</f>
        <v>434.58885509348551</v>
      </c>
      <c r="K51" s="2" cm="1">
        <f t="array" ref="K51">INDEX( ComputeThermoProps($A51, $B51, ParametersRange), 1, COLUMN()-2 )</f>
        <v>22.50508626614911</v>
      </c>
      <c r="L51" s="2" cm="1">
        <f t="array" ref="L51">INDEX( ComputeThermoProps($A51, $B51, ParametersRange), 1, COLUMN()-2 )</f>
        <v>-310.32950031605009</v>
      </c>
      <c r="M51" s="2" cm="1">
        <f t="array" ref="M51">INDEX( ComputeThermoProps($A51, $B51, ParametersRange), 1, COLUMN()-2 )</f>
        <v>1314.2798156960735</v>
      </c>
      <c r="N51" s="2" cm="1">
        <f t="array" ref="N51">INDEX( ComputeThermoProps($A51, $B51, ParametersRange), 1, COLUMN()-2 )</f>
        <v>569.36146028653786</v>
      </c>
    </row>
    <row r="52" spans="1:14" x14ac:dyDescent="0.25">
      <c r="A52" s="2">
        <v>34.1</v>
      </c>
      <c r="B52" s="2">
        <f t="shared" si="0"/>
        <v>70.671580782986652</v>
      </c>
      <c r="C52" s="2" cm="1">
        <f t="array" ref="C52">INDEX( ComputeThermoProps($A52, $B52, ParametersRange), 1, COLUMN()-2 )</f>
        <v>13.849465295664507</v>
      </c>
      <c r="D52" s="2" cm="1">
        <f t="array" ref="D52">INDEX( ComputeThermoProps($A52, $B52, ParametersRange), 1, COLUMN()-2 )</f>
        <v>1.3263384166130137E-3</v>
      </c>
      <c r="E52" s="2" cm="1">
        <f t="array" ref="E52">INDEX( ComputeThermoProps($A52, $B52, ParametersRange), 1, COLUMN()-2 )</f>
        <v>7.5976034217641627E-4</v>
      </c>
      <c r="F52" s="2" cm="1">
        <f t="array" ref="F52">INDEX( ComputeThermoProps($A52, $B52, ParametersRange), 1, COLUMN()-2 )</f>
        <v>6.7870868653735813E-3</v>
      </c>
      <c r="G52" s="2" cm="1">
        <f t="array" ref="G52">INDEX( ComputeThermoProps($A52, $B52, ParametersRange), 1, COLUMN()-2 )</f>
        <v>38.396747377576837</v>
      </c>
      <c r="H52" s="2" cm="1">
        <f t="array" ref="H52">INDEX( ComputeThermoProps($A52, $B52, ParametersRange), 1, COLUMN()-2 )</f>
        <v>21.994632411043867</v>
      </c>
      <c r="I52" s="2" cm="1">
        <f t="array" ref="I52">INDEX( ComputeThermoProps($A52, $B52, ParametersRange), 1, COLUMN()-2 )</f>
        <v>3.2221470526187108</v>
      </c>
      <c r="J52" s="2" cm="1">
        <f t="array" ref="J52">INDEX( ComputeThermoProps($A52, $B52, ParametersRange), 1, COLUMN()-2 )</f>
        <v>452.20259020445457</v>
      </c>
      <c r="K52" s="2" cm="1">
        <f t="array" ref="K52">INDEX( ComputeThermoProps($A52, $B52, ParametersRange), 1, COLUMN()-2 )</f>
        <v>22.94664854007744</v>
      </c>
      <c r="L52" s="2" cm="1">
        <f t="array" ref="L52">INDEX( ComputeThermoProps($A52, $B52, ParametersRange), 1, COLUMN()-2 )</f>
        <v>-330.27812501218619</v>
      </c>
      <c r="M52" s="2" cm="1">
        <f t="array" ref="M52">INDEX( ComputeThermoProps($A52, $B52, ParametersRange), 1, COLUMN()-2 )</f>
        <v>1430.9661956481789</v>
      </c>
      <c r="N52" s="2" cm="1">
        <f t="array" ref="N52">INDEX( ComputeThermoProps($A52, $B52, ParametersRange), 1, COLUMN()-2 )</f>
        <v>648.48548043153812</v>
      </c>
    </row>
    <row r="53" spans="1:14" x14ac:dyDescent="0.25">
      <c r="A53" s="2">
        <v>35.1</v>
      </c>
      <c r="B53" s="2">
        <f t="shared" si="0"/>
        <v>78.247096922875286</v>
      </c>
      <c r="C53" s="2" cm="1">
        <f t="array" ref="C53">INDEX( ComputeThermoProps($A53, $B53, ParametersRange), 1, COLUMN()-2 )</f>
        <v>13.804923399574282</v>
      </c>
      <c r="D53" s="2" cm="1">
        <f t="array" ref="D53">INDEX( ComputeThermoProps($A53, $B53, ParametersRange), 1, COLUMN()-2 )</f>
        <v>1.313957697705036E-3</v>
      </c>
      <c r="E53" s="2" cm="1">
        <f t="array" ref="E53">INDEX( ComputeThermoProps($A53, $B53, ParametersRange), 1, COLUMN()-2 )</f>
        <v>7.443183074492335E-4</v>
      </c>
      <c r="F53" s="2" cm="1">
        <f t="array" ref="F53">INDEX( ComputeThermoProps($A53, $B53, ParametersRange), 1, COLUMN()-2 )</f>
        <v>6.7712467386091858E-3</v>
      </c>
      <c r="G53" s="2" cm="1">
        <f t="array" ref="G53">INDEX( ComputeThermoProps($A53, $B53, ParametersRange), 1, COLUMN()-2 )</f>
        <v>39.00123716554009</v>
      </c>
      <c r="H53" s="2" cm="1">
        <f t="array" ref="H53">INDEX( ComputeThermoProps($A53, $B53, ParametersRange), 1, COLUMN()-2 )</f>
        <v>22.093051310695692</v>
      </c>
      <c r="I53" s="2" cm="1">
        <f t="array" ref="I53">INDEX( ComputeThermoProps($A53, $B53, ParametersRange), 1, COLUMN()-2 )</f>
        <v>3.2200718023985107</v>
      </c>
      <c r="J53" s="2" cm="1">
        <f t="array" ref="J53">INDEX( ComputeThermoProps($A53, $B53, ParametersRange), 1, COLUMN()-2 )</f>
        <v>469.64886534501267</v>
      </c>
      <c r="K53" s="2" cm="1">
        <f t="array" ref="K53">INDEX( ComputeThermoProps($A53, $B53, ParametersRange), 1, COLUMN()-2 )</f>
        <v>23.355066910580955</v>
      </c>
      <c r="L53" s="2" cm="1">
        <f t="array" ref="L53">INDEX( ComputeThermoProps($A53, $B53, ParametersRange), 1, COLUMN()-2 )</f>
        <v>-350.11398321637893</v>
      </c>
      <c r="M53" s="2" cm="1">
        <f t="array" ref="M53">INDEX( ComputeThermoProps($A53, $B53, ParametersRange), 1, COLUMN()-2 )</f>
        <v>1549.8440446043705</v>
      </c>
      <c r="N53" s="2" cm="1">
        <f t="array" ref="N53">INDEX( ComputeThermoProps($A53, $B53, ParametersRange), 1, COLUMN()-2 )</f>
        <v>730.08119604297895</v>
      </c>
    </row>
    <row r="54" spans="1:14" x14ac:dyDescent="0.25">
      <c r="A54" s="2">
        <v>36.1</v>
      </c>
      <c r="B54" s="2">
        <f t="shared" si="0"/>
        <v>86.043797153300162</v>
      </c>
      <c r="C54" s="2" cm="1">
        <f t="array" ref="C54">INDEX( ComputeThermoProps($A54, $B54, ParametersRange), 1, COLUMN()-2 )</f>
        <v>13.757612182115755</v>
      </c>
      <c r="D54" s="2" cm="1">
        <f t="array" ref="D54">INDEX( ComputeThermoProps($A54, $B54, ParametersRange), 1, COLUMN()-2 )</f>
        <v>1.300804460001984E-3</v>
      </c>
      <c r="E54" s="2" cm="1">
        <f t="array" ref="E54">INDEX( ComputeThermoProps($A54, $B54, ParametersRange), 1, COLUMN()-2 )</f>
        <v>7.2916906777801356E-4</v>
      </c>
      <c r="F54" s="2" cm="1">
        <f t="array" ref="F54">INDEX( ComputeThermoProps($A54, $B54, ParametersRange), 1, COLUMN()-2 )</f>
        <v>6.7486406363053836E-3</v>
      </c>
      <c r="G54" s="2" cm="1">
        <f t="array" ref="G54">INDEX( ComputeThermoProps($A54, $B54, ParametersRange), 1, COLUMN()-2 )</f>
        <v>39.569791345355696</v>
      </c>
      <c r="H54" s="2" cm="1">
        <f t="array" ref="H54">INDEX( ComputeThermoProps($A54, $B54, ParametersRange), 1, COLUMN()-2 )</f>
        <v>22.180941682364399</v>
      </c>
      <c r="I54" s="2" cm="1">
        <f t="array" ref="I54">INDEX( ComputeThermoProps($A54, $B54, ParametersRange), 1, COLUMN()-2 )</f>
        <v>3.21786165191308</v>
      </c>
      <c r="J54" s="2" cm="1">
        <f t="array" ref="J54">INDEX( ComputeThermoProps($A54, $B54, ParametersRange), 1, COLUMN()-2 )</f>
        <v>486.9633365150691</v>
      </c>
      <c r="K54" s="2" cm="1">
        <f t="array" ref="K54">INDEX( ComputeThermoProps($A54, $B54, ParametersRange), 1, COLUMN()-2 )</f>
        <v>23.732303326052094</v>
      </c>
      <c r="L54" s="2" cm="1">
        <f t="array" ref="L54">INDEX( ComputeThermoProps($A54, $B54, ParametersRange), 1, COLUMN()-2 )</f>
        <v>-369.77281355541152</v>
      </c>
      <c r="M54" s="2" cm="1">
        <f t="array" ref="M54">INDEX( ComputeThermoProps($A54, $B54, ParametersRange), 1, COLUMN()-2 )</f>
        <v>1670.7205284268084</v>
      </c>
      <c r="N54" s="2" cm="1">
        <f t="array" ref="N54">INDEX( ComputeThermoProps($A54, $B54, ParametersRange), 1, COLUMN()-2 )</f>
        <v>813.98437835632785</v>
      </c>
    </row>
    <row r="55" spans="1:14" x14ac:dyDescent="0.25">
      <c r="A55" s="2">
        <v>37.1</v>
      </c>
      <c r="B55" s="2">
        <f t="shared" si="0"/>
        <v>94.051662389014894</v>
      </c>
      <c r="C55" s="2" cm="1">
        <f t="array" ref="C55">INDEX( ComputeThermoProps($A55, $B55, ParametersRange), 1, COLUMN()-2 )</f>
        <v>13.707807666771339</v>
      </c>
      <c r="D55" s="2" cm="1">
        <f t="array" ref="D55">INDEX( ComputeThermoProps($A55, $B55, ParametersRange), 1, COLUMN()-2 )</f>
        <v>1.2870071546677339E-3</v>
      </c>
      <c r="E55" s="2" cm="1">
        <f t="array" ref="E55">INDEX( ComputeThermoProps($A55, $B55, ParametersRange), 1, COLUMN()-2 )</f>
        <v>7.1433256361178737E-4</v>
      </c>
      <c r="F55" s="2" cm="1">
        <f t="array" ref="F55">INDEX( ComputeThermoProps($A55, $B55, ParametersRange), 1, COLUMN()-2 )</f>
        <v>6.7201845575634812E-3</v>
      </c>
      <c r="G55" s="2" cm="1">
        <f t="array" ref="G55">INDEX( ComputeThermoProps($A55, $B55, ParametersRange), 1, COLUMN()-2 )</f>
        <v>40.104803993787989</v>
      </c>
      <c r="H55" s="2" cm="1">
        <f t="array" ref="H55">INDEX( ComputeThermoProps($A55, $B55, ParametersRange), 1, COLUMN()-2 )</f>
        <v>22.259524623565056</v>
      </c>
      <c r="I55" s="2" cm="1">
        <f t="array" ref="I55">INDEX( ComputeThermoProps($A55, $B55, ParametersRange), 1, COLUMN()-2 )</f>
        <v>3.2155284473593069</v>
      </c>
      <c r="J55" s="2" cm="1">
        <f t="array" ref="J55">INDEX( ComputeThermoProps($A55, $B55, ParametersRange), 1, COLUMN()-2 )</f>
        <v>504.18067025130154</v>
      </c>
      <c r="K55" s="2" cm="1">
        <f t="array" ref="K55">INDEX( ComputeThermoProps($A55, $B55, ParametersRange), 1, COLUMN()-2 )</f>
        <v>24.080229109712384</v>
      </c>
      <c r="L55" s="2" cm="1">
        <f t="array" ref="L55">INDEX( ComputeThermoProps($A55, $B55, ParametersRange), 1, COLUMN()-2 )</f>
        <v>-389.19582971902793</v>
      </c>
      <c r="M55" s="2" cm="1">
        <f t="array" ref="M55">INDEX( ComputeThermoProps($A55, $B55, ParametersRange), 1, COLUMN()-2 )</f>
        <v>1793.4227690200296</v>
      </c>
      <c r="N55" s="2" cm="1">
        <f t="array" ref="N55">INDEX( ComputeThermoProps($A55, $B55, ParametersRange), 1, COLUMN()-2 )</f>
        <v>900.04626904970007</v>
      </c>
    </row>
    <row r="56" spans="1:14" x14ac:dyDescent="0.25">
      <c r="A56" s="2">
        <v>38.1</v>
      </c>
      <c r="B56" s="2">
        <f t="shared" si="0"/>
        <v>102.2616626143449</v>
      </c>
      <c r="C56" s="2" cm="1">
        <f t="array" ref="C56">INDEX( ComputeThermoProps($A56, $B56, ParametersRange), 1, COLUMN()-2 )</f>
        <v>13.655765191863148</v>
      </c>
      <c r="D56" s="2" cm="1">
        <f t="array" ref="D56">INDEX( ComputeThermoProps($A56, $B56, ParametersRange), 1, COLUMN()-2 )</f>
        <v>1.2726809145007191E-3</v>
      </c>
      <c r="E56" s="2" cm="1">
        <f t="array" ref="E56">INDEX( ComputeThermoProps($A56, $B56, ParametersRange), 1, COLUMN()-2 )</f>
        <v>6.9982334930349566E-4</v>
      </c>
      <c r="F56" s="2" cm="1">
        <f t="array" ref="F56">INDEX( ComputeThermoProps($A56, $B56, ParametersRange), 1, COLUMN()-2 )</f>
        <v>6.686691470178259E-3</v>
      </c>
      <c r="G56" s="2" cm="1">
        <f t="array" ref="G56">INDEX( ComputeThermoProps($A56, $B56, ParametersRange), 1, COLUMN()-2 )</f>
        <v>40.608498647346906</v>
      </c>
      <c r="H56" s="2" cm="1">
        <f t="array" ref="H56">INDEX( ComputeThermoProps($A56, $B56, ParametersRange), 1, COLUMN()-2 )</f>
        <v>22.329851268903212</v>
      </c>
      <c r="I56" s="2" cm="1">
        <f t="array" ref="I56">INDEX( ComputeThermoProps($A56, $B56, ParametersRange), 1, COLUMN()-2 )</f>
        <v>3.2130831435476996</v>
      </c>
      <c r="J56" s="2" cm="1">
        <f t="array" ref="J56">INDEX( ComputeThermoProps($A56, $B56, ParametersRange), 1, COLUMN()-2 )</f>
        <v>521.3341817972273</v>
      </c>
      <c r="K56" s="2" cm="1">
        <f t="array" ref="K56">INDEX( ComputeThermoProps($A56, $B56, ParametersRange), 1, COLUMN()-2 )</f>
        <v>24.400620545921338</v>
      </c>
      <c r="L56" s="2" cm="1">
        <f t="array" ref="L56">INDEX( ComputeThermoProps($A56, $B56, ParametersRange), 1, COLUMN()-2 )</f>
        <v>-408.32946100237575</v>
      </c>
      <c r="M56" s="2" cm="1">
        <f t="array" ref="M56">INDEX( ComputeThermoProps($A56, $B56, ParametersRange), 1, COLUMN()-2 )</f>
        <v>1917.7954345882515</v>
      </c>
      <c r="N56" s="2" cm="1">
        <f t="array" ref="N56">INDEX( ComputeThermoProps($A56, $B56, ParametersRange), 1, COLUMN()-2 )</f>
        <v>988.13179178864846</v>
      </c>
    </row>
    <row r="57" spans="1:14" x14ac:dyDescent="0.25">
      <c r="A57" s="2">
        <v>39.1</v>
      </c>
      <c r="B57" s="2">
        <f t="shared" si="0"/>
        <v>110.66562854929161</v>
      </c>
      <c r="C57" s="2" cm="1">
        <f t="array" ref="C57">INDEX( ComputeThermoProps($A57, $B57, ParametersRange), 1, COLUMN()-2 )</f>
        <v>13.601720612856001</v>
      </c>
      <c r="D57" s="2" cm="1">
        <f t="array" ref="D57">INDEX( ComputeThermoProps($A57, $B57, ParametersRange), 1, COLUMN()-2 )</f>
        <v>1.2579285184593383E-3</v>
      </c>
      <c r="E57" s="2" cm="1">
        <f t="array" ref="E57">INDEX( ComputeThermoProps($A57, $B57, ParametersRange), 1, COLUMN()-2 )</f>
        <v>6.8565148802881648E-4</v>
      </c>
      <c r="F57" s="2" cm="1">
        <f t="array" ref="F57">INDEX( ComputeThermoProps($A57, $B57, ParametersRange), 1, COLUMN()-2 )</f>
        <v>6.648881748635805E-3</v>
      </c>
      <c r="G57" s="2" cm="1">
        <f t="array" ref="G57">INDEX( ComputeThermoProps($A57, $B57, ParametersRange), 1, COLUMN()-2 )</f>
        <v>41.082939547901169</v>
      </c>
      <c r="H57" s="2" cm="1">
        <f t="array" ref="H57">INDEX( ComputeThermoProps($A57, $B57, ParametersRange), 1, COLUMN()-2 )</f>
        <v>22.39282933828078</v>
      </c>
      <c r="I57" s="2" cm="1">
        <f t="array" ref="I57">INDEX( ComputeThermoProps($A57, $B57, ParametersRange), 1, COLUMN()-2 )</f>
        <v>3.2105358637064914</v>
      </c>
      <c r="J57" s="2" cm="1">
        <f t="array" ref="J57">INDEX( ComputeThermoProps($A57, $B57, ParametersRange), 1, COLUMN()-2 )</f>
        <v>538.45560144984802</v>
      </c>
      <c r="K57" s="2" cm="1">
        <f t="array" ref="K57">INDEX( ComputeThermoProps($A57, $B57, ParametersRange), 1, COLUMN()-2 )</f>
        <v>24.695158081389661</v>
      </c>
      <c r="L57" s="2" cm="1">
        <f t="array" ref="L57">INDEX( ComputeThermoProps($A57, $B57, ParametersRange), 1, COLUMN()-2 )</f>
        <v>-427.12507953248775</v>
      </c>
      <c r="M57" s="2" cm="1">
        <f t="array" ref="M57">INDEX( ComputeThermoProps($A57, $B57, ParametersRange), 1, COLUMN()-2 )</f>
        <v>2043.6985624234133</v>
      </c>
      <c r="N57" s="2" cm="1">
        <f t="array" ref="N57">INDEX( ComputeThermoProps($A57, $B57, ParametersRange), 1, COLUMN()-2 )</f>
        <v>1078.1178814410775</v>
      </c>
    </row>
    <row r="58" spans="1:14" x14ac:dyDescent="0.25">
      <c r="A58" s="2">
        <v>40.1</v>
      </c>
      <c r="B58" s="2">
        <f t="shared" si="0"/>
        <v>119.25613910377641</v>
      </c>
      <c r="C58" s="2" cm="1">
        <f t="array" ref="C58">INDEX( ComputeThermoProps($A58, $B58, ParametersRange), 1, COLUMN()-2 )</f>
        <v>13.54589156021953</v>
      </c>
      <c r="D58" s="2" cm="1">
        <f t="array" ref="D58">INDEX( ComputeThermoProps($A58, $B58, ParametersRange), 1, COLUMN()-2 )</f>
        <v>1.2428413849062414E-3</v>
      </c>
      <c r="E58" s="2" cm="1">
        <f t="array" ref="E58">INDEX( ComputeThermoProps($A58, $B58, ParametersRange), 1, COLUMN()-2 )</f>
        <v>6.7182331671827552E-4</v>
      </c>
      <c r="F58" s="2" cm="1">
        <f t="array" ref="F58">INDEX( ComputeThermoProps($A58, $B58, ParametersRange), 1, COLUMN()-2 )</f>
        <v>6.6073928736618288E-3</v>
      </c>
      <c r="G58" s="2" cm="1">
        <f t="array" ref="G58">INDEX( ComputeThermoProps($A58, $B58, ParametersRange), 1, COLUMN()-2 )</f>
        <v>41.530042732950854</v>
      </c>
      <c r="H58" s="2" cm="1">
        <f t="array" ref="H58">INDEX( ComputeThermoProps($A58, $B58, ParametersRange), 1, COLUMN()-2 )</f>
        <v>22.449245246534471</v>
      </c>
      <c r="I58" s="2" cm="1">
        <f t="array" ref="I58">INDEX( ComputeThermoProps($A58, $B58, ParametersRange), 1, COLUMN()-2 )</f>
        <v>3.2078959596826859</v>
      </c>
      <c r="J58" s="2" cm="1">
        <f t="array" ref="J58">INDEX( ComputeThermoProps($A58, $B58, ParametersRange), 1, COLUMN()-2 )</f>
        <v>555.57492809373332</v>
      </c>
      <c r="K58" s="2" cm="1">
        <f t="array" ref="K58">INDEX( ComputeThermoProps($A58, $B58, ParametersRange), 1, COLUMN()-2 )</f>
        <v>24.965427595065698</v>
      </c>
      <c r="L58" s="2" cm="1">
        <f t="array" ref="L58">INDEX( ComputeThermoProps($A58, $B58, ParametersRange), 1, COLUMN()-2 )</f>
        <v>-445.53871846840121</v>
      </c>
      <c r="M58" s="2" cm="1">
        <f t="array" ref="M58">INDEX( ComputeThermoProps($A58, $B58, ParametersRange), 1, COLUMN()-2 )</f>
        <v>2171.0056562839445</v>
      </c>
      <c r="N58" s="2" cm="1">
        <f t="array" ref="N58">INDEX( ComputeThermoProps($A58, $B58, ParametersRange), 1, COLUMN()-2 )</f>
        <v>1169.8920097218099</v>
      </c>
    </row>
    <row r="59" spans="1:14" x14ac:dyDescent="0.25">
      <c r="A59" s="2">
        <v>41.1</v>
      </c>
      <c r="B59" s="2">
        <f t="shared" si="0"/>
        <v>128.02642480325255</v>
      </c>
      <c r="C59" s="2" cm="1">
        <f t="array" ref="C59">INDEX( ComputeThermoProps($A59, $B59, ParametersRange), 1, COLUMN()-2 )</f>
        <v>13.488478673079175</v>
      </c>
      <c r="D59" s="2" cm="1">
        <f t="array" ref="D59">INDEX( ComputeThermoProps($A59, $B59, ParametersRange), 1, COLUMN()-2 )</f>
        <v>1.2275005502145242E-3</v>
      </c>
      <c r="E59" s="2" cm="1">
        <f t="array" ref="E59">INDEX( ComputeThermoProps($A59, $B59, ParametersRange), 1, COLUMN()-2 )</f>
        <v>6.5834209488203248E-4</v>
      </c>
      <c r="F59" s="2" cm="1">
        <f t="array" ref="F59">INDEX( ComputeThermoProps($A59, $B59, ParametersRange), 1, COLUMN()-2 )</f>
        <v>6.5627883053553547E-3</v>
      </c>
      <c r="G59" s="2" cm="1">
        <f t="array" ref="G59">INDEX( ComputeThermoProps($A59, $B59, ParametersRange), 1, COLUMN()-2 )</f>
        <v>41.951586608071416</v>
      </c>
      <c r="H59" s="2" cm="1">
        <f t="array" ref="H59">INDEX( ComputeThermoProps($A59, $B59, ParametersRange), 1, COLUMN()-2 )</f>
        <v>22.499782510367112</v>
      </c>
      <c r="I59" s="2" cm="1">
        <f t="array" ref="I59">INDEX( ComputeThermoProps($A59, $B59, ParametersRange), 1, COLUMN()-2 )</f>
        <v>3.2051720694703905</v>
      </c>
      <c r="J59" s="2" cm="1">
        <f t="array" ref="J59">INDEX( ComputeThermoProps($A59, $B59, ParametersRange), 1, COLUMN()-2 )</f>
        <v>572.72034573431074</v>
      </c>
      <c r="K59" s="2" cm="1">
        <f t="array" ref="K59">INDEX( ComputeThermoProps($A59, $B59, ParametersRange), 1, COLUMN()-2 )</f>
        <v>25.212922922420301</v>
      </c>
      <c r="L59" s="2" cm="1">
        <f t="array" ref="L59">INDEX( ComputeThermoProps($A59, $B59, ParametersRange), 1, COLUMN()-2 )</f>
        <v>-463.53078637716368</v>
      </c>
      <c r="M59" s="2" cm="1">
        <f t="array" ref="M59">INDEX( ComputeThermoProps($A59, $B59, ParametersRange), 1, COLUMN()-2 )</f>
        <v>2299.6020462835577</v>
      </c>
      <c r="N59" s="2" cm="1">
        <f t="array" ref="N59">INDEX( ComputeThermoProps($A59, $B59, ParametersRange), 1, COLUMN()-2 )</f>
        <v>1263.3509141720833</v>
      </c>
    </row>
    <row r="60" spans="1:14" x14ac:dyDescent="0.25">
      <c r="A60" s="2">
        <v>42.1</v>
      </c>
      <c r="B60" s="2">
        <f t="shared" si="0"/>
        <v>136.97028563658151</v>
      </c>
      <c r="C60" s="2" cm="1">
        <f t="array" ref="C60">INDEX( ComputeThermoProps($A60, $B60, ParametersRange), 1, COLUMN()-2 )</f>
        <v>13.42966677795293</v>
      </c>
      <c r="D60" s="2" cm="1">
        <f t="array" ref="D60">INDEX( ComputeThermoProps($A60, $B60, ParametersRange), 1, COLUMN()-2 )</f>
        <v>1.2119776092930469E-3</v>
      </c>
      <c r="E60" s="2" cm="1">
        <f t="array" ref="E60">INDEX( ComputeThermoProps($A60, $B60, ParametersRange), 1, COLUMN()-2 )</f>
        <v>6.452085524434794E-4</v>
      </c>
      <c r="F60" s="2" cm="1">
        <f t="array" ref="F60">INDEX( ComputeThermoProps($A60, $B60, ParametersRange), 1, COLUMN()-2 )</f>
        <v>6.5155655338167409E-3</v>
      </c>
      <c r="G60" s="2" cm="1">
        <f t="array" ref="G60">INDEX( ComputeThermoProps($A60, $B60, ParametersRange), 1, COLUMN()-2 )</f>
        <v>42.349221945474035</v>
      </c>
      <c r="H60" s="2" cm="1">
        <f t="array" ref="H60">INDEX( ComputeThermoProps($A60, $B60, ParametersRange), 1, COLUMN()-2 )</f>
        <v>22.545037118701572</v>
      </c>
      <c r="I60" s="2" cm="1">
        <f t="array" ref="I60">INDEX( ComputeThermoProps($A60, $B60, ParametersRange), 1, COLUMN()-2 )</f>
        <v>3.2023721708206234</v>
      </c>
      <c r="J60" s="2" cm="1">
        <f t="array" ref="J60">INDEX( ComputeThermoProps($A60, $B60, ParametersRange), 1, COLUMN()-2 )</f>
        <v>589.91818646951867</v>
      </c>
      <c r="K60" s="2" cm="1">
        <f t="array" ref="K60">INDEX( ComputeThermoProps($A60, $B60, ParametersRange), 1, COLUMN()-2 )</f>
        <v>25.439049127527209</v>
      </c>
      <c r="L60" s="2" cm="1">
        <f t="array" ref="L60">INDEX( ComputeThermoProps($A60, $B60, ParametersRange), 1, COLUMN()-2 )</f>
        <v>-481.06578179937685</v>
      </c>
      <c r="M60" s="2" cm="1">
        <f t="array" ref="M60">INDEX( ComputeThermoProps($A60, $B60, ParametersRange), 1, COLUMN()-2 )</f>
        <v>2429.3834810498406</v>
      </c>
      <c r="N60" s="2" cm="1">
        <f t="array" ref="N60">INDEX( ComputeThermoProps($A60, $B60, ParametersRange), 1, COLUMN()-2 )</f>
        <v>1358.3995127809451</v>
      </c>
    </row>
    <row r="61" spans="1:14" x14ac:dyDescent="0.25">
      <c r="A61" s="2">
        <v>43.1</v>
      </c>
      <c r="B61" s="2">
        <f t="shared" si="0"/>
        <v>146.0820213313919</v>
      </c>
      <c r="C61" s="2" cm="1">
        <f t="array" ref="C61">INDEX( ComputeThermoProps($A61, $B61, ParametersRange), 1, COLUMN()-2 )</f>
        <v>13.369626002551538</v>
      </c>
      <c r="D61" s="2" cm="1">
        <f t="array" ref="D61">INDEX( ComputeThermoProps($A61, $B61, ParametersRange), 1, COLUMN()-2 )</f>
        <v>1.1963356031797943E-3</v>
      </c>
      <c r="E61" s="2" cm="1">
        <f t="array" ref="E61">INDEX( ComputeThermoProps($A61, $B61, ParametersRange), 1, COLUMN()-2 )</f>
        <v>6.324213514859574E-4</v>
      </c>
      <c r="F61" s="2" cm="1">
        <f t="array" ref="F61">INDEX( ComputeThermoProps($A61, $B61, ParametersRange), 1, COLUMN()-2 )</f>
        <v>6.4661633117412617E-3</v>
      </c>
      <c r="G61" s="2" cm="1">
        <f t="array" ref="G61">INDEX( ComputeThermoProps($A61, $B61, ParametersRange), 1, COLUMN()-2 )</f>
        <v>42.724481064191906</v>
      </c>
      <c r="H61" s="2" cm="1">
        <f t="array" ref="H61">INDEX( ComputeThermoProps($A61, $B61, ParametersRange), 1, COLUMN()-2 )</f>
        <v>22.585530334744782</v>
      </c>
      <c r="I61" s="2" cm="1">
        <f t="array" ref="I61">INDEX( ComputeThermoProps($A61, $B61, ParametersRange), 1, COLUMN()-2 )</f>
        <v>3.1995036309103737</v>
      </c>
      <c r="J61" s="2" cm="1">
        <f t="array" ref="J61">INDEX( ComputeThermoProps($A61, $B61, ParametersRange), 1, COLUMN()-2 )</f>
        <v>607.19292872014239</v>
      </c>
      <c r="K61" s="2" cm="1">
        <f t="array" ref="K61">INDEX( ComputeThermoProps($A61, $B61, ParametersRange), 1, COLUMN()-2 )</f>
        <v>25.645126236855159</v>
      </c>
      <c r="L61" s="2" cm="1">
        <f t="array" ref="L61">INDEX( ComputeThermoProps($A61, $B61, ParametersRange), 1, COLUMN()-2 )</f>
        <v>-498.112012088315</v>
      </c>
      <c r="M61" s="2" cm="1">
        <f t="array" ref="M61">INDEX( ComputeThermoProps($A61, $B61, ParametersRange), 1, COLUMN()-2 )</f>
        <v>2560.2549196176078</v>
      </c>
      <c r="N61" s="2" cm="1">
        <f t="array" ref="N61">INDEX( ComputeThermoProps($A61, $B61, ParametersRange), 1, COLUMN()-2 )</f>
        <v>1454.9499788091505</v>
      </c>
    </row>
    <row r="62" spans="1:14" x14ac:dyDescent="0.25">
      <c r="A62" s="2">
        <v>44.1</v>
      </c>
      <c r="B62" s="2">
        <f t="shared" si="0"/>
        <v>155.35637211373628</v>
      </c>
      <c r="C62" s="2" cm="1">
        <f t="array" ref="C62">INDEX( ComputeThermoProps($A62, $B62, ParametersRange), 1, COLUMN()-2 )</f>
        <v>13.30851282313146</v>
      </c>
      <c r="D62" s="2" cm="1">
        <f t="array" ref="D62">INDEX( ComputeThermoProps($A62, $B62, ParametersRange), 1, COLUMN()-2 )</f>
        <v>1.180629850702813E-3</v>
      </c>
      <c r="E62" s="2" cm="1">
        <f t="array" ref="E62">INDEX( ComputeThermoProps($A62, $B62, ParametersRange), 1, COLUMN()-2 )</f>
        <v>6.1997747486181314E-4</v>
      </c>
      <c r="F62" s="2" cm="1">
        <f t="array" ref="F62">INDEX( ComputeThermoProps($A62, $B62, ParametersRange), 1, COLUMN()-2 )</f>
        <v>6.4149681634884329E-3</v>
      </c>
      <c r="G62" s="2" cm="1">
        <f t="array" ref="G62">INDEX( ComputeThermoProps($A62, $B62, ParametersRange), 1, COLUMN()-2 )</f>
        <v>43.078786472498308</v>
      </c>
      <c r="H62" s="2" cm="1">
        <f t="array" ref="H62">INDEX( ComputeThermoProps($A62, $B62, ParametersRange), 1, COLUMN()-2 )</f>
        <v>22.621719450369564</v>
      </c>
      <c r="I62" s="2" cm="1">
        <f t="array" ref="I62">INDEX( ComputeThermoProps($A62, $B62, ParametersRange), 1, COLUMN()-2 )</f>
        <v>3.196573252197819</v>
      </c>
      <c r="J62" s="2" cm="1">
        <f t="array" ref="J62">INDEX( ComputeThermoProps($A62, $B62, ParametersRange), 1, COLUMN()-2 )</f>
        <v>624.56722202939068</v>
      </c>
      <c r="K62" s="2" cm="1">
        <f t="array" ref="K62">INDEX( ComputeThermoProps($A62, $B62, ParametersRange), 1, COLUMN()-2 )</f>
        <v>25.83239323079928</v>
      </c>
      <c r="L62" s="2" cm="1">
        <f t="array" ref="L62">INDEX( ComputeThermoProps($A62, $B62, ParametersRange), 1, COLUMN()-2 )</f>
        <v>-514.64131944885764</v>
      </c>
      <c r="M62" s="2" cm="1">
        <f t="array" ref="M62">INDEX( ComputeThermoProps($A62, $B62, ParametersRange), 1, COLUMN()-2 )</f>
        <v>2692.129492460233</v>
      </c>
      <c r="N62" s="2" cm="1">
        <f t="array" ref="N62">INDEX( ComputeThermoProps($A62, $B62, ParametersRange), 1, COLUMN()-2 )</f>
        <v>1552.9209509819848</v>
      </c>
    </row>
    <row r="63" spans="1:14" x14ac:dyDescent="0.25">
      <c r="A63" s="2">
        <v>45.1</v>
      </c>
      <c r="B63" s="2">
        <f t="shared" si="0"/>
        <v>164.78846823158216</v>
      </c>
      <c r="C63" s="2" cm="1">
        <f t="array" ref="C63">INDEX( ComputeThermoProps($A63, $B63, ParametersRange), 1, COLUMN()-2 )</f>
        <v>13.246471047178215</v>
      </c>
      <c r="D63" s="2" cm="1">
        <f t="array" ref="D63">INDEX( ComputeThermoProps($A63, $B63, ParametersRange), 1, COLUMN()-2 )</f>
        <v>1.1649087187184232E-3</v>
      </c>
      <c r="E63" s="2" cm="1">
        <f t="array" ref="E63">INDEX( ComputeThermoProps($A63, $B63, ParametersRange), 1, COLUMN()-2 )</f>
        <v>6.0787255293385525E-4</v>
      </c>
      <c r="F63" s="2" cm="1">
        <f t="array" ref="F63">INDEX( ComputeThermoProps($A63, $B63, ParametersRange), 1, COLUMN()-2 )</f>
        <v>6.3623201973888096E-3</v>
      </c>
      <c r="G63" s="2" cm="1">
        <f t="array" ref="G63">INDEX( ComputeThermoProps($A63, $B63, ParametersRange), 1, COLUMN()-2 )</f>
        <v>43.413458792580087</v>
      </c>
      <c r="H63" s="2" cm="1">
        <f t="array" ref="H63">INDEX( ComputeThermoProps($A63, $B63, ParametersRange), 1, COLUMN()-2 )</f>
        <v>22.65400679374023</v>
      </c>
      <c r="I63" s="2" cm="1">
        <f t="array" ref="I63">INDEX( ComputeThermoProps($A63, $B63, ParametersRange), 1, COLUMN()-2 )</f>
        <v>3.1935873147584073</v>
      </c>
      <c r="J63" s="2" cm="1">
        <f t="array" ref="J63">INDEX( ComputeThermoProps($A63, $B63, ParametersRange), 1, COLUMN()-2 )</f>
        <v>642.06193180295054</v>
      </c>
      <c r="K63" s="2" cm="1">
        <f t="array" ref="K63">INDEX( ComputeThermoProps($A63, $B63, ParametersRange), 1, COLUMN()-2 )</f>
        <v>26.002012158200081</v>
      </c>
      <c r="L63" s="2" cm="1">
        <f t="array" ref="L63">INDEX( ComputeThermoProps($A63, $B63, ParametersRange), 1, COLUMN()-2 )</f>
        <v>-530.62881653187321</v>
      </c>
      <c r="M63" s="2" cm="1">
        <f t="array" ref="M63">INDEX( ComputeThermoProps($A63, $B63, ParametersRange), 1, COLUMN()-2 )</f>
        <v>2824.9276051414508</v>
      </c>
      <c r="N63" s="2" cm="1">
        <f t="array" ref="N63">INDEX( ComputeThermoProps($A63, $B63, ParametersRange), 1, COLUMN()-2 )</f>
        <v>1652.2368568066272</v>
      </c>
    </row>
    <row r="64" spans="1:14" x14ac:dyDescent="0.25">
      <c r="A64" s="2">
        <v>46.1</v>
      </c>
      <c r="B64" s="2">
        <f t="shared" si="0"/>
        <v>174.37378678181665</v>
      </c>
      <c r="C64" s="2" cm="1">
        <f t="array" ref="C64">INDEX( ComputeThermoProps($A64, $B64, ParametersRange), 1, COLUMN()-2 )</f>
        <v>13.183632734290898</v>
      </c>
      <c r="D64" s="2" cm="1">
        <f t="array" ref="D64">INDEX( ComputeThermoProps($A64, $B64, ParametersRange), 1, COLUMN()-2 )</f>
        <v>1.1492143333508222E-3</v>
      </c>
      <c r="E64" s="2" cm="1">
        <f t="array" ref="E64">INDEX( ComputeThermoProps($A64, $B64, ParametersRange), 1, COLUMN()-2 )</f>
        <v>5.9610113803505672E-4</v>
      </c>
      <c r="F64" s="2" cm="1">
        <f t="array" ref="F64">INDEX( ComputeThermoProps($A64, $B64, ParametersRange), 1, COLUMN()-2 )</f>
        <v>6.3085183131697045E-3</v>
      </c>
      <c r="G64" s="2" cm="1">
        <f t="array" ref="G64">INDEX( ComputeThermoProps($A64, $B64, ParametersRange), 1, COLUMN()-2 )</f>
        <v>43.729724210318217</v>
      </c>
      <c r="H64" s="2" cm="1">
        <f t="array" ref="H64">INDEX( ComputeThermoProps($A64, $B64, ParametersRange), 1, COLUMN()-2 )</f>
        <v>22.682747344199939</v>
      </c>
      <c r="I64" s="2" cm="1">
        <f t="array" ref="I64">INDEX( ComputeThermoProps($A64, $B64, ParametersRange), 1, COLUMN()-2 )</f>
        <v>3.1905516154014881</v>
      </c>
      <c r="J64" s="2" cm="1">
        <f t="array" ref="J64">INDEX( ComputeThermoProps($A64, $B64, ParametersRange), 1, COLUMN()-2 )</f>
        <v>659.69619873879526</v>
      </c>
      <c r="K64" s="2" cm="1">
        <f t="array" ref="K64">INDEX( ComputeThermoProps($A64, $B64, ParametersRange), 1, COLUMN()-2 )</f>
        <v>26.155072278399022</v>
      </c>
      <c r="L64" s="2" cm="1">
        <f t="array" ref="L64">INDEX( ComputeThermoProps($A64, $B64, ParametersRange), 1, COLUMN()-2 )</f>
        <v>-546.05263329539969</v>
      </c>
      <c r="M64" s="2" cm="1">
        <f t="array" ref="M64">INDEX( ComputeThermoProps($A64, $B64, ParametersRange), 1, COLUMN()-2 )</f>
        <v>2958.5761621578145</v>
      </c>
      <c r="N64" s="2" cm="1">
        <f t="array" ref="N64">INDEX( ComputeThermoProps($A64, $B64, ParametersRange), 1, COLUMN()-2 )</f>
        <v>1752.8273301236195</v>
      </c>
    </row>
    <row r="65" spans="1:14" x14ac:dyDescent="0.25">
      <c r="A65" s="2">
        <v>47.1</v>
      </c>
      <c r="B65" s="2">
        <f t="shared" si="0"/>
        <v>184.1081146259485</v>
      </c>
      <c r="C65" s="2" cm="1">
        <f t="array" ref="C65">INDEX( ComputeThermoProps($A65, $B65, ParametersRange), 1, COLUMN()-2 )</f>
        <v>13.120119058359615</v>
      </c>
      <c r="D65" s="2" cm="1">
        <f t="array" ref="D65">INDEX( ComputeThermoProps($A65, $B65, ParametersRange), 1, COLUMN()-2 )</f>
        <v>1.1335832325169459E-3</v>
      </c>
      <c r="E65" s="2" cm="1">
        <f t="array" ref="E65">INDEX( ComputeThermoProps($A65, $B65, ParametersRange), 1, COLUMN()-2 )</f>
        <v>5.8465693475926253E-4</v>
      </c>
      <c r="F65" s="2" cm="1">
        <f t="array" ref="F65">INDEX( ComputeThermoProps($A65, $B65, ParametersRange), 1, COLUMN()-2 )</f>
        <v>6.2538248521814598E-3</v>
      </c>
      <c r="G65" s="2" cm="1">
        <f t="array" ref="G65">INDEX( ComputeThermoProps($A65, $B65, ParametersRange), 1, COLUMN()-2 )</f>
        <v>44.028721422544734</v>
      </c>
      <c r="H65" s="2" cm="1">
        <f t="array" ref="H65">INDEX( ComputeThermoProps($A65, $B65, ParametersRange), 1, COLUMN()-2 )</f>
        <v>22.708255176921622</v>
      </c>
      <c r="I65" s="2" cm="1">
        <f t="array" ref="I65">INDEX( ComputeThermoProps($A65, $B65, ParametersRange), 1, COLUMN()-2 )</f>
        <v>3.187471503845797</v>
      </c>
      <c r="J65" s="2" cm="1">
        <f t="array" ref="J65">INDEX( ComputeThermoProps($A65, $B65, ParametersRange), 1, COLUMN()-2 )</f>
        <v>677.48750875713802</v>
      </c>
      <c r="K65" s="2" cm="1">
        <f t="array" ref="K65">INDEX( ComputeThermoProps($A65, $B65, ParametersRange), 1, COLUMN()-2 )</f>
        <v>26.292594162722356</v>
      </c>
      <c r="L65" s="2" cm="1">
        <f t="array" ref="L65">INDEX( ComputeThermoProps($A65, $B65, ParametersRange), 1, COLUMN()-2 )</f>
        <v>-560.893676307085</v>
      </c>
      <c r="M65" s="2" cm="1">
        <f t="array" ref="M65">INDEX( ComputeThermoProps($A65, $B65, ParametersRange), 1, COLUMN()-2 )</f>
        <v>3093.0078922597013</v>
      </c>
      <c r="N65" s="2" cm="1">
        <f t="array" ref="N65">INDEX( ComputeThermoProps($A65, $B65, ParametersRange), 1, COLUMN()-2 )</f>
        <v>1854.6267071954783</v>
      </c>
    </row>
    <row r="66" spans="1:14" x14ac:dyDescent="0.25">
      <c r="A66" s="2">
        <v>48.1</v>
      </c>
      <c r="B66" s="2">
        <f t="shared" si="0"/>
        <v>193.98751639330558</v>
      </c>
      <c r="C66" s="2" cm="1">
        <f t="array" ref="C66">INDEX( ComputeThermoProps($A66, $B66, ParametersRange), 1, COLUMN()-2 )</f>
        <v>13.056041114043653</v>
      </c>
      <c r="D66" s="2" cm="1">
        <f t="array" ref="D66">INDEX( ComputeThermoProps($A66, $B66, ParametersRange), 1, COLUMN()-2 )</f>
        <v>1.1180469593323852E-3</v>
      </c>
      <c r="E66" s="2" cm="1">
        <f t="array" ref="E66">INDEX( ComputeThermoProps($A66, $B66, ParametersRange), 1, COLUMN()-2 )</f>
        <v>5.7353299293148538E-4</v>
      </c>
      <c r="F66" s="2" cm="1">
        <f t="array" ref="F66">INDEX( ComputeThermoProps($A66, $B66, ParametersRange), 1, COLUMN()-2 )</f>
        <v>6.1984697157685138E-3</v>
      </c>
      <c r="G66" s="2" cm="1">
        <f t="array" ref="G66">INDEX( ComputeThermoProps($A66, $B66, ParametersRange), 1, COLUMN()-2 )</f>
        <v>44.311507906839324</v>
      </c>
      <c r="H66" s="2" cm="1">
        <f t="array" ref="H66">INDEX( ComputeThermoProps($A66, $B66, ParametersRange), 1, COLUMN()-2 )</f>
        <v>22.730808879702298</v>
      </c>
      <c r="I66" s="2" cm="1">
        <f t="array" ref="I66">INDEX( ComputeThermoProps($A66, $B66, ParametersRange), 1, COLUMN()-2 )</f>
        <v>3.1843519162015221</v>
      </c>
      <c r="J66" s="2" cm="1">
        <f t="array" ref="J66">INDEX( ComputeThermoProps($A66, $B66, ParametersRange), 1, COLUMN()-2 )</f>
        <v>695.45177007768189</v>
      </c>
      <c r="K66" s="2" cm="1">
        <f t="array" ref="K66">INDEX( ComputeThermoProps($A66, $B66, ParametersRange), 1, COLUMN()-2 )</f>
        <v>26.415533706710193</v>
      </c>
      <c r="L66" s="2" cm="1">
        <f t="array" ref="L66">INDEX( ComputeThermoProps($A66, $B66, ParametersRange), 1, COLUMN()-2 )</f>
        <v>-575.13540121507845</v>
      </c>
      <c r="M66" s="2" cm="1">
        <f t="array" ref="M66">INDEX( ComputeThermoProps($A66, $B66, ParametersRange), 1, COLUMN()-2 )</f>
        <v>3228.1607597198968</v>
      </c>
      <c r="N66" s="2" cm="1">
        <f t="array" ref="N66">INDEX( ComputeThermoProps($A66, $B66, ParametersRange), 1, COLUMN()-2 )</f>
        <v>1957.5735884271364</v>
      </c>
    </row>
    <row r="67" spans="1:14" x14ac:dyDescent="0.25">
      <c r="A67" s="2">
        <v>49.1</v>
      </c>
      <c r="B67" s="2">
        <f t="shared" si="0"/>
        <v>204.00830674947045</v>
      </c>
      <c r="C67" s="2" cm="1">
        <f t="array" ref="C67">INDEX( ComputeThermoProps($A67, $B67, ParametersRange), 1, COLUMN()-2 )</f>
        <v>12.991500670400301</v>
      </c>
      <c r="D67" s="2" cm="1">
        <f t="array" ref="D67">INDEX( ComputeThermoProps($A67, $B67, ParametersRange), 1, COLUMN()-2 )</f>
        <v>1.1026326051494359E-3</v>
      </c>
      <c r="E67" s="2" cm="1">
        <f t="array" ref="E67">INDEX( ComputeThermoProps($A67, $B67, ParametersRange), 1, COLUMN()-2 )</f>
        <v>5.6272186903541532E-4</v>
      </c>
      <c r="F67" s="2" cm="1">
        <f t="array" ref="F67">INDEX( ComputeThermoProps($A67, $B67, ParametersRange), 1, COLUMN()-2 )</f>
        <v>6.1426540702160413E-3</v>
      </c>
      <c r="G67" s="2" cm="1">
        <f t="array" ref="G67">INDEX( ComputeThermoProps($A67, $B67, ParametersRange), 1, COLUMN()-2 )</f>
        <v>44.579066014692287</v>
      </c>
      <c r="H67" s="2" cm="1">
        <f t="array" ref="H67">INDEX( ComputeThermoProps($A67, $B67, ParametersRange), 1, COLUMN()-2 )</f>
        <v>22.750656229906284</v>
      </c>
      <c r="I67" s="2" cm="1">
        <f t="array" ref="I67">INDEX( ComputeThermoProps($A67, $B67, ParametersRange), 1, COLUMN()-2 )</f>
        <v>3.1811974059768837</v>
      </c>
      <c r="J67" s="2" cm="1">
        <f t="array" ref="J67">INDEX( ComputeThermoProps($A67, $B67, ParametersRange), 1, COLUMN()-2 )</f>
        <v>713.6033947660552</v>
      </c>
      <c r="K67" s="2" cm="1">
        <f t="array" ref="K67">INDEX( ComputeThermoProps($A67, $B67, ParametersRange), 1, COLUMN()-2 )</f>
        <v>26.524786018663622</v>
      </c>
      <c r="L67" s="2" cm="1">
        <f t="array" ref="L67">INDEX( ComputeThermoProps($A67, $B67, ParametersRange), 1, COLUMN()-2 )</f>
        <v>-588.7635987503287</v>
      </c>
      <c r="M67" s="2" cm="1">
        <f t="array" ref="M67">INDEX( ComputeThermoProps($A67, $B67, ParametersRange), 1, COLUMN()-2 )</f>
        <v>3363.9774486690308</v>
      </c>
      <c r="N67" s="2" cm="1">
        <f t="array" ref="N67">INDEX( ComputeThermoProps($A67, $B67, ParametersRange), 1, COLUMN()-2 )</f>
        <v>2061.6104551526469</v>
      </c>
    </row>
    <row r="68" spans="1:14" x14ac:dyDescent="0.25">
      <c r="A68" s="2">
        <v>50.1</v>
      </c>
      <c r="B68" s="2">
        <f t="shared" si="0"/>
        <v>214.16702625478231</v>
      </c>
      <c r="C68" s="2" cm="1">
        <f t="array" ref="C68">INDEX( ComputeThermoProps($A68, $B68, ParametersRange), 1, COLUMN()-2 )</f>
        <v>12.926590874366456</v>
      </c>
      <c r="D68" s="2" cm="1">
        <f t="array" ref="D68">INDEX( ComputeThermoProps($A68, $B68, ParametersRange), 1, COLUMN()-2 )</f>
        <v>1.0873632982093193E-3</v>
      </c>
      <c r="E68" s="2" cm="1">
        <f t="array" ref="E68">INDEX( ComputeThermoProps($A68, $B68, ParametersRange), 1, COLUMN()-2 )</f>
        <v>5.5221576097372338E-4</v>
      </c>
      <c r="F68" s="2" cm="1">
        <f t="array" ref="F68">INDEX( ComputeThermoProps($A68, $B68, ParametersRange), 1, COLUMN()-2 )</f>
        <v>6.0865536025732029E-3</v>
      </c>
      <c r="G68" s="2" cm="1">
        <f t="array" ref="G68">INDEX( ComputeThermoProps($A68, $B68, ParametersRange), 1, COLUMN()-2 )</f>
        <v>44.832308340051263</v>
      </c>
      <c r="H68" s="2" cm="1">
        <f t="array" ref="H68">INDEX( ComputeThermoProps($A68, $B68, ParametersRange), 1, COLUMN()-2 )</f>
        <v>22.76801811039628</v>
      </c>
      <c r="I68" s="2" cm="1">
        <f t="array" ref="I68">INDEX( ComputeThermoProps($A68, $B68, ParametersRange), 1, COLUMN()-2 )</f>
        <v>3.178012172801385</v>
      </c>
      <c r="J68" s="2" cm="1">
        <f t="array" ref="J68">INDEX( ComputeThermoProps($A68, $B68, ParametersRange), 1, COLUMN()-2 )</f>
        <v>731.9553826221761</v>
      </c>
      <c r="K68" s="2" cm="1">
        <f t="array" ref="K68">INDEX( ComputeThermoProps($A68, $B68, ParametersRange), 1, COLUMN()-2 )</f>
        <v>26.62118916078111</v>
      </c>
      <c r="L68" s="2" cm="1">
        <f t="array" ref="L68">INDEX( ComputeThermoProps($A68, $B68, ParametersRange), 1, COLUMN()-2 )</f>
        <v>-601.76619433295753</v>
      </c>
      <c r="M68" s="2" cm="1">
        <f t="array" ref="M68">INDEX( ComputeThermoProps($A68, $B68, ParametersRange), 1, COLUMN()-2 )</f>
        <v>3500.4049097974462</v>
      </c>
      <c r="N68" s="2" cm="1">
        <f t="array" ref="N68">INDEX( ComputeThermoProps($A68, $B68, ParametersRange), 1, COLUMN()-2 )</f>
        <v>2166.6833328423127</v>
      </c>
    </row>
    <row r="69" spans="1:14" x14ac:dyDescent="0.25">
      <c r="A69" s="2">
        <v>51.1</v>
      </c>
      <c r="B69" s="2">
        <f t="shared" si="0"/>
        <v>224.46042025753471</v>
      </c>
      <c r="C69" s="2" cm="1">
        <f t="array" ref="C69">INDEX( ComputeThermoProps($A69, $B69, ParametersRange), 1, COLUMN()-2 )</f>
        <v>12.861396906678651</v>
      </c>
      <c r="D69" s="2" cm="1">
        <f t="array" ref="D69">INDEX( ComputeThermoProps($A69, $B69, ParametersRange), 1, COLUMN()-2 )</f>
        <v>1.0722586488477574E-3</v>
      </c>
      <c r="E69" s="2" cm="1">
        <f t="array" ref="E69">INDEX( ComputeThermoProps($A69, $B69, ParametersRange), 1, COLUMN()-2 )</f>
        <v>5.4200662027856976E-4</v>
      </c>
      <c r="F69" s="2" cm="1">
        <f t="array" ref="F69">INDEX( ComputeThermoProps($A69, $B69, ParametersRange), 1, COLUMN()-2 )</f>
        <v>6.0303214556556703E-3</v>
      </c>
      <c r="G69" s="2" cm="1">
        <f t="array" ref="G69">INDEX( ComputeThermoProps($A69, $B69, ParametersRange), 1, COLUMN()-2 )</f>
        <v>45.072082997919409</v>
      </c>
      <c r="H69" s="2" cm="1">
        <f t="array" ref="H69">INDEX( ComputeThermoProps($A69, $B69, ParametersRange), 1, COLUMN()-2 )</f>
        <v>22.783091934832267</v>
      </c>
      <c r="I69" s="2" cm="1">
        <f t="array" ref="I69">INDEX( ComputeThermoProps($A69, $B69, ParametersRange), 1, COLUMN()-2 )</f>
        <v>3.1748000890367774</v>
      </c>
      <c r="J69" s="2" cm="1">
        <f t="array" ref="J69">INDEX( ComputeThermoProps($A69, $B69, ParametersRange), 1, COLUMN()-2 )</f>
        <v>750.51940573566685</v>
      </c>
      <c r="K69" s="2" cm="1">
        <f t="array" ref="K69">INDEX( ComputeThermoProps($A69, $B69, ParametersRange), 1, COLUMN()-2 )</f>
        <v>26.70552772729447</v>
      </c>
      <c r="L69" s="2" cm="1">
        <f t="array" ref="L69">INDEX( ComputeThermoProps($A69, $B69, ParametersRange), 1, COLUMN()-2 )</f>
        <v>-614.1330611290806</v>
      </c>
      <c r="M69" s="2" cm="1">
        <f t="array" ref="M69">INDEX( ComputeThermoProps($A69, $B69, ParametersRange), 1, COLUMN()-2 )</f>
        <v>3637.3939605077139</v>
      </c>
      <c r="N69" s="2" cm="1">
        <f t="array" ref="N69">INDEX( ComputeThermoProps($A69, $B69, ParametersRange), 1, COLUMN()-2 )</f>
        <v>2272.7414936429664</v>
      </c>
    </row>
    <row r="70" spans="1:14" x14ac:dyDescent="0.25">
      <c r="A70" s="2">
        <v>52.1</v>
      </c>
      <c r="B70" s="2">
        <f t="shared" si="0"/>
        <v>234.88542036369782</v>
      </c>
      <c r="C70" s="2" cm="1">
        <f t="array" ref="C70">INDEX( ComputeThermoProps($A70, $B70, ParametersRange), 1, COLUMN()-2 )</f>
        <v>12.795996592729596</v>
      </c>
      <c r="D70" s="2" cm="1">
        <f t="array" ref="D70">INDEX( ComputeThermoProps($A70, $B70, ParametersRange), 1, COLUMN()-2 )</f>
        <v>1.0573351478636039E-3</v>
      </c>
      <c r="E70" s="2" cm="1">
        <f t="array" ref="E70">INDEX( ComputeThermoProps($A70, $B70, ParametersRange), 1, COLUMN()-2 )</f>
        <v>5.3208624525261929E-4</v>
      </c>
      <c r="F70" s="2" cm="1">
        <f t="array" ref="F70">INDEX( ComputeThermoProps($A70, $B70, ParametersRange), 1, COLUMN()-2 )</f>
        <v>5.9740908025935633E-3</v>
      </c>
      <c r="G70" s="2" cm="1">
        <f t="array" ref="G70">INDEX( ComputeThermoProps($A70, $B70, ParametersRange), 1, COLUMN()-2 )</f>
        <v>45.299178276617624</v>
      </c>
      <c r="H70" s="2" cm="1">
        <f t="array" ref="H70">INDEX( ComputeThermoProps($A70, $B70, ParametersRange), 1, COLUMN()-2 )</f>
        <v>22.796054525318571</v>
      </c>
      <c r="I70" s="2" cm="1">
        <f t="array" ref="I70">INDEX( ComputeThermoProps($A70, $B70, ParametersRange), 1, COLUMN()-2 )</f>
        <v>3.1715647244296408</v>
      </c>
      <c r="J70" s="2" cm="1">
        <f t="array" ref="J70">INDEX( ComputeThermoProps($A70, $B70, ParametersRange), 1, COLUMN()-2 )</f>
        <v>769.30589240539712</v>
      </c>
      <c r="K70" s="2" cm="1">
        <f t="array" ref="K70">INDEX( ComputeThermoProps($A70, $B70, ParametersRange), 1, COLUMN()-2 )</f>
        <v>26.778536250242578</v>
      </c>
      <c r="L70" s="2" cm="1">
        <f t="array" ref="L70">INDEX( ComputeThermoProps($A70, $B70, ParametersRange), 1, COLUMN()-2 )</f>
        <v>-625.85584623224122</v>
      </c>
      <c r="M70" s="2" cm="1">
        <f t="array" ref="M70">INDEX( ComputeThermoProps($A70, $B70, ParametersRange), 1, COLUMN()-2 )</f>
        <v>3774.8989310611332</v>
      </c>
      <c r="N70" s="2" cm="1">
        <f t="array" ref="N70">INDEX( ComputeThermoProps($A70, $B70, ParametersRange), 1, COLUMN()-2 )</f>
        <v>2379.7371924234949</v>
      </c>
    </row>
    <row r="71" spans="1:14" x14ac:dyDescent="0.25">
      <c r="A71" s="2">
        <v>53.1</v>
      </c>
      <c r="B71" s="2">
        <f t="shared" si="0"/>
        <v>245.43912810381755</v>
      </c>
      <c r="C71" s="2" cm="1">
        <f t="array" ref="C71">INDEX( ComputeThermoProps($A71, $B71, ParametersRange), 1, COLUMN()-2 )</f>
        <v>12.730460970791489</v>
      </c>
      <c r="D71" s="2" cm="1">
        <f t="array" ref="D71">INDEX( ComputeThermoProps($A71, $B71, ParametersRange), 1, COLUMN()-2 )</f>
        <v>1.0426065264850278E-3</v>
      </c>
      <c r="E71" s="2" cm="1">
        <f t="array" ref="E71">INDEX( ComputeThermoProps($A71, $B71, ParametersRange), 1, COLUMN()-2 )</f>
        <v>5.2244635797220936E-4</v>
      </c>
      <c r="F71" s="2" cm="1">
        <f t="array" ref="F71">INDEX( ComputeThermoProps($A71, $B71, ParametersRange), 1, COLUMN()-2 )</f>
        <v>5.9179771527488783E-3</v>
      </c>
      <c r="G71" s="2" cm="1">
        <f t="array" ref="G71">INDEX( ComputeThermoProps($A71, $B71, ParametersRange), 1, COLUMN()-2 )</f>
        <v>45.514327098746541</v>
      </c>
      <c r="H71" s="2" cm="1">
        <f t="array" ref="H71">INDEX( ComputeThermoProps($A71, $B71, ParametersRange), 1, COLUMN()-2 )</f>
        <v>22.807064625292693</v>
      </c>
      <c r="I71" s="2" cm="1">
        <f t="array" ref="I71">INDEX( ComputeThermoProps($A71, $B71, ParametersRange), 1, COLUMN()-2 )</f>
        <v>3.168309368933143</v>
      </c>
      <c r="J71" s="2" cm="1">
        <f t="array" ref="J71">INDEX( ComputeThermoProps($A71, $B71, ParametersRange), 1, COLUMN()-2 )</f>
        <v>788.32410941164665</v>
      </c>
      <c r="K71" s="2" cm="1">
        <f t="array" ref="K71">INDEX( ComputeThermoProps($A71, $B71, ParametersRange), 1, COLUMN()-2 )</f>
        <v>26.840902426867348</v>
      </c>
      <c r="L71" s="2" cm="1">
        <f t="array" ref="L71">INDEX( ComputeThermoProps($A71, $B71, ParametersRange), 1, COLUMN()-2 )</f>
        <v>-636.92780945500954</v>
      </c>
      <c r="M71" s="2" cm="1">
        <f t="array" ref="M71">INDEX( ComputeThermoProps($A71, $B71, ParametersRange), 1, COLUMN()-2 )</f>
        <v>3912.8773504423884</v>
      </c>
      <c r="N71" s="2" cm="1">
        <f t="array" ref="N71">INDEX( ComputeThermoProps($A71, $B71, ParametersRange), 1, COLUMN()-2 )</f>
        <v>2487.6254315757324</v>
      </c>
    </row>
    <row r="72" spans="1:14" x14ac:dyDescent="0.25">
      <c r="A72" s="2">
        <v>54.1</v>
      </c>
      <c r="B72" s="2">
        <f t="shared" si="0"/>
        <v>256.11880048174714</v>
      </c>
      <c r="C72" s="2" cm="1">
        <f t="array" ref="C72">INDEX( ComputeThermoProps($A72, $B72, ParametersRange), 1, COLUMN()-2 )</f>
        <v>12.664854819978466</v>
      </c>
      <c r="D72" s="2" cm="1">
        <f t="array" ref="D72">INDEX( ComputeThermoProps($A72, $B72, ParametersRange), 1, COLUMN()-2 )</f>
        <v>1.0280840792434944E-3</v>
      </c>
      <c r="E72" s="2" cm="1">
        <f t="array" ref="E72">INDEX( ComputeThermoProps($A72, $B72, ParametersRange), 1, COLUMN()-2 )</f>
        <v>5.13078667732763E-4</v>
      </c>
      <c r="F72" s="2" cm="1">
        <f t="array" ref="F72">INDEX( ComputeThermoProps($A72, $B72, ParametersRange), 1, COLUMN()-2 )</f>
        <v>5.8620803949030291E-3</v>
      </c>
      <c r="G72" s="2" cm="1">
        <f t="array" ref="G72">INDEX( ComputeThermoProps($A72, $B72, ParametersRange), 1, COLUMN()-2 )</f>
        <v>45.718211120656193</v>
      </c>
      <c r="H72" s="2" cm="1">
        <f t="array" ref="H72">INDEX( ComputeThermoProps($A72, $B72, ParametersRange), 1, COLUMN()-2 )</f>
        <v>22.816265057009833</v>
      </c>
      <c r="I72" s="2" cm="1">
        <f t="array" ref="I72">INDEX( ComputeThermoProps($A72, $B72, ParametersRange), 1, COLUMN()-2 )</f>
        <v>3.1650370539107491</v>
      </c>
      <c r="J72" s="2" cm="1">
        <f t="array" ref="J72">INDEX( ComputeThermoProps($A72, $B72, ParametersRange), 1, COLUMN()-2 )</f>
        <v>807.58224198830658</v>
      </c>
      <c r="K72" s="2" cm="1">
        <f t="array" ref="K72">INDEX( ComputeThermoProps($A72, $B72, ParametersRange), 1, COLUMN()-2 )</f>
        <v>26.893270177274939</v>
      </c>
      <c r="L72" s="2" cm="1">
        <f t="array" ref="L72">INDEX( ComputeThermoProps($A72, $B72, ParametersRange), 1, COLUMN()-2 )</f>
        <v>-647.3436746022677</v>
      </c>
      <c r="M72" s="2" cm="1">
        <f t="array" ref="M72">INDEX( ComputeThermoProps($A72, $B72, ParametersRange), 1, COLUMN()-2 )</f>
        <v>4051.2896667566647</v>
      </c>
      <c r="N72" s="2" cm="1">
        <f t="array" ref="N72">INDEX( ComputeThermoProps($A72, $B72, ParametersRange), 1, COLUMN()-2 )</f>
        <v>2596.3637501660905</v>
      </c>
    </row>
    <row r="73" spans="1:14" x14ac:dyDescent="0.25">
      <c r="A73" s="2">
        <v>55.1</v>
      </c>
      <c r="B73" s="2">
        <f t="shared" si="0"/>
        <v>266.92183714196375</v>
      </c>
      <c r="C73" s="2" cm="1">
        <f t="array" ref="C73">INDEX( ComputeThermoProps($A73, $B73, ParametersRange), 1, COLUMN()-2 )</f>
        <v>12.599237150264958</v>
      </c>
      <c r="D73" s="2" cm="1">
        <f t="array" ref="D73">INDEX( ComputeThermoProps($A73, $B73, ParametersRange), 1, COLUMN()-2 )</f>
        <v>1.0137769521563853E-3</v>
      </c>
      <c r="E73" s="2" cm="1">
        <f t="array" ref="E73">INDEX( ComputeThermoProps($A73, $B73, ParametersRange), 1, COLUMN()-2 )</f>
        <v>5.0397492280244754E-4</v>
      </c>
      <c r="F73" s="2" cm="1">
        <f t="array" ref="F73">INDEX( ComputeThermoProps($A73, $B73, ParametersRange), 1, COLUMN()-2 )</f>
        <v>5.8064866026000935E-3</v>
      </c>
      <c r="G73" s="2" cm="1">
        <f t="array" ref="G73">INDEX( ComputeThermoProps($A73, $B73, ParametersRange), 1, COLUMN()-2 )</f>
        <v>45.91146448590569</v>
      </c>
      <c r="H73" s="2" cm="1">
        <f t="array" ref="H73">INDEX( ComputeThermoProps($A73, $B73, ParametersRange), 1, COLUMN()-2 )</f>
        <v>22.823784581820249</v>
      </c>
      <c r="I73" s="2" cm="1">
        <f t="array" ref="I73">INDEX( ComputeThermoProps($A73, $B73, ParametersRange), 1, COLUMN()-2 )</f>
        <v>3.1617505716015963</v>
      </c>
      <c r="J73" s="2" cm="1">
        <f t="array" ref="J73">INDEX( ComputeThermoProps($A73, $B73, ParametersRange), 1, COLUMN()-2 )</f>
        <v>827.08747068048478</v>
      </c>
      <c r="K73" s="2" cm="1">
        <f t="array" ref="K73">INDEX( ComputeThermoProps($A73, $B73, ParametersRange), 1, COLUMN()-2 )</f>
        <v>26.936242506870382</v>
      </c>
      <c r="L73" s="2" cm="1">
        <f t="array" ref="L73">INDEX( ComputeThermoProps($A73, $B73, ParametersRange), 1, COLUMN()-2 )</f>
        <v>-657.09949144807331</v>
      </c>
      <c r="M73" s="2" cm="1">
        <f t="array" ref="M73">INDEX( ComputeThermoProps($A73, $B73, ParametersRange), 1, COLUMN()-2 )</f>
        <v>4190.0989974164877</v>
      </c>
      <c r="N73" s="2" cm="1">
        <f t="array" ref="N73">INDEX( ComputeThermoProps($A73, $B73, ParametersRange), 1, COLUMN()-2 )</f>
        <v>2705.9120352879295</v>
      </c>
    </row>
    <row r="74" spans="1:14" x14ac:dyDescent="0.25">
      <c r="A74" s="2">
        <v>56.1</v>
      </c>
      <c r="B74" s="2">
        <f t="shared" si="0"/>
        <v>277.84576893478209</v>
      </c>
      <c r="C74" s="2" cm="1">
        <f t="array" ref="C74">INDEX( ComputeThermoProps($A74, $B74, ParametersRange), 1, COLUMN()-2 )</f>
        <v>12.533661656818362</v>
      </c>
      <c r="D74" s="2" cm="1">
        <f t="array" ref="D74">INDEX( ComputeThermoProps($A74, $B74, ParametersRange), 1, COLUMN()-2 )</f>
        <v>9.9969240168378578E-4</v>
      </c>
      <c r="E74" s="2" cm="1">
        <f t="array" ref="E74">INDEX( ComputeThermoProps($A74, $B74, ParametersRange), 1, COLUMN()-2 )</f>
        <v>4.9512695265916404E-4</v>
      </c>
      <c r="F74" s="2" cm="1">
        <f t="array" ref="F74">INDEX( ComputeThermoProps($A74, $B74, ParametersRange), 1, COLUMN()-2 )</f>
        <v>5.7512696449739395E-3</v>
      </c>
      <c r="G74" s="2" cm="1">
        <f t="array" ref="G74">INDEX( ComputeThermoProps($A74, $B74, ParametersRange), 1, COLUMN()-2 )</f>
        <v>46.094677351977197</v>
      </c>
      <c r="H74" s="2" cm="1">
        <f t="array" ref="H74">INDEX( ComputeThermoProps($A74, $B74, ParametersRange), 1, COLUMN()-2 )</f>
        <v>22.82973952052798</v>
      </c>
      <c r="I74" s="2" cm="1">
        <f t="array" ref="I74">INDEX( ComputeThermoProps($A74, $B74, ParametersRange), 1, COLUMN()-2 )</f>
        <v>3.1584524933287224</v>
      </c>
      <c r="J74" s="2" cm="1">
        <f t="array" ref="J74">INDEX( ComputeThermoProps($A74, $B74, ParametersRange), 1, COLUMN()-2 )</f>
        <v>846.84604512985049</v>
      </c>
      <c r="K74" s="2" cm="1">
        <f t="array" ref="K74">INDEX( ComputeThermoProps($A74, $B74, ParametersRange), 1, COLUMN()-2 )</f>
        <v>26.970384219649276</v>
      </c>
      <c r="L74" s="2" cm="1">
        <f t="array" ref="L74">INDEX( ComputeThermoProps($A74, $B74, ParametersRange), 1, COLUMN()-2 )</f>
        <v>-666.19250959247393</v>
      </c>
      <c r="M74" s="2" cm="1">
        <f t="array" ref="M74">INDEX( ComputeThermoProps($A74, $B74, ParametersRange), 1, COLUMN()-2 )</f>
        <v>4329.270905736943</v>
      </c>
      <c r="N74" s="2" cm="1">
        <f t="array" ref="N74">INDEX( ComputeThermoProps($A74, $B74, ParametersRange), 1, COLUMN()-2 )</f>
        <v>2816.2323510146184</v>
      </c>
    </row>
    <row r="75" spans="1:14" x14ac:dyDescent="0.25">
      <c r="A75" s="2">
        <v>57.1</v>
      </c>
      <c r="B75" s="2">
        <f t="shared" si="0"/>
        <v>288.88824769365237</v>
      </c>
      <c r="C75" s="2" cm="1">
        <f t="array" ref="C75">INDEX( ComputeThermoProps($A75, $B75, ParametersRange), 1, COLUMN()-2 )</f>
        <v>12.468177140840686</v>
      </c>
      <c r="D75" s="2" cm="1">
        <f t="array" ref="D75">INDEX( ComputeThermoProps($A75, $B75, ParametersRange), 1, COLUMN()-2 )</f>
        <v>9.8583602581735381E-4</v>
      </c>
      <c r="E75" s="2" cm="1">
        <f t="array" ref="E75">INDEX( ComputeThermoProps($A75, $B75, ParametersRange), 1, COLUMN()-2 )</f>
        <v>4.8652670188686393E-4</v>
      </c>
      <c r="F75" s="2" cm="1">
        <f t="array" ref="F75">INDEX( ComputeThermoProps($A75, $B75, ParametersRange), 1, COLUMN()-2 )</f>
        <v>5.6964926169961183E-3</v>
      </c>
      <c r="G75" s="2" cm="1">
        <f t="array" ref="G75">INDEX( ComputeThermoProps($A75, $B75, ParametersRange), 1, COLUMN()-2 )</f>
        <v>46.268399180097127</v>
      </c>
      <c r="H75" s="2" cm="1">
        <f t="array" ref="H75">INDEX( ComputeThermoProps($A75, $B75, ParametersRange), 1, COLUMN()-2 )</f>
        <v>22.834235172136143</v>
      </c>
      <c r="I75" s="2" cm="1">
        <f t="array" ref="I75">INDEX( ComputeThermoProps($A75, $B75, ParametersRange), 1, COLUMN()-2 )</f>
        <v>3.1551451862216808</v>
      </c>
      <c r="J75" s="2" cm="1">
        <f t="array" ref="J75">INDEX( ComputeThermoProps($A75, $B75, ParametersRange), 1, COLUMN()-2 )</f>
        <v>866.86335416113127</v>
      </c>
      <c r="K75" s="2" cm="1">
        <f t="array" ref="K75">INDEX( ComputeThermoProps($A75, $B75, ParametersRange), 1, COLUMN()-2 )</f>
        <v>26.996224449841396</v>
      </c>
      <c r="L75" s="2" cm="1">
        <f t="array" ref="L75">INDEX( ComputeThermoProps($A75, $B75, ParametersRange), 1, COLUMN()-2 )</f>
        <v>-674.62106192481247</v>
      </c>
      <c r="M75" s="2" cm="1">
        <f t="array" ref="M75">INDEX( ComputeThermoProps($A75, $B75, ParametersRange), 1, COLUMN()-2 )</f>
        <v>4468.7732003126494</v>
      </c>
      <c r="N75" s="2" cm="1">
        <f t="array" ref="N75">INDEX( ComputeThermoProps($A75, $B75, ParametersRange), 1, COLUMN()-2 )</f>
        <v>2927.2887842267055</v>
      </c>
    </row>
    <row r="76" spans="1:14" x14ac:dyDescent="0.25">
      <c r="A76" s="2">
        <v>58.1</v>
      </c>
      <c r="B76" s="2">
        <f t="shared" si="0"/>
        <v>300.04703706744527</v>
      </c>
      <c r="C76" s="2" cm="1">
        <f t="array" ref="C76">INDEX( ComputeThermoProps($A76, $B76, ParametersRange), 1, COLUMN()-2 )</f>
        <v>12.402827899043174</v>
      </c>
      <c r="D76" s="2" cm="1">
        <f t="array" ref="D76">INDEX( ComputeThermoProps($A76, $B76, ParametersRange), 1, COLUMN()-2 )</f>
        <v>9.722119688531474E-4</v>
      </c>
      <c r="E76" s="2" cm="1">
        <f t="array" ref="E76">INDEX( ComputeThermoProps($A76, $B76, ParametersRange), 1, COLUMN()-2 )</f>
        <v>4.7816625719443142E-4</v>
      </c>
      <c r="F76" s="2" cm="1">
        <f t="array" ref="F76">INDEX( ComputeThermoProps($A76, $B76, ParametersRange), 1, COLUMN()-2 )</f>
        <v>5.6422090924217521E-3</v>
      </c>
      <c r="G76" s="2" cm="1">
        <f t="array" ref="G76">INDEX( ComputeThermoProps($A76, $B76, ParametersRange), 1, COLUMN()-2 )</f>
        <v>46.433141649828805</v>
      </c>
      <c r="H76" s="2" cm="1">
        <f t="array" ref="H76">INDEX( ComputeThermoProps($A76, $B76, ParametersRange), 1, COLUMN()-2 )</f>
        <v>22.83736701849968</v>
      </c>
      <c r="I76" s="2" cm="1">
        <f t="array" ref="I76">INDEX( ComputeThermoProps($A76, $B76, ParametersRange), 1, COLUMN()-2 )</f>
        <v>3.151830828715759</v>
      </c>
      <c r="J76" s="2" cm="1">
        <f t="array" ref="J76">INDEX( ComputeThermoProps($A76, $B76, ParametersRange), 1, COLUMN()-2 )</f>
        <v>887.14399222082761</v>
      </c>
      <c r="K76" s="2" cm="1">
        <f t="array" ref="K76">INDEX( ComputeThermoProps($A76, $B76, ParametersRange), 1, COLUMN()-2 )</f>
        <v>27.014259037159665</v>
      </c>
      <c r="L76" s="2" cm="1">
        <f t="array" ref="L76">INDEX( ComputeThermoProps($A76, $B76, ParametersRange), 1, COLUMN()-2 )</f>
        <v>-682.38445783814893</v>
      </c>
      <c r="M76" s="2" cm="1">
        <f t="array" ref="M76">INDEX( ComputeThermoProps($A76, $B76, ParametersRange), 1, COLUMN()-2 )</f>
        <v>4608.5757545861798</v>
      </c>
      <c r="N76" s="2" cm="1">
        <f t="array" ref="N76">INDEX( ComputeThermoProps($A76, $B76, ParametersRange), 1, COLUMN()-2 )</f>
        <v>3039.0473045272033</v>
      </c>
    </row>
    <row r="77" spans="1:14" x14ac:dyDescent="0.25">
      <c r="A77" s="2">
        <v>59.1</v>
      </c>
      <c r="B77" s="2">
        <f t="shared" si="0"/>
        <v>311.3200042743502</v>
      </c>
      <c r="C77" s="2" cm="1">
        <f t="array" ref="C77">INDEX( ComputeThermoProps($A77, $B77, ParametersRange), 1, COLUMN()-2 )</f>
        <v>12.337654083800672</v>
      </c>
      <c r="D77" s="2" cm="1">
        <f t="array" ref="D77">INDEX( ComputeThermoProps($A77, $B77, ParametersRange), 1, COLUMN()-2 )</f>
        <v>9.5882310577493572E-4</v>
      </c>
      <c r="E77" s="2" cm="1">
        <f t="array" ref="E77">INDEX( ComputeThermoProps($A77, $B77, ParametersRange), 1, COLUMN()-2 )</f>
        <v>4.7003786861345056E-4</v>
      </c>
      <c r="F77" s="2" cm="1">
        <f t="array" ref="F77">INDEX( ComputeThermoProps($A77, $B77, ParametersRange), 1, COLUMN()-2 )</f>
        <v>5.5884642579161828E-3</v>
      </c>
      <c r="G77" s="2" cm="1">
        <f t="array" ref="G77">INDEX( ComputeThermoProps($A77, $B77, ParametersRange), 1, COLUMN()-2 )</f>
        <v>46.589381544234705</v>
      </c>
      <c r="H77" s="2" cm="1">
        <f t="array" ref="H77">INDEX( ComputeThermoProps($A77, $B77, ParametersRange), 1, COLUMN()-2 )</f>
        <v>22.839221822227554</v>
      </c>
      <c r="I77" s="2" cm="1">
        <f t="array" ref="I77">INDEX( ComputeThermoProps($A77, $B77, ParametersRange), 1, COLUMN()-2 )</f>
        <v>3.1485114248809767</v>
      </c>
      <c r="J77" s="2" cm="1">
        <f t="array" ref="J77">INDEX( ComputeThermoProps($A77, $B77, ParametersRange), 1, COLUMN()-2 )</f>
        <v>907.69182206616301</v>
      </c>
      <c r="K77" s="2" cm="1">
        <f t="array" ref="K77">INDEX( ComputeThermoProps($A77, $B77, ParametersRange), 1, COLUMN()-2 )</f>
        <v>27.024952748471389</v>
      </c>
      <c r="L77" s="2" cm="1">
        <f t="array" ref="L77">INDEX( ComputeThermoProps($A77, $B77, ParametersRange), 1, COLUMN()-2 )</f>
        <v>-689.48288536849611</v>
      </c>
      <c r="M77" s="2" cm="1">
        <f t="array" ref="M77">INDEX( ComputeThermoProps($A77, $B77, ParametersRange), 1, COLUMN()-2 )</f>
        <v>4748.6503441704426</v>
      </c>
      <c r="N77" s="2" cm="1">
        <f t="array" ref="N77">INDEX( ComputeThermoProps($A77, $B77, ParametersRange), 1, COLUMN()-2 )</f>
        <v>3151.4756367357836</v>
      </c>
    </row>
    <row r="78" spans="1:14" x14ac:dyDescent="0.25">
      <c r="A78" s="2">
        <v>60.1</v>
      </c>
      <c r="B78" s="2">
        <f t="shared" si="0"/>
        <v>322.70511266370062</v>
      </c>
      <c r="C78" s="2" cm="1">
        <f t="array" ref="C78">INDEX( ComputeThermoProps($A78, $B78, ParametersRange), 1, COLUMN()-2 )</f>
        <v>12.272692035949271</v>
      </c>
      <c r="D78" s="2" cm="1">
        <f t="array" ref="D78">INDEX( ComputeThermoProps($A78, $B78, ParametersRange), 1, COLUMN()-2 )</f>
        <v>9.4567120440295922E-4</v>
      </c>
      <c r="E78" s="2" cm="1">
        <f t="array" ref="E78">INDEX( ComputeThermoProps($A78, $B78, ParametersRange), 1, COLUMN()-2 )</f>
        <v>4.6213396580187753E-4</v>
      </c>
      <c r="F78" s="2" cm="1">
        <f t="array" ref="F78">INDEX( ComputeThermoProps($A78, $B78, ParametersRange), 1, COLUMN()-2 )</f>
        <v>5.5352958976732239E-3</v>
      </c>
      <c r="G78" s="2" cm="1">
        <f t="array" ref="G78">INDEX( ComputeThermoProps($A78, $B78, ParametersRange), 1, COLUMN()-2 )</f>
        <v>46.73756324538126</v>
      </c>
      <c r="H78" s="2" cm="1">
        <f t="array" ref="H78">INDEX( ComputeThermoProps($A78, $B78, ParametersRange), 1, COLUMN()-2 )</f>
        <v>22.839878547576639</v>
      </c>
      <c r="I78" s="2" cm="1">
        <f t="array" ref="I78">INDEX( ComputeThermoProps($A78, $B78, ParametersRange), 1, COLUMN()-2 )</f>
        <v>3.1451888176611571</v>
      </c>
      <c r="J78" s="2" cm="1">
        <f t="array" ref="J78">INDEX( ComputeThermoProps($A78, $B78, ParametersRange), 1, COLUMN()-2 )</f>
        <v>928.51003370955493</v>
      </c>
      <c r="K78" s="2" cm="1">
        <f t="array" ref="K78">INDEX( ComputeThermoProps($A78, $B78, ParametersRange), 1, COLUMN()-2 )</f>
        <v>27.028741352893078</v>
      </c>
      <c r="L78" s="2" cm="1">
        <f t="array" ref="L78">INDEX( ComputeThermoProps($A78, $B78, ParametersRange), 1, COLUMN()-2 )</f>
        <v>-695.91732159931917</v>
      </c>
      <c r="M78" s="2" cm="1">
        <f t="array" ref="M78">INDEX( ComputeThermoProps($A78, $B78, ParametersRange), 1, COLUMN()-2 )</f>
        <v>4888.9704998574662</v>
      </c>
      <c r="N78" s="2" cm="1">
        <f t="array" ref="N78">INDEX( ComputeThermoProps($A78, $B78, ParametersRange), 1, COLUMN()-2 )</f>
        <v>3264.543144548592</v>
      </c>
    </row>
    <row r="79" spans="1:14" x14ac:dyDescent="0.25">
      <c r="A79" s="2">
        <v>61.1</v>
      </c>
      <c r="B79" s="2">
        <f t="shared" si="0"/>
        <v>334.20041498844677</v>
      </c>
      <c r="C79" s="2" cm="1">
        <f t="array" ref="C79">INDEX( ComputeThermoProps($A79, $B79, ParametersRange), 1, COLUMN()-2 )</f>
        <v>12.207974592102923</v>
      </c>
      <c r="D79" s="2" cm="1">
        <f t="array" ref="D79">INDEX( ComputeThermoProps($A79, $B79, ParametersRange), 1, COLUMN()-2 )</f>
        <v>9.3275707077596027E-4</v>
      </c>
      <c r="E79" s="2" cm="1">
        <f t="array" ref="E79">INDEX( ComputeThermoProps($A79, $B79, ParametersRange), 1, COLUMN()-2 )</f>
        <v>4.5444717027235239E-4</v>
      </c>
      <c r="F79" s="2" cm="1">
        <f t="array" ref="F79">INDEX( ComputeThermoProps($A79, $B79, ParametersRange), 1, COLUMN()-2 )</f>
        <v>5.4827352808640099E-3</v>
      </c>
      <c r="G79" s="2" cm="1">
        <f t="array" ref="G79">INDEX( ComputeThermoProps($A79, $B79, ParametersRange), 1, COLUMN()-2 )</f>
        <v>46.878101160224645</v>
      </c>
      <c r="H79" s="2" cm="1">
        <f t="array" ref="H79">INDEX( ComputeThermoProps($A79, $B79, ParametersRange), 1, COLUMN()-2 )</f>
        <v>22.839409196097215</v>
      </c>
      <c r="I79" s="2" cm="1">
        <f t="array" ref="I79">INDEX( ComputeThermoProps($A79, $B79, ParametersRange), 1, COLUMN()-2 )</f>
        <v>3.1418647011359901</v>
      </c>
      <c r="J79" s="2" cm="1">
        <f t="array" ref="J79">INDEX( ComputeThermoProps($A79, $B79, ParametersRange), 1, COLUMN()-2 )</f>
        <v>949.60119969500761</v>
      </c>
      <c r="K79" s="2" cm="1">
        <f t="array" ref="K79">INDEX( ComputeThermoProps($A79, $B79, ParametersRange), 1, COLUMN()-2 )</f>
        <v>27.026033561862999</v>
      </c>
      <c r="L79" s="2" cm="1">
        <f t="array" ref="L79">INDEX( ComputeThermoProps($A79, $B79, ParametersRange), 1, COLUMN()-2 )</f>
        <v>-701.68945093482171</v>
      </c>
      <c r="M79" s="2" cm="1">
        <f t="array" ref="M79">INDEX( ComputeThermoProps($A79, $B79, ParametersRange), 1, COLUMN()-2 )</f>
        <v>5029.5113745442186</v>
      </c>
      <c r="N79" s="2" cm="1">
        <f t="array" ref="N79">INDEX( ComputeThermoProps($A79, $B79, ParametersRange), 1, COLUMN()-2 )</f>
        <v>3378.2207239143895</v>
      </c>
    </row>
    <row r="80" spans="1:14" x14ac:dyDescent="0.25">
      <c r="A80" s="2">
        <v>62.1</v>
      </c>
      <c r="B80" s="2">
        <f t="shared" si="0"/>
        <v>345.80404730472151</v>
      </c>
      <c r="C80" s="2" cm="1">
        <f t="array" ref="C80">INDEX( ComputeThermoProps($A80, $B80, ParametersRange), 1, COLUMN()-2 )</f>
        <v>12.143531368273074</v>
      </c>
      <c r="D80" s="2" cm="1">
        <f t="array" ref="D80">INDEX( ComputeThermoProps($A80, $B80, ParametersRange), 1, COLUMN()-2 )</f>
        <v>9.2008067663160197E-4</v>
      </c>
      <c r="E80" s="2" cm="1">
        <f t="array" ref="E80">INDEX( ComputeThermoProps($A80, $B80, ParametersRange), 1, COLUMN()-2 )</f>
        <v>4.4697030413198672E-4</v>
      </c>
      <c r="F80" s="2" cm="1">
        <f t="array" ref="F80">INDEX( ComputeThermoProps($A80, $B80, ParametersRange), 1, COLUMN()-2 )</f>
        <v>5.4308079322528983E-3</v>
      </c>
      <c r="G80" s="2" cm="1">
        <f t="array" ref="G80">INDEX( ComputeThermoProps($A80, $B80, ParametersRange), 1, COLUMN()-2 )</f>
        <v>47.011381832359049</v>
      </c>
      <c r="H80" s="2" cm="1">
        <f t="array" ref="H80">INDEX( ComputeThermoProps($A80, $B80, ParametersRange), 1, COLUMN()-2 )</f>
        <v>22.837879513133075</v>
      </c>
      <c r="I80" s="2" cm="1">
        <f t="array" ref="I80">INDEX( ComputeThermoProps($A80, $B80, ParametersRange), 1, COLUMN()-2 )</f>
        <v>3.1385406317803146</v>
      </c>
      <c r="J80" s="2" cm="1">
        <f t="array" ref="J80">INDEX( ComputeThermoProps($A80, $B80, ParametersRange), 1, COLUMN()-2 )</f>
        <v>970.96732674437033</v>
      </c>
      <c r="K80" s="2" cm="1">
        <f t="array" ref="K80">INDEX( ComputeThermoProps($A80, $B80, ParametersRange), 1, COLUMN()-2 )</f>
        <v>27.017212830555213</v>
      </c>
      <c r="L80" s="2" cm="1">
        <f t="array" ref="L80">INDEX( ComputeThermoProps($A80, $B80, ParametersRange), 1, COLUMN()-2 )</f>
        <v>-706.80159003310848</v>
      </c>
      <c r="M80" s="2" cm="1">
        <f t="array" ref="M80">INDEX( ComputeThermoProps($A80, $B80, ParametersRange), 1, COLUMN()-2 )</f>
        <v>5170.2496224650422</v>
      </c>
      <c r="N80" s="2" cm="1">
        <f t="array" ref="N80">INDEX( ComputeThermoProps($A80, $B80, ParametersRange), 1, COLUMN()-2 )</f>
        <v>3492.4807056875634</v>
      </c>
    </row>
    <row r="81" spans="1:14" x14ac:dyDescent="0.25">
      <c r="A81" s="2">
        <v>63.1</v>
      </c>
      <c r="B81" s="2">
        <f t="shared" si="0"/>
        <v>357.51422342647209</v>
      </c>
      <c r="C81" s="2" cm="1">
        <f t="array" ref="C81">INDEX( ComputeThermoProps($A81, $B81, ParametersRange), 1, COLUMN()-2 )</f>
        <v>12.079389021482319</v>
      </c>
      <c r="D81" s="2" cm="1">
        <f t="array" ref="D81">INDEX( ComputeThermoProps($A81, $B81, ParametersRange), 1, COLUMN()-2 )</f>
        <v>9.0764127490425837E-4</v>
      </c>
      <c r="E81" s="2" cm="1">
        <f t="array" ref="E81">INDEX( ComputeThermoProps($A81, $B81, ParametersRange), 1, COLUMN()-2 )</f>
        <v>4.3969639604422698E-4</v>
      </c>
      <c r="F81" s="2" cm="1">
        <f t="array" ref="F81">INDEX( ComputeThermoProps($A81, $B81, ParametersRange), 1, COLUMN()-2 )</f>
        <v>5.3795343418779401E-3</v>
      </c>
      <c r="G81" s="2" cm="1">
        <f t="array" ref="G81">INDEX( ComputeThermoProps($A81, $B81, ParametersRange), 1, COLUMN()-2 )</f>
        <v>47.137766114464007</v>
      </c>
      <c r="H81" s="2" cm="1">
        <f t="array" ref="H81">INDEX( ComputeThermoProps($A81, $B81, ParametersRange), 1, COLUMN()-2 )</f>
        <v>22.835349659800126</v>
      </c>
      <c r="I81" s="2" cm="1">
        <f t="array" ref="I81">INDEX( ComputeThermoProps($A81, $B81, ParametersRange), 1, COLUMN()-2 )</f>
        <v>3.1352180389565465</v>
      </c>
      <c r="J81" s="2" cm="1">
        <f t="array" ref="J81">INDEX( ComputeThermoProps($A81, $B81, ParametersRange), 1, COLUMN()-2 )</f>
        <v>992.60990399000798</v>
      </c>
      <c r="K81" s="2" cm="1">
        <f t="array" ref="K81">INDEX( ComputeThermoProps($A81, $B81, ParametersRange), 1, COLUMN()-2 )</f>
        <v>27.002639047365339</v>
      </c>
      <c r="L81" s="2" cm="1">
        <f t="array" ref="L81">INDEX( ComputeThermoProps($A81, $B81, ParametersRange), 1, COLUMN()-2 )</f>
        <v>-711.25661989874493</v>
      </c>
      <c r="M81" s="2" cm="1">
        <f t="array" ref="M81">INDEX( ComputeThermoProps($A81, $B81, ParametersRange), 1, COLUMN()-2 )</f>
        <v>5311.1632894715121</v>
      </c>
      <c r="N81" s="2" cm="1">
        <f t="array" ref="N81">INDEX( ComputeThermoProps($A81, $B81, ParametersRange), 1, COLUMN()-2 )</f>
        <v>3607.2967655827592</v>
      </c>
    </row>
    <row r="82" spans="1:14" x14ac:dyDescent="0.25">
      <c r="A82" s="2">
        <v>64.099999999999994</v>
      </c>
      <c r="B82" s="2">
        <f t="shared" si="0"/>
        <v>369.32922987285292</v>
      </c>
      <c r="C82" s="2" cm="1">
        <f t="array" ref="C82">INDEX( ComputeThermoProps($A82, $B82, ParametersRange), 1, COLUMN()-2 )</f>
        <v>12.015571490968592</v>
      </c>
      <c r="D82" s="2" cm="1">
        <f t="array" ref="D82">INDEX( ComputeThermoProps($A82, $B82, ParametersRange), 1, COLUMN()-2 )</f>
        <v>8.9543749888496796E-4</v>
      </c>
      <c r="E82" s="2" cm="1">
        <f t="array" ref="E82">INDEX( ComputeThermoProps($A82, $B82, ParametersRange), 1, COLUMN()-2 )</f>
        <v>4.3261868475564586E-4</v>
      </c>
      <c r="F82" s="2" cm="1">
        <f t="array" ref="F82">INDEX( ComputeThermoProps($A82, $B82, ParametersRange), 1, COLUMN()-2 )</f>
        <v>5.3289305597512488E-3</v>
      </c>
      <c r="G82" s="2" cm="1">
        <f t="array" ref="G82">INDEX( ComputeThermoProps($A82, $B82, ParametersRange), 1, COLUMN()-2 )</f>
        <v>47.257590882978874</v>
      </c>
      <c r="H82" s="2" cm="1">
        <f t="array" ref="H82">INDEX( ComputeThermoProps($A82, $B82, ParametersRange), 1, COLUMN()-2 )</f>
        <v>22.831874740529621</v>
      </c>
      <c r="I82" s="2" cm="1">
        <f t="array" ref="I82">INDEX( ComputeThermoProps($A82, $B82, ParametersRange), 1, COLUMN()-2 )</f>
        <v>3.1318982345380535</v>
      </c>
      <c r="J82" s="2" cm="1">
        <f t="array" ref="J82">INDEX( ComputeThermoProps($A82, $B82, ParametersRange), 1, COLUMN()-2 )</f>
        <v>1014.5299478405556</v>
      </c>
      <c r="K82" s="2" cm="1">
        <f t="array" ref="K82">INDEX( ComputeThermoProps($A82, $B82, ParametersRange), 1, COLUMN()-2 )</f>
        <v>26.982650099953883</v>
      </c>
      <c r="L82" s="2" cm="1">
        <f t="array" ref="L82">INDEX( ComputeThermoProps($A82, $B82, ParametersRange), 1, COLUMN()-2 )</f>
        <v>-715.05792356648817</v>
      </c>
      <c r="M82" s="2" cm="1">
        <f t="array" ref="M82">INDEX( ComputeThermoProps($A82, $B82, ParametersRange), 1, COLUMN()-2 )</f>
        <v>5452.231713082193</v>
      </c>
      <c r="N82" s="2" cm="1">
        <f t="array" ref="N82">INDEX( ComputeThermoProps($A82, $B82, ParametersRange), 1, COLUMN()-2 )</f>
        <v>3722.6438416751494</v>
      </c>
    </row>
    <row r="83" spans="1:14" x14ac:dyDescent="0.25">
      <c r="A83" s="2">
        <v>65.099999999999994</v>
      </c>
      <c r="B83" s="2">
        <f t="shared" ref="B83:B117" si="1">IF(
  A83 &lt;= $B$5,
  $B$6 * EXP( ($B$5/A83) * ( $B$8*(1 - A83/$B$5) + $B$9*(1 - A83/$B$5)^1.5 + $B$10*(1 - A83/$B$5)^5 ) ),
  $B$6 * ( 1 + $B$12 * MAX(A83/$B$5 - 1, 0)^$B$13 + $B$14 * MAX(A83/$B$5 - 1, 0)^$B$15 )
)</f>
        <v>381.24742125430674</v>
      </c>
      <c r="C83" s="2" cm="1">
        <f t="array" ref="C83">INDEX( ComputeThermoProps($A83, $B83, ParametersRange), 1, COLUMN()-2 )</f>
        <v>11.952100220482709</v>
      </c>
      <c r="D83" s="2" cm="1">
        <f t="array" ref="D83">INDEX( ComputeThermoProps($A83, $B83, ParametersRange), 1, COLUMN()-2 )</f>
        <v>8.8346745266320811E-4</v>
      </c>
      <c r="E83" s="2" cm="1">
        <f t="array" ref="E83">INDEX( ComputeThermoProps($A83, $B83, ParametersRange), 1, COLUMN()-2 )</f>
        <v>4.2573062068232284E-4</v>
      </c>
      <c r="F83" s="2" cm="1">
        <f t="array" ref="F83">INDEX( ComputeThermoProps($A83, $B83, ParametersRange), 1, COLUMN()-2 )</f>
        <v>5.2790087536821687E-3</v>
      </c>
      <c r="G83" s="2" cm="1">
        <f t="array" ref="G83">INDEX( ComputeThermoProps($A83, $B83, ParametersRange), 1, COLUMN()-2 )</f>
        <v>47.371170890692127</v>
      </c>
      <c r="H83" s="2" cm="1">
        <f t="array" ref="H83">INDEX( ComputeThermoProps($A83, $B83, ParametersRange), 1, COLUMN()-2 )</f>
        <v>22.827505331349045</v>
      </c>
      <c r="I83" s="2" cm="1">
        <f t="array" ref="I83">INDEX( ComputeThermoProps($A83, $B83, ParametersRange), 1, COLUMN()-2 )</f>
        <v>3.1285824218234142</v>
      </c>
      <c r="J83" s="2" cm="1">
        <f t="array" ref="J83">INDEX( ComputeThermoProps($A83, $B83, ParametersRange), 1, COLUMN()-2 )</f>
        <v>1036.7280436905785</v>
      </c>
      <c r="K83" s="2" cm="1">
        <f t="array" ref="K83">INDEX( ComputeThermoProps($A83, $B83, ParametersRange), 1, COLUMN()-2 )</f>
        <v>26.957563336538858</v>
      </c>
      <c r="L83" s="2" cm="1">
        <f t="array" ref="L83">INDEX( ComputeThermoProps($A83, $B83, ParametersRange), 1, COLUMN()-2 )</f>
        <v>-718.20932951810096</v>
      </c>
      <c r="M83" s="2" cm="1">
        <f t="array" ref="M83">INDEX( ComputeThermoProps($A83, $B83, ParametersRange), 1, COLUMN()-2 )</f>
        <v>5593.4354313226422</v>
      </c>
      <c r="N83" s="2" cm="1">
        <f t="array" ref="N83">INDEX( ComputeThermoProps($A83, $B83, ParametersRange), 1, COLUMN()-2 )</f>
        <v>3838.4980581139625</v>
      </c>
    </row>
    <row r="84" spans="1:14" x14ac:dyDescent="0.25">
      <c r="A84" s="2">
        <v>66.099999999999994</v>
      </c>
      <c r="B84" s="2">
        <f t="shared" si="1"/>
        <v>393.26721605024255</v>
      </c>
      <c r="C84" s="2" cm="1">
        <f t="array" ref="C84">INDEX( ComputeThermoProps($A84, $B84, ParametersRange), 1, COLUMN()-2 )</f>
        <v>11.888994363089889</v>
      </c>
      <c r="D84" s="2" cm="1">
        <f t="array" ref="D84">INDEX( ComputeThermoProps($A84, $B84, ParametersRange), 1, COLUMN()-2 )</f>
        <v>8.7172878896889618E-4</v>
      </c>
      <c r="E84" s="2" cm="1">
        <f t="array" ref="E84">INDEX( ComputeThermoProps($A84, $B84, ParametersRange), 1, COLUMN()-2 )</f>
        <v>4.1902586587540404E-4</v>
      </c>
      <c r="F84" s="2" cm="1">
        <f t="array" ref="F84">INDEX( ComputeThermoProps($A84, $B84, ParametersRange), 1, COLUMN()-2 )</f>
        <v>5.2297776798328199E-3</v>
      </c>
      <c r="G84" s="2" cm="1">
        <f t="array" ref="G84">INDEX( ComputeThermoProps($A84, $B84, ParametersRange), 1, COLUMN()-2 )</f>
        <v>47.4788002666022</v>
      </c>
      <c r="H84" s="2" cm="1">
        <f t="array" ref="H84">INDEX( ComputeThermoProps($A84, $B84, ParametersRange), 1, COLUMN()-2 )</f>
        <v>22.822287899853002</v>
      </c>
      <c r="I84" s="2" cm="1">
        <f t="array" ref="I84">INDEX( ComputeThermoProps($A84, $B84, ParametersRange), 1, COLUMN()-2 )</f>
        <v>3.1252717037639268</v>
      </c>
      <c r="J84" s="2" cm="1">
        <f t="array" ref="J84">INDEX( ComputeThermoProps($A84, $B84, ParametersRange), 1, COLUMN()-2 )</f>
        <v>1059.2043846171289</v>
      </c>
      <c r="K84" s="2" cm="1">
        <f t="array" ref="K84">INDEX( ComputeThermoProps($A84, $B84, ParametersRange), 1, COLUMN()-2 )</f>
        <v>26.927676925613312</v>
      </c>
      <c r="L84" s="2" cm="1">
        <f t="array" ref="L84">INDEX( ComputeThermoProps($A84, $B84, ParametersRange), 1, COLUMN()-2 )</f>
        <v>-720.71506016591093</v>
      </c>
      <c r="M84" s="2" cm="1">
        <f t="array" ref="M84">INDEX( ComputeThermoProps($A84, $B84, ParametersRange), 1, COLUMN()-2 )</f>
        <v>5734.7560994265159</v>
      </c>
      <c r="N84" s="2" cm="1">
        <f t="array" ref="N84">INDEX( ComputeThermoProps($A84, $B84, ParametersRange), 1, COLUMN()-2 )</f>
        <v>3954.8366546434763</v>
      </c>
    </row>
    <row r="85" spans="1:14" x14ac:dyDescent="0.25">
      <c r="A85" s="2">
        <v>67.099999999999994</v>
      </c>
      <c r="B85" s="2">
        <f t="shared" si="1"/>
        <v>405.38709273719024</v>
      </c>
      <c r="C85" s="2" cm="1">
        <f t="array" ref="C85">INDEX( ComputeThermoProps($A85, $B85, ParametersRange), 1, COLUMN()-2 )</f>
        <v>11.826270969795326</v>
      </c>
      <c r="D85" s="2" cm="1">
        <f t="array" ref="D85">INDEX( ComputeThermoProps($A85, $B85, ParametersRange), 1, COLUMN()-2 )</f>
        <v>8.6021877980678311E-4</v>
      </c>
      <c r="E85" s="2" cm="1">
        <f t="array" ref="E85">INDEX( ComputeThermoProps($A85, $B85, ParametersRange), 1, COLUMN()-2 )</f>
        <v>4.1249829266445194E-4</v>
      </c>
      <c r="F85" s="2" cm="1">
        <f t="array" ref="F85">INDEX( ComputeThermoProps($A85, $B85, ParametersRange), 1, COLUMN()-2 )</f>
        <v>5.1812431219277529E-3</v>
      </c>
      <c r="G85" s="2" cm="1">
        <f t="array" ref="G85">INDEX( ComputeThermoProps($A85, $B85, ParametersRange), 1, COLUMN()-2 )</f>
        <v>47.580754103216734</v>
      </c>
      <c r="H85" s="2" cm="1">
        <f t="array" ref="H85">INDEX( ComputeThermoProps($A85, $B85, ParametersRange), 1, COLUMN()-2 )</f>
        <v>22.816265224612401</v>
      </c>
      <c r="I85" s="2" cm="1">
        <f t="array" ref="I85">INDEX( ComputeThermoProps($A85, $B85, ParametersRange), 1, COLUMN()-2 )</f>
        <v>3.1219670905607524</v>
      </c>
      <c r="J85" s="2" cm="1">
        <f t="array" ref="J85">INDEX( ComputeThermoProps($A85, $B85, ParametersRange), 1, COLUMN()-2 )</f>
        <v>1081.9588072315469</v>
      </c>
      <c r="K85" s="2" cm="1">
        <f t="array" ref="K85">INDEX( ComputeThermoProps($A85, $B85, ParametersRange), 1, COLUMN()-2 )</f>
        <v>26.893271121292049</v>
      </c>
      <c r="L85" s="2" cm="1">
        <f t="array" ref="L85">INDEX( ComputeThermoProps($A85, $B85, ParametersRange), 1, COLUMN()-2 )</f>
        <v>-722.57968500714946</v>
      </c>
      <c r="M85" s="2" cm="1">
        <f t="array" ref="M85">INDEX( ComputeThermoProps($A85, $B85, ParametersRange), 1, COLUMN()-2 )</f>
        <v>5876.1764135991052</v>
      </c>
      <c r="N85" s="2" cm="1">
        <f t="array" ref="N85">INDEX( ComputeThermoProps($A85, $B85, ParametersRange), 1, COLUMN()-2 )</f>
        <v>4071.6379213604091</v>
      </c>
    </row>
    <row r="86" spans="1:14" x14ac:dyDescent="0.25">
      <c r="A86" s="2">
        <v>68.099999999999994</v>
      </c>
      <c r="B86" s="2">
        <f t="shared" si="1"/>
        <v>417.60558623139832</v>
      </c>
      <c r="C86" s="2" cm="1">
        <f t="array" ref="C86">INDEX( ComputeThermoProps($A86, $B86, ParametersRange), 1, COLUMN()-2 )</f>
        <v>11.763945163226895</v>
      </c>
      <c r="D86" s="2" cm="1">
        <f t="array" ref="D86">INDEX( ComputeThermoProps($A86, $B86, ParametersRange), 1, COLUMN()-2 )</f>
        <v>8.4893437684134228E-4</v>
      </c>
      <c r="E86" s="2" cm="1">
        <f t="array" ref="E86">INDEX( ComputeThermoProps($A86, $B86, ParametersRange), 1, COLUMN()-2 )</f>
        <v>4.0614198126581578E-4</v>
      </c>
      <c r="F86" s="2" cm="1">
        <f t="array" ref="F86">INDEX( ComputeThermoProps($A86, $B86, ParametersRange), 1, COLUMN()-2 )</f>
        <v>5.1334082575744807E-3</v>
      </c>
      <c r="G86" s="2" cm="1">
        <f t="array" ref="G86">INDEX( ComputeThermoProps($A86, $B86, ParametersRange), 1, COLUMN()-2 )</f>
        <v>47.677289709176563</v>
      </c>
      <c r="H86" s="2" cm="1">
        <f t="array" ref="H86">INDEX( ComputeThermoProps($A86, $B86, ParametersRange), 1, COLUMN()-2 )</f>
        <v>22.809476718231846</v>
      </c>
      <c r="I86" s="2" cm="1">
        <f t="array" ref="I86">INDEX( ComputeThermoProps($A86, $B86, ParametersRange), 1, COLUMN()-2 )</f>
        <v>3.118669506734586</v>
      </c>
      <c r="J86" s="2" cm="1">
        <f t="array" ref="J86">INDEX( ComputeThermoProps($A86, $B86, ParametersRange), 1, COLUMN()-2 )</f>
        <v>1104.9908248468507</v>
      </c>
      <c r="K86" s="2" cm="1">
        <f t="array" ref="K86">INDEX( ComputeThermoProps($A86, $B86, ParametersRange), 1, COLUMN()-2 )</f>
        <v>26.854609446885515</v>
      </c>
      <c r="L86" s="2" cm="1">
        <f t="array" ref="L86">INDEX( ComputeThermoProps($A86, $B86, ParametersRange), 1, COLUMN()-2 )</f>
        <v>-723.80807848605275</v>
      </c>
      <c r="M86" s="2" cm="1">
        <f t="array" ref="M86">INDEX( ComputeThermoProps($A86, $B86, ParametersRange), 1, COLUMN()-2 )</f>
        <v>6017.6800411302411</v>
      </c>
      <c r="N86" s="2" cm="1">
        <f t="array" ref="N86">INDEX( ComputeThermoProps($A86, $B86, ParametersRange), 1, COLUMN()-2 )</f>
        <v>4188.8811377973379</v>
      </c>
    </row>
    <row r="87" spans="1:14" x14ac:dyDescent="0.25">
      <c r="A87" s="2">
        <v>69.099999999999994</v>
      </c>
      <c r="B87" s="2">
        <f t="shared" si="1"/>
        <v>429.92128461422504</v>
      </c>
      <c r="C87" s="2" cm="1">
        <f t="array" ref="C87">INDEX( ComputeThermoProps($A87, $B87, ParametersRange), 1, COLUMN()-2 )</f>
        <v>11.702030297523814</v>
      </c>
      <c r="D87" s="2" cm="1">
        <f t="array" ref="D87">INDEX( ComputeThermoProps($A87, $B87, ParametersRange), 1, COLUMN()-2 )</f>
        <v>8.3787226574825058E-4</v>
      </c>
      <c r="E87" s="2" cm="1">
        <f t="array" ref="E87">INDEX( ComputeThermoProps($A87, $B87, ParametersRange), 1, COLUMN()-2 )</f>
        <v>3.9995121639204752E-4</v>
      </c>
      <c r="F87" s="2" cm="1">
        <f t="array" ref="F87">INDEX( ComputeThermoProps($A87, $B87, ParametersRange), 1, COLUMN()-2 )</f>
        <v>5.0862739999634528E-3</v>
      </c>
      <c r="G87" s="2" cm="1">
        <f t="array" ref="G87">INDEX( ComputeThermoProps($A87, $B87, ParametersRange), 1, COLUMN()-2 )</f>
        <v>47.768647943994416</v>
      </c>
      <c r="H87" s="2" cm="1">
        <f t="array" ref="H87">INDEX( ComputeThermoProps($A87, $B87, ParametersRange), 1, COLUMN()-2 )</f>
        <v>22.80195876103199</v>
      </c>
      <c r="I87" s="2" cm="1">
        <f t="array" ref="I87">INDEX( ComputeThermoProps($A87, $B87, ParametersRange), 1, COLUMN()-2 )</f>
        <v>3.1153797974619852</v>
      </c>
      <c r="J87" s="2" cm="1">
        <f t="array" ref="J87">INDEX( ComputeThermoProps($A87, $B87, ParametersRange), 1, COLUMN()-2 )</f>
        <v>1128.2996581410687</v>
      </c>
      <c r="K87" s="2" cm="1">
        <f t="array" ref="K87">INDEX( ComputeThermoProps($A87, $B87, ParametersRange), 1, COLUMN()-2 )</f>
        <v>26.811939774137734</v>
      </c>
      <c r="L87" s="2" cm="1">
        <f t="array" ref="L87">INDEX( ComputeThermoProps($A87, $B87, ParametersRange), 1, COLUMN()-2 )</f>
        <v>-724.40538025184856</v>
      </c>
      <c r="M87" s="2" cm="1">
        <f t="array" ref="M87">INDEX( ComputeThermoProps($A87, $B87, ParametersRange), 1, COLUMN()-2 )</f>
        <v>6159.251556247089</v>
      </c>
      <c r="N87" s="2" cm="1">
        <f t="array" ref="N87">INDEX( ComputeThermoProps($A87, $B87, ParametersRange), 1, COLUMN()-2 )</f>
        <v>4306.5465178541717</v>
      </c>
    </row>
    <row r="88" spans="1:14" x14ac:dyDescent="0.25">
      <c r="A88" s="2">
        <v>70.099999999999994</v>
      </c>
      <c r="B88" s="2">
        <f t="shared" si="1"/>
        <v>442.33282611243709</v>
      </c>
      <c r="C88" s="2" cm="1">
        <f t="array" ref="C88">INDEX( ComputeThermoProps($A88, $B88, ParametersRange), 1, COLUMN()-2 )</f>
        <v>11.640538105499964</v>
      </c>
      <c r="D88" s="2" cm="1">
        <f t="array" ref="D88">INDEX( ComputeThermoProps($A88, $B88, ParametersRange), 1, COLUMN()-2 )</f>
        <v>8.2702891407535897E-4</v>
      </c>
      <c r="E88" s="2" cm="1">
        <f t="array" ref="E88">INDEX( ComputeThermoProps($A88, $B88, ParametersRange), 1, COLUMN()-2 )</f>
        <v>3.9392048339903209E-4</v>
      </c>
      <c r="F88" s="2" cm="1">
        <f t="array" ref="F88">INDEX( ComputeThermoProps($A88, $B88, ParametersRange), 1, COLUMN()-2 )</f>
        <v>5.0398392957149421E-3</v>
      </c>
      <c r="G88" s="2" cm="1">
        <f t="array" ref="G88">INDEX( ComputeThermoProps($A88, $B88, ParametersRange), 1, COLUMN()-2 )</f>
        <v>47.855054378182253</v>
      </c>
      <c r="H88" s="2" cm="1">
        <f t="array" ref="H88">INDEX( ComputeThermoProps($A88, $B88, ParametersRange), 1, COLUMN()-2 )</f>
        <v>22.793744974220825</v>
      </c>
      <c r="I88" s="2" cm="1">
        <f t="array" ref="I88">INDEX( ComputeThermoProps($A88, $B88, ParametersRange), 1, COLUMN()-2 )</f>
        <v>3.1120987347312621</v>
      </c>
      <c r="J88" s="2" cm="1">
        <f t="array" ref="J88">INDEX( ComputeThermoProps($A88, $B88, ParametersRange), 1, COLUMN()-2 )</f>
        <v>1151.884263451115</v>
      </c>
      <c r="K88" s="2" cm="1">
        <f t="array" ref="K88">INDEX( ComputeThermoProps($A88, $B88, ParametersRange), 1, COLUMN()-2 )</f>
        <v>26.765495362155363</v>
      </c>
      <c r="L88" s="2" cm="1">
        <f t="array" ref="L88">INDEX( ComputeThermoProps($A88, $B88, ParametersRange), 1, COLUMN()-2 )</f>
        <v>-724.37696143597577</v>
      </c>
      <c r="M88" s="2" cm="1">
        <f t="array" ref="M88">INDEX( ComputeThermoProps($A88, $B88, ParametersRange), 1, COLUMN()-2 )</f>
        <v>6300.876381126428</v>
      </c>
      <c r="N88" s="2" cm="1">
        <f t="array" ref="N88">INDEX( ComputeThermoProps($A88, $B88, ParametersRange), 1, COLUMN()-2 )</f>
        <v>4424.615156239337</v>
      </c>
    </row>
    <row r="89" spans="1:14" x14ac:dyDescent="0.25">
      <c r="A89" s="2">
        <v>71.099999999999994</v>
      </c>
      <c r="B89" s="2">
        <f t="shared" si="1"/>
        <v>454.8388963087811</v>
      </c>
      <c r="C89" s="2" cm="1">
        <f t="array" ref="C89">INDEX( ComputeThermoProps($A89, $B89, ParametersRange), 1, COLUMN()-2 )</f>
        <v>11.5794788340741</v>
      </c>
      <c r="D89" s="2" cm="1">
        <f t="array" ref="D89">INDEX( ComputeThermoProps($A89, $B89, ParametersRange), 1, COLUMN()-2 )</f>
        <v>8.1640061210533539E-4</v>
      </c>
      <c r="E89" s="2" cm="1">
        <f t="array" ref="E89">INDEX( ComputeThermoProps($A89, $B89, ParametersRange), 1, COLUMN()-2 )</f>
        <v>3.8804446371446189E-4</v>
      </c>
      <c r="F89" s="2" cm="1">
        <f t="array" ref="F89">INDEX( ComputeThermoProps($A89, $B89, ParametersRange), 1, COLUMN()-2 )</f>
        <v>4.9941013795817444E-3</v>
      </c>
      <c r="G89" s="2" cm="1">
        <f t="array" ref="G89">INDEX( ComputeThermoProps($A89, $B89, ParametersRange), 1, COLUMN()-2 )</f>
        <v>47.936720303318495</v>
      </c>
      <c r="H89" s="2" cm="1">
        <f t="array" ref="H89">INDEX( ComputeThermoProps($A89, $B89, ParametersRange), 1, COLUMN()-2 )</f>
        <v>22.784866457120355</v>
      </c>
      <c r="I89" s="2" cm="1">
        <f t="array" ref="I89">INDEX( ComputeThermoProps($A89, $B89, ParametersRange), 1, COLUMN()-2 )</f>
        <v>3.1088270227783013</v>
      </c>
      <c r="J89" s="2" cm="1">
        <f t="array" ref="J89">INDEX( ComputeThermoProps($A89, $B89, ParametersRange), 1, COLUMN()-2 )</f>
        <v>1175.7433588749041</v>
      </c>
      <c r="K89" s="2" cm="1">
        <f t="array" ref="K89">INDEX( ComputeThermoProps($A89, $B89, ParametersRange), 1, COLUMN()-2 )</f>
        <v>26.715495795430435</v>
      </c>
      <c r="L89" s="2" cm="1">
        <f t="array" ref="L89">INDEX( ComputeThermoProps($A89, $B89, ParametersRange), 1, COLUMN()-2 )</f>
        <v>-723.72839218019976</v>
      </c>
      <c r="M89" s="2" cm="1">
        <f t="array" ref="M89">INDEX( ComputeThermoProps($A89, $B89, ParametersRange), 1, COLUMN()-2 )</f>
        <v>6442.5407315960592</v>
      </c>
      <c r="N89" s="2" cm="1">
        <f t="array" ref="N89">INDEX( ComputeThermoProps($A89, $B89, ParametersRange), 1, COLUMN()-2 )</f>
        <v>4543.0689805409556</v>
      </c>
    </row>
    <row r="90" spans="1:14" x14ac:dyDescent="0.25">
      <c r="A90" s="2">
        <v>72.099999999999994</v>
      </c>
      <c r="B90" s="2">
        <f t="shared" si="1"/>
        <v>467.43822556102043</v>
      </c>
      <c r="C90" s="2" cm="1">
        <f t="array" ref="C90">INDEX( ComputeThermoProps($A90, $B90, ParametersRange), 1, COLUMN()-2 )</f>
        <v>11.518861368886975</v>
      </c>
      <c r="D90" s="2" cm="1">
        <f t="array" ref="D90">INDEX( ComputeThermoProps($A90, $B90, ParametersRange), 1, COLUMN()-2 )</f>
        <v>8.0598351047079641E-4</v>
      </c>
      <c r="E90" s="2" cm="1">
        <f t="array" ref="E90">INDEX( ComputeThermoProps($A90, $B90, ParametersRange), 1, COLUMN()-2 )</f>
        <v>3.8231802993918875E-4</v>
      </c>
      <c r="F90" s="2" cm="1">
        <f t="array" ref="F90">INDEX( ComputeThermoProps($A90, $B90, ParametersRange), 1, COLUMN()-2 )</f>
        <v>4.9490560188529811E-3</v>
      </c>
      <c r="G90" s="2" cm="1">
        <f t="array" ref="G90">INDEX( ComputeThermoProps($A90, $B90, ParametersRange), 1, COLUMN()-2 )</f>
        <v>48.013843837407073</v>
      </c>
      <c r="H90" s="2" cm="1">
        <f t="array" ref="H90">INDEX( ComputeThermoProps($A90, $B90, ParametersRange), 1, COLUMN()-2 )</f>
        <v>22.775352035431563</v>
      </c>
      <c r="I90" s="2" cm="1">
        <f t="array" ref="I90">INDEX( ComputeThermoProps($A90, $B90, ParametersRange), 1, COLUMN()-2 )</f>
        <v>3.1055653032143082</v>
      </c>
      <c r="J90" s="2" cm="1">
        <f t="array" ref="J90">INDEX( ComputeThermoProps($A90, $B90, ParametersRange), 1, COLUMN()-2 )</f>
        <v>1199.8754483182477</v>
      </c>
      <c r="K90" s="2" cm="1">
        <f t="array" ref="K90">INDEX( ComputeThermoProps($A90, $B90, ParametersRange), 1, COLUMN()-2 )</f>
        <v>26.662147868917177</v>
      </c>
      <c r="L90" s="2" cm="1">
        <f t="array" ref="L90">INDEX( ComputeThermoProps($A90, $B90, ParametersRange), 1, COLUMN()-2 )</f>
        <v>-722.46541303068068</v>
      </c>
      <c r="M90" s="2" cm="1">
        <f t="array" ref="M90">INDEX( ComputeThermoProps($A90, $B90, ParametersRange), 1, COLUMN()-2 )</f>
        <v>6584.2315670741618</v>
      </c>
      <c r="N90" s="2" cm="1">
        <f t="array" ref="N90">INDEX( ComputeThermoProps($A90, $B90, ParametersRange), 1, COLUMN()-2 )</f>
        <v>4661.8907057252336</v>
      </c>
    </row>
    <row r="91" spans="1:14" x14ac:dyDescent="0.25">
      <c r="A91" s="2">
        <v>73.099999999999994</v>
      </c>
      <c r="B91" s="2">
        <f t="shared" si="1"/>
        <v>480.12958661006644</v>
      </c>
      <c r="C91" s="2" cm="1">
        <f t="array" ref="C91">INDEX( ComputeThermoProps($A91, $B91, ParametersRange), 1, COLUMN()-2 )</f>
        <v>11.458693348957267</v>
      </c>
      <c r="D91" s="2" cm="1">
        <f t="array" ref="D91">INDEX( ComputeThermoProps($A91, $B91, ParametersRange), 1, COLUMN()-2 )</f>
        <v>7.9577365147014698E-4</v>
      </c>
      <c r="E91" s="2" cm="1">
        <f t="array" ref="E91">INDEX( ComputeThermoProps($A91, $B91, ParametersRange), 1, COLUMN()-2 )</f>
        <v>3.7673624063330491E-4</v>
      </c>
      <c r="F91" s="2" cm="1">
        <f t="array" ref="F91">INDEX( ComputeThermoProps($A91, $B91, ParametersRange), 1, COLUMN()-2 )</f>
        <v>4.904697711148656E-3</v>
      </c>
      <c r="G91" s="2" cm="1">
        <f t="array" ref="G91">INDEX( ComputeThermoProps($A91, $B91, ParametersRange), 1, COLUMN()-2 )</f>
        <v>48.08661076980642</v>
      </c>
      <c r="H91" s="2" cm="1">
        <f t="array" ref="H91">INDEX( ComputeThermoProps($A91, $B91, ParametersRange), 1, COLUMN()-2 )</f>
        <v>22.765228444980092</v>
      </c>
      <c r="I91" s="2" cm="1">
        <f t="array" ref="I91">INDEX( ComputeThermoProps($A91, $B91, ParametersRange), 1, COLUMN()-2 )</f>
        <v>3.1023141597449322</v>
      </c>
      <c r="J91" s="2" cm="1">
        <f t="array" ref="J91">INDEX( ComputeThermoProps($A91, $B91, ParametersRange), 1, COLUMN()-2 )</f>
        <v>1224.2788436322314</v>
      </c>
      <c r="K91" s="2" cm="1">
        <f t="array" ref="K91">INDEX( ComputeThermoProps($A91, $B91, ParametersRange), 1, COLUMN()-2 )</f>
        <v>26.605646409638378</v>
      </c>
      <c r="L91" s="2" cm="1">
        <f t="array" ref="L91">INDEX( ComputeThermoProps($A91, $B91, ParametersRange), 1, COLUMN()-2 )</f>
        <v>-720.59390891233386</v>
      </c>
      <c r="M91" s="2" cm="1">
        <f t="array" ref="M91">INDEX( ComputeThermoProps($A91, $B91, ParametersRange), 1, COLUMN()-2 )</f>
        <v>6725.9365443586021</v>
      </c>
      <c r="N91" s="2" cm="1">
        <f t="array" ref="N91">INDEX( ComputeThermoProps($A91, $B91, ParametersRange), 1, COLUMN()-2 )</f>
        <v>4781.0637918140364</v>
      </c>
    </row>
    <row r="92" spans="1:14" x14ac:dyDescent="0.25">
      <c r="A92" s="2">
        <v>74.099999999999994</v>
      </c>
      <c r="B92" s="2">
        <f t="shared" si="1"/>
        <v>492.91179235997663</v>
      </c>
      <c r="C92" s="2" cm="1">
        <f t="array" ref="C92">INDEX( ComputeThermoProps($A92, $B92, ParametersRange), 1, COLUMN()-2 )</f>
        <v>11.398981272164164</v>
      </c>
      <c r="D92" s="2" cm="1">
        <f t="array" ref="D92">INDEX( ComputeThermoProps($A92, $B92, ParametersRange), 1, COLUMN()-2 )</f>
        <v>7.8576699689906625E-4</v>
      </c>
      <c r="E92" s="2" cm="1">
        <f t="array" ref="E92">INDEX( ComputeThermoProps($A92, $B92, ParametersRange), 1, COLUMN()-2 )</f>
        <v>3.7129433488962372E-4</v>
      </c>
      <c r="F92" s="2" cm="1">
        <f t="array" ref="F92">INDEX( ComputeThermoProps($A92, $B92, ParametersRange), 1, COLUMN()-2 )</f>
        <v>4.8610198649267295E-3</v>
      </c>
      <c r="G92" s="2" cm="1">
        <f t="array" ref="G92">INDEX( ComputeThermoProps($A92, $B92, ParametersRange), 1, COLUMN()-2 )</f>
        <v>48.155195396027949</v>
      </c>
      <c r="H92" s="2" cm="1">
        <f t="array" ref="H92">INDEX( ComputeThermoProps($A92, $B92, ParametersRange), 1, COLUMN()-2 )</f>
        <v>22.754520508761921</v>
      </c>
      <c r="I92" s="2" cm="1">
        <f t="array" ref="I92">INDEX( ComputeThermoProps($A92, $B92, ParametersRange), 1, COLUMN()-2 )</f>
        <v>3.0990741225309324</v>
      </c>
      <c r="J92" s="2" cm="1">
        <f t="array" ref="J92">INDEX( ComputeThermoProps($A92, $B92, ParametersRange), 1, COLUMN()-2 )</f>
        <v>1248.9516849755323</v>
      </c>
      <c r="K92" s="2" cm="1">
        <f t="array" ref="K92">INDEX( ComputeThermoProps($A92, $B92, ParametersRange), 1, COLUMN()-2 )</f>
        <v>26.546175041460007</v>
      </c>
      <c r="L92" s="2" cm="1">
        <f t="array" ref="L92">INDEX( ComputeThermoProps($A92, $B92, ParametersRange), 1, COLUMN()-2 )</f>
        <v>-718.11988559665406</v>
      </c>
      <c r="M92" s="2" cm="1">
        <f t="array" ref="M92">INDEX( ComputeThermoProps($A92, $B92, ParametersRange), 1, COLUMN()-2 )</f>
        <v>6867.6439749157771</v>
      </c>
      <c r="N92" s="2" cm="1">
        <f t="array" ref="N92">INDEX( ComputeThermoProps($A92, $B92, ParametersRange), 1, COLUMN()-2 )</f>
        <v>4900.5724043435912</v>
      </c>
    </row>
    <row r="93" spans="1:14" x14ac:dyDescent="0.25">
      <c r="A93" s="2">
        <v>75.099999999999994</v>
      </c>
      <c r="B93" s="2">
        <f t="shared" si="1"/>
        <v>505.78369381445168</v>
      </c>
      <c r="C93" s="2" cm="1">
        <f t="array" ref="C93">INDEX( ComputeThermoProps($A93, $B93, ParametersRange), 1, COLUMN()-2 )</f>
        <v>11.339730592284553</v>
      </c>
      <c r="D93" s="2" cm="1">
        <f t="array" ref="D93">INDEX( ComputeThermoProps($A93, $B93, ParametersRange), 1, COLUMN()-2 )</f>
        <v>7.7595945315769453E-4</v>
      </c>
      <c r="E93" s="2" cm="1">
        <f t="array" ref="E93">INDEX( ComputeThermoProps($A93, $B93, ParametersRange), 1, COLUMN()-2 )</f>
        <v>3.6598772676843023E-4</v>
      </c>
      <c r="F93" s="2" cm="1">
        <f t="array" ref="F93">INDEX( ComputeThermoProps($A93, $B93, ParametersRange), 1, COLUMN()-2 )</f>
        <v>4.8180149689896375E-3</v>
      </c>
      <c r="G93" s="2" cm="1">
        <f t="array" ref="G93">INDEX( ComputeThermoProps($A93, $B93, ParametersRange), 1, COLUMN()-2 )</f>
        <v>48.219761388697528</v>
      </c>
      <c r="H93" s="2" cm="1">
        <f t="array" ref="H93">INDEX( ComputeThermoProps($A93, $B93, ParametersRange), 1, COLUMN()-2 )</f>
        <v>22.743251318286401</v>
      </c>
      <c r="I93" s="2" cm="1">
        <f t="array" ref="I93">INDEX( ComputeThermoProps($A93, $B93, ParametersRange), 1, COLUMN()-2 )</f>
        <v>3.0958456722182159</v>
      </c>
      <c r="J93" s="2" cm="1">
        <f t="array" ref="J93">INDEX( ComputeThermoProps($A93, $B93, ParametersRange), 1, COLUMN()-2 )</f>
        <v>1273.8919595293087</v>
      </c>
      <c r="K93" s="2" cm="1">
        <f t="array" ref="K93">INDEX( ComputeThermoProps($A93, $B93, ParametersRange), 1, COLUMN()-2 )</f>
        <v>26.483906897103104</v>
      </c>
      <c r="L93" s="2" cm="1">
        <f t="array" ref="L93">INDEX( ComputeThermoProps($A93, $B93, ParametersRange), 1, COLUMN()-2 )</f>
        <v>-715.04944844313422</v>
      </c>
      <c r="M93" s="2" cm="1">
        <f t="array" ref="M93">INDEX( ComputeThermoProps($A93, $B93, ParametersRange), 1, COLUMN()-2 )</f>
        <v>7009.3427853557296</v>
      </c>
      <c r="N93" s="2" cm="1">
        <f t="array" ref="N93">INDEX( ComputeThermoProps($A93, $B93, ParametersRange), 1, COLUMN()-2 )</f>
        <v>5020.4013773832867</v>
      </c>
    </row>
    <row r="94" spans="1:14" x14ac:dyDescent="0.25">
      <c r="A94" s="2">
        <v>76.099999999999994</v>
      </c>
      <c r="B94" s="2">
        <f t="shared" si="1"/>
        <v>518.74417815609024</v>
      </c>
      <c r="C94" s="2" cm="1">
        <f t="array" ref="C94">INDEX( ComputeThermoProps($A94, $B94, ParametersRange), 1, COLUMN()-2 )</f>
        <v>11.280945808256797</v>
      </c>
      <c r="D94" s="2" cm="1">
        <f t="array" ref="D94">INDEX( ComputeThermoProps($A94, $B94, ParametersRange), 1, COLUMN()-2 )</f>
        <v>7.6634689185599368E-4</v>
      </c>
      <c r="E94" s="2" cm="1">
        <f t="array" ref="E94">INDEX( ComputeThermoProps($A94, $B94, ParametersRange), 1, COLUMN()-2 )</f>
        <v>3.6081199965487125E-4</v>
      </c>
      <c r="F94" s="2" cm="1">
        <f t="array" ref="F94">INDEX( ComputeThermoProps($A94, $B94, ParametersRange), 1, COLUMN()-2 )</f>
        <v>4.7756747277493492E-3</v>
      </c>
      <c r="G94" s="2" cm="1">
        <f t="array" ref="G94">INDEX( ComputeThermoProps($A94, $B94, ParametersRange), 1, COLUMN()-2 )</f>
        <v>48.280462457955906</v>
      </c>
      <c r="H94" s="2" cm="1">
        <f t="array" ref="H94">INDEX( ComputeThermoProps($A94, $B94, ParametersRange), 1, COLUMN()-2 )</f>
        <v>22.731442364863771</v>
      </c>
      <c r="I94" s="2" cm="1">
        <f t="array" ref="I94">INDEX( ComputeThermoProps($A94, $B94, ParametersRange), 1, COLUMN()-2 )</f>
        <v>3.092629243662993</v>
      </c>
      <c r="J94" s="2" cm="1">
        <f t="array" ref="J94">INDEX( ComputeThermoProps($A94, $B94, ParametersRange), 1, COLUMN()-2 )</f>
        <v>1299.0975186849062</v>
      </c>
      <c r="K94" s="2" cm="1">
        <f t="array" ref="K94">INDEX( ComputeThermoProps($A94, $B94, ParametersRange), 1, COLUMN()-2 )</f>
        <v>26.419005281181651</v>
      </c>
      <c r="L94" s="2" cm="1">
        <f t="array" ref="L94">INDEX( ComputeThermoProps($A94, $B94, ParametersRange), 1, COLUMN()-2 )</f>
        <v>-711.38878321301729</v>
      </c>
      <c r="M94" s="2" cm="1">
        <f t="array" ref="M94">INDEX( ComputeThermoProps($A94, $B94, ParametersRange), 1, COLUMN()-2 )</f>
        <v>7151.0224808124694</v>
      </c>
      <c r="N94" s="2" cm="1">
        <f t="array" ref="N94">INDEX( ComputeThermoProps($A94, $B94, ParametersRange), 1, COLUMN()-2 )</f>
        <v>5140.5361789145463</v>
      </c>
    </row>
    <row r="95" spans="1:14" x14ac:dyDescent="0.25">
      <c r="A95" s="2">
        <v>77.099999999999994</v>
      </c>
      <c r="B95" s="2">
        <f t="shared" si="1"/>
        <v>531.79216695610103</v>
      </c>
      <c r="C95" s="2" cm="1">
        <f t="array" ref="C95">INDEX( ComputeThermoProps($A95, $B95, ParametersRange), 1, COLUMN()-2 )</f>
        <v>11.222630546290842</v>
      </c>
      <c r="D95" s="2" cm="1">
        <f t="array" ref="D95">INDEX( ComputeThermoProps($A95, $B95, ParametersRange), 1, COLUMN()-2 )</f>
        <v>7.5692516830003329E-4</v>
      </c>
      <c r="E95" s="2" cm="1">
        <f t="array" ref="E95">INDEX( ComputeThermoProps($A95, $B95, ParametersRange), 1, COLUMN()-2 )</f>
        <v>3.5576290058969941E-4</v>
      </c>
      <c r="F95" s="2" cm="1">
        <f t="array" ref="F95">INDEX( ComputeThermoProps($A95, $B95, ParametersRange), 1, COLUMN()-2 )</f>
        <v>4.7339901879479701E-3</v>
      </c>
      <c r="G95" s="2" cm="1">
        <f t="array" ref="G95">INDEX( ComputeThermoProps($A95, $B95, ParametersRange), 1, COLUMN()-2 )</f>
        <v>48.337443035797094</v>
      </c>
      <c r="H95" s="2" cm="1">
        <f t="array" ref="H95">INDEX( ComputeThermoProps($A95, $B95, ParametersRange), 1, COLUMN()-2 )</f>
        <v>22.719113674243751</v>
      </c>
      <c r="I95" s="2" cm="1">
        <f t="array" ref="I95">INDEX( ComputeThermoProps($A95, $B95, ParametersRange), 1, COLUMN()-2 )</f>
        <v>3.0894252293757223</v>
      </c>
      <c r="J95" s="2" cm="1">
        <f t="array" ref="J95">INDEX( ComputeThermoProps($A95, $B95, ParametersRange), 1, COLUMN()-2 )</f>
        <v>1324.5660938173532</v>
      </c>
      <c r="K95" s="2" cm="1">
        <f t="array" ref="K95">INDEX( ComputeThermoProps($A95, $B95, ParametersRange), 1, COLUMN()-2 )</f>
        <v>26.351624287788198</v>
      </c>
      <c r="L95" s="2" cm="1">
        <f t="array" ref="L95">INDEX( ComputeThermoProps($A95, $B95, ParametersRange), 1, COLUMN()-2 )</f>
        <v>-707.14413877111667</v>
      </c>
      <c r="M95" s="2" cm="1">
        <f t="array" ref="M95">INDEX( ComputeThermoProps($A95, $B95, ParametersRange), 1, COLUMN()-2 )</f>
        <v>7292.6731109770926</v>
      </c>
      <c r="N95" s="2" cm="1">
        <f t="array" ref="N95">INDEX( ComputeThermoProps($A95, $B95, ParametersRange), 1, COLUMN()-2 )</f>
        <v>5260.9628783886228</v>
      </c>
    </row>
    <row r="96" spans="1:14" x14ac:dyDescent="0.25">
      <c r="A96" s="2">
        <v>78.099999999999994</v>
      </c>
      <c r="B96" s="2">
        <f t="shared" si="1"/>
        <v>544.92661450342757</v>
      </c>
      <c r="C96" s="2" cm="1">
        <f t="array" ref="C96">INDEX( ComputeThermoProps($A96, $B96, ParametersRange), 1, COLUMN()-2 )</f>
        <v>11.164787635396012</v>
      </c>
      <c r="D96" s="2" cm="1">
        <f t="array" ref="D96">INDEX( ComputeThermoProps($A96, $B96, ParametersRange), 1, COLUMN()-2 )</f>
        <v>7.4769013779699307E-4</v>
      </c>
      <c r="E96" s="2" cm="1">
        <f t="array" ref="E96">INDEX( ComputeThermoProps($A96, $B96, ParametersRange), 1, COLUMN()-2 )</f>
        <v>3.5083633461505917E-4</v>
      </c>
      <c r="F96" s="2" cm="1">
        <f t="array" ref="F96">INDEX( ComputeThermoProps($A96, $B96, ParametersRange), 1, COLUMN()-2 )</f>
        <v>4.692951854245622E-3</v>
      </c>
      <c r="G96" s="2" cm="1">
        <f t="array" ref="G96">INDEX( ComputeThermoProps($A96, $B96, ParametersRange), 1, COLUMN()-2 )</f>
        <v>48.390838948434272</v>
      </c>
      <c r="H96" s="2" cm="1">
        <f t="array" ref="H96">INDEX( ComputeThermoProps($A96, $B96, ParametersRange), 1, COLUMN()-2 )</f>
        <v>22.706283936870459</v>
      </c>
      <c r="I96" s="2" cm="1">
        <f t="array" ref="I96">INDEX( ComputeThermoProps($A96, $B96, ParametersRange), 1, COLUMN()-2 )</f>
        <v>3.0862339827056933</v>
      </c>
      <c r="J96" s="2" cm="1">
        <f t="array" ref="J96">INDEX( ComputeThermoProps($A96, $B96, ParametersRange), 1, COLUMN()-2 )</f>
        <v>1350.2953107504677</v>
      </c>
      <c r="K96" s="2" cm="1">
        <f t="array" ref="K96">INDEX( ComputeThermoProps($A96, $B96, ParametersRange), 1, COLUMN()-2 )</f>
        <v>26.281909375898859</v>
      </c>
      <c r="L96" s="2" cm="1">
        <f t="array" ref="L96">INDEX( ComputeThermoProps($A96, $B96, ParametersRange), 1, COLUMN()-2 )</f>
        <v>-702.32181150723306</v>
      </c>
      <c r="M96" s="2" cm="1">
        <f t="array" ref="M96">INDEX( ComputeThermoProps($A96, $B96, ParametersRange), 1, COLUMN()-2 )</f>
        <v>7434.2852385565448</v>
      </c>
      <c r="N96" s="2" cm="1">
        <f t="array" ref="N96">INDEX( ComputeThermoProps($A96, $B96, ParametersRange), 1, COLUMN()-2 )</f>
        <v>5381.6681162988443</v>
      </c>
    </row>
    <row r="97" spans="1:14" x14ac:dyDescent="0.25">
      <c r="A97" s="2">
        <v>79.099999999999994</v>
      </c>
      <c r="B97" s="2">
        <f t="shared" si="1"/>
        <v>558.1465062433499</v>
      </c>
      <c r="C97" s="2" cm="1">
        <f t="array" ref="C97">INDEX( ComputeThermoProps($A97, $B97, ParametersRange), 1, COLUMN()-2 )</f>
        <v>11.107419176852803</v>
      </c>
      <c r="D97" s="2" cm="1">
        <f t="array" ref="D97">INDEX( ComputeThermoProps($A97, $B97, ParametersRange), 1, COLUMN()-2 )</f>
        <v>7.3863766898961663E-4</v>
      </c>
      <c r="E97" s="2" cm="1">
        <f t="array" ref="E97">INDEX( ComputeThermoProps($A97, $B97, ParametersRange), 1, COLUMN()-2 )</f>
        <v>3.4602835916932526E-4</v>
      </c>
      <c r="F97" s="2" cm="1">
        <f t="array" ref="F97">INDEX( ComputeThermoProps($A97, $B97, ParametersRange), 1, COLUMN()-2 )</f>
        <v>4.6525497826157376E-3</v>
      </c>
      <c r="G97" s="2" cm="1">
        <f t="array" ref="G97">INDEX( ComputeThermoProps($A97, $B97, ParametersRange), 1, COLUMN()-2 )</f>
        <v>48.440777950772251</v>
      </c>
      <c r="H97" s="2" cm="1">
        <f t="array" ref="H97">INDEX( ComputeThermoProps($A97, $B97, ParametersRange), 1, COLUMN()-2 )</f>
        <v>22.692970606440845</v>
      </c>
      <c r="I97" s="2" cm="1">
        <f t="array" ref="I97">INDEX( ComputeThermoProps($A97, $B97, ParametersRange), 1, COLUMN()-2 )</f>
        <v>3.0830558207863876</v>
      </c>
      <c r="J97" s="2" cm="1">
        <f t="array" ref="J97">INDEX( ComputeThermoProps($A97, $B97, ParametersRange), 1, COLUMN()-2 )</f>
        <v>1376.2827030124956</v>
      </c>
      <c r="K97" s="2" cm="1">
        <f t="array" ref="K97">INDEX( ComputeThermoProps($A97, $B97, ParametersRange), 1, COLUMN()-2 )</f>
        <v>26.209997905635323</v>
      </c>
      <c r="L97" s="2" cm="1">
        <f t="array" ref="L97">INDEX( ComputeThermoProps($A97, $B97, ParametersRange), 1, COLUMN()-2 )</f>
        <v>-696.9281313232583</v>
      </c>
      <c r="M97" s="2" cm="1">
        <f t="array" ref="M97">INDEX( ComputeThermoProps($A97, $B97, ParametersRange), 1, COLUMN()-2 )</f>
        <v>7575.8499099532728</v>
      </c>
      <c r="N97" s="2" cm="1">
        <f t="array" ref="N97">INDEX( ComputeThermoProps($A97, $B97, ParametersRange), 1, COLUMN()-2 )</f>
        <v>5502.6390756175188</v>
      </c>
    </row>
    <row r="98" spans="1:14" x14ac:dyDescent="0.25">
      <c r="A98" s="2">
        <v>80.099999999999994</v>
      </c>
      <c r="B98" s="2">
        <f t="shared" si="1"/>
        <v>571.45085731661868</v>
      </c>
      <c r="C98" s="2" cm="1">
        <f t="array" ref="C98">INDEX( ComputeThermoProps($A98, $B98, ParametersRange), 1, COLUMN()-2 )</f>
        <v>11.050526608113197</v>
      </c>
      <c r="D98" s="2" cm="1">
        <f t="array" ref="D98">INDEX( ComputeThermoProps($A98, $B98, ParametersRange), 1, COLUMN()-2 )</f>
        <v>7.297636556513001E-4</v>
      </c>
      <c r="E98" s="2" cm="1">
        <f t="array" ref="E98">INDEX( ComputeThermoProps($A98, $B98, ParametersRange), 1, COLUMN()-2 )</f>
        <v>3.4133517855851716E-4</v>
      </c>
      <c r="F98" s="2" cm="1">
        <f t="array" ref="F98">INDEX( ComputeThermoProps($A98, $B98, ParametersRange), 1, COLUMN()-2 )</f>
        <v>4.6127736668361043E-3</v>
      </c>
      <c r="G98" s="2" cm="1">
        <f t="array" ref="G98">INDEX( ComputeThermoProps($A98, $B98, ParametersRange), 1, COLUMN()-2 )</f>
        <v>48.48738026546981</v>
      </c>
      <c r="H98" s="2" cm="1">
        <f t="array" ref="H98">INDEX( ComputeThermoProps($A98, $B98, ParametersRange), 1, COLUMN()-2 )</f>
        <v>22.679189998819414</v>
      </c>
      <c r="I98" s="2" cm="1">
        <f t="array" ref="I98">INDEX( ComputeThermoProps($A98, $B98, ParametersRange), 1, COLUMN()-2 )</f>
        <v>3.0798910272601216</v>
      </c>
      <c r="J98" s="2" cm="1">
        <f t="array" ref="J98">INDEX( ComputeThermoProps($A98, $B98, ParametersRange), 1, COLUMN()-2 )</f>
        <v>1402.5257239745167</v>
      </c>
      <c r="K98" s="2" cm="1">
        <f t="array" ref="K98">INDEX( ComputeThermoProps($A98, $B98, ParametersRange), 1, COLUMN()-2 )</f>
        <v>26.136019638199404</v>
      </c>
      <c r="L98" s="2" cm="1">
        <f t="array" ref="L98">INDEX( ComputeThermoProps($A98, $B98, ParametersRange), 1, COLUMN()-2 )</f>
        <v>-690.96944904525537</v>
      </c>
      <c r="M98" s="2" cm="1">
        <f t="array" ref="M98">INDEX( ComputeThermoProps($A98, $B98, ParametersRange), 1, COLUMN()-2 )</f>
        <v>7717.3586279809097</v>
      </c>
      <c r="N98" s="2" cm="1">
        <f t="array" ref="N98">INDEX( ComputeThermoProps($A98, $B98, ParametersRange), 1, COLUMN()-2 )</f>
        <v>5623.8634549611379</v>
      </c>
    </row>
    <row r="99" spans="1:14" x14ac:dyDescent="0.25">
      <c r="A99" s="2">
        <v>81.099999999999994</v>
      </c>
      <c r="B99" s="2">
        <f t="shared" si="1"/>
        <v>584.83871119103833</v>
      </c>
      <c r="C99" s="2" cm="1">
        <f t="array" ref="C99">INDEX( ComputeThermoProps($A99, $B99, ParametersRange), 1, COLUMN()-2 )</f>
        <v>10.994110761575625</v>
      </c>
      <c r="D99" s="2" cm="1">
        <f t="array" ref="D99">INDEX( ComputeThermoProps($A99, $B99, ParametersRange), 1, COLUMN()-2 )</f>
        <v>7.2106402705890036E-4</v>
      </c>
      <c r="E99" s="2" cm="1">
        <f t="array" ref="E99">INDEX( ComputeThermoProps($A99, $B99, ParametersRange), 1, COLUMN()-2 )</f>
        <v>3.3675313852629712E-4</v>
      </c>
      <c r="F99" s="2" cm="1">
        <f t="array" ref="F99">INDEX( ComputeThermoProps($A99, $B99, ParametersRange), 1, COLUMN()-2 )</f>
        <v>4.5736129181340656E-3</v>
      </c>
      <c r="G99" s="2" cm="1">
        <f t="array" ref="G99">INDEX( ComputeThermoProps($A99, $B99, ParametersRange), 1, COLUMN()-2 )</f>
        <v>48.530759120033743</v>
      </c>
      <c r="H99" s="2" cm="1">
        <f t="array" ref="H99">INDEX( ComputeThermoProps($A99, $B99, ParametersRange), 1, COLUMN()-2 )</f>
        <v>22.664957389976834</v>
      </c>
      <c r="I99" s="2" cm="1">
        <f t="array" ref="I99">INDEX( ComputeThermoProps($A99, $B99, ParametersRange), 1, COLUMN()-2 )</f>
        <v>3.0767398547990714</v>
      </c>
      <c r="J99" s="2" cm="1">
        <f t="array" ref="J99">INDEX( ComputeThermoProps($A99, $B99, ParametersRange), 1, COLUMN()-2 )</f>
        <v>1429.0217579575497</v>
      </c>
      <c r="K99" s="2" cm="1">
        <f t="array" ref="K99">INDEX( ComputeThermoProps($A99, $B99, ParametersRange), 1, COLUMN()-2 )</f>
        <v>26.060097202093317</v>
      </c>
      <c r="L99" s="2" cm="1">
        <f t="array" ref="L99">INDEX( ComputeThermoProps($A99, $B99, ParametersRange), 1, COLUMN()-2 )</f>
        <v>-684.45212513221816</v>
      </c>
      <c r="M99" s="2" cm="1">
        <f t="array" ref="M99">INDEX( ComputeThermoProps($A99, $B99, ParametersRange), 1, COLUMN()-2 )</f>
        <v>7858.8033264489632</v>
      </c>
      <c r="N99" s="2" cm="1">
        <f t="array" ref="N99">INDEX( ComputeThermoProps($A99, $B99, ParametersRange), 1, COLUMN()-2 )</f>
        <v>5745.3294433591955</v>
      </c>
    </row>
    <row r="100" spans="1:14" x14ac:dyDescent="0.25">
      <c r="A100" s="2">
        <v>82.1</v>
      </c>
      <c r="B100" s="2">
        <f t="shared" si="1"/>
        <v>598.30913837819639</v>
      </c>
      <c r="C100" s="2" cm="1">
        <f t="array" ref="C100">INDEX( ComputeThermoProps($A100, $B100, ParametersRange), 1, COLUMN()-2 )</f>
        <v>10.938171918644819</v>
      </c>
      <c r="D100" s="2" cm="1">
        <f t="array" ref="D100">INDEX( ComputeThermoProps($A100, $B100, ParametersRange), 1, COLUMN()-2 )</f>
        <v>7.1253475624362265E-4</v>
      </c>
      <c r="E100" s="2" cm="1">
        <f t="array" ref="E100">INDEX( ComputeThermoProps($A100, $B100, ParametersRange), 1, COLUMN()-2 )</f>
        <v>3.3227872093992411E-4</v>
      </c>
      <c r="F100" s="2" cm="1">
        <f t="array" ref="F100">INDEX( ComputeThermoProps($A100, $B100, ParametersRange), 1, COLUMN()-2 )</f>
        <v>4.5350567284407946E-3</v>
      </c>
      <c r="G100" s="2" cm="1">
        <f t="array" ref="G100">INDEX( ComputeThermoProps($A100, $B100, ParametersRange), 1, COLUMN()-2 )</f>
        <v>48.571021172790196</v>
      </c>
      <c r="H100" s="2" cm="1">
        <f t="array" ref="H100">INDEX( ComputeThermoProps($A100, $B100, ParametersRange), 1, COLUMN()-2 )</f>
        <v>22.650287089325616</v>
      </c>
      <c r="I100" s="2" cm="1">
        <f t="array" ref="I100">INDEX( ComputeThermoProps($A100, $B100, ParametersRange), 1, COLUMN()-2 )</f>
        <v>3.0736025274383834</v>
      </c>
      <c r="J100" s="2" cm="1">
        <f t="array" ref="J100">INDEX( ComputeThermoProps($A100, $B100, ParametersRange), 1, COLUMN()-2 )</f>
        <v>1455.768130388185</v>
      </c>
      <c r="K100" s="2" cm="1">
        <f t="array" ref="K100">INDEX( ComputeThermoProps($A100, $B100, ParametersRange), 1, COLUMN()-2 )</f>
        <v>25.982346528043699</v>
      </c>
      <c r="L100" s="2" cm="1">
        <f t="array" ref="L100">INDEX( ComputeThermoProps($A100, $B100, ParametersRange), 1, COLUMN()-2 )</f>
        <v>-677.38251956420254</v>
      </c>
      <c r="M100" s="2" cm="1">
        <f t="array" ref="M100">INDEX( ComputeThermoProps($A100, $B100, ParametersRange), 1, COLUMN()-2 )</f>
        <v>8000.1763464651503</v>
      </c>
      <c r="N100" s="2" cm="1">
        <f t="array" ref="N100">INDEX( ComputeThermoProps($A100, $B100, ParametersRange), 1, COLUMN()-2 )</f>
        <v>5867.0256965127628</v>
      </c>
    </row>
    <row r="101" spans="1:14" x14ac:dyDescent="0.25">
      <c r="A101" s="2">
        <v>83.1</v>
      </c>
      <c r="B101" s="2">
        <f t="shared" si="1"/>
        <v>611.86123522871981</v>
      </c>
      <c r="C101" s="2" cm="1">
        <f t="array" ref="C101">INDEX( ComputeThermoProps($A101, $B101, ParametersRange), 1, COLUMN()-2 )</f>
        <v>10.882709859454131</v>
      </c>
      <c r="D101" s="2" cm="1">
        <f t="array" ref="D101">INDEX( ComputeThermoProps($A101, $B101, ParametersRange), 1, COLUMN()-2 )</f>
        <v>7.0417186723689543E-4</v>
      </c>
      <c r="E101" s="2" cm="1">
        <f t="array" ref="E101">INDEX( ComputeThermoProps($A101, $B101, ParametersRange), 1, COLUMN()-2 )</f>
        <v>3.2790853860560588E-4</v>
      </c>
      <c r="F101" s="2" cm="1">
        <f t="array" ref="F101">INDEX( ComputeThermoProps($A101, $B101, ParametersRange), 1, COLUMN()-2 )</f>
        <v>4.4970941293783909E-3</v>
      </c>
      <c r="G101" s="2" cm="1">
        <f t="array" ref="G101">INDEX( ComputeThermoProps($A101, $B101, ParametersRange), 1, COLUMN()-2 )</f>
        <v>48.608266945461516</v>
      </c>
      <c r="H101" s="2" cm="1">
        <f t="array" ref="H101">INDEX( ComputeThermoProps($A101, $B101, ParametersRange), 1, COLUMN()-2 )</f>
        <v>22.635192514550269</v>
      </c>
      <c r="I101" s="2" cm="1">
        <f t="array" ref="I101">INDEX( ComputeThermoProps($A101, $B101, ParametersRange), 1, COLUMN()-2 )</f>
        <v>3.0704792427358529</v>
      </c>
      <c r="J101" s="2" cm="1">
        <f t="array" ref="J101">INDEX( ComputeThermoProps($A101, $B101, ParametersRange), 1, COLUMN()-2 )</f>
        <v>1482.7621170769253</v>
      </c>
      <c r="K101" s="2" cm="1">
        <f t="array" ref="K101">INDEX( ComputeThermoProps($A101, $B101, ParametersRange), 1, COLUMN()-2 )</f>
        <v>25.902877254873051</v>
      </c>
      <c r="L101" s="2" cm="1">
        <f t="array" ref="L101">INDEX( ComputeThermoProps($A101, $B101, ParametersRange), 1, COLUMN()-2 )</f>
        <v>-669.76698280302514</v>
      </c>
      <c r="M101" s="2" cm="1">
        <f t="array" ref="M101">INDEX( ComputeThermoProps($A101, $B101, ParametersRange), 1, COLUMN()-2 )</f>
        <v>8141.470414318298</v>
      </c>
      <c r="N101" s="2" cm="1">
        <f t="array" ref="N101">INDEX( ComputeThermoProps($A101, $B101, ParametersRange), 1, COLUMN()-2 )</f>
        <v>5988.9413144383479</v>
      </c>
    </row>
    <row r="102" spans="1:14" x14ac:dyDescent="0.25">
      <c r="A102" s="2">
        <v>84.1</v>
      </c>
      <c r="B102" s="2">
        <f t="shared" si="1"/>
        <v>625.49412280005311</v>
      </c>
      <c r="C102" s="2" cm="1">
        <f t="array" ref="C102">INDEX( ComputeThermoProps($A102, $B102, ParametersRange), 1, COLUMN()-2 )</f>
        <v>10.827723908597285</v>
      </c>
      <c r="D102" s="2" cm="1">
        <f t="array" ref="D102">INDEX( ComputeThermoProps($A102, $B102, ParametersRange), 1, COLUMN()-2 )</f>
        <v>6.959714415609693E-4</v>
      </c>
      <c r="E102" s="2" cm="1">
        <f t="array" ref="E102">INDEX( ComputeThermoProps($A102, $B102, ParametersRange), 1, COLUMN()-2 )</f>
        <v>3.2363933022340154E-4</v>
      </c>
      <c r="F102" s="2" cm="1">
        <f t="array" ref="F102">INDEX( ComputeThermoProps($A102, $B102, ParametersRange), 1, COLUMN()-2 )</f>
        <v>4.4597140490341821E-3</v>
      </c>
      <c r="G102" s="2" cm="1">
        <f t="array" ref="G102">INDEX( ComputeThermoProps($A102, $B102, ParametersRange), 1, COLUMN()-2 )</f>
        <v>48.642591280078946</v>
      </c>
      <c r="H102" s="2" cm="1">
        <f t="array" ref="H102">INDEX( ComputeThermoProps($A102, $B102, ParametersRange), 1, COLUMN()-2 )</f>
        <v>22.619686271762511</v>
      </c>
      <c r="I102" s="2" cm="1">
        <f t="array" ref="I102">INDEX( ComputeThermoProps($A102, $B102, ParametersRange), 1, COLUMN()-2 )</f>
        <v>3.0673701737715007</v>
      </c>
      <c r="J102" s="2" cm="1">
        <f t="array" ref="J102">INDEX( ComputeThermoProps($A102, $B102, ParametersRange), 1, COLUMN()-2 )</f>
        <v>1510.0009526879714</v>
      </c>
      <c r="K102" s="2" cm="1">
        <f t="array" ref="K102">INDEX( ComputeThermoProps($A102, $B102, ParametersRange), 1, COLUMN()-2 )</f>
        <v>25.821793108393706</v>
      </c>
      <c r="L102" s="2" cm="1">
        <f t="array" ref="L102">INDEX( ComputeThermoProps($A102, $B102, ParametersRange), 1, COLUMN()-2 )</f>
        <v>-661.61184772793911</v>
      </c>
      <c r="M102" s="2" cm="1">
        <f t="array" ref="M102">INDEX( ComputeThermoProps($A102, $B102, ParametersRange), 1, COLUMN()-2 )</f>
        <v>8282.6786208171925</v>
      </c>
      <c r="N102" s="2" cm="1">
        <f t="array" ref="N102">INDEX( ComputeThermoProps($A102, $B102, ParametersRange), 1, COLUMN()-2 )</f>
        <v>6111.0658204012816</v>
      </c>
    </row>
    <row r="103" spans="1:14" x14ac:dyDescent="0.25">
      <c r="A103" s="2">
        <v>85.1</v>
      </c>
      <c r="B103" s="2">
        <f t="shared" si="1"/>
        <v>639.20694579130281</v>
      </c>
      <c r="C103" s="2" cm="1">
        <f t="array" ref="C103">INDEX( ComputeThermoProps($A103, $B103, ParametersRange), 1, COLUMN()-2 )</f>
        <v>10.773212977188782</v>
      </c>
      <c r="D103" s="2" cm="1">
        <f t="array" ref="D103">INDEX( ComputeThermoProps($A103, $B103, ParametersRange), 1, COLUMN()-2 )</f>
        <v>6.8792962234201613E-4</v>
      </c>
      <c r="E103" s="2" cm="1">
        <f t="array" ref="E103">INDEX( ComputeThermoProps($A103, $B103, ParametersRange), 1, COLUMN()-2 )</f>
        <v>3.1946795548904827E-4</v>
      </c>
      <c r="F103" s="2" cm="1">
        <f t="array" ref="F103">INDEX( ComputeThermoProps($A103, $B103, ParametersRange), 1, COLUMN()-2 )</f>
        <v>4.4229053462400188E-3</v>
      </c>
      <c r="G103" s="2" cm="1">
        <f t="array" ref="G103">INDEX( ComputeThermoProps($A103, $B103, ParametersRange), 1, COLUMN()-2 )</f>
        <v>48.674083593913281</v>
      </c>
      <c r="H103" s="2" cm="1">
        <f t="array" ref="H103">INDEX( ComputeThermoProps($A103, $B103, ParametersRange), 1, COLUMN()-2 )</f>
        <v>22.603780192095936</v>
      </c>
      <c r="I103" s="2" cm="1">
        <f t="array" ref="I103">INDEX( ComputeThermoProps($A103, $B103, ParametersRange), 1, COLUMN()-2 )</f>
        <v>3.0642754709993145</v>
      </c>
      <c r="J103" s="2" cm="1">
        <f t="array" ref="J103">INDEX( ComputeThermoProps($A103, $B103, ParametersRange), 1, COLUMN()-2 )</f>
        <v>1537.4818384641726</v>
      </c>
      <c r="K103" s="2" cm="1">
        <f t="array" ref="K103">INDEX( ComputeThermoProps($A103, $B103, ParametersRange), 1, COLUMN()-2 )</f>
        <v>25.739192255247001</v>
      </c>
      <c r="L103" s="2" cm="1">
        <f t="array" ref="L103">INDEX( ComputeThermoProps($A103, $B103, ParametersRange), 1, COLUMN()-2 )</f>
        <v>-652.9234224573471</v>
      </c>
      <c r="M103" s="2" cm="1">
        <f t="array" ref="M103">INDEX( ComputeThermoProps($A103, $B103, ParametersRange), 1, COLUMN()-2 )</f>
        <v>8423.7944019722418</v>
      </c>
      <c r="N103" s="2" cm="1">
        <f t="array" ref="N103">INDEX( ComputeThermoProps($A103, $B103, ParametersRange), 1, COLUMN()-2 )</f>
        <v>6233.3891410507222</v>
      </c>
    </row>
    <row r="104" spans="1:14" x14ac:dyDescent="0.25">
      <c r="A104" s="2">
        <v>86.1</v>
      </c>
      <c r="B104" s="2">
        <f t="shared" si="1"/>
        <v>652.99887154017506</v>
      </c>
      <c r="C104" s="2" cm="1">
        <f t="array" ref="C104">INDEX( ComputeThermoProps($A104, $B104, ParametersRange), 1, COLUMN()-2 )</f>
        <v>10.719175601546285</v>
      </c>
      <c r="D104" s="2" cm="1">
        <f t="array" ref="D104">INDEX( ComputeThermoProps($A104, $B104, ParametersRange), 1, COLUMN()-2 )</f>
        <v>6.8004261948853063E-4</v>
      </c>
      <c r="E104" s="2" cm="1">
        <f t="array" ref="E104">INDEX( ComputeThermoProps($A104, $B104, ParametersRange), 1, COLUMN()-2 )</f>
        <v>3.1539139034778138E-4</v>
      </c>
      <c r="F104" s="2" cm="1">
        <f t="array" ref="F104">INDEX( ComputeThermoProps($A104, $B104, ParametersRange), 1, COLUMN()-2 )</f>
        <v>4.3866568627405943E-3</v>
      </c>
      <c r="G104" s="2" cm="1">
        <f t="array" ref="G104">INDEX( ComputeThermoProps($A104, $B104, ParametersRange), 1, COLUMN()-2 )</f>
        <v>48.702828363952314</v>
      </c>
      <c r="H104" s="2" cm="1">
        <f t="array" ref="H104">INDEX( ComputeThermoProps($A104, $B104, ParametersRange), 1, COLUMN()-2 )</f>
        <v>22.587485418383174</v>
      </c>
      <c r="I104" s="2" cm="1">
        <f t="array" ref="I104">INDEX( ComputeThermoProps($A104, $B104, ParametersRange), 1, COLUMN()-2 )</f>
        <v>3.0611952639624662</v>
      </c>
      <c r="J104" s="2" cm="1">
        <f t="array" ref="J104">INDEX( ComputeThermoProps($A104, $B104, ParametersRange), 1, COLUMN()-2 )</f>
        <v>1565.2019492660838</v>
      </c>
      <c r="K104" s="2" cm="1">
        <f t="array" ref="K104">INDEX( ComputeThermoProps($A104, $B104, ParametersRange), 1, COLUMN()-2 )</f>
        <v>25.655167633468057</v>
      </c>
      <c r="L104" s="2" cm="1">
        <f t="array" ref="L104">INDEX( ComputeThermoProps($A104, $B104, ParametersRange), 1, COLUMN()-2 )</f>
        <v>-643.70798397551573</v>
      </c>
      <c r="M104" s="2" cm="1">
        <f t="array" ref="M104">INDEX( ComputeThermoProps($A104, $B104, ParametersRange), 1, COLUMN()-2 )</f>
        <v>8564.8115209167845</v>
      </c>
      <c r="N104" s="2" cm="1">
        <f t="array" ref="N104">INDEX( ComputeThermoProps($A104, $B104, ParametersRange), 1, COLUMN()-2 )</f>
        <v>6355.9015876751846</v>
      </c>
    </row>
    <row r="105" spans="1:14" x14ac:dyDescent="0.25">
      <c r="A105" s="2">
        <v>87.1</v>
      </c>
      <c r="B105" s="2">
        <f t="shared" si="1"/>
        <v>666.86908907748557</v>
      </c>
      <c r="C105" s="2" cm="1">
        <f t="array" ref="C105">INDEX( ComputeThermoProps($A105, $B105, ParametersRange), 1, COLUMN()-2 )</f>
        <v>10.665609978764673</v>
      </c>
      <c r="D105" s="2" cm="1">
        <f t="array" ref="D105">INDEX( ComputeThermoProps($A105, $B105, ParametersRange), 1, COLUMN()-2 )</f>
        <v>6.7230671216560883E-4</v>
      </c>
      <c r="E105" s="2" cm="1">
        <f t="array" ref="E105">INDEX( ComputeThermoProps($A105, $B105, ParametersRange), 1, COLUMN()-2 )</f>
        <v>3.1140672240327378E-4</v>
      </c>
      <c r="F105" s="2" cm="1">
        <f t="array" ref="F105">INDEX( ComputeThermoProps($A105, $B105, ParametersRange), 1, COLUMN()-2 )</f>
        <v>4.3509574474659097E-3</v>
      </c>
      <c r="G105" s="2" cm="1">
        <f t="array" ref="G105">INDEX( ComputeThermoProps($A105, $B105, ParametersRange), 1, COLUMN()-2 )</f>
        <v>48.728905339109986</v>
      </c>
      <c r="H105" s="2" cm="1">
        <f t="array" ref="H105">INDEX( ComputeThermoProps($A105, $B105, ParametersRange), 1, COLUMN()-2 )</f>
        <v>22.570812433319425</v>
      </c>
      <c r="I105" s="2" cm="1">
        <f t="array" ref="I105">INDEX( ComputeThermoProps($A105, $B105, ParametersRange), 1, COLUMN()-2 )</f>
        <v>3.0581296628824011</v>
      </c>
      <c r="J105" s="2" cm="1">
        <f t="array" ref="J105">INDEX( ComputeThermoProps($A105, $B105, ParametersRange), 1, COLUMN()-2 )</f>
        <v>1593.1584399797</v>
      </c>
      <c r="K105" s="2" cm="1">
        <f t="array" ref="K105">INDEX( ComputeThermoProps($A105, $B105, ParametersRange), 1, COLUMN()-2 )</f>
        <v>25.569807261423893</v>
      </c>
      <c r="L105" s="2" cm="1">
        <f t="array" ref="L105">INDEX( ComputeThermoProps($A105, $B105, ParametersRange), 1, COLUMN()-2 )</f>
        <v>-633.97177249032097</v>
      </c>
      <c r="M105" s="2" cm="1">
        <f t="array" ref="M105">INDEX( ComputeThermoProps($A105, $B105, ParametersRange), 1, COLUMN()-2 )</f>
        <v>8705.7240509742369</v>
      </c>
      <c r="N105" s="2" cm="1">
        <f t="array" ref="N105">INDEX( ComputeThermoProps($A105, $B105, ParametersRange), 1, COLUMN()-2 )</f>
        <v>6478.5938385042164</v>
      </c>
    </row>
    <row r="106" spans="1:14" x14ac:dyDescent="0.25">
      <c r="A106" s="2">
        <v>88.1</v>
      </c>
      <c r="B106" s="2">
        <f t="shared" si="1"/>
        <v>680.81680823509987</v>
      </c>
      <c r="C106" s="2" cm="1">
        <f t="array" ref="C106">INDEX( ComputeThermoProps($A106, $B106, ParametersRange), 1, COLUMN()-2 )</f>
        <v>10.612513999429602</v>
      </c>
      <c r="D106" s="2" cm="1">
        <f t="array" ref="D106">INDEX( ComputeThermoProps($A106, $B106, ParametersRange), 1, COLUMN()-2 )</f>
        <v>6.6471825172101373E-4</v>
      </c>
      <c r="E106" s="2" cm="1">
        <f t="array" ref="E106">INDEX( ComputeThermoProps($A106, $B106, ParametersRange), 1, COLUMN()-2 )</f>
        <v>3.0751114648323212E-4</v>
      </c>
      <c r="F106" s="2" cm="1">
        <f t="array" ref="F106">INDEX( ComputeThermoProps($A106, $B106, ParametersRange), 1, COLUMN()-2 )</f>
        <v>4.3157959900678982E-3</v>
      </c>
      <c r="G106" s="2" cm="1">
        <f t="array" ref="G106">INDEX( ComputeThermoProps($A106, $B106, ParametersRange), 1, COLUMN()-2 )</f>
        <v>48.752389879782498</v>
      </c>
      <c r="H106" s="2" cm="1">
        <f t="array" ref="H106">INDEX( ComputeThermoProps($A106, $B106, ParametersRange), 1, COLUMN()-2 )</f>
        <v>22.553771115678092</v>
      </c>
      <c r="I106" s="2" cm="1">
        <f t="array" ref="I106">INDEX( ComputeThermoProps($A106, $B106, ParametersRange), 1, COLUMN()-2 )</f>
        <v>3.0550787601313987</v>
      </c>
      <c r="J106" s="2" cm="1">
        <f t="array" ref="J106">INDEX( ComputeThermoProps($A106, $B106, ParametersRange), 1, COLUMN()-2 )</f>
        <v>1621.3484513432193</v>
      </c>
      <c r="K106" s="2" cm="1">
        <f t="array" ref="K106">INDEX( ComputeThermoProps($A106, $B106, ParametersRange), 1, COLUMN()-2 )</f>
        <v>25.483194526649871</v>
      </c>
      <c r="L106" s="2" cm="1">
        <f t="array" ref="L106">INDEX( ComputeThermoProps($A106, $B106, ParametersRange), 1, COLUMN()-2 )</f>
        <v>-623.72098645463427</v>
      </c>
      <c r="M106" s="2" cm="1">
        <f t="array" ref="M106">INDEX( ComputeThermoProps($A106, $B106, ParametersRange), 1, COLUMN()-2 )</f>
        <v>8846.5263597851954</v>
      </c>
      <c r="N106" s="2" cm="1">
        <f t="array" ref="N106">INDEX( ComputeThermoProps($A106, $B106, ParametersRange), 1, COLUMN()-2 )</f>
        <v>6601.456921987342</v>
      </c>
    </row>
    <row r="107" spans="1:14" x14ac:dyDescent="0.25">
      <c r="A107" s="2">
        <v>89.1</v>
      </c>
      <c r="B107" s="2">
        <f t="shared" si="1"/>
        <v>694.84125880352713</v>
      </c>
      <c r="C107" s="2" cm="1">
        <f t="array" ref="C107">INDEX( ComputeThermoProps($A107, $B107, ParametersRange), 1, COLUMN()-2 )</f>
        <v>10.559885277698465</v>
      </c>
      <c r="D107" s="2" cm="1">
        <f t="array" ref="D107">INDEX( ComputeThermoProps($A107, $B107, ParametersRange), 1, COLUMN()-2 )</f>
        <v>6.572736637765475E-4</v>
      </c>
      <c r="E107" s="2" cm="1">
        <f t="array" ref="E107">INDEX( ComputeThermoProps($A107, $B107, ParametersRange), 1, COLUMN()-2 )</f>
        <v>3.0370196036185262E-4</v>
      </c>
      <c r="F107" s="2" cm="1">
        <f t="array" ref="F107">INDEX( ComputeThermoProps($A107, $B107, ParametersRange), 1, COLUMN()-2 )</f>
        <v>4.2811614478023372E-3</v>
      </c>
      <c r="G107" s="2" cm="1">
        <f t="array" ref="G107">INDEX( ComputeThermoProps($A107, $B107, ParametersRange), 1, COLUMN()-2 )</f>
        <v>48.773353248677502</v>
      </c>
      <c r="H107" s="2" cm="1">
        <f t="array" ref="H107">INDEX( ComputeThermoProps($A107, $B107, ParametersRange), 1, COLUMN()-2 )</f>
        <v>22.536370786461784</v>
      </c>
      <c r="I107" s="2" cm="1">
        <f t="array" ref="I107">INDEX( ComputeThermoProps($A107, $B107, ParametersRange), 1, COLUMN()-2 )</f>
        <v>3.0520426315974198</v>
      </c>
      <c r="J107" s="2" cm="1">
        <f t="array" ref="J107">INDEX( ComputeThermoProps($A107, $B107, ParametersRange), 1, COLUMN()-2 )</f>
        <v>1649.7691152394411</v>
      </c>
      <c r="K107" s="2" cm="1">
        <f t="array" ref="K107">INDEX( ComputeThermoProps($A107, $B107, ParametersRange), 1, COLUMN()-2 )</f>
        <v>25.395408455998282</v>
      </c>
      <c r="L107" s="2" cm="1">
        <f t="array" ref="L107">INDEX( ComputeThermoProps($A107, $B107, ParametersRange), 1, COLUMN()-2 )</f>
        <v>-612.9617781900057</v>
      </c>
      <c r="M107" s="2" cm="1">
        <f t="array" ref="M107">INDEX( ComputeThermoProps($A107, $B107, ParametersRange), 1, COLUMN()-2 )</f>
        <v>8987.2130944162764</v>
      </c>
      <c r="N107" s="2" cm="1">
        <f t="array" ref="N107">INDEX( ComputeThermoProps($A107, $B107, ParametersRange), 1, COLUMN()-2 )</f>
        <v>6724.4822009868294</v>
      </c>
    </row>
    <row r="108" spans="1:14" x14ac:dyDescent="0.25">
      <c r="A108" s="2">
        <v>90.1</v>
      </c>
      <c r="B108" s="2">
        <f t="shared" si="1"/>
        <v>708.94168973570822</v>
      </c>
      <c r="C108" s="2" cm="1">
        <f t="array" ref="C108">INDEX( ComputeThermoProps($A108, $B108, ParametersRange), 1, COLUMN()-2 )</f>
        <v>10.507721178958057</v>
      </c>
      <c r="D108" s="2" cm="1">
        <f t="array" ref="D108">INDEX( ComputeThermoProps($A108, $B108, ParametersRange), 1, COLUMN()-2 )</f>
        <v>6.4996944976885716E-4</v>
      </c>
      <c r="E108" s="2" cm="1">
        <f t="array" ref="E108">INDEX( ComputeThermoProps($A108, $B108, ParametersRange), 1, COLUMN()-2 )</f>
        <v>2.9997656063826571E-4</v>
      </c>
      <c r="F108" s="2" cm="1">
        <f t="array" ref="F108">INDEX( ComputeThermoProps($A108, $B108, ParametersRange), 1, COLUMN()-2 )</f>
        <v>4.2470428686736238E-3</v>
      </c>
      <c r="G108" s="2" cm="1">
        <f t="array" ref="G108">INDEX( ComputeThermoProps($A108, $B108, ParametersRange), 1, COLUMN()-2 )</f>
        <v>48.791862880993726</v>
      </c>
      <c r="H108" s="2" cm="1">
        <f t="array" ref="H108">INDEX( ComputeThermoProps($A108, $B108, ParametersRange), 1, COLUMN()-2 )</f>
        <v>22.518620251120076</v>
      </c>
      <c r="I108" s="2" cm="1">
        <f t="array" ref="I108">INDEX( ComputeThermoProps($A108, $B108, ParametersRange), 1, COLUMN()-2 )</f>
        <v>3.0490213379493833</v>
      </c>
      <c r="J108" s="2" cm="1">
        <f t="array" ref="J108">INDEX( ComputeThermoProps($A108, $B108, ParametersRange), 1, COLUMN()-2 )</f>
        <v>1678.4175594967412</v>
      </c>
      <c r="K108" s="2" cm="1">
        <f t="array" ref="K108">INDEX( ComputeThermoProps($A108, $B108, ParametersRange), 1, COLUMN()-2 )</f>
        <v>25.306523968405354</v>
      </c>
      <c r="L108" s="2" cm="1">
        <f t="array" ref="L108">INDEX( ComputeThermoProps($A108, $B108, ParametersRange), 1, COLUMN()-2 )</f>
        <v>-601.70025005658113</v>
      </c>
      <c r="M108" s="2" cm="1">
        <f t="array" ref="M108">INDEX( ComputeThermoProps($A108, $B108, ParametersRange), 1, COLUMN()-2 )</f>
        <v>9127.7791673789543</v>
      </c>
      <c r="N108" s="2" cm="1">
        <f t="array" ref="N108">INDEX( ComputeThermoProps($A108, $B108, ParametersRange), 1, COLUMN()-2 )</f>
        <v>6847.661357825632</v>
      </c>
    </row>
    <row r="109" spans="1:14" x14ac:dyDescent="0.25">
      <c r="A109" s="2">
        <v>91.1</v>
      </c>
      <c r="B109" s="2">
        <f t="shared" si="1"/>
        <v>723.11736839382115</v>
      </c>
      <c r="C109" s="2" cm="1">
        <f t="array" ref="C109">INDEX( ComputeThermoProps($A109, $B109, ParametersRange), 1, COLUMN()-2 )</f>
        <v>10.45601884525157</v>
      </c>
      <c r="D109" s="2" cm="1">
        <f t="array" ref="D109">INDEX( ComputeThermoProps($A109, $B109, ParametersRange), 1, COLUMN()-2 )</f>
        <v>6.4280218727619806E-4</v>
      </c>
      <c r="E109" s="2" cm="1">
        <f t="array" ref="E109">INDEX( ComputeThermoProps($A109, $B109, ParametersRange), 1, COLUMN()-2 )</f>
        <v>2.963324387692056E-4</v>
      </c>
      <c r="F109" s="2" cm="1">
        <f t="array" ref="F109">INDEX( ComputeThermoProps($A109, $B109, ParametersRange), 1, COLUMN()-2 )</f>
        <v>4.2134294023374059E-3</v>
      </c>
      <c r="G109" s="2" cm="1">
        <f t="array" ref="G109">INDEX( ComputeThermoProps($A109, $B109, ParametersRange), 1, COLUMN()-2 )</f>
        <v>48.807982532078505</v>
      </c>
      <c r="H109" s="2" cm="1">
        <f t="array" ref="H109">INDEX( ComputeThermoProps($A109, $B109, ParametersRange), 1, COLUMN()-2 )</f>
        <v>22.500527816220711</v>
      </c>
      <c r="I109" s="2" cm="1">
        <f t="array" ref="I109">INDEX( ComputeThermoProps($A109, $B109, ParametersRange), 1, COLUMN()-2 )</f>
        <v>3.0460149258103648</v>
      </c>
      <c r="J109" s="2" cm="1">
        <f t="array" ref="J109">INDEX( ComputeThermoProps($A109, $B109, ParametersRange), 1, COLUMN()-2 )</f>
        <v>1707.2909122383326</v>
      </c>
      <c r="K109" s="2" cm="1">
        <f t="array" ref="K109">INDEX( ComputeThermoProps($A109, $B109, ParametersRange), 1, COLUMN()-2 )</f>
        <v>25.216612111488899</v>
      </c>
      <c r="L109" s="2" cm="1">
        <f t="array" ref="L109">INDEX( ComputeThermoProps($A109, $B109, ParametersRange), 1, COLUMN()-2 )</f>
        <v>-589.94245111830605</v>
      </c>
      <c r="M109" s="2" cm="1">
        <f t="array" ref="M109">INDEX( ComputeThermoProps($A109, $B109, ParametersRange), 1, COLUMN()-2 )</f>
        <v>9268.2197434928494</v>
      </c>
      <c r="N109" s="2" cm="1">
        <f t="array" ref="N109">INDEX( ComputeThermoProps($A109, $B109, ParametersRange), 1, COLUMN()-2 )</f>
        <v>6970.9863801362108</v>
      </c>
    </row>
    <row r="110" spans="1:14" x14ac:dyDescent="0.25">
      <c r="A110" s="2">
        <v>92.1</v>
      </c>
      <c r="B110" s="2">
        <f t="shared" si="1"/>
        <v>737.36757983619725</v>
      </c>
      <c r="C110" s="2" cm="1">
        <f t="array" ref="C110">INDEX( ComputeThermoProps($A110, $B110, ParametersRange), 1, COLUMN()-2 )</f>
        <v>10.404775218651679</v>
      </c>
      <c r="D110" s="2" cm="1">
        <f t="array" ref="D110">INDEX( ComputeThermoProps($A110, $B110, ParametersRange), 1, COLUMN()-2 )</f>
        <v>6.3576853176400305E-4</v>
      </c>
      <c r="E110" s="2" cm="1">
        <f t="array" ref="E110">INDEX( ComputeThermoProps($A110, $B110, ParametersRange), 1, COLUMN()-2 )</f>
        <v>2.9276717725344427E-4</v>
      </c>
      <c r="F110" s="2" cm="1">
        <f t="array" ref="F110">INDEX( ComputeThermoProps($A110, $B110, ParametersRange), 1, COLUMN()-2 )</f>
        <v>4.1803103303263639E-3</v>
      </c>
      <c r="G110" s="2" cm="1">
        <f t="array" ref="G110">INDEX( ComputeThermoProps($A110, $B110, ParametersRange), 1, COLUMN()-2 )</f>
        <v>48.821772662297256</v>
      </c>
      <c r="H110" s="2" cm="1">
        <f t="array" ref="H110">INDEX( ComputeThermoProps($A110, $B110, ParametersRange), 1, COLUMN()-2 )</f>
        <v>22.482101357221385</v>
      </c>
      <c r="I110" s="2" cm="1">
        <f t="array" ref="I110">INDEX( ComputeThermoProps($A110, $B110, ParametersRange), 1, COLUMN()-2 )</f>
        <v>3.0430234288456117</v>
      </c>
      <c r="J110" s="2" cm="1">
        <f t="array" ref="J110">INDEX( ComputeThermoProps($A110, $B110, ParametersRange), 1, COLUMN()-2 )</f>
        <v>1736.3863058163472</v>
      </c>
      <c r="K110" s="2" cm="1">
        <f t="array" ref="K110">INDEX( ComputeThermoProps($A110, $B110, ParametersRange), 1, COLUMN()-2 )</f>
        <v>25.125740283096992</v>
      </c>
      <c r="L110" s="2" cm="1">
        <f t="array" ref="L110">INDEX( ComputeThermoProps($A110, $B110, ParametersRange), 1, COLUMN()-2 )</f>
        <v>-577.69437425688557</v>
      </c>
      <c r="M110" s="2" cm="1">
        <f t="array" ref="M110">INDEX( ComputeThermoProps($A110, $B110, ParametersRange), 1, COLUMN()-2 )</f>
        <v>9408.530227533176</v>
      </c>
      <c r="N110" s="2" cm="1">
        <f t="array" ref="N110">INDEX( ComputeThermoProps($A110, $B110, ParametersRange), 1, COLUMN()-2 )</f>
        <v>7094.4495474599435</v>
      </c>
    </row>
    <row r="111" spans="1:14" x14ac:dyDescent="0.25">
      <c r="A111" s="2">
        <v>93.1</v>
      </c>
      <c r="B111" s="2">
        <f t="shared" si="1"/>
        <v>751.69162614166385</v>
      </c>
      <c r="C111" s="2" cm="1">
        <f t="array" ref="C111">INDEX( ComputeThermoProps($A111, $B111, ParametersRange), 1, COLUMN()-2 )</f>
        <v>10.353987062742577</v>
      </c>
      <c r="D111" s="2" cm="1">
        <f t="array" ref="D111">INDEX( ComputeThermoProps($A111, $B111, ParametersRange), 1, COLUMN()-2 )</f>
        <v>6.2886521556551329E-4</v>
      </c>
      <c r="E111" s="2" cm="1">
        <f t="array" ref="E111">INDEX( ComputeThermoProps($A111, $B111, ParametersRange), 1, COLUMN()-2 )</f>
        <v>2.8927844596494874E-4</v>
      </c>
      <c r="F111" s="2" cm="1">
        <f t="array" ref="F111">INDEX( ComputeThermoProps($A111, $B111, ParametersRange), 1, COLUMN()-2 )</f>
        <v>4.1476750644972426E-3</v>
      </c>
      <c r="G111" s="2" cm="1">
        <f t="array" ref="G111">INDEX( ComputeThermoProps($A111, $B111, ParametersRange), 1, COLUMN()-2 )</f>
        <v>48.833290469653484</v>
      </c>
      <c r="H111" s="2" cm="1">
        <f t="array" ref="H111">INDEX( ComputeThermoProps($A111, $B111, ParametersRange), 1, COLUMN()-2 )</f>
        <v>22.463348311788845</v>
      </c>
      <c r="I111" s="2" cm="1">
        <f t="array" ref="I111">INDEX( ComputeThermoProps($A111, $B111, ParametersRange), 1, COLUMN()-2 )</f>
        <v>3.0400468687717681</v>
      </c>
      <c r="J111" s="2" cm="1">
        <f t="array" ref="J111">INDEX( ComputeThermoProps($A111, $B111, ParametersRange), 1, COLUMN()-2 )</f>
        <v>1765.7008803645267</v>
      </c>
      <c r="K111" s="2" cm="1">
        <f t="array" ref="K111">INDEX( ComputeThermoProps($A111, $B111, ParametersRange), 1, COLUMN()-2 )</f>
        <v>25.033972438847638</v>
      </c>
      <c r="L111" s="2" cm="1">
        <f t="array" ref="L111">INDEX( ComputeThermoProps($A111, $B111, ParametersRange), 1, COLUMN()-2 )</f>
        <v>-564.96195369218822</v>
      </c>
      <c r="M111" s="2" cm="1">
        <f t="array" ref="M111">INDEX( ComputeThermoProps($A111, $B111, ParametersRange), 1, COLUMN()-2 )</f>
        <v>9548.7062526072441</v>
      </c>
      <c r="N111" s="2" cm="1">
        <f t="array" ref="N111">INDEX( ComputeThermoProps($A111, $B111, ParametersRange), 1, COLUMN()-2 )</f>
        <v>7218.0434185505292</v>
      </c>
    </row>
    <row r="112" spans="1:14" x14ac:dyDescent="0.25">
      <c r="A112" s="2">
        <v>94.1</v>
      </c>
      <c r="B112" s="2">
        <f t="shared" si="1"/>
        <v>766.08882576885821</v>
      </c>
      <c r="C112" s="2" cm="1">
        <f t="array" ref="C112">INDEX( ComputeThermoProps($A112, $B112, ParametersRange), 1, COLUMN()-2 )</f>
        <v>10.303650982360359</v>
      </c>
      <c r="D112" s="2" cm="1">
        <f t="array" ref="D112">INDEX( ComputeThermoProps($A112, $B112, ParametersRange), 1, COLUMN()-2 )</f>
        <v>6.2208904911555823E-4</v>
      </c>
      <c r="E112" s="2" cm="1">
        <f t="array" ref="E112">INDEX( ComputeThermoProps($A112, $B112, ParametersRange), 1, COLUMN()-2 )</f>
        <v>2.8586399863128544E-4</v>
      </c>
      <c r="F112" s="2" cm="1">
        <f t="array" ref="F112">INDEX( ComputeThermoProps($A112, $B112, ParametersRange), 1, COLUMN()-2 )</f>
        <v>4.1155131743760313E-3</v>
      </c>
      <c r="G112" s="2" cm="1">
        <f t="array" ref="G112">INDEX( ComputeThermoProps($A112, $B112, ParametersRange), 1, COLUMN()-2 )</f>
        <v>48.842590268568465</v>
      </c>
      <c r="H112" s="2" cm="1">
        <f t="array" ref="H112">INDEX( ComputeThermoProps($A112, $B112, ParametersRange), 1, COLUMN()-2 )</f>
        <v>22.444275747231281</v>
      </c>
      <c r="I112" s="2" cm="1">
        <f t="array" ref="I112">INDEX( ComputeThermoProps($A112, $B112, ParametersRange), 1, COLUMN()-2 )</f>
        <v>3.0370852562931381</v>
      </c>
      <c r="J112" s="2" cm="1">
        <f t="array" ref="J112">INDEX( ComputeThermoProps($A112, $B112, ParametersRange), 1, COLUMN()-2 )</f>
        <v>1795.2317870006252</v>
      </c>
      <c r="K112" s="2" cm="1">
        <f t="array" ref="K112">INDEX( ComputeThermoProps($A112, $B112, ParametersRange), 1, COLUMN()-2 )</f>
        <v>24.941369286620667</v>
      </c>
      <c r="L112" s="2" cm="1">
        <f t="array" ref="L112">INDEX( ComputeThermoProps($A112, $B112, ParametersRange), 1, COLUMN()-2 )</f>
        <v>-551.75106287037943</v>
      </c>
      <c r="M112" s="2" cm="1">
        <f t="array" ref="M112">INDEX( ComputeThermoProps($A112, $B112, ParametersRange), 1, COLUMN()-2 )</f>
        <v>9688.743669209216</v>
      </c>
      <c r="N112" s="2" cm="1">
        <f t="array" ref="N112">INDEX( ComputeThermoProps($A112, $B112, ParametersRange), 1, COLUMN()-2 )</f>
        <v>7341.7608193382111</v>
      </c>
    </row>
    <row r="113" spans="1:14" x14ac:dyDescent="0.25">
      <c r="A113" s="2">
        <v>95.1</v>
      </c>
      <c r="B113" s="2">
        <f t="shared" si="1"/>
        <v>780.5585129482397</v>
      </c>
      <c r="C113" s="2" cm="1">
        <f t="array" ref="C113">INDEX( ComputeThermoProps($A113, $B113, ParametersRange), 1, COLUMN()-2 )</f>
        <v>10.253763441729335</v>
      </c>
      <c r="D113" s="2" cm="1">
        <f t="array" ref="D113">INDEX( ComputeThermoProps($A113, $B113, ParametersRange), 1, COLUMN()-2 )</f>
        <v>6.1543691939657474E-4</v>
      </c>
      <c r="E113" s="2" cm="1">
        <f t="array" ref="E113">INDEX( ComputeThermoProps($A113, $B113, ParametersRange), 1, COLUMN()-2 )</f>
        <v>2.8252166946549995E-4</v>
      </c>
      <c r="F113" s="2" cm="1">
        <f t="array" ref="F113">INDEX( ComputeThermoProps($A113, $B113, ParametersRange), 1, COLUMN()-2 )</f>
        <v>4.0838143814114491E-3</v>
      </c>
      <c r="G113" s="2" cm="1">
        <f t="array" ref="G113">INDEX( ComputeThermoProps($A113, $B113, ParametersRange), 1, COLUMN()-2 )</f>
        <v>48.849723489309369</v>
      </c>
      <c r="H113" s="2" cm="1">
        <f t="array" ref="H113">INDEX( ComputeThermoProps($A113, $B113, ParametersRange), 1, COLUMN()-2 )</f>
        <v>22.424890347266583</v>
      </c>
      <c r="I113" s="2" cm="1">
        <f t="array" ref="I113">INDEX( ComputeThermoProps($A113, $B113, ParametersRange), 1, COLUMN()-2 )</f>
        <v>3.0341385920008328</v>
      </c>
      <c r="J113" s="2" cm="1">
        <f t="array" ref="J113">INDEX( ComputeThermoProps($A113, $B113, ParametersRange), 1, COLUMN()-2 )</f>
        <v>1824.9761906303756</v>
      </c>
      <c r="K113" s="2" cm="1">
        <f t="array" ref="K113">INDEX( ComputeThermoProps($A113, $B113, ParametersRange), 1, COLUMN()-2 )</f>
        <v>24.847988472302216</v>
      </c>
      <c r="L113" s="2" cm="1">
        <f t="array" ref="L113">INDEX( ComputeThermoProps($A113, $B113, ParametersRange), 1, COLUMN()-2 )</f>
        <v>-538.067513085565</v>
      </c>
      <c r="M113" s="2" cm="1">
        <f t="array" ref="M113">INDEX( ComputeThermoProps($A113, $B113, ParametersRange), 1, COLUMN()-2 )</f>
        <v>9828.6385348296499</v>
      </c>
      <c r="N113" s="2" cm="1">
        <f t="array" ref="N113">INDEX( ComputeThermoProps($A113, $B113, ParametersRange), 1, COLUMN()-2 )</f>
        <v>7465.594831113709</v>
      </c>
    </row>
    <row r="114" spans="1:14" x14ac:dyDescent="0.25">
      <c r="A114" s="2">
        <v>96.1</v>
      </c>
      <c r="B114" s="2">
        <f t="shared" si="1"/>
        <v>795.10003710470664</v>
      </c>
      <c r="C114" s="2" cm="1">
        <f t="array" ref="C114">INDEX( ComputeThermoProps($A114, $B114, ParametersRange), 1, COLUMN()-2 )</f>
        <v>10.204320781120741</v>
      </c>
      <c r="D114" s="2" cm="1">
        <f t="array" ref="D114">INDEX( ComputeThermoProps($A114, $B114, ParametersRange), 1, COLUMN()-2 )</f>
        <v>6.0890579021915972E-4</v>
      </c>
      <c r="E114" s="2" cm="1">
        <f t="array" ref="E114">INDEX( ComputeThermoProps($A114, $B114, ParametersRange), 1, COLUMN()-2 )</f>
        <v>2.7924936988081399E-4</v>
      </c>
      <c r="F114" s="2" cm="1">
        <f t="array" ref="F114">INDEX( ComputeThermoProps($A114, $B114, ParametersRange), 1, COLUMN()-2 )</f>
        <v>4.0525685782625701E-3</v>
      </c>
      <c r="G114" s="2" cm="1">
        <f t="array" ref="G114">INDEX( ComputeThermoProps($A114, $B114, ParametersRange), 1, COLUMN()-2 )</f>
        <v>48.854738990684794</v>
      </c>
      <c r="H114" s="2" cm="1">
        <f t="array" ref="H114">INDEX( ComputeThermoProps($A114, $B114, ParametersRange), 1, COLUMN()-2 )</f>
        <v>22.4051984690933</v>
      </c>
      <c r="I114" s="2" cm="1">
        <f t="array" ref="I114">INDEX( ComputeThermoProps($A114, $B114, ParametersRange), 1, COLUMN()-2 )</f>
        <v>3.031206867072445</v>
      </c>
      <c r="J114" s="2" cm="1">
        <f t="array" ref="J114">INDEX( ComputeThermoProps($A114, $B114, ParametersRange), 1, COLUMN()-2 )</f>
        <v>1854.9312727980157</v>
      </c>
      <c r="K114" s="2" cm="1">
        <f t="array" ref="K114">INDEX( ComputeThermoProps($A114, $B114, ParametersRange), 1, COLUMN()-2 )</f>
        <v>24.753884738844409</v>
      </c>
      <c r="L114" s="2" cm="1">
        <f t="array" ref="L114">INDEX( ComputeThermoProps($A114, $B114, ParametersRange), 1, COLUMN()-2 )</f>
        <v>-523.91705060493189</v>
      </c>
      <c r="M114" s="2" cm="1">
        <f t="array" ref="M114">INDEX( ComputeThermoProps($A114, $B114, ParametersRange), 1, COLUMN()-2 )</f>
        <v>9968.3871044954449</v>
      </c>
      <c r="N114" s="2" cm="1">
        <f t="array" ref="N114">INDEX( ComputeThermoProps($A114, $B114, ParametersRange), 1, COLUMN()-2 )</f>
        <v>7589.5387810924976</v>
      </c>
    </row>
    <row r="115" spans="1:14" x14ac:dyDescent="0.25">
      <c r="A115" s="2">
        <v>97.1</v>
      </c>
      <c r="B115" s="2">
        <f t="shared" si="1"/>
        <v>809.71276230888361</v>
      </c>
      <c r="C115" s="2" cm="1">
        <f t="array" ref="C115">INDEX( ComputeThermoProps($A115, $B115, ParametersRange), 1, COLUMN()-2 )</f>
        <v>10.155319232150179</v>
      </c>
      <c r="D115" s="2" cm="1">
        <f t="array" ref="D115">INDEX( ComputeThermoProps($A115, $B115, ParametersRange), 1, COLUMN()-2 )</f>
        <v>6.0249270141935634E-4</v>
      </c>
      <c r="E115" s="2" cm="1">
        <f t="array" ref="E115">INDEX( ComputeThermoProps($A115, $B115, ParametersRange), 1, COLUMN()-2 )</f>
        <v>2.7604508543857206E-4</v>
      </c>
      <c r="F115" s="2" cm="1">
        <f t="array" ref="F115">INDEX( ComputeThermoProps($A115, $B115, ParametersRange), 1, COLUMN()-2 )</f>
        <v>4.0217658327003731E-3</v>
      </c>
      <c r="G115" s="2" cm="1">
        <f t="array" ref="G115">INDEX( ComputeThermoProps($A115, $B115, ParametersRange), 1, COLUMN()-2 )</f>
        <v>48.857683178140938</v>
      </c>
      <c r="H115" s="2" cm="1">
        <f t="array" ref="H115">INDEX( ComputeThermoProps($A115, $B115, ParametersRange), 1, COLUMN()-2 )</f>
        <v>22.385206153482052</v>
      </c>
      <c r="I115" s="2" cm="1">
        <f t="array" ref="I115">INDEX( ComputeThermoProps($A115, $B115, ParametersRange), 1, COLUMN()-2 )</f>
        <v>3.0282900641641626</v>
      </c>
      <c r="J115" s="2" cm="1">
        <f t="array" ref="J115">INDEX( ComputeThermoProps($A115, $B115, ParametersRange), 1, COLUMN()-2 )</f>
        <v>1885.094233646101</v>
      </c>
      <c r="K115" s="2" cm="1">
        <f t="array" ref="K115">INDEX( ComputeThermoProps($A115, $B115, ParametersRange), 1, COLUMN()-2 )</f>
        <v>24.659110102846522</v>
      </c>
      <c r="L115" s="2" cm="1">
        <f t="array" ref="L115">INDEX( ComputeThermoProps($A115, $B115, ParametersRange), 1, COLUMN()-2 )</f>
        <v>-509.30535734029621</v>
      </c>
      <c r="M115" s="2" cm="1">
        <f t="array" ref="M115">INDEX( ComputeThermoProps($A115, $B115, ParametersRange), 1, COLUMN()-2 )</f>
        <v>10107.985821238954</v>
      </c>
      <c r="N115" s="2" cm="1">
        <f t="array" ref="N115">INDEX( ComputeThermoProps($A115, $B115, ParametersRange), 1, COLUMN()-2 )</f>
        <v>7713.5862302525566</v>
      </c>
    </row>
    <row r="116" spans="1:14" x14ac:dyDescent="0.25">
      <c r="A116" s="2">
        <v>98.1</v>
      </c>
      <c r="B116" s="2">
        <f t="shared" si="1"/>
        <v>824.39606675529956</v>
      </c>
      <c r="C116" s="2" cm="1">
        <f t="array" ref="C116">INDEX( ComputeThermoProps($A116, $B116, ParametersRange), 1, COLUMN()-2 )</f>
        <v>10.106754931820731</v>
      </c>
      <c r="D116" s="2" cm="1">
        <f t="array" ref="D116">INDEX( ComputeThermoProps($A116, $B116, ParametersRange), 1, COLUMN()-2 )</f>
        <v>5.961947674725357E-4</v>
      </c>
      <c r="E116" s="2" cm="1">
        <f t="array" ref="E116">INDEX( ComputeThermoProps($A116, $B116, ParametersRange), 1, COLUMN()-2 )</f>
        <v>2.7290687283227304E-4</v>
      </c>
      <c r="F116" s="2" cm="1">
        <f t="array" ref="F116">INDEX( ComputeThermoProps($A116, $B116, ParametersRange), 1, COLUMN()-2 )</f>
        <v>3.9913963877416083E-3</v>
      </c>
      <c r="G116" s="2" cm="1">
        <f t="array" ref="G116">INDEX( ComputeThermoProps($A116, $B116, ParametersRange), 1, COLUMN()-2 )</f>
        <v>48.858600099840444</v>
      </c>
      <c r="H116" s="2" cm="1">
        <f t="array" ref="H116">INDEX( ComputeThermoProps($A116, $B116, ParametersRange), 1, COLUMN()-2 )</f>
        <v>22.364919136638139</v>
      </c>
      <c r="I116" s="2" cm="1">
        <f t="array" ref="I116">INDEX( ComputeThermoProps($A116, $B116, ParametersRange), 1, COLUMN()-2 )</f>
        <v>3.0253881580182336</v>
      </c>
      <c r="J116" s="2" cm="1">
        <f t="array" ref="J116">INDEX( ComputeThermoProps($A116, $B116, ParametersRange), 1, COLUMN()-2 )</f>
        <v>1915.4622941947982</v>
      </c>
      <c r="K116" s="2" cm="1">
        <f t="array" ref="K116">INDEX( ComputeThermoProps($A116, $B116, ParametersRange), 1, COLUMN()-2 )</f>
        <v>24.563713995373174</v>
      </c>
      <c r="L116" s="2" cm="1">
        <f t="array" ref="L116">INDEX( ComputeThermoProps($A116, $B116, ParametersRange), 1, COLUMN()-2 )</f>
        <v>-494.23804875130998</v>
      </c>
      <c r="M116" s="2" cm="1">
        <f t="array" ref="M116">INDEX( ComputeThermoProps($A116, $B116, ParametersRange), 1, COLUMN()-2 )</f>
        <v>10247.431307647536</v>
      </c>
      <c r="N116" s="2" cm="1">
        <f t="array" ref="N116">INDEX( ComputeThermoProps($A116, $B116, ParametersRange), 1, COLUMN()-2 )</f>
        <v>7837.7309647014272</v>
      </c>
    </row>
    <row r="117" spans="1:14" x14ac:dyDescent="0.25">
      <c r="A117" s="2">
        <v>99.1</v>
      </c>
      <c r="B117" s="2">
        <f t="shared" si="1"/>
        <v>839.14934226579544</v>
      </c>
      <c r="C117" s="2" cm="1">
        <f t="array" ref="C117">INDEX( ComputeThermoProps($A117, $B117, ParametersRange), 1, COLUMN()-2 )</f>
        <v>10.058623935410266</v>
      </c>
      <c r="D117" s="2" cm="1">
        <f t="array" ref="D117">INDEX( ComputeThermoProps($A117, $B117, ParametersRange), 1, COLUMN()-2 )</f>
        <v>5.9000917698349205E-4</v>
      </c>
      <c r="E117" s="2" cm="1">
        <f t="array" ref="E117">INDEX( ComputeThermoProps($A117, $B117, ParametersRange), 1, COLUMN()-2 )</f>
        <v>2.6983285703911114E-4</v>
      </c>
      <c r="F117" s="2" cm="1">
        <f t="array" ref="F117">INDEX( ComputeThermoProps($A117, $B117, ParametersRange), 1, COLUMN()-2 )</f>
        <v>3.9614506717594346E-3</v>
      </c>
      <c r="G117" s="2" cm="1">
        <f t="array" ref="G117">INDEX( ComputeThermoProps($A117, $B117, ParametersRange), 1, COLUMN()-2 )</f>
        <v>48.85753165875839</v>
      </c>
      <c r="H117" s="2" cm="1">
        <f t="array" ref="H117">INDEX( ComputeThermoProps($A117, $B117, ParametersRange), 1, COLUMN()-2 )</f>
        <v>22.344342884230183</v>
      </c>
      <c r="I117" s="2" cm="1">
        <f t="array" ref="I117">INDEX( ComputeThermoProps($A117, $B117, ParametersRange), 1, COLUMN()-2 )</f>
        <v>3.0225011161280499</v>
      </c>
      <c r="J117" s="2" cm="1">
        <f t="array" ref="J117">INDEX( ComputeThermoProps($A117, $B117, ParametersRange), 1, COLUMN()-2 )</f>
        <v>1946.0326981306634</v>
      </c>
      <c r="K117" s="2" cm="1">
        <f t="array" ref="K117">INDEX( ComputeThermoProps($A117, $B117, ParametersRange), 1, COLUMN()-2 )</f>
        <v>24.467743405627555</v>
      </c>
      <c r="L117" s="2" cm="1">
        <f t="array" ref="L117">INDEX( ComputeThermoProps($A117, $B117, ParametersRange), 1, COLUMN()-2 )</f>
        <v>-478.72067336702713</v>
      </c>
      <c r="M117" s="2" cm="1">
        <f t="array" ref="M117">INDEX( ComputeThermoProps($A117, $B117, ParametersRange), 1, COLUMN()-2 )</f>
        <v>10386.720357629174</v>
      </c>
      <c r="N117" s="2" cm="1">
        <f t="array" ref="N117">INDEX( ComputeThermoProps($A117, $B117, ParametersRange), 1, COLUMN()-2 )</f>
        <v>7961.9669861314833</v>
      </c>
    </row>
    <row r="118" spans="1:14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Parameters</vt:lpstr>
      <vt:lpstr>Inputs</vt:lpstr>
      <vt:lpstr>Outputs</vt:lpstr>
      <vt:lpstr>Sweep</vt:lpstr>
      <vt:lpstr>p_in</vt:lpstr>
      <vt:lpstr>ParametersRange</vt:lpstr>
      <vt:lpstr>T_in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2025-09-21T03:31:04Z</dcterms:modified>
</cp:coreProperties>
</file>