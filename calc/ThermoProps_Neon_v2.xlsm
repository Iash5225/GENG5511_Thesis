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wa-my.sharepoint.com/personal/23059859_student_uwa_edu_au/Documents/UWA/05. Year 5/Semester 1/GENG5511 MPE Engineering Research Project/Project/Research_Project/GENG5511_Thesis/calc/"/>
    </mc:Choice>
  </mc:AlternateContent>
  <xr:revisionPtr revIDLastSave="313" documentId="8_{B0C8A4BE-9622-4CEE-91F7-C2B4B71EBE2F}" xr6:coauthVersionLast="47" xr6:coauthVersionMax="47" xr10:uidLastSave="{40AC9498-2F05-4379-9AEE-B6E0C49493CF}"/>
  <bookViews>
    <workbookView xWindow="-28920" yWindow="-120" windowWidth="29040" windowHeight="15720" xr2:uid="{00000000-000D-0000-FFFF-FFFF00000000}"/>
  </bookViews>
  <sheets>
    <sheet name="Parameters" sheetId="2" r:id="rId1"/>
    <sheet name="Inputs" sheetId="1" r:id="rId2"/>
    <sheet name="Outputs" sheetId="3" r:id="rId3"/>
    <sheet name="Sweep" sheetId="4" r:id="rId4"/>
  </sheets>
  <functionGroups builtInGroupCount="19"/>
  <definedNames>
    <definedName name="p_in">Inputs!$B$3</definedName>
    <definedName name="ParametersRange">Parameters!$B$2:$B$32</definedName>
    <definedName name="T_in">Inputs!$B$2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4" l="1"/>
  <c r="B10" i="4"/>
  <c r="B11" i="4" l="1"/>
  <c r="A23" i="4" l="1" a="1"/>
  <c r="A23" i="4" s="1"/>
  <c r="B23" i="4" s="1"/>
  <c r="K23" i="4" a="1"/>
  <c r="M23" i="4" a="1"/>
  <c r="B5" i="3"/>
  <c r="G23" i="4" a="1"/>
  <c r="B12" i="3"/>
  <c r="B4" i="3"/>
  <c r="H23" i="4" a="1"/>
  <c r="B16" i="3"/>
  <c r="C23" i="4" a="1"/>
  <c r="E23" i="4" a="1"/>
  <c r="N23" i="4" a="1"/>
  <c r="B3" i="3"/>
  <c r="B10" i="3"/>
  <c r="B11" i="3"/>
  <c r="B6" i="3"/>
  <c r="I23" i="4" a="1"/>
  <c r="D23" i="4" a="1"/>
  <c r="B9" i="3"/>
  <c r="B2" i="3"/>
  <c r="F23" i="4" a="1"/>
  <c r="L23" i="4" a="1"/>
  <c r="B7" i="3"/>
  <c r="J23" i="4" a="1"/>
  <c r="B8" i="3"/>
  <c r="B13" i="3"/>
  <c r="B81" i="4" l="1"/>
  <c r="B104" i="4"/>
  <c r="B119" i="4"/>
  <c r="B107" i="4"/>
  <c r="B95" i="4"/>
  <c r="B83" i="4"/>
  <c r="B71" i="4"/>
  <c r="B59" i="4"/>
  <c r="B47" i="4"/>
  <c r="B35" i="4"/>
  <c r="B117" i="4"/>
  <c r="B45" i="4"/>
  <c r="B68" i="4"/>
  <c r="B118" i="4"/>
  <c r="B106" i="4"/>
  <c r="B94" i="4"/>
  <c r="B82" i="4"/>
  <c r="B70" i="4"/>
  <c r="B58" i="4"/>
  <c r="B46" i="4"/>
  <c r="B34" i="4"/>
  <c r="B33" i="4"/>
  <c r="B93" i="4"/>
  <c r="B57" i="4"/>
  <c r="B80" i="4"/>
  <c r="B44" i="4"/>
  <c r="B115" i="4"/>
  <c r="B91" i="4"/>
  <c r="B67" i="4"/>
  <c r="B43" i="4"/>
  <c r="B114" i="4"/>
  <c r="B90" i="4"/>
  <c r="B66" i="4"/>
  <c r="B42" i="4"/>
  <c r="B113" i="4"/>
  <c r="B77" i="4"/>
  <c r="B65" i="4"/>
  <c r="B41" i="4"/>
  <c r="B100" i="4"/>
  <c r="B64" i="4"/>
  <c r="B40" i="4"/>
  <c r="B87" i="4"/>
  <c r="B51" i="4"/>
  <c r="B27" i="4"/>
  <c r="B122" i="4"/>
  <c r="B110" i="4"/>
  <c r="B98" i="4"/>
  <c r="B86" i="4"/>
  <c r="B74" i="4"/>
  <c r="B62" i="4"/>
  <c r="B50" i="4"/>
  <c r="B38" i="4"/>
  <c r="B26" i="4"/>
  <c r="B88" i="4"/>
  <c r="B99" i="4"/>
  <c r="B63" i="4"/>
  <c r="B39" i="4"/>
  <c r="B121" i="4"/>
  <c r="B109" i="4"/>
  <c r="B97" i="4"/>
  <c r="B85" i="4"/>
  <c r="B73" i="4"/>
  <c r="B61" i="4"/>
  <c r="B49" i="4"/>
  <c r="B37" i="4"/>
  <c r="B25" i="4"/>
  <c r="B105" i="4"/>
  <c r="B69" i="4"/>
  <c r="B116" i="4"/>
  <c r="B92" i="4"/>
  <c r="B56" i="4"/>
  <c r="B32" i="4"/>
  <c r="B103" i="4"/>
  <c r="B79" i="4"/>
  <c r="B55" i="4"/>
  <c r="B31" i="4"/>
  <c r="B102" i="4"/>
  <c r="B78" i="4"/>
  <c r="B54" i="4"/>
  <c r="B30" i="4"/>
  <c r="B101" i="4"/>
  <c r="B89" i="4"/>
  <c r="B53" i="4"/>
  <c r="B29" i="4"/>
  <c r="B112" i="4"/>
  <c r="B76" i="4"/>
  <c r="B52" i="4"/>
  <c r="B28" i="4"/>
  <c r="B111" i="4"/>
  <c r="B75" i="4"/>
  <c r="B120" i="4"/>
  <c r="B108" i="4"/>
  <c r="B96" i="4"/>
  <c r="B84" i="4"/>
  <c r="B72" i="4"/>
  <c r="B60" i="4"/>
  <c r="B48" i="4"/>
  <c r="B36" i="4"/>
  <c r="B24" i="4"/>
  <c r="G23" i="4"/>
  <c r="M23" i="4"/>
  <c r="P23" i="4" s="1"/>
  <c r="F23" i="4"/>
  <c r="N23" i="4"/>
  <c r="L23" i="4"/>
  <c r="I23" i="4"/>
  <c r="E23" i="4"/>
  <c r="H23" i="4"/>
  <c r="K23" i="4"/>
  <c r="J23" i="4"/>
  <c r="D23" i="4"/>
  <c r="C23" i="4"/>
  <c r="L104" i="4" a="1"/>
  <c r="L100" i="4" a="1"/>
  <c r="L31" i="4" a="1"/>
  <c r="L43" i="4" a="1"/>
  <c r="L54" i="4" a="1"/>
  <c r="L66" i="4" a="1"/>
  <c r="L89" i="4" a="1"/>
  <c r="M98" i="4" a="1"/>
  <c r="M104" i="4" a="1"/>
  <c r="M100" i="4" a="1"/>
  <c r="M31" i="4" a="1"/>
  <c r="M43" i="4" a="1"/>
  <c r="M54" i="4" a="1"/>
  <c r="M66" i="4" a="1"/>
  <c r="M89" i="4" a="1"/>
  <c r="N81" i="4" a="1"/>
  <c r="N41" i="4" a="1"/>
  <c r="N55" i="4" a="1"/>
  <c r="N82" i="4" a="1"/>
  <c r="N25" i="4" a="1"/>
  <c r="N46" i="4" a="1"/>
  <c r="N116" i="4" a="1"/>
  <c r="N57" i="4" a="1"/>
  <c r="C81" i="4" a="1"/>
  <c r="C41" i="4" a="1"/>
  <c r="C55" i="4" a="1"/>
  <c r="C82" i="4" a="1"/>
  <c r="C25" i="4" a="1"/>
  <c r="C46" i="4" a="1"/>
  <c r="C116" i="4" a="1"/>
  <c r="C57" i="4" a="1"/>
  <c r="C117" i="4" a="1"/>
  <c r="D44" i="4" a="1"/>
  <c r="D61" i="4" a="1"/>
  <c r="D95" i="4" a="1"/>
  <c r="D88" i="4" a="1"/>
  <c r="D59" i="4" a="1"/>
  <c r="D39" i="4" a="1"/>
  <c r="D45" i="4" a="1"/>
  <c r="D93" i="4" a="1"/>
  <c r="E81" i="4" a="1"/>
  <c r="E41" i="4" a="1"/>
  <c r="E55" i="4" a="1"/>
  <c r="E82" i="4" a="1"/>
  <c r="E25" i="4" a="1"/>
  <c r="E46" i="4" a="1"/>
  <c r="E116" i="4" a="1"/>
  <c r="E57" i="4" a="1"/>
  <c r="F117" i="4" a="1"/>
  <c r="F118" i="4" a="1"/>
  <c r="F50" i="4" a="1"/>
  <c r="F28" i="4" a="1"/>
  <c r="F87" i="4" a="1"/>
  <c r="F120" i="4" a="1"/>
  <c r="F122" i="4" a="1"/>
  <c r="F84" i="4" a="1"/>
  <c r="G81" i="4" a="1"/>
  <c r="G41" i="4" a="1"/>
  <c r="G55" i="4" a="1"/>
  <c r="G82" i="4" a="1"/>
  <c r="G25" i="4" a="1"/>
  <c r="G46" i="4" a="1"/>
  <c r="G116" i="4" a="1"/>
  <c r="G57" i="4" a="1"/>
  <c r="G113" i="4" a="1"/>
  <c r="H44" i="4" a="1"/>
  <c r="H61" i="4" a="1"/>
  <c r="H95" i="4" a="1"/>
  <c r="H88" i="4" a="1"/>
  <c r="H59" i="4" a="1"/>
  <c r="H39" i="4" a="1"/>
  <c r="H45" i="4" a="1"/>
  <c r="H93" i="4" a="1"/>
  <c r="I68" i="4" a="1"/>
  <c r="I62" i="4" a="1"/>
  <c r="I52" i="4" a="1"/>
  <c r="I67" i="4" a="1"/>
  <c r="I78" i="4" a="1"/>
  <c r="I90" i="4" a="1"/>
  <c r="I101" i="4" a="1"/>
  <c r="I77" i="4" a="1"/>
  <c r="J74" i="4" a="1"/>
  <c r="J76" i="4" a="1"/>
  <c r="J94" i="4" a="1"/>
  <c r="J37" i="4" a="1"/>
  <c r="J58" i="4" a="1"/>
  <c r="J69" i="4" a="1"/>
  <c r="J33" i="4" a="1"/>
  <c r="J32" i="4" a="1"/>
  <c r="K112" i="4" a="1"/>
  <c r="K83" i="4" a="1"/>
  <c r="K121" i="4" a="1"/>
  <c r="M56" i="4" a="1"/>
  <c r="C56" i="4" a="1"/>
  <c r="K120" i="4" a="1"/>
  <c r="L118" i="4" a="1"/>
  <c r="L50" i="4" a="1"/>
  <c r="L28" i="4" a="1"/>
  <c r="L87" i="4" a="1"/>
  <c r="L120" i="4" a="1"/>
  <c r="L122" i="4" a="1"/>
  <c r="L84" i="4" a="1"/>
  <c r="M117" i="4" a="1"/>
  <c r="M118" i="4" a="1"/>
  <c r="M50" i="4" a="1"/>
  <c r="M28" i="4" a="1"/>
  <c r="M87" i="4" a="1"/>
  <c r="M120" i="4" a="1"/>
  <c r="M122" i="4" a="1"/>
  <c r="M84" i="4" a="1"/>
  <c r="N68" i="4" a="1"/>
  <c r="N62" i="4" a="1"/>
  <c r="N52" i="4" a="1"/>
  <c r="N67" i="4" a="1"/>
  <c r="N78" i="4" a="1"/>
  <c r="N90" i="4" a="1"/>
  <c r="N101" i="4" a="1"/>
  <c r="N77" i="4" a="1"/>
  <c r="C68" i="4" a="1"/>
  <c r="C62" i="4" a="1"/>
  <c r="C52" i="4" a="1"/>
  <c r="C67" i="4" a="1"/>
  <c r="C78" i="4" a="1"/>
  <c r="C90" i="4" a="1"/>
  <c r="C101" i="4" a="1"/>
  <c r="C77" i="4" a="1"/>
  <c r="D81" i="4" a="1"/>
  <c r="D41" i="4" a="1"/>
  <c r="D55" i="4" a="1"/>
  <c r="D82" i="4" a="1"/>
  <c r="D25" i="4" a="1"/>
  <c r="D46" i="4" a="1"/>
  <c r="D116" i="4" a="1"/>
  <c r="D57" i="4" a="1"/>
  <c r="D113" i="4" a="1"/>
  <c r="E68" i="4" a="1"/>
  <c r="E62" i="4" a="1"/>
  <c r="E52" i="4" a="1"/>
  <c r="E67" i="4" a="1"/>
  <c r="E78" i="4" a="1"/>
  <c r="E90" i="4" a="1"/>
  <c r="E101" i="4" a="1"/>
  <c r="E77" i="4" a="1"/>
  <c r="G117" i="4" a="1"/>
  <c r="F44" i="4" a="1"/>
  <c r="F61" i="4" a="1"/>
  <c r="F95" i="4" a="1"/>
  <c r="F88" i="4" a="1"/>
  <c r="F59" i="4" a="1"/>
  <c r="F39" i="4" a="1"/>
  <c r="F45" i="4" a="1"/>
  <c r="G68" i="4" a="1"/>
  <c r="G62" i="4" a="1"/>
  <c r="G52" i="4" a="1"/>
  <c r="G67" i="4" a="1"/>
  <c r="G78" i="4" a="1"/>
  <c r="G90" i="4" a="1"/>
  <c r="G101" i="4" a="1"/>
  <c r="G77" i="4" a="1"/>
  <c r="H81" i="4" a="1"/>
  <c r="H41" i="4" a="1"/>
  <c r="H55" i="4" a="1"/>
  <c r="H82" i="4" a="1"/>
  <c r="H25" i="4" a="1"/>
  <c r="H46" i="4" a="1"/>
  <c r="H116" i="4" a="1"/>
  <c r="H57" i="4" a="1"/>
  <c r="H113" i="4" a="1"/>
  <c r="I80" i="4" a="1"/>
  <c r="I73" i="4" a="1"/>
  <c r="I24" i="4" a="1"/>
  <c r="I40" i="4" a="1"/>
  <c r="I75" i="4" a="1"/>
  <c r="I27" i="4" a="1"/>
  <c r="I96" i="4" a="1"/>
  <c r="I86" i="4" a="1"/>
  <c r="J85" i="4" a="1"/>
  <c r="J36" i="4" a="1"/>
  <c r="J91" i="4" a="1"/>
  <c r="J102" i="4" a="1"/>
  <c r="J114" i="4" a="1"/>
  <c r="J30" i="4" a="1"/>
  <c r="J42" i="4" a="1"/>
  <c r="J29" i="4" a="1"/>
  <c r="L117" i="4" a="1"/>
  <c r="K48" i="4" a="1"/>
  <c r="K115" i="4" a="1"/>
  <c r="K49" i="4" a="1"/>
  <c r="K70" i="4" a="1"/>
  <c r="K105" i="4" a="1"/>
  <c r="K34" i="4" a="1"/>
  <c r="K92" i="4" a="1"/>
  <c r="K53" i="4" a="1"/>
  <c r="N113" i="4" a="1"/>
  <c r="K66" i="4" a="1"/>
  <c r="K84" i="4" a="1"/>
  <c r="L44" i="4" a="1"/>
  <c r="L61" i="4" a="1"/>
  <c r="L95" i="4" a="1"/>
  <c r="L88" i="4" a="1"/>
  <c r="L59" i="4" a="1"/>
  <c r="L39" i="4" a="1"/>
  <c r="L45" i="4" a="1"/>
  <c r="N56" i="4" a="1"/>
  <c r="M44" i="4" a="1"/>
  <c r="M61" i="4" a="1"/>
  <c r="M95" i="4" a="1"/>
  <c r="M88" i="4" a="1"/>
  <c r="M59" i="4" a="1"/>
  <c r="M39" i="4" a="1"/>
  <c r="M45" i="4" a="1"/>
  <c r="N80" i="4" a="1"/>
  <c r="N73" i="4" a="1"/>
  <c r="N24" i="4" a="1"/>
  <c r="N40" i="4" a="1"/>
  <c r="N75" i="4" a="1"/>
  <c r="N27" i="4" a="1"/>
  <c r="N96" i="4" a="1"/>
  <c r="N86" i="4" a="1"/>
  <c r="C80" i="4" a="1"/>
  <c r="C73" i="4" a="1"/>
  <c r="C24" i="4" a="1"/>
  <c r="C40" i="4" a="1"/>
  <c r="C75" i="4" a="1"/>
  <c r="C27" i="4" a="1"/>
  <c r="C96" i="4" a="1"/>
  <c r="C86" i="4" a="1"/>
  <c r="D68" i="4" a="1"/>
  <c r="D62" i="4" a="1"/>
  <c r="D52" i="4" a="1"/>
  <c r="D67" i="4" a="1"/>
  <c r="D78" i="4" a="1"/>
  <c r="D90" i="4" a="1"/>
  <c r="D101" i="4" a="1"/>
  <c r="D77" i="4" a="1"/>
  <c r="D56" i="4" a="1"/>
  <c r="E80" i="4" a="1"/>
  <c r="E73" i="4" a="1"/>
  <c r="E24" i="4" a="1"/>
  <c r="E40" i="4" a="1"/>
  <c r="E75" i="4" a="1"/>
  <c r="E27" i="4" a="1"/>
  <c r="E96" i="4" a="1"/>
  <c r="E86" i="4" a="1"/>
  <c r="F81" i="4" a="1"/>
  <c r="F41" i="4" a="1"/>
  <c r="F55" i="4" a="1"/>
  <c r="F82" i="4" a="1"/>
  <c r="F25" i="4" a="1"/>
  <c r="F46" i="4" a="1"/>
  <c r="F116" i="4" a="1"/>
  <c r="F57" i="4" a="1"/>
  <c r="G80" i="4" a="1"/>
  <c r="G73" i="4" a="1"/>
  <c r="G24" i="4" a="1"/>
  <c r="G40" i="4" a="1"/>
  <c r="G75" i="4" a="1"/>
  <c r="G27" i="4" a="1"/>
  <c r="G96" i="4" a="1"/>
  <c r="G86" i="4" a="1"/>
  <c r="H68" i="4" a="1"/>
  <c r="H62" i="4" a="1"/>
  <c r="H52" i="4" a="1"/>
  <c r="H67" i="4" a="1"/>
  <c r="H78" i="4" a="1"/>
  <c r="H90" i="4" a="1"/>
  <c r="H101" i="4" a="1"/>
  <c r="H77" i="4" a="1"/>
  <c r="H56" i="4" a="1"/>
  <c r="I65" i="4" a="1"/>
  <c r="I79" i="4" a="1"/>
  <c r="I107" i="4" a="1"/>
  <c r="I26" i="4" a="1"/>
  <c r="I71" i="4" a="1"/>
  <c r="I63" i="4" a="1"/>
  <c r="I35" i="4" a="1"/>
  <c r="I97" i="4" a="1"/>
  <c r="J103" i="4" a="1"/>
  <c r="J119" i="4" a="1"/>
  <c r="J64" i="4" a="1"/>
  <c r="J111" i="4" a="1"/>
  <c r="J51" i="4" a="1"/>
  <c r="J108" i="4" a="1"/>
  <c r="J110" i="4" a="1"/>
  <c r="J60" i="4" a="1"/>
  <c r="M72" i="4" a="1"/>
  <c r="K104" i="4" a="1"/>
  <c r="K100" i="4" a="1"/>
  <c r="K31" i="4" a="1"/>
  <c r="K43" i="4" a="1"/>
  <c r="K89" i="4" a="1"/>
  <c r="K116" i="4" a="1"/>
  <c r="L81" i="4" a="1"/>
  <c r="L41" i="4" a="1"/>
  <c r="L55" i="4" a="1"/>
  <c r="L82" i="4" a="1"/>
  <c r="L25" i="4" a="1"/>
  <c r="L46" i="4" a="1"/>
  <c r="L116" i="4" a="1"/>
  <c r="L57" i="4" a="1"/>
  <c r="M81" i="4" a="1"/>
  <c r="M41" i="4" a="1"/>
  <c r="M55" i="4" a="1"/>
  <c r="M82" i="4" a="1"/>
  <c r="M25" i="4" a="1"/>
  <c r="M46" i="4" a="1"/>
  <c r="M116" i="4" a="1"/>
  <c r="M57" i="4" a="1"/>
  <c r="N65" i="4" a="1"/>
  <c r="N79" i="4" a="1"/>
  <c r="N107" i="4" a="1"/>
  <c r="N26" i="4" a="1"/>
  <c r="N71" i="4" a="1"/>
  <c r="N63" i="4" a="1"/>
  <c r="N35" i="4" a="1"/>
  <c r="N97" i="4" a="1"/>
  <c r="C65" i="4" a="1"/>
  <c r="C79" i="4" a="1"/>
  <c r="C107" i="4" a="1"/>
  <c r="C26" i="4" a="1"/>
  <c r="C71" i="4" a="1"/>
  <c r="C63" i="4" a="1"/>
  <c r="C35" i="4" a="1"/>
  <c r="C97" i="4" a="1"/>
  <c r="D80" i="4" a="1"/>
  <c r="D73" i="4" a="1"/>
  <c r="D24" i="4" a="1"/>
  <c r="D40" i="4" a="1"/>
  <c r="D75" i="4" a="1"/>
  <c r="D27" i="4" a="1"/>
  <c r="D96" i="4" a="1"/>
  <c r="D86" i="4" a="1"/>
  <c r="D117" i="4" a="1"/>
  <c r="E65" i="4" a="1"/>
  <c r="E79" i="4" a="1"/>
  <c r="E107" i="4" a="1"/>
  <c r="E26" i="4" a="1"/>
  <c r="E71" i="4" a="1"/>
  <c r="E63" i="4" a="1"/>
  <c r="E35" i="4" a="1"/>
  <c r="E97" i="4" a="1"/>
  <c r="F68" i="4" a="1"/>
  <c r="F62" i="4" a="1"/>
  <c r="F52" i="4" a="1"/>
  <c r="F67" i="4" a="1"/>
  <c r="F78" i="4" a="1"/>
  <c r="F90" i="4" a="1"/>
  <c r="F101" i="4" a="1"/>
  <c r="F77" i="4" a="1"/>
  <c r="G65" i="4" a="1"/>
  <c r="G79" i="4" a="1"/>
  <c r="G107" i="4" a="1"/>
  <c r="G26" i="4" a="1"/>
  <c r="G71" i="4" a="1"/>
  <c r="G63" i="4" a="1"/>
  <c r="G35" i="4" a="1"/>
  <c r="G97" i="4" a="1"/>
  <c r="H80" i="4" a="1"/>
  <c r="H73" i="4" a="1"/>
  <c r="H24" i="4" a="1"/>
  <c r="H40" i="4" a="1"/>
  <c r="H75" i="4" a="1"/>
  <c r="H27" i="4" a="1"/>
  <c r="H96" i="4" a="1"/>
  <c r="H86" i="4" a="1"/>
  <c r="H117" i="4" a="1"/>
  <c r="I74" i="4" a="1"/>
  <c r="I76" i="4" a="1"/>
  <c r="I94" i="4" a="1"/>
  <c r="I37" i="4" a="1"/>
  <c r="I58" i="4" a="1"/>
  <c r="I69" i="4" a="1"/>
  <c r="I33" i="4" a="1"/>
  <c r="I32" i="4" a="1"/>
  <c r="J112" i="4" a="1"/>
  <c r="J106" i="4" a="1"/>
  <c r="J38" i="4" a="1"/>
  <c r="J83" i="4" a="1"/>
  <c r="J99" i="4" a="1"/>
  <c r="J47" i="4" a="1"/>
  <c r="J121" i="4" a="1"/>
  <c r="J109" i="4" a="1"/>
  <c r="M113" i="4" a="1"/>
  <c r="K118" i="4" a="1"/>
  <c r="K50" i="4" a="1"/>
  <c r="K28" i="4" a="1"/>
  <c r="K87" i="4" a="1"/>
  <c r="K98" i="4" a="1"/>
  <c r="L68" i="4" a="1"/>
  <c r="L62" i="4" a="1"/>
  <c r="L52" i="4" a="1"/>
  <c r="L67" i="4" a="1"/>
  <c r="L78" i="4" a="1"/>
  <c r="L90" i="4" a="1"/>
  <c r="L101" i="4" a="1"/>
  <c r="L77" i="4" a="1"/>
  <c r="M68" i="4" a="1"/>
  <c r="M62" i="4" a="1"/>
  <c r="M52" i="4" a="1"/>
  <c r="M67" i="4" a="1"/>
  <c r="M78" i="4" a="1"/>
  <c r="M90" i="4" a="1"/>
  <c r="M101" i="4" a="1"/>
  <c r="M77" i="4" a="1"/>
  <c r="N74" i="4" a="1"/>
  <c r="N76" i="4" a="1"/>
  <c r="N94" i="4" a="1"/>
  <c r="N37" i="4" a="1"/>
  <c r="N58" i="4" a="1"/>
  <c r="N69" i="4" a="1"/>
  <c r="N33" i="4" a="1"/>
  <c r="N32" i="4" a="1"/>
  <c r="C74" i="4" a="1"/>
  <c r="C76" i="4" a="1"/>
  <c r="C94" i="4" a="1"/>
  <c r="C37" i="4" a="1"/>
  <c r="C58" i="4" a="1"/>
  <c r="C69" i="4" a="1"/>
  <c r="C33" i="4" a="1"/>
  <c r="C32" i="4" a="1"/>
  <c r="D65" i="4" a="1"/>
  <c r="D79" i="4" a="1"/>
  <c r="D107" i="4" a="1"/>
  <c r="D26" i="4" a="1"/>
  <c r="D71" i="4" a="1"/>
  <c r="D63" i="4" a="1"/>
  <c r="D35" i="4" a="1"/>
  <c r="D97" i="4" a="1"/>
  <c r="E53" i="4" a="1"/>
  <c r="E74" i="4" a="1"/>
  <c r="E76" i="4" a="1"/>
  <c r="E94" i="4" a="1"/>
  <c r="E37" i="4" a="1"/>
  <c r="E58" i="4" a="1"/>
  <c r="E69" i="4" a="1"/>
  <c r="E33" i="4" a="1"/>
  <c r="E32" i="4" a="1"/>
  <c r="F80" i="4" a="1"/>
  <c r="F73" i="4" a="1"/>
  <c r="F24" i="4" a="1"/>
  <c r="F40" i="4" a="1"/>
  <c r="F75" i="4" a="1"/>
  <c r="F27" i="4" a="1"/>
  <c r="F96" i="4" a="1"/>
  <c r="F86" i="4" a="1"/>
  <c r="G74" i="4" a="1"/>
  <c r="G76" i="4" a="1"/>
  <c r="G94" i="4" a="1"/>
  <c r="G37" i="4" a="1"/>
  <c r="G58" i="4" a="1"/>
  <c r="G69" i="4" a="1"/>
  <c r="G33" i="4" a="1"/>
  <c r="G32" i="4" a="1"/>
  <c r="H65" i="4" a="1"/>
  <c r="H79" i="4" a="1"/>
  <c r="H107" i="4" a="1"/>
  <c r="H26" i="4" a="1"/>
  <c r="H71" i="4" a="1"/>
  <c r="H63" i="4" a="1"/>
  <c r="H35" i="4" a="1"/>
  <c r="H97" i="4" a="1"/>
  <c r="I29" i="4" a="1"/>
  <c r="I85" i="4" a="1"/>
  <c r="I36" i="4" a="1"/>
  <c r="I91" i="4" a="1"/>
  <c r="I102" i="4" a="1"/>
  <c r="I114" i="4" a="1"/>
  <c r="I30" i="4" a="1"/>
  <c r="I42" i="4" a="1"/>
  <c r="I60" i="4" a="1"/>
  <c r="J48" i="4" a="1"/>
  <c r="J115" i="4" a="1"/>
  <c r="J49" i="4" a="1"/>
  <c r="J70" i="4" a="1"/>
  <c r="J105" i="4" a="1"/>
  <c r="J34" i="4" a="1"/>
  <c r="J92" i="4" a="1"/>
  <c r="J53" i="4" a="1"/>
  <c r="C113" i="4" a="1"/>
  <c r="K44" i="4" a="1"/>
  <c r="K61" i="4" a="1"/>
  <c r="K95" i="4" a="1"/>
  <c r="K88" i="4" a="1"/>
  <c r="K59" i="4" a="1"/>
  <c r="K39" i="4" a="1"/>
  <c r="K93" i="4" a="1"/>
  <c r="L80" i="4" a="1"/>
  <c r="L73" i="4" a="1"/>
  <c r="L24" i="4" a="1"/>
  <c r="L40" i="4" a="1"/>
  <c r="L75" i="4" a="1"/>
  <c r="L27" i="4" a="1"/>
  <c r="L96" i="4" a="1"/>
  <c r="L86" i="4" a="1"/>
  <c r="M80" i="4" a="1"/>
  <c r="M73" i="4" a="1"/>
  <c r="M24" i="4" a="1"/>
  <c r="M40" i="4" a="1"/>
  <c r="M75" i="4" a="1"/>
  <c r="M27" i="4" a="1"/>
  <c r="M96" i="4" a="1"/>
  <c r="M86" i="4" a="1"/>
  <c r="N85" i="4" a="1"/>
  <c r="N36" i="4" a="1"/>
  <c r="N91" i="4" a="1"/>
  <c r="N102" i="4" a="1"/>
  <c r="N114" i="4" a="1"/>
  <c r="N30" i="4" a="1"/>
  <c r="N42" i="4" a="1"/>
  <c r="N29" i="4" a="1"/>
  <c r="C85" i="4" a="1"/>
  <c r="C36" i="4" a="1"/>
  <c r="C91" i="4" a="1"/>
  <c r="C102" i="4" a="1"/>
  <c r="C114" i="4" a="1"/>
  <c r="C30" i="4" a="1"/>
  <c r="C42" i="4" a="1"/>
  <c r="C29" i="4" a="1"/>
  <c r="D74" i="4" a="1"/>
  <c r="D76" i="4" a="1"/>
  <c r="D94" i="4" a="1"/>
  <c r="D37" i="4" a="1"/>
  <c r="D58" i="4" a="1"/>
  <c r="D69" i="4" a="1"/>
  <c r="D33" i="4" a="1"/>
  <c r="D32" i="4" a="1"/>
  <c r="E98" i="4" a="1"/>
  <c r="E85" i="4" a="1"/>
  <c r="E36" i="4" a="1"/>
  <c r="E91" i="4" a="1"/>
  <c r="E102" i="4" a="1"/>
  <c r="E114" i="4" a="1"/>
  <c r="E30" i="4" a="1"/>
  <c r="E42" i="4" a="1"/>
  <c r="E29" i="4" a="1"/>
  <c r="F65" i="4" a="1"/>
  <c r="F79" i="4" a="1"/>
  <c r="F107" i="4" a="1"/>
  <c r="F26" i="4" a="1"/>
  <c r="F71" i="4" a="1"/>
  <c r="F63" i="4" a="1"/>
  <c r="F35" i="4" a="1"/>
  <c r="F97" i="4" a="1"/>
  <c r="G85" i="4" a="1"/>
  <c r="G36" i="4" a="1"/>
  <c r="G91" i="4" a="1"/>
  <c r="G102" i="4" a="1"/>
  <c r="G114" i="4" a="1"/>
  <c r="G30" i="4" a="1"/>
  <c r="G42" i="4" a="1"/>
  <c r="G29" i="4" a="1"/>
  <c r="H74" i="4" a="1"/>
  <c r="H76" i="4" a="1"/>
  <c r="H94" i="4" a="1"/>
  <c r="H37" i="4" a="1"/>
  <c r="H58" i="4" a="1"/>
  <c r="H69" i="4" a="1"/>
  <c r="H33" i="4" a="1"/>
  <c r="H32" i="4" a="1"/>
  <c r="I109" i="4" a="1"/>
  <c r="I103" i="4" a="1"/>
  <c r="I119" i="4" a="1"/>
  <c r="I64" i="4" a="1"/>
  <c r="I111" i="4" a="1"/>
  <c r="I51" i="4" a="1"/>
  <c r="I108" i="4" a="1"/>
  <c r="I110" i="4" a="1"/>
  <c r="I53" i="4" a="1"/>
  <c r="J104" i="4" a="1"/>
  <c r="J100" i="4" a="1"/>
  <c r="J31" i="4" a="1"/>
  <c r="J43" i="4" a="1"/>
  <c r="J54" i="4" a="1"/>
  <c r="J66" i="4" a="1"/>
  <c r="J89" i="4" a="1"/>
  <c r="J72" i="4" a="1"/>
  <c r="K81" i="4" a="1"/>
  <c r="K41" i="4" a="1"/>
  <c r="K55" i="4" a="1"/>
  <c r="K82" i="4" a="1"/>
  <c r="K25" i="4" a="1"/>
  <c r="K46" i="4" a="1"/>
  <c r="L65" i="4" a="1"/>
  <c r="L79" i="4" a="1"/>
  <c r="L107" i="4" a="1"/>
  <c r="L26" i="4" a="1"/>
  <c r="L71" i="4" a="1"/>
  <c r="L63" i="4" a="1"/>
  <c r="L35" i="4" a="1"/>
  <c r="L97" i="4" a="1"/>
  <c r="M65" i="4" a="1"/>
  <c r="M79" i="4" a="1"/>
  <c r="M107" i="4" a="1"/>
  <c r="M26" i="4" a="1"/>
  <c r="M71" i="4" a="1"/>
  <c r="M63" i="4" a="1"/>
  <c r="M35" i="4" a="1"/>
  <c r="M97" i="4" a="1"/>
  <c r="N103" i="4" a="1"/>
  <c r="N119" i="4" a="1"/>
  <c r="N64" i="4" a="1"/>
  <c r="N111" i="4" a="1"/>
  <c r="N51" i="4" a="1"/>
  <c r="N108" i="4" a="1"/>
  <c r="N110" i="4" a="1"/>
  <c r="N60" i="4" a="1"/>
  <c r="C103" i="4" a="1"/>
  <c r="C119" i="4" a="1"/>
  <c r="C64" i="4" a="1"/>
  <c r="C111" i="4" a="1"/>
  <c r="C51" i="4" a="1"/>
  <c r="C108" i="4" a="1"/>
  <c r="C110" i="4" a="1"/>
  <c r="C60" i="4" a="1"/>
  <c r="D85" i="4" a="1"/>
  <c r="D36" i="4" a="1"/>
  <c r="D91" i="4" a="1"/>
  <c r="D102" i="4" a="1"/>
  <c r="D114" i="4" a="1"/>
  <c r="D30" i="4" a="1"/>
  <c r="D42" i="4" a="1"/>
  <c r="D29" i="4" a="1"/>
  <c r="E113" i="4" a="1"/>
  <c r="E103" i="4" a="1"/>
  <c r="E119" i="4" a="1"/>
  <c r="E64" i="4" a="1"/>
  <c r="E111" i="4" a="1"/>
  <c r="E51" i="4" a="1"/>
  <c r="E108" i="4" a="1"/>
  <c r="E110" i="4" a="1"/>
  <c r="E60" i="4" a="1"/>
  <c r="F74" i="4" a="1"/>
  <c r="F76" i="4" a="1"/>
  <c r="F94" i="4" a="1"/>
  <c r="F37" i="4" a="1"/>
  <c r="F58" i="4" a="1"/>
  <c r="F69" i="4" a="1"/>
  <c r="F33" i="4" a="1"/>
  <c r="F32" i="4" a="1"/>
  <c r="G103" i="4" a="1"/>
  <c r="G119" i="4" a="1"/>
  <c r="G64" i="4" a="1"/>
  <c r="G111" i="4" a="1"/>
  <c r="G51" i="4" a="1"/>
  <c r="G108" i="4" a="1"/>
  <c r="G110" i="4" a="1"/>
  <c r="G60" i="4" a="1"/>
  <c r="H85" i="4" a="1"/>
  <c r="H36" i="4" a="1"/>
  <c r="H91" i="4" a="1"/>
  <c r="H102" i="4" a="1"/>
  <c r="H114" i="4" a="1"/>
  <c r="H30" i="4" a="1"/>
  <c r="H42" i="4" a="1"/>
  <c r="H29" i="4" a="1"/>
  <c r="I72" i="4" a="1"/>
  <c r="I112" i="4" a="1"/>
  <c r="I106" i="4" a="1"/>
  <c r="I38" i="4" a="1"/>
  <c r="I83" i="4" a="1"/>
  <c r="I99" i="4" a="1"/>
  <c r="I47" i="4" a="1"/>
  <c r="I121" i="4" a="1"/>
  <c r="I93" i="4" a="1"/>
  <c r="J118" i="4" a="1"/>
  <c r="J50" i="4" a="1"/>
  <c r="J28" i="4" a="1"/>
  <c r="J87" i="4" a="1"/>
  <c r="J120" i="4" a="1"/>
  <c r="J122" i="4" a="1"/>
  <c r="J84" i="4" a="1"/>
  <c r="J98" i="4" a="1"/>
  <c r="K68" i="4" a="1"/>
  <c r="K62" i="4" a="1"/>
  <c r="K52" i="4" a="1"/>
  <c r="K67" i="4" a="1"/>
  <c r="K78" i="4" a="1"/>
  <c r="K90" i="4" a="1"/>
  <c r="K101" i="4" a="1"/>
  <c r="K77" i="4" a="1"/>
  <c r="K56" i="4" a="1"/>
  <c r="J93" i="4" a="1"/>
  <c r="K73" i="4" a="1"/>
  <c r="K24" i="4" a="1"/>
  <c r="K75" i="4" a="1"/>
  <c r="K27" i="4" a="1"/>
  <c r="K86" i="4" a="1"/>
  <c r="K69" i="4" a="1"/>
  <c r="L98" i="4" a="1"/>
  <c r="K29" i="4" a="1"/>
  <c r="K57" i="4" a="1"/>
  <c r="L74" i="4" a="1"/>
  <c r="L76" i="4" a="1"/>
  <c r="L94" i="4" a="1"/>
  <c r="L37" i="4" a="1"/>
  <c r="L58" i="4" a="1"/>
  <c r="L69" i="4" a="1"/>
  <c r="L33" i="4" a="1"/>
  <c r="L32" i="4" a="1"/>
  <c r="M74" i="4" a="1"/>
  <c r="M76" i="4" a="1"/>
  <c r="M94" i="4" a="1"/>
  <c r="M37" i="4" a="1"/>
  <c r="M58" i="4" a="1"/>
  <c r="M69" i="4" a="1"/>
  <c r="M33" i="4" a="1"/>
  <c r="M32" i="4" a="1"/>
  <c r="N112" i="4" a="1"/>
  <c r="N106" i="4" a="1"/>
  <c r="N38" i="4" a="1"/>
  <c r="N83" i="4" a="1"/>
  <c r="N99" i="4" a="1"/>
  <c r="N47" i="4" a="1"/>
  <c r="N121" i="4" a="1"/>
  <c r="N109" i="4" a="1"/>
  <c r="C112" i="4" a="1"/>
  <c r="C106" i="4" a="1"/>
  <c r="C38" i="4" a="1"/>
  <c r="C83" i="4" a="1"/>
  <c r="C99" i="4" a="1"/>
  <c r="C47" i="4" a="1"/>
  <c r="C121" i="4" a="1"/>
  <c r="C109" i="4" a="1"/>
  <c r="D103" i="4" a="1"/>
  <c r="D119" i="4" a="1"/>
  <c r="D64" i="4" a="1"/>
  <c r="D111" i="4" a="1"/>
  <c r="D51" i="4" a="1"/>
  <c r="D108" i="4" a="1"/>
  <c r="D110" i="4" a="1"/>
  <c r="D60" i="4" a="1"/>
  <c r="E56" i="4" a="1"/>
  <c r="E112" i="4" a="1"/>
  <c r="E106" i="4" a="1"/>
  <c r="E38" i="4" a="1"/>
  <c r="E83" i="4" a="1"/>
  <c r="E99" i="4" a="1"/>
  <c r="E47" i="4" a="1"/>
  <c r="E121" i="4" a="1"/>
  <c r="E109" i="4" a="1"/>
  <c r="F85" i="4" a="1"/>
  <c r="F36" i="4" a="1"/>
  <c r="F91" i="4" a="1"/>
  <c r="F102" i="4" a="1"/>
  <c r="F114" i="4" a="1"/>
  <c r="F30" i="4" a="1"/>
  <c r="F42" i="4" a="1"/>
  <c r="F29" i="4" a="1"/>
  <c r="G112" i="4" a="1"/>
  <c r="G106" i="4" a="1"/>
  <c r="G38" i="4" a="1"/>
  <c r="G83" i="4" a="1"/>
  <c r="G99" i="4" a="1"/>
  <c r="G47" i="4" a="1"/>
  <c r="G121" i="4" a="1"/>
  <c r="G109" i="4" a="1"/>
  <c r="H103" i="4" a="1"/>
  <c r="H119" i="4" a="1"/>
  <c r="H64" i="4" a="1"/>
  <c r="H111" i="4" a="1"/>
  <c r="H51" i="4" a="1"/>
  <c r="H108" i="4" a="1"/>
  <c r="H110" i="4" a="1"/>
  <c r="H60" i="4" a="1"/>
  <c r="I98" i="4" a="1"/>
  <c r="I48" i="4" a="1"/>
  <c r="I115" i="4" a="1"/>
  <c r="I49" i="4" a="1"/>
  <c r="I70" i="4" a="1"/>
  <c r="I105" i="4" a="1"/>
  <c r="I34" i="4" a="1"/>
  <c r="I92" i="4" a="1"/>
  <c r="I117" i="4" a="1"/>
  <c r="J44" i="4" a="1"/>
  <c r="J61" i="4" a="1"/>
  <c r="J95" i="4" a="1"/>
  <c r="J88" i="4" a="1"/>
  <c r="J59" i="4" a="1"/>
  <c r="J39" i="4" a="1"/>
  <c r="J45" i="4" a="1"/>
  <c r="K80" i="4" a="1"/>
  <c r="K40" i="4" a="1"/>
  <c r="K96" i="4" a="1"/>
  <c r="K117" i="4" a="1"/>
  <c r="K30" i="4" a="1"/>
  <c r="K45" i="4" a="1"/>
  <c r="L85" i="4" a="1"/>
  <c r="L36" i="4" a="1"/>
  <c r="L91" i="4" a="1"/>
  <c r="L102" i="4" a="1"/>
  <c r="L114" i="4" a="1"/>
  <c r="L30" i="4" a="1"/>
  <c r="L42" i="4" a="1"/>
  <c r="L29" i="4" a="1"/>
  <c r="M85" i="4" a="1"/>
  <c r="M36" i="4" a="1"/>
  <c r="M91" i="4" a="1"/>
  <c r="M102" i="4" a="1"/>
  <c r="M114" i="4" a="1"/>
  <c r="M30" i="4" a="1"/>
  <c r="M42" i="4" a="1"/>
  <c r="M29" i="4" a="1"/>
  <c r="N48" i="4" a="1"/>
  <c r="N115" i="4" a="1"/>
  <c r="N49" i="4" a="1"/>
  <c r="N70" i="4" a="1"/>
  <c r="N105" i="4" a="1"/>
  <c r="N34" i="4" a="1"/>
  <c r="N92" i="4" a="1"/>
  <c r="N53" i="4" a="1"/>
  <c r="C48" i="4" a="1"/>
  <c r="C115" i="4" a="1"/>
  <c r="C49" i="4" a="1"/>
  <c r="C70" i="4" a="1"/>
  <c r="C105" i="4" a="1"/>
  <c r="C34" i="4" a="1"/>
  <c r="C92" i="4" a="1"/>
  <c r="C53" i="4" a="1"/>
  <c r="D112" i="4" a="1"/>
  <c r="D106" i="4" a="1"/>
  <c r="D38" i="4" a="1"/>
  <c r="D83" i="4" a="1"/>
  <c r="D99" i="4" a="1"/>
  <c r="D47" i="4" a="1"/>
  <c r="D121" i="4" a="1"/>
  <c r="D109" i="4" a="1"/>
  <c r="F72" i="4" a="1"/>
  <c r="E48" i="4" a="1"/>
  <c r="E115" i="4" a="1"/>
  <c r="E49" i="4" a="1"/>
  <c r="E70" i="4" a="1"/>
  <c r="E105" i="4" a="1"/>
  <c r="E34" i="4" a="1"/>
  <c r="E92" i="4" a="1"/>
  <c r="E72" i="4" a="1"/>
  <c r="F103" i="4" a="1"/>
  <c r="F119" i="4" a="1"/>
  <c r="F64" i="4" a="1"/>
  <c r="F111" i="4" a="1"/>
  <c r="F51" i="4" a="1"/>
  <c r="F108" i="4" a="1"/>
  <c r="F110" i="4" a="1"/>
  <c r="F60" i="4" a="1"/>
  <c r="G48" i="4" a="1"/>
  <c r="G115" i="4" a="1"/>
  <c r="G49" i="4" a="1"/>
  <c r="G70" i="4" a="1"/>
  <c r="G105" i="4" a="1"/>
  <c r="G34" i="4" a="1"/>
  <c r="G92" i="4" a="1"/>
  <c r="G53" i="4" a="1"/>
  <c r="H112" i="4" a="1"/>
  <c r="H106" i="4" a="1"/>
  <c r="H38" i="4" a="1"/>
  <c r="H83" i="4" a="1"/>
  <c r="H99" i="4" a="1"/>
  <c r="H47" i="4" a="1"/>
  <c r="H121" i="4" a="1"/>
  <c r="H109" i="4" a="1"/>
  <c r="I113" i="4" a="1"/>
  <c r="I104" i="4" a="1"/>
  <c r="I100" i="4" a="1"/>
  <c r="I31" i="4" a="1"/>
  <c r="I43" i="4" a="1"/>
  <c r="I54" i="4" a="1"/>
  <c r="I66" i="4" a="1"/>
  <c r="I89" i="4" a="1"/>
  <c r="J81" i="4" a="1"/>
  <c r="J41" i="4" a="1"/>
  <c r="J55" i="4" a="1"/>
  <c r="J82" i="4" a="1"/>
  <c r="J25" i="4" a="1"/>
  <c r="J46" i="4" a="1"/>
  <c r="J116" i="4" a="1"/>
  <c r="J57" i="4" a="1"/>
  <c r="J113" i="4" a="1"/>
  <c r="K65" i="4" a="1"/>
  <c r="K79" i="4" a="1"/>
  <c r="K107" i="4" a="1"/>
  <c r="K26" i="4" a="1"/>
  <c r="K71" i="4" a="1"/>
  <c r="K63" i="4" a="1"/>
  <c r="K35" i="4" a="1"/>
  <c r="K97" i="4" a="1"/>
  <c r="L109" i="4" a="1"/>
  <c r="K33" i="4" a="1"/>
  <c r="L56" i="4" a="1"/>
  <c r="L103" i="4" a="1"/>
  <c r="L119" i="4" a="1"/>
  <c r="L64" i="4" a="1"/>
  <c r="L111" i="4" a="1"/>
  <c r="L51" i="4" a="1"/>
  <c r="L108" i="4" a="1"/>
  <c r="L110" i="4" a="1"/>
  <c r="L60" i="4" a="1"/>
  <c r="M103" i="4" a="1"/>
  <c r="M119" i="4" a="1"/>
  <c r="M64" i="4" a="1"/>
  <c r="M111" i="4" a="1"/>
  <c r="M51" i="4" a="1"/>
  <c r="M108" i="4" a="1"/>
  <c r="M110" i="4" a="1"/>
  <c r="M60" i="4" a="1"/>
  <c r="N104" i="4" a="1"/>
  <c r="N100" i="4" a="1"/>
  <c r="N31" i="4" a="1"/>
  <c r="N43" i="4" a="1"/>
  <c r="N54" i="4" a="1"/>
  <c r="N66" i="4" a="1"/>
  <c r="N89" i="4" a="1"/>
  <c r="N72" i="4" a="1"/>
  <c r="C104" i="4" a="1"/>
  <c r="C100" i="4" a="1"/>
  <c r="C31" i="4" a="1"/>
  <c r="C43" i="4" a="1"/>
  <c r="C54" i="4" a="1"/>
  <c r="C66" i="4" a="1"/>
  <c r="C89" i="4" a="1"/>
  <c r="C72" i="4" a="1"/>
  <c r="D48" i="4" a="1"/>
  <c r="D115" i="4" a="1"/>
  <c r="D49" i="4" a="1"/>
  <c r="D70" i="4" a="1"/>
  <c r="D105" i="4" a="1"/>
  <c r="D34" i="4" a="1"/>
  <c r="D92" i="4" a="1"/>
  <c r="D53" i="4" a="1"/>
  <c r="F93" i="4" a="1"/>
  <c r="E104" i="4" a="1"/>
  <c r="E100" i="4" a="1"/>
  <c r="E31" i="4" a="1"/>
  <c r="E43" i="4" a="1"/>
  <c r="E54" i="4" a="1"/>
  <c r="E66" i="4" a="1"/>
  <c r="E89" i="4" a="1"/>
  <c r="E93" i="4" a="1"/>
  <c r="F112" i="4" a="1"/>
  <c r="F106" i="4" a="1"/>
  <c r="F38" i="4" a="1"/>
  <c r="F83" i="4" a="1"/>
  <c r="F99" i="4" a="1"/>
  <c r="F47" i="4" a="1"/>
  <c r="F121" i="4" a="1"/>
  <c r="F109" i="4" a="1"/>
  <c r="G104" i="4" a="1"/>
  <c r="G100" i="4" a="1"/>
  <c r="G31" i="4" a="1"/>
  <c r="G43" i="4" a="1"/>
  <c r="G54" i="4" a="1"/>
  <c r="G66" i="4" a="1"/>
  <c r="G89" i="4" a="1"/>
  <c r="G72" i="4" a="1"/>
  <c r="H48" i="4" a="1"/>
  <c r="H115" i="4" a="1"/>
  <c r="H49" i="4" a="1"/>
  <c r="H70" i="4" a="1"/>
  <c r="H105" i="4" a="1"/>
  <c r="H34" i="4" a="1"/>
  <c r="H92" i="4" a="1"/>
  <c r="H53" i="4" a="1"/>
  <c r="I56" i="4" a="1"/>
  <c r="I118" i="4" a="1"/>
  <c r="I50" i="4" a="1"/>
  <c r="I28" i="4" a="1"/>
  <c r="I87" i="4" a="1"/>
  <c r="I120" i="4" a="1"/>
  <c r="I122" i="4" a="1"/>
  <c r="I84" i="4" a="1"/>
  <c r="J68" i="4" a="1"/>
  <c r="J62" i="4" a="1"/>
  <c r="J52" i="4" a="1"/>
  <c r="J67" i="4" a="1"/>
  <c r="J78" i="4" a="1"/>
  <c r="J90" i="4" a="1"/>
  <c r="J101" i="4" a="1"/>
  <c r="J77" i="4" a="1"/>
  <c r="J56" i="4" a="1"/>
  <c r="K74" i="4" a="1"/>
  <c r="K76" i="4" a="1"/>
  <c r="K94" i="4" a="1"/>
  <c r="K37" i="4" a="1"/>
  <c r="K58" i="4" a="1"/>
  <c r="K32" i="4" a="1"/>
  <c r="K113" i="4" a="1"/>
  <c r="L112" i="4" a="1"/>
  <c r="L106" i="4" a="1"/>
  <c r="L38" i="4" a="1"/>
  <c r="L83" i="4" a="1"/>
  <c r="L99" i="4" a="1"/>
  <c r="L47" i="4" a="1"/>
  <c r="L121" i="4" a="1"/>
  <c r="L72" i="4" a="1"/>
  <c r="M112" i="4" a="1"/>
  <c r="M106" i="4" a="1"/>
  <c r="M38" i="4" a="1"/>
  <c r="M83" i="4" a="1"/>
  <c r="M99" i="4" a="1"/>
  <c r="M47" i="4" a="1"/>
  <c r="M121" i="4" a="1"/>
  <c r="M109" i="4" a="1"/>
  <c r="N118" i="4" a="1"/>
  <c r="N50" i="4" a="1"/>
  <c r="N28" i="4" a="1"/>
  <c r="N87" i="4" a="1"/>
  <c r="N120" i="4" a="1"/>
  <c r="N122" i="4" a="1"/>
  <c r="N84" i="4" a="1"/>
  <c r="N98" i="4" a="1"/>
  <c r="C118" i="4" a="1"/>
  <c r="C50" i="4" a="1"/>
  <c r="C28" i="4" a="1"/>
  <c r="C87" i="4" a="1"/>
  <c r="C120" i="4" a="1"/>
  <c r="C122" i="4" a="1"/>
  <c r="C84" i="4" a="1"/>
  <c r="C98" i="4" a="1"/>
  <c r="D104" i="4" a="1"/>
  <c r="D100" i="4" a="1"/>
  <c r="D31" i="4" a="1"/>
  <c r="D43" i="4" a="1"/>
  <c r="D54" i="4" a="1"/>
  <c r="D66" i="4" a="1"/>
  <c r="D89" i="4" a="1"/>
  <c r="D72" i="4" a="1"/>
  <c r="F56" i="4" a="1"/>
  <c r="E118" i="4" a="1"/>
  <c r="E50" i="4" a="1"/>
  <c r="E28" i="4" a="1"/>
  <c r="E87" i="4" a="1"/>
  <c r="E120" i="4" a="1"/>
  <c r="E122" i="4" a="1"/>
  <c r="E84" i="4" a="1"/>
  <c r="E117" i="4" a="1"/>
  <c r="F48" i="4" a="1"/>
  <c r="F115" i="4" a="1"/>
  <c r="F49" i="4" a="1"/>
  <c r="F70" i="4" a="1"/>
  <c r="F105" i="4" a="1"/>
  <c r="F34" i="4" a="1"/>
  <c r="F92" i="4" a="1"/>
  <c r="F53" i="4" a="1"/>
  <c r="G118" i="4" a="1"/>
  <c r="G50" i="4" a="1"/>
  <c r="G28" i="4" a="1"/>
  <c r="G87" i="4" a="1"/>
  <c r="G120" i="4" a="1"/>
  <c r="G122" i="4" a="1"/>
  <c r="G84" i="4" a="1"/>
  <c r="G98" i="4" a="1"/>
  <c r="H104" i="4" a="1"/>
  <c r="H100" i="4" a="1"/>
  <c r="H31" i="4" a="1"/>
  <c r="H43" i="4" a="1"/>
  <c r="H54" i="4" a="1"/>
  <c r="H66" i="4" a="1"/>
  <c r="H89" i="4" a="1"/>
  <c r="H72" i="4" a="1"/>
  <c r="N117" i="4" a="1"/>
  <c r="I44" i="4" a="1"/>
  <c r="I61" i="4" a="1"/>
  <c r="I95" i="4" a="1"/>
  <c r="I88" i="4" a="1"/>
  <c r="I59" i="4" a="1"/>
  <c r="I39" i="4" a="1"/>
  <c r="I45" i="4" a="1"/>
  <c r="J80" i="4" a="1"/>
  <c r="J73" i="4" a="1"/>
  <c r="J24" i="4" a="1"/>
  <c r="J40" i="4" a="1"/>
  <c r="J75" i="4" a="1"/>
  <c r="J27" i="4" a="1"/>
  <c r="J96" i="4" a="1"/>
  <c r="J86" i="4" a="1"/>
  <c r="J117" i="4" a="1"/>
  <c r="K85" i="4" a="1"/>
  <c r="K36" i="4" a="1"/>
  <c r="K91" i="4" a="1"/>
  <c r="K102" i="4" a="1"/>
  <c r="K114" i="4" a="1"/>
  <c r="K42" i="4" a="1"/>
  <c r="L48" i="4" a="1"/>
  <c r="L115" i="4" a="1"/>
  <c r="L49" i="4" a="1"/>
  <c r="L70" i="4" a="1"/>
  <c r="L105" i="4" a="1"/>
  <c r="L34" i="4" a="1"/>
  <c r="L92" i="4" a="1"/>
  <c r="L113" i="4" a="1"/>
  <c r="M48" i="4" a="1"/>
  <c r="M115" i="4" a="1"/>
  <c r="M49" i="4" a="1"/>
  <c r="M70" i="4" a="1"/>
  <c r="M105" i="4" a="1"/>
  <c r="M34" i="4" a="1"/>
  <c r="M92" i="4" a="1"/>
  <c r="M93" i="4" a="1"/>
  <c r="N44" i="4" a="1"/>
  <c r="N61" i="4" a="1"/>
  <c r="N95" i="4" a="1"/>
  <c r="N88" i="4" a="1"/>
  <c r="N59" i="4" a="1"/>
  <c r="N39" i="4" a="1"/>
  <c r="N45" i="4" a="1"/>
  <c r="N93" i="4" a="1"/>
  <c r="C44" i="4" a="1"/>
  <c r="C61" i="4" a="1"/>
  <c r="C95" i="4" a="1"/>
  <c r="C88" i="4" a="1"/>
  <c r="C59" i="4" a="1"/>
  <c r="C39" i="4" a="1"/>
  <c r="C45" i="4" a="1"/>
  <c r="C93" i="4" a="1"/>
  <c r="D118" i="4" a="1"/>
  <c r="D50" i="4" a="1"/>
  <c r="D28" i="4" a="1"/>
  <c r="D87" i="4" a="1"/>
  <c r="D120" i="4" a="1"/>
  <c r="D122" i="4" a="1"/>
  <c r="D84" i="4" a="1"/>
  <c r="D98" i="4" a="1"/>
  <c r="G56" i="4" a="1"/>
  <c r="E44" i="4" a="1"/>
  <c r="E61" i="4" a="1"/>
  <c r="E95" i="4" a="1"/>
  <c r="E88" i="4" a="1"/>
  <c r="E59" i="4" a="1"/>
  <c r="E39" i="4" a="1"/>
  <c r="E45" i="4" a="1"/>
  <c r="F113" i="4" a="1"/>
  <c r="F104" i="4" a="1"/>
  <c r="F100" i="4" a="1"/>
  <c r="F31" i="4" a="1"/>
  <c r="F43" i="4" a="1"/>
  <c r="F54" i="4" a="1"/>
  <c r="F66" i="4" a="1"/>
  <c r="F89" i="4" a="1"/>
  <c r="F98" i="4" a="1"/>
  <c r="G44" i="4" a="1"/>
  <c r="G61" i="4" a="1"/>
  <c r="G95" i="4" a="1"/>
  <c r="G88" i="4" a="1"/>
  <c r="G59" i="4" a="1"/>
  <c r="G39" i="4" a="1"/>
  <c r="G45" i="4" a="1"/>
  <c r="G93" i="4" a="1"/>
  <c r="H118" i="4" a="1"/>
  <c r="H50" i="4" a="1"/>
  <c r="H28" i="4" a="1"/>
  <c r="H87" i="4" a="1"/>
  <c r="H120" i="4" a="1"/>
  <c r="H122" i="4" a="1"/>
  <c r="H84" i="4" a="1"/>
  <c r="H98" i="4" a="1"/>
  <c r="I81" i="4" a="1"/>
  <c r="I41" i="4" a="1"/>
  <c r="I55" i="4" a="1"/>
  <c r="I82" i="4" a="1"/>
  <c r="I25" i="4" a="1"/>
  <c r="I46" i="4" a="1"/>
  <c r="I116" i="4" a="1"/>
  <c r="I57" i="4" a="1"/>
  <c r="J65" i="4" a="1"/>
  <c r="J79" i="4" a="1"/>
  <c r="J107" i="4" a="1"/>
  <c r="J26" i="4" a="1"/>
  <c r="J71" i="4" a="1"/>
  <c r="J63" i="4" a="1"/>
  <c r="J35" i="4" a="1"/>
  <c r="J97" i="4" a="1"/>
  <c r="L53" i="4" a="1"/>
  <c r="K103" i="4" a="1"/>
  <c r="K119" i="4" a="1"/>
  <c r="K64" i="4" a="1"/>
  <c r="K111" i="4" a="1"/>
  <c r="K51" i="4" a="1"/>
  <c r="K108" i="4" a="1"/>
  <c r="K110" i="4" a="1"/>
  <c r="K60" i="4" a="1"/>
  <c r="M53" i="4" a="1"/>
  <c r="L93" i="4" a="1"/>
  <c r="K106" i="4" a="1"/>
  <c r="K38" i="4" a="1"/>
  <c r="K99" i="4" a="1"/>
  <c r="K47" i="4" a="1"/>
  <c r="K109" i="4" a="1"/>
  <c r="K54" i="4" a="1"/>
  <c r="K72" i="4" a="1"/>
  <c r="K122" i="4" a="1"/>
  <c r="N117" i="4" l="1"/>
  <c r="M117" i="4"/>
  <c r="P117" i="4" s="1"/>
  <c r="L117" i="4"/>
  <c r="K117" i="4"/>
  <c r="J117" i="4"/>
  <c r="I117" i="4"/>
  <c r="H117" i="4"/>
  <c r="G117" i="4"/>
  <c r="F117" i="4"/>
  <c r="E117" i="4"/>
  <c r="D117" i="4"/>
  <c r="C117" i="4"/>
  <c r="N56" i="4"/>
  <c r="M56" i="4"/>
  <c r="P56" i="4" s="1"/>
  <c r="L56" i="4"/>
  <c r="K56" i="4"/>
  <c r="J56" i="4"/>
  <c r="I56" i="4"/>
  <c r="H56" i="4"/>
  <c r="G56" i="4"/>
  <c r="F56" i="4"/>
  <c r="E56" i="4"/>
  <c r="D56" i="4"/>
  <c r="C56" i="4"/>
  <c r="N113" i="4"/>
  <c r="M113" i="4"/>
  <c r="P113" i="4" s="1"/>
  <c r="L113" i="4"/>
  <c r="K113" i="4"/>
  <c r="J113" i="4"/>
  <c r="I113" i="4"/>
  <c r="H113" i="4"/>
  <c r="G113" i="4"/>
  <c r="F113" i="4"/>
  <c r="E113" i="4"/>
  <c r="D113" i="4"/>
  <c r="C113" i="4"/>
  <c r="N93" i="4"/>
  <c r="M93" i="4"/>
  <c r="P93" i="4" s="1"/>
  <c r="L93" i="4"/>
  <c r="K93" i="4"/>
  <c r="J93" i="4"/>
  <c r="I93" i="4"/>
  <c r="H93" i="4"/>
  <c r="G93" i="4"/>
  <c r="F93" i="4"/>
  <c r="E93" i="4"/>
  <c r="D93" i="4"/>
  <c r="C93" i="4"/>
  <c r="N98" i="4"/>
  <c r="M98" i="4"/>
  <c r="P98" i="4" s="1"/>
  <c r="L98" i="4"/>
  <c r="K98" i="4"/>
  <c r="J98" i="4"/>
  <c r="I98" i="4"/>
  <c r="H98" i="4"/>
  <c r="G98" i="4"/>
  <c r="F98" i="4"/>
  <c r="E98" i="4"/>
  <c r="D98" i="4"/>
  <c r="C98" i="4"/>
  <c r="N72" i="4"/>
  <c r="M72" i="4"/>
  <c r="P72" i="4" s="1"/>
  <c r="L72" i="4"/>
  <c r="K72" i="4"/>
  <c r="J72" i="4"/>
  <c r="I72" i="4"/>
  <c r="H72" i="4"/>
  <c r="G72" i="4"/>
  <c r="F72" i="4"/>
  <c r="E72" i="4"/>
  <c r="D72" i="4"/>
  <c r="C72" i="4"/>
  <c r="N53" i="4"/>
  <c r="M53" i="4"/>
  <c r="P53" i="4" s="1"/>
  <c r="L53" i="4"/>
  <c r="K53" i="4"/>
  <c r="J53" i="4"/>
  <c r="I53" i="4"/>
  <c r="H53" i="4"/>
  <c r="G53" i="4"/>
  <c r="F53" i="4"/>
  <c r="E53" i="4"/>
  <c r="D53" i="4"/>
  <c r="C53" i="4"/>
  <c r="N109" i="4"/>
  <c r="M109" i="4"/>
  <c r="P109" i="4" s="1"/>
  <c r="L109" i="4"/>
  <c r="K109" i="4"/>
  <c r="J109" i="4"/>
  <c r="I109" i="4"/>
  <c r="H109" i="4"/>
  <c r="G109" i="4"/>
  <c r="F109" i="4"/>
  <c r="E109" i="4"/>
  <c r="D109" i="4"/>
  <c r="C109" i="4"/>
  <c r="N60" i="4"/>
  <c r="M60" i="4"/>
  <c r="P60" i="4" s="1"/>
  <c r="L60" i="4"/>
  <c r="K60" i="4"/>
  <c r="J60" i="4"/>
  <c r="I60" i="4"/>
  <c r="H60" i="4"/>
  <c r="G60" i="4"/>
  <c r="F60" i="4"/>
  <c r="E60" i="4"/>
  <c r="D60" i="4"/>
  <c r="C60" i="4"/>
  <c r="N29" i="4"/>
  <c r="M29" i="4"/>
  <c r="P29" i="4" s="1"/>
  <c r="L29" i="4"/>
  <c r="K29" i="4"/>
  <c r="J29" i="4"/>
  <c r="I29" i="4"/>
  <c r="H29" i="4"/>
  <c r="G29" i="4"/>
  <c r="F29" i="4"/>
  <c r="E29" i="4"/>
  <c r="D29" i="4"/>
  <c r="C29" i="4"/>
  <c r="N32" i="4"/>
  <c r="M32" i="4"/>
  <c r="P32" i="4" s="1"/>
  <c r="L32" i="4"/>
  <c r="K32" i="4"/>
  <c r="J32" i="4"/>
  <c r="I32" i="4"/>
  <c r="H32" i="4"/>
  <c r="G32" i="4"/>
  <c r="F32" i="4"/>
  <c r="E32" i="4"/>
  <c r="D32" i="4"/>
  <c r="C32" i="4"/>
  <c r="N97" i="4"/>
  <c r="M97" i="4"/>
  <c r="P97" i="4" s="1"/>
  <c r="L97" i="4"/>
  <c r="K97" i="4"/>
  <c r="J97" i="4"/>
  <c r="I97" i="4"/>
  <c r="H97" i="4"/>
  <c r="G97" i="4"/>
  <c r="F97" i="4"/>
  <c r="E97" i="4"/>
  <c r="D97" i="4"/>
  <c r="C97" i="4"/>
  <c r="N86" i="4"/>
  <c r="M86" i="4"/>
  <c r="P86" i="4" s="1"/>
  <c r="L86" i="4"/>
  <c r="K86" i="4"/>
  <c r="J86" i="4"/>
  <c r="I86" i="4"/>
  <c r="H86" i="4"/>
  <c r="G86" i="4"/>
  <c r="F86" i="4"/>
  <c r="E86" i="4"/>
  <c r="D86" i="4"/>
  <c r="C86" i="4"/>
  <c r="N77" i="4"/>
  <c r="M77" i="4"/>
  <c r="P77" i="4" s="1"/>
  <c r="L77" i="4"/>
  <c r="K77" i="4"/>
  <c r="J77" i="4"/>
  <c r="I77" i="4"/>
  <c r="H77" i="4"/>
  <c r="G77" i="4"/>
  <c r="F77" i="4"/>
  <c r="E77" i="4"/>
  <c r="D77" i="4"/>
  <c r="C77" i="4"/>
  <c r="N57" i="4"/>
  <c r="M57" i="4"/>
  <c r="P57" i="4" s="1"/>
  <c r="L57" i="4"/>
  <c r="K57" i="4"/>
  <c r="J57" i="4"/>
  <c r="I57" i="4"/>
  <c r="H57" i="4"/>
  <c r="G57" i="4"/>
  <c r="F57" i="4"/>
  <c r="E57" i="4"/>
  <c r="D57" i="4"/>
  <c r="C57" i="4"/>
  <c r="N45" i="4"/>
  <c r="M45" i="4"/>
  <c r="P45" i="4" s="1"/>
  <c r="L45" i="4"/>
  <c r="K45" i="4"/>
  <c r="J45" i="4"/>
  <c r="I45" i="4"/>
  <c r="H45" i="4"/>
  <c r="G45" i="4"/>
  <c r="F45" i="4"/>
  <c r="E45" i="4"/>
  <c r="D45" i="4"/>
  <c r="C45" i="4"/>
  <c r="N84" i="4"/>
  <c r="M84" i="4"/>
  <c r="P84" i="4" s="1"/>
  <c r="L84" i="4"/>
  <c r="K84" i="4"/>
  <c r="J84" i="4"/>
  <c r="I84" i="4"/>
  <c r="H84" i="4"/>
  <c r="G84" i="4"/>
  <c r="F84" i="4"/>
  <c r="E84" i="4"/>
  <c r="D84" i="4"/>
  <c r="C84" i="4"/>
  <c r="N89" i="4"/>
  <c r="M89" i="4"/>
  <c r="P89" i="4" s="1"/>
  <c r="L89" i="4"/>
  <c r="K89" i="4"/>
  <c r="J89" i="4"/>
  <c r="I89" i="4"/>
  <c r="H89" i="4"/>
  <c r="G89" i="4"/>
  <c r="F89" i="4"/>
  <c r="E89" i="4"/>
  <c r="D89" i="4"/>
  <c r="C89" i="4"/>
  <c r="N92" i="4"/>
  <c r="M92" i="4"/>
  <c r="P92" i="4" s="1"/>
  <c r="L92" i="4"/>
  <c r="K92" i="4"/>
  <c r="J92" i="4"/>
  <c r="I92" i="4"/>
  <c r="H92" i="4"/>
  <c r="G92" i="4"/>
  <c r="F92" i="4"/>
  <c r="E92" i="4"/>
  <c r="D92" i="4"/>
  <c r="C92" i="4"/>
  <c r="N121" i="4"/>
  <c r="M121" i="4"/>
  <c r="P121" i="4" s="1"/>
  <c r="L121" i="4"/>
  <c r="K121" i="4"/>
  <c r="J121" i="4"/>
  <c r="I121" i="4"/>
  <c r="H121" i="4"/>
  <c r="G121" i="4"/>
  <c r="F121" i="4"/>
  <c r="E121" i="4"/>
  <c r="D121" i="4"/>
  <c r="C121" i="4"/>
  <c r="N110" i="4"/>
  <c r="M110" i="4"/>
  <c r="P110" i="4" s="1"/>
  <c r="L110" i="4"/>
  <c r="K110" i="4"/>
  <c r="J110" i="4"/>
  <c r="I110" i="4"/>
  <c r="H110" i="4"/>
  <c r="G110" i="4"/>
  <c r="F110" i="4"/>
  <c r="E110" i="4"/>
  <c r="D110" i="4"/>
  <c r="C110" i="4"/>
  <c r="N42" i="4"/>
  <c r="M42" i="4"/>
  <c r="P42" i="4" s="1"/>
  <c r="L42" i="4"/>
  <c r="K42" i="4"/>
  <c r="J42" i="4"/>
  <c r="I42" i="4"/>
  <c r="H42" i="4"/>
  <c r="G42" i="4"/>
  <c r="F42" i="4"/>
  <c r="E42" i="4"/>
  <c r="D42" i="4"/>
  <c r="C42" i="4"/>
  <c r="N33" i="4"/>
  <c r="M33" i="4"/>
  <c r="P33" i="4" s="1"/>
  <c r="L33" i="4"/>
  <c r="K33" i="4"/>
  <c r="J33" i="4"/>
  <c r="I33" i="4"/>
  <c r="H33" i="4"/>
  <c r="G33" i="4"/>
  <c r="F33" i="4"/>
  <c r="E33" i="4"/>
  <c r="D33" i="4"/>
  <c r="C33" i="4"/>
  <c r="N35" i="4"/>
  <c r="M35" i="4"/>
  <c r="P35" i="4" s="1"/>
  <c r="L35" i="4"/>
  <c r="K35" i="4"/>
  <c r="J35" i="4"/>
  <c r="I35" i="4"/>
  <c r="H35" i="4"/>
  <c r="G35" i="4"/>
  <c r="F35" i="4"/>
  <c r="E35" i="4"/>
  <c r="D35" i="4"/>
  <c r="C35" i="4"/>
  <c r="N96" i="4"/>
  <c r="M96" i="4"/>
  <c r="P96" i="4" s="1"/>
  <c r="L96" i="4"/>
  <c r="K96" i="4"/>
  <c r="J96" i="4"/>
  <c r="I96" i="4"/>
  <c r="H96" i="4"/>
  <c r="G96" i="4"/>
  <c r="F96" i="4"/>
  <c r="E96" i="4"/>
  <c r="D96" i="4"/>
  <c r="C96" i="4"/>
  <c r="N101" i="4"/>
  <c r="M101" i="4"/>
  <c r="P101" i="4" s="1"/>
  <c r="L101" i="4"/>
  <c r="K101" i="4"/>
  <c r="J101" i="4"/>
  <c r="I101" i="4"/>
  <c r="H101" i="4"/>
  <c r="G101" i="4"/>
  <c r="F101" i="4"/>
  <c r="E101" i="4"/>
  <c r="D101" i="4"/>
  <c r="C101" i="4"/>
  <c r="N116" i="4"/>
  <c r="M116" i="4"/>
  <c r="P116" i="4" s="1"/>
  <c r="L116" i="4"/>
  <c r="K116" i="4"/>
  <c r="J116" i="4"/>
  <c r="I116" i="4"/>
  <c r="H116" i="4"/>
  <c r="G116" i="4"/>
  <c r="F116" i="4"/>
  <c r="E116" i="4"/>
  <c r="D116" i="4"/>
  <c r="C116" i="4"/>
  <c r="N39" i="4"/>
  <c r="M39" i="4"/>
  <c r="P39" i="4" s="1"/>
  <c r="L39" i="4"/>
  <c r="K39" i="4"/>
  <c r="J39" i="4"/>
  <c r="I39" i="4"/>
  <c r="H39" i="4"/>
  <c r="G39" i="4"/>
  <c r="F39" i="4"/>
  <c r="E39" i="4"/>
  <c r="D39" i="4"/>
  <c r="C39" i="4"/>
  <c r="N122" i="4"/>
  <c r="M122" i="4"/>
  <c r="P122" i="4" s="1"/>
  <c r="L122" i="4"/>
  <c r="K122" i="4"/>
  <c r="J122" i="4"/>
  <c r="I122" i="4"/>
  <c r="H122" i="4"/>
  <c r="G122" i="4"/>
  <c r="F122" i="4"/>
  <c r="E122" i="4"/>
  <c r="D122" i="4"/>
  <c r="C122" i="4"/>
  <c r="N66" i="4"/>
  <c r="M66" i="4"/>
  <c r="P66" i="4" s="1"/>
  <c r="L66" i="4"/>
  <c r="K66" i="4"/>
  <c r="J66" i="4"/>
  <c r="I66" i="4"/>
  <c r="H66" i="4"/>
  <c r="G66" i="4"/>
  <c r="F66" i="4"/>
  <c r="E66" i="4"/>
  <c r="D66" i="4"/>
  <c r="C66" i="4"/>
  <c r="N34" i="4"/>
  <c r="M34" i="4"/>
  <c r="P34" i="4" s="1"/>
  <c r="L34" i="4"/>
  <c r="K34" i="4"/>
  <c r="J34" i="4"/>
  <c r="I34" i="4"/>
  <c r="H34" i="4"/>
  <c r="G34" i="4"/>
  <c r="F34" i="4"/>
  <c r="E34" i="4"/>
  <c r="D34" i="4"/>
  <c r="C34" i="4"/>
  <c r="N47" i="4"/>
  <c r="M47" i="4"/>
  <c r="P47" i="4" s="1"/>
  <c r="L47" i="4"/>
  <c r="K47" i="4"/>
  <c r="J47" i="4"/>
  <c r="I47" i="4"/>
  <c r="H47" i="4"/>
  <c r="G47" i="4"/>
  <c r="F47" i="4"/>
  <c r="E47" i="4"/>
  <c r="D47" i="4"/>
  <c r="C47" i="4"/>
  <c r="N108" i="4"/>
  <c r="M108" i="4"/>
  <c r="P108" i="4" s="1"/>
  <c r="L108" i="4"/>
  <c r="K108" i="4"/>
  <c r="J108" i="4"/>
  <c r="I108" i="4"/>
  <c r="H108" i="4"/>
  <c r="G108" i="4"/>
  <c r="F108" i="4"/>
  <c r="E108" i="4"/>
  <c r="D108" i="4"/>
  <c r="C108" i="4"/>
  <c r="N30" i="4"/>
  <c r="M30" i="4"/>
  <c r="P30" i="4" s="1"/>
  <c r="L30" i="4"/>
  <c r="K30" i="4"/>
  <c r="J30" i="4"/>
  <c r="I30" i="4"/>
  <c r="H30" i="4"/>
  <c r="G30" i="4"/>
  <c r="F30" i="4"/>
  <c r="E30" i="4"/>
  <c r="D30" i="4"/>
  <c r="C30" i="4"/>
  <c r="N69" i="4"/>
  <c r="M69" i="4"/>
  <c r="P69" i="4" s="1"/>
  <c r="L69" i="4"/>
  <c r="K69" i="4"/>
  <c r="J69" i="4"/>
  <c r="I69" i="4"/>
  <c r="H69" i="4"/>
  <c r="G69" i="4"/>
  <c r="F69" i="4"/>
  <c r="E69" i="4"/>
  <c r="D69" i="4"/>
  <c r="C69" i="4"/>
  <c r="N63" i="4"/>
  <c r="M63" i="4"/>
  <c r="P63" i="4" s="1"/>
  <c r="L63" i="4"/>
  <c r="K63" i="4"/>
  <c r="J63" i="4"/>
  <c r="I63" i="4"/>
  <c r="H63" i="4"/>
  <c r="G63" i="4"/>
  <c r="F63" i="4"/>
  <c r="E63" i="4"/>
  <c r="D63" i="4"/>
  <c r="C63" i="4"/>
  <c r="N27" i="4"/>
  <c r="M27" i="4"/>
  <c r="P27" i="4" s="1"/>
  <c r="L27" i="4"/>
  <c r="K27" i="4"/>
  <c r="J27" i="4"/>
  <c r="I27" i="4"/>
  <c r="H27" i="4"/>
  <c r="G27" i="4"/>
  <c r="F27" i="4"/>
  <c r="E27" i="4"/>
  <c r="D27" i="4"/>
  <c r="C27" i="4"/>
  <c r="N90" i="4"/>
  <c r="M90" i="4"/>
  <c r="P90" i="4" s="1"/>
  <c r="L90" i="4"/>
  <c r="K90" i="4"/>
  <c r="J90" i="4"/>
  <c r="I90" i="4"/>
  <c r="H90" i="4"/>
  <c r="G90" i="4"/>
  <c r="F90" i="4"/>
  <c r="E90" i="4"/>
  <c r="D90" i="4"/>
  <c r="C90" i="4"/>
  <c r="N46" i="4"/>
  <c r="M46" i="4"/>
  <c r="P46" i="4" s="1"/>
  <c r="L46" i="4"/>
  <c r="K46" i="4"/>
  <c r="J46" i="4"/>
  <c r="I46" i="4"/>
  <c r="H46" i="4"/>
  <c r="G46" i="4"/>
  <c r="F46" i="4"/>
  <c r="E46" i="4"/>
  <c r="D46" i="4"/>
  <c r="C46" i="4"/>
  <c r="N59" i="4"/>
  <c r="M59" i="4"/>
  <c r="P59" i="4" s="1"/>
  <c r="L59" i="4"/>
  <c r="K59" i="4"/>
  <c r="J59" i="4"/>
  <c r="I59" i="4"/>
  <c r="H59" i="4"/>
  <c r="G59" i="4"/>
  <c r="F59" i="4"/>
  <c r="E59" i="4"/>
  <c r="D59" i="4"/>
  <c r="C59" i="4"/>
  <c r="N120" i="4"/>
  <c r="M120" i="4"/>
  <c r="P120" i="4" s="1"/>
  <c r="L120" i="4"/>
  <c r="K120" i="4"/>
  <c r="J120" i="4"/>
  <c r="I120" i="4"/>
  <c r="H120" i="4"/>
  <c r="G120" i="4"/>
  <c r="F120" i="4"/>
  <c r="E120" i="4"/>
  <c r="D120" i="4"/>
  <c r="C120" i="4"/>
  <c r="N54" i="4"/>
  <c r="M54" i="4"/>
  <c r="P54" i="4" s="1"/>
  <c r="L54" i="4"/>
  <c r="K54" i="4"/>
  <c r="J54" i="4"/>
  <c r="I54" i="4"/>
  <c r="H54" i="4"/>
  <c r="G54" i="4"/>
  <c r="F54" i="4"/>
  <c r="E54" i="4"/>
  <c r="D54" i="4"/>
  <c r="C54" i="4"/>
  <c r="N105" i="4"/>
  <c r="M105" i="4"/>
  <c r="P105" i="4" s="1"/>
  <c r="L105" i="4"/>
  <c r="K105" i="4"/>
  <c r="J105" i="4"/>
  <c r="I105" i="4"/>
  <c r="H105" i="4"/>
  <c r="G105" i="4"/>
  <c r="F105" i="4"/>
  <c r="E105" i="4"/>
  <c r="D105" i="4"/>
  <c r="C105" i="4"/>
  <c r="N99" i="4"/>
  <c r="M99" i="4"/>
  <c r="P99" i="4" s="1"/>
  <c r="L99" i="4"/>
  <c r="K99" i="4"/>
  <c r="J99" i="4"/>
  <c r="I99" i="4"/>
  <c r="H99" i="4"/>
  <c r="G99" i="4"/>
  <c r="F99" i="4"/>
  <c r="E99" i="4"/>
  <c r="D99" i="4"/>
  <c r="C99" i="4"/>
  <c r="N51" i="4"/>
  <c r="M51" i="4"/>
  <c r="P51" i="4" s="1"/>
  <c r="L51" i="4"/>
  <c r="K51" i="4"/>
  <c r="J51" i="4"/>
  <c r="I51" i="4"/>
  <c r="H51" i="4"/>
  <c r="G51" i="4"/>
  <c r="F51" i="4"/>
  <c r="E51" i="4"/>
  <c r="D51" i="4"/>
  <c r="C51" i="4"/>
  <c r="N114" i="4"/>
  <c r="M114" i="4"/>
  <c r="P114" i="4" s="1"/>
  <c r="L114" i="4"/>
  <c r="K114" i="4"/>
  <c r="J114" i="4"/>
  <c r="I114" i="4"/>
  <c r="H114" i="4"/>
  <c r="G114" i="4"/>
  <c r="F114" i="4"/>
  <c r="E114" i="4"/>
  <c r="D114" i="4"/>
  <c r="C114" i="4"/>
  <c r="N58" i="4"/>
  <c r="M58" i="4"/>
  <c r="P58" i="4" s="1"/>
  <c r="L58" i="4"/>
  <c r="K58" i="4"/>
  <c r="J58" i="4"/>
  <c r="I58" i="4"/>
  <c r="H58" i="4"/>
  <c r="G58" i="4"/>
  <c r="F58" i="4"/>
  <c r="E58" i="4"/>
  <c r="D58" i="4"/>
  <c r="C58" i="4"/>
  <c r="N71" i="4"/>
  <c r="M71" i="4"/>
  <c r="P71" i="4" s="1"/>
  <c r="L71" i="4"/>
  <c r="K71" i="4"/>
  <c r="J71" i="4"/>
  <c r="I71" i="4"/>
  <c r="H71" i="4"/>
  <c r="G71" i="4"/>
  <c r="F71" i="4"/>
  <c r="E71" i="4"/>
  <c r="D71" i="4"/>
  <c r="C71" i="4"/>
  <c r="N75" i="4"/>
  <c r="M75" i="4"/>
  <c r="P75" i="4" s="1"/>
  <c r="L75" i="4"/>
  <c r="K75" i="4"/>
  <c r="J75" i="4"/>
  <c r="I75" i="4"/>
  <c r="H75" i="4"/>
  <c r="G75" i="4"/>
  <c r="F75" i="4"/>
  <c r="E75" i="4"/>
  <c r="D75" i="4"/>
  <c r="C75" i="4"/>
  <c r="N78" i="4"/>
  <c r="M78" i="4"/>
  <c r="P78" i="4" s="1"/>
  <c r="L78" i="4"/>
  <c r="K78" i="4"/>
  <c r="J78" i="4"/>
  <c r="I78" i="4"/>
  <c r="H78" i="4"/>
  <c r="G78" i="4"/>
  <c r="F78" i="4"/>
  <c r="E78" i="4"/>
  <c r="D78" i="4"/>
  <c r="C78" i="4"/>
  <c r="N25" i="4"/>
  <c r="M25" i="4"/>
  <c r="P25" i="4" s="1"/>
  <c r="L25" i="4"/>
  <c r="K25" i="4"/>
  <c r="J25" i="4"/>
  <c r="I25" i="4"/>
  <c r="H25" i="4"/>
  <c r="G25" i="4"/>
  <c r="F25" i="4"/>
  <c r="E25" i="4"/>
  <c r="D25" i="4"/>
  <c r="C25" i="4"/>
  <c r="N88" i="4"/>
  <c r="M88" i="4"/>
  <c r="P88" i="4" s="1"/>
  <c r="L88" i="4"/>
  <c r="K88" i="4"/>
  <c r="J88" i="4"/>
  <c r="I88" i="4"/>
  <c r="H88" i="4"/>
  <c r="G88" i="4"/>
  <c r="F88" i="4"/>
  <c r="E88" i="4"/>
  <c r="D88" i="4"/>
  <c r="C88" i="4"/>
  <c r="N87" i="4"/>
  <c r="M87" i="4"/>
  <c r="P87" i="4" s="1"/>
  <c r="L87" i="4"/>
  <c r="K87" i="4"/>
  <c r="J87" i="4"/>
  <c r="I87" i="4"/>
  <c r="H87" i="4"/>
  <c r="G87" i="4"/>
  <c r="F87" i="4"/>
  <c r="E87" i="4"/>
  <c r="D87" i="4"/>
  <c r="C87" i="4"/>
  <c r="N43" i="4"/>
  <c r="M43" i="4"/>
  <c r="P43" i="4" s="1"/>
  <c r="L43" i="4"/>
  <c r="K43" i="4"/>
  <c r="J43" i="4"/>
  <c r="I43" i="4"/>
  <c r="H43" i="4"/>
  <c r="G43" i="4"/>
  <c r="F43" i="4"/>
  <c r="E43" i="4"/>
  <c r="D43" i="4"/>
  <c r="C43" i="4"/>
  <c r="N70" i="4"/>
  <c r="M70" i="4"/>
  <c r="P70" i="4" s="1"/>
  <c r="L70" i="4"/>
  <c r="K70" i="4"/>
  <c r="J70" i="4"/>
  <c r="I70" i="4"/>
  <c r="H70" i="4"/>
  <c r="G70" i="4"/>
  <c r="F70" i="4"/>
  <c r="E70" i="4"/>
  <c r="D70" i="4"/>
  <c r="C70" i="4"/>
  <c r="N83" i="4"/>
  <c r="M83" i="4"/>
  <c r="P83" i="4" s="1"/>
  <c r="L83" i="4"/>
  <c r="K83" i="4"/>
  <c r="J83" i="4"/>
  <c r="I83" i="4"/>
  <c r="H83" i="4"/>
  <c r="G83" i="4"/>
  <c r="F83" i="4"/>
  <c r="E83" i="4"/>
  <c r="D83" i="4"/>
  <c r="C83" i="4"/>
  <c r="N111" i="4"/>
  <c r="M111" i="4"/>
  <c r="P111" i="4" s="1"/>
  <c r="L111" i="4"/>
  <c r="K111" i="4"/>
  <c r="J111" i="4"/>
  <c r="I111" i="4"/>
  <c r="H111" i="4"/>
  <c r="G111" i="4"/>
  <c r="F111" i="4"/>
  <c r="E111" i="4"/>
  <c r="D111" i="4"/>
  <c r="C111" i="4"/>
  <c r="N102" i="4"/>
  <c r="M102" i="4"/>
  <c r="P102" i="4" s="1"/>
  <c r="L102" i="4"/>
  <c r="K102" i="4"/>
  <c r="J102" i="4"/>
  <c r="I102" i="4"/>
  <c r="H102" i="4"/>
  <c r="G102" i="4"/>
  <c r="F102" i="4"/>
  <c r="E102" i="4"/>
  <c r="D102" i="4"/>
  <c r="C102" i="4"/>
  <c r="N37" i="4"/>
  <c r="M37" i="4"/>
  <c r="P37" i="4" s="1"/>
  <c r="L37" i="4"/>
  <c r="K37" i="4"/>
  <c r="J37" i="4"/>
  <c r="I37" i="4"/>
  <c r="H37" i="4"/>
  <c r="G37" i="4"/>
  <c r="F37" i="4"/>
  <c r="E37" i="4"/>
  <c r="D37" i="4"/>
  <c r="C37" i="4"/>
  <c r="N26" i="4"/>
  <c r="M26" i="4"/>
  <c r="P26" i="4" s="1"/>
  <c r="L26" i="4"/>
  <c r="K26" i="4"/>
  <c r="J26" i="4"/>
  <c r="I26" i="4"/>
  <c r="H26" i="4"/>
  <c r="G26" i="4"/>
  <c r="F26" i="4"/>
  <c r="E26" i="4"/>
  <c r="D26" i="4"/>
  <c r="C26" i="4"/>
  <c r="N40" i="4"/>
  <c r="M40" i="4"/>
  <c r="P40" i="4" s="1"/>
  <c r="L40" i="4"/>
  <c r="K40" i="4"/>
  <c r="J40" i="4"/>
  <c r="I40" i="4"/>
  <c r="H40" i="4"/>
  <c r="G40" i="4"/>
  <c r="F40" i="4"/>
  <c r="E40" i="4"/>
  <c r="D40" i="4"/>
  <c r="C40" i="4"/>
  <c r="N67" i="4"/>
  <c r="M67" i="4"/>
  <c r="P67" i="4" s="1"/>
  <c r="L67" i="4"/>
  <c r="K67" i="4"/>
  <c r="J67" i="4"/>
  <c r="I67" i="4"/>
  <c r="H67" i="4"/>
  <c r="G67" i="4"/>
  <c r="F67" i="4"/>
  <c r="E67" i="4"/>
  <c r="D67" i="4"/>
  <c r="C67" i="4"/>
  <c r="N82" i="4"/>
  <c r="M82" i="4"/>
  <c r="P82" i="4" s="1"/>
  <c r="L82" i="4"/>
  <c r="K82" i="4"/>
  <c r="J82" i="4"/>
  <c r="I82" i="4"/>
  <c r="H82" i="4"/>
  <c r="G82" i="4"/>
  <c r="F82" i="4"/>
  <c r="E82" i="4"/>
  <c r="D82" i="4"/>
  <c r="C82" i="4"/>
  <c r="N95" i="4"/>
  <c r="M95" i="4"/>
  <c r="P95" i="4" s="1"/>
  <c r="L95" i="4"/>
  <c r="K95" i="4"/>
  <c r="J95" i="4"/>
  <c r="I95" i="4"/>
  <c r="H95" i="4"/>
  <c r="G95" i="4"/>
  <c r="F95" i="4"/>
  <c r="E95" i="4"/>
  <c r="D95" i="4"/>
  <c r="C95" i="4"/>
  <c r="N28" i="4"/>
  <c r="M28" i="4"/>
  <c r="P28" i="4" s="1"/>
  <c r="L28" i="4"/>
  <c r="K28" i="4"/>
  <c r="J28" i="4"/>
  <c r="I28" i="4"/>
  <c r="H28" i="4"/>
  <c r="G28" i="4"/>
  <c r="F28" i="4"/>
  <c r="E28" i="4"/>
  <c r="D28" i="4"/>
  <c r="C28" i="4"/>
  <c r="N31" i="4"/>
  <c r="M31" i="4"/>
  <c r="P31" i="4" s="1"/>
  <c r="L31" i="4"/>
  <c r="K31" i="4"/>
  <c r="J31" i="4"/>
  <c r="I31" i="4"/>
  <c r="H31" i="4"/>
  <c r="G31" i="4"/>
  <c r="F31" i="4"/>
  <c r="E31" i="4"/>
  <c r="D31" i="4"/>
  <c r="C31" i="4"/>
  <c r="N49" i="4"/>
  <c r="M49" i="4"/>
  <c r="P49" i="4" s="1"/>
  <c r="L49" i="4"/>
  <c r="K49" i="4"/>
  <c r="J49" i="4"/>
  <c r="I49" i="4"/>
  <c r="H49" i="4"/>
  <c r="G49" i="4"/>
  <c r="F49" i="4"/>
  <c r="E49" i="4"/>
  <c r="D49" i="4"/>
  <c r="C49" i="4"/>
  <c r="N38" i="4"/>
  <c r="M38" i="4"/>
  <c r="P38" i="4" s="1"/>
  <c r="L38" i="4"/>
  <c r="K38" i="4"/>
  <c r="J38" i="4"/>
  <c r="I38" i="4"/>
  <c r="H38" i="4"/>
  <c r="G38" i="4"/>
  <c r="F38" i="4"/>
  <c r="E38" i="4"/>
  <c r="D38" i="4"/>
  <c r="C38" i="4"/>
  <c r="N64" i="4"/>
  <c r="M64" i="4"/>
  <c r="P64" i="4" s="1"/>
  <c r="L64" i="4"/>
  <c r="K64" i="4"/>
  <c r="J64" i="4"/>
  <c r="I64" i="4"/>
  <c r="H64" i="4"/>
  <c r="G64" i="4"/>
  <c r="F64" i="4"/>
  <c r="E64" i="4"/>
  <c r="D64" i="4"/>
  <c r="C64" i="4"/>
  <c r="N91" i="4"/>
  <c r="M91" i="4"/>
  <c r="P91" i="4" s="1"/>
  <c r="L91" i="4"/>
  <c r="K91" i="4"/>
  <c r="J91" i="4"/>
  <c r="I91" i="4"/>
  <c r="H91" i="4"/>
  <c r="G91" i="4"/>
  <c r="F91" i="4"/>
  <c r="E91" i="4"/>
  <c r="D91" i="4"/>
  <c r="C91" i="4"/>
  <c r="N94" i="4"/>
  <c r="M94" i="4"/>
  <c r="P94" i="4" s="1"/>
  <c r="L94" i="4"/>
  <c r="K94" i="4"/>
  <c r="J94" i="4"/>
  <c r="I94" i="4"/>
  <c r="H94" i="4"/>
  <c r="G94" i="4"/>
  <c r="F94" i="4"/>
  <c r="E94" i="4"/>
  <c r="D94" i="4"/>
  <c r="C94" i="4"/>
  <c r="N107" i="4"/>
  <c r="M107" i="4"/>
  <c r="P107" i="4" s="1"/>
  <c r="L107" i="4"/>
  <c r="K107" i="4"/>
  <c r="J107" i="4"/>
  <c r="I107" i="4"/>
  <c r="H107" i="4"/>
  <c r="G107" i="4"/>
  <c r="F107" i="4"/>
  <c r="E107" i="4"/>
  <c r="D107" i="4"/>
  <c r="C107" i="4"/>
  <c r="N24" i="4"/>
  <c r="M24" i="4"/>
  <c r="P24" i="4" s="1"/>
  <c r="L24" i="4"/>
  <c r="K24" i="4"/>
  <c r="J24" i="4"/>
  <c r="I24" i="4"/>
  <c r="H24" i="4"/>
  <c r="G24" i="4"/>
  <c r="F24" i="4"/>
  <c r="E24" i="4"/>
  <c r="D24" i="4"/>
  <c r="C24" i="4"/>
  <c r="N52" i="4"/>
  <c r="M52" i="4"/>
  <c r="P52" i="4" s="1"/>
  <c r="L52" i="4"/>
  <c r="K52" i="4"/>
  <c r="J52" i="4"/>
  <c r="I52" i="4"/>
  <c r="H52" i="4"/>
  <c r="G52" i="4"/>
  <c r="F52" i="4"/>
  <c r="E52" i="4"/>
  <c r="D52" i="4"/>
  <c r="C52" i="4"/>
  <c r="N55" i="4"/>
  <c r="M55" i="4"/>
  <c r="P55" i="4" s="1"/>
  <c r="L55" i="4"/>
  <c r="K55" i="4"/>
  <c r="J55" i="4"/>
  <c r="I55" i="4"/>
  <c r="H55" i="4"/>
  <c r="G55" i="4"/>
  <c r="F55" i="4"/>
  <c r="E55" i="4"/>
  <c r="D55" i="4"/>
  <c r="C55" i="4"/>
  <c r="N61" i="4"/>
  <c r="M61" i="4"/>
  <c r="P61" i="4" s="1"/>
  <c r="L61" i="4"/>
  <c r="K61" i="4"/>
  <c r="J61" i="4"/>
  <c r="I61" i="4"/>
  <c r="H61" i="4"/>
  <c r="G61" i="4"/>
  <c r="F61" i="4"/>
  <c r="E61" i="4"/>
  <c r="D61" i="4"/>
  <c r="C61" i="4"/>
  <c r="N50" i="4"/>
  <c r="M50" i="4"/>
  <c r="P50" i="4" s="1"/>
  <c r="L50" i="4"/>
  <c r="K50" i="4"/>
  <c r="J50" i="4"/>
  <c r="I50" i="4"/>
  <c r="H50" i="4"/>
  <c r="G50" i="4"/>
  <c r="F50" i="4"/>
  <c r="E50" i="4"/>
  <c r="D50" i="4"/>
  <c r="C50" i="4"/>
  <c r="N100" i="4"/>
  <c r="M100" i="4"/>
  <c r="P100" i="4" s="1"/>
  <c r="L100" i="4"/>
  <c r="K100" i="4"/>
  <c r="J100" i="4"/>
  <c r="I100" i="4"/>
  <c r="H100" i="4"/>
  <c r="G100" i="4"/>
  <c r="F100" i="4"/>
  <c r="E100" i="4"/>
  <c r="D100" i="4"/>
  <c r="C100" i="4"/>
  <c r="N115" i="4"/>
  <c r="M115" i="4"/>
  <c r="P115" i="4" s="1"/>
  <c r="L115" i="4"/>
  <c r="K115" i="4"/>
  <c r="J115" i="4"/>
  <c r="I115" i="4"/>
  <c r="H115" i="4"/>
  <c r="G115" i="4"/>
  <c r="F115" i="4"/>
  <c r="E115" i="4"/>
  <c r="D115" i="4"/>
  <c r="C115" i="4"/>
  <c r="N106" i="4"/>
  <c r="M106" i="4"/>
  <c r="P106" i="4" s="1"/>
  <c r="L106" i="4"/>
  <c r="K106" i="4"/>
  <c r="J106" i="4"/>
  <c r="I106" i="4"/>
  <c r="H106" i="4"/>
  <c r="G106" i="4"/>
  <c r="F106" i="4"/>
  <c r="E106" i="4"/>
  <c r="D106" i="4"/>
  <c r="C106" i="4"/>
  <c r="N119" i="4"/>
  <c r="M119" i="4"/>
  <c r="P119" i="4" s="1"/>
  <c r="L119" i="4"/>
  <c r="K119" i="4"/>
  <c r="J119" i="4"/>
  <c r="I119" i="4"/>
  <c r="H119" i="4"/>
  <c r="G119" i="4"/>
  <c r="F119" i="4"/>
  <c r="E119" i="4"/>
  <c r="D119" i="4"/>
  <c r="C119" i="4"/>
  <c r="N36" i="4"/>
  <c r="M36" i="4"/>
  <c r="P36" i="4" s="1"/>
  <c r="L36" i="4"/>
  <c r="K36" i="4"/>
  <c r="J36" i="4"/>
  <c r="I36" i="4"/>
  <c r="H36" i="4"/>
  <c r="G36" i="4"/>
  <c r="F36" i="4"/>
  <c r="E36" i="4"/>
  <c r="D36" i="4"/>
  <c r="C36" i="4"/>
  <c r="N76" i="4"/>
  <c r="M76" i="4"/>
  <c r="P76" i="4" s="1"/>
  <c r="L76" i="4"/>
  <c r="K76" i="4"/>
  <c r="J76" i="4"/>
  <c r="I76" i="4"/>
  <c r="H76" i="4"/>
  <c r="G76" i="4"/>
  <c r="F76" i="4"/>
  <c r="E76" i="4"/>
  <c r="D76" i="4"/>
  <c r="C76" i="4"/>
  <c r="N79" i="4"/>
  <c r="M79" i="4"/>
  <c r="P79" i="4" s="1"/>
  <c r="L79" i="4"/>
  <c r="K79" i="4"/>
  <c r="J79" i="4"/>
  <c r="I79" i="4"/>
  <c r="H79" i="4"/>
  <c r="G79" i="4"/>
  <c r="F79" i="4"/>
  <c r="E79" i="4"/>
  <c r="D79" i="4"/>
  <c r="C79" i="4"/>
  <c r="N73" i="4"/>
  <c r="M73" i="4"/>
  <c r="P73" i="4" s="1"/>
  <c r="L73" i="4"/>
  <c r="K73" i="4"/>
  <c r="J73" i="4"/>
  <c r="I73" i="4"/>
  <c r="H73" i="4"/>
  <c r="G73" i="4"/>
  <c r="F73" i="4"/>
  <c r="E73" i="4"/>
  <c r="D73" i="4"/>
  <c r="C73" i="4"/>
  <c r="N62" i="4"/>
  <c r="M62" i="4"/>
  <c r="P62" i="4" s="1"/>
  <c r="L62" i="4"/>
  <c r="K62" i="4"/>
  <c r="J62" i="4"/>
  <c r="I62" i="4"/>
  <c r="H62" i="4"/>
  <c r="G62" i="4"/>
  <c r="F62" i="4"/>
  <c r="E62" i="4"/>
  <c r="D62" i="4"/>
  <c r="C62" i="4"/>
  <c r="N41" i="4"/>
  <c r="M41" i="4"/>
  <c r="P41" i="4" s="1"/>
  <c r="L41" i="4"/>
  <c r="K41" i="4"/>
  <c r="J41" i="4"/>
  <c r="I41" i="4"/>
  <c r="H41" i="4"/>
  <c r="G41" i="4"/>
  <c r="F41" i="4"/>
  <c r="E41" i="4"/>
  <c r="D41" i="4"/>
  <c r="C41" i="4"/>
  <c r="N44" i="4"/>
  <c r="M44" i="4"/>
  <c r="P44" i="4" s="1"/>
  <c r="L44" i="4"/>
  <c r="K44" i="4"/>
  <c r="J44" i="4"/>
  <c r="I44" i="4"/>
  <c r="H44" i="4"/>
  <c r="G44" i="4"/>
  <c r="F44" i="4"/>
  <c r="E44" i="4"/>
  <c r="D44" i="4"/>
  <c r="C44" i="4"/>
  <c r="N118" i="4"/>
  <c r="M118" i="4"/>
  <c r="P118" i="4" s="1"/>
  <c r="L118" i="4"/>
  <c r="K118" i="4"/>
  <c r="J118" i="4"/>
  <c r="I118" i="4"/>
  <c r="H118" i="4"/>
  <c r="G118" i="4"/>
  <c r="F118" i="4"/>
  <c r="E118" i="4"/>
  <c r="D118" i="4"/>
  <c r="C118" i="4"/>
  <c r="N104" i="4"/>
  <c r="M104" i="4"/>
  <c r="P104" i="4" s="1"/>
  <c r="L104" i="4"/>
  <c r="K104" i="4"/>
  <c r="J104" i="4"/>
  <c r="I104" i="4"/>
  <c r="H104" i="4"/>
  <c r="G104" i="4"/>
  <c r="F104" i="4"/>
  <c r="E104" i="4"/>
  <c r="D104" i="4"/>
  <c r="C104" i="4"/>
  <c r="N48" i="4"/>
  <c r="M48" i="4"/>
  <c r="P48" i="4" s="1"/>
  <c r="L48" i="4"/>
  <c r="K48" i="4"/>
  <c r="J48" i="4"/>
  <c r="I48" i="4"/>
  <c r="H48" i="4"/>
  <c r="G48" i="4"/>
  <c r="F48" i="4"/>
  <c r="E48" i="4"/>
  <c r="D48" i="4"/>
  <c r="C48" i="4"/>
  <c r="N112" i="4"/>
  <c r="M112" i="4"/>
  <c r="P112" i="4" s="1"/>
  <c r="L112" i="4"/>
  <c r="K112" i="4"/>
  <c r="J112" i="4"/>
  <c r="I112" i="4"/>
  <c r="H112" i="4"/>
  <c r="G112" i="4"/>
  <c r="F112" i="4"/>
  <c r="E112" i="4"/>
  <c r="D112" i="4"/>
  <c r="C112" i="4"/>
  <c r="N103" i="4"/>
  <c r="M103" i="4"/>
  <c r="P103" i="4" s="1"/>
  <c r="L103" i="4"/>
  <c r="K103" i="4"/>
  <c r="J103" i="4"/>
  <c r="I103" i="4"/>
  <c r="H103" i="4"/>
  <c r="G103" i="4"/>
  <c r="F103" i="4"/>
  <c r="E103" i="4"/>
  <c r="D103" i="4"/>
  <c r="C103" i="4"/>
  <c r="N85" i="4"/>
  <c r="M85" i="4"/>
  <c r="P85" i="4" s="1"/>
  <c r="L85" i="4"/>
  <c r="K85" i="4"/>
  <c r="J85" i="4"/>
  <c r="I85" i="4"/>
  <c r="H85" i="4"/>
  <c r="G85" i="4"/>
  <c r="F85" i="4"/>
  <c r="E85" i="4"/>
  <c r="D85" i="4"/>
  <c r="C85" i="4"/>
  <c r="N74" i="4"/>
  <c r="M74" i="4"/>
  <c r="P74" i="4" s="1"/>
  <c r="L74" i="4"/>
  <c r="K74" i="4"/>
  <c r="J74" i="4"/>
  <c r="I74" i="4"/>
  <c r="H74" i="4"/>
  <c r="G74" i="4"/>
  <c r="F74" i="4"/>
  <c r="E74" i="4"/>
  <c r="D74" i="4"/>
  <c r="C74" i="4"/>
  <c r="N65" i="4"/>
  <c r="M65" i="4"/>
  <c r="P65" i="4" s="1"/>
  <c r="L65" i="4"/>
  <c r="K65" i="4"/>
  <c r="J65" i="4"/>
  <c r="I65" i="4"/>
  <c r="H65" i="4"/>
  <c r="G65" i="4"/>
  <c r="F65" i="4"/>
  <c r="E65" i="4"/>
  <c r="D65" i="4"/>
  <c r="C65" i="4"/>
  <c r="N80" i="4"/>
  <c r="M80" i="4"/>
  <c r="P80" i="4" s="1"/>
  <c r="L80" i="4"/>
  <c r="K80" i="4"/>
  <c r="J80" i="4"/>
  <c r="I80" i="4"/>
  <c r="H80" i="4"/>
  <c r="G80" i="4"/>
  <c r="F80" i="4"/>
  <c r="E80" i="4"/>
  <c r="D80" i="4"/>
  <c r="C80" i="4"/>
  <c r="N68" i="4"/>
  <c r="M68" i="4"/>
  <c r="P68" i="4" s="1"/>
  <c r="L68" i="4"/>
  <c r="K68" i="4"/>
  <c r="J68" i="4"/>
  <c r="I68" i="4"/>
  <c r="H68" i="4"/>
  <c r="G68" i="4"/>
  <c r="F68" i="4"/>
  <c r="E68" i="4"/>
  <c r="D68" i="4"/>
  <c r="C68" i="4"/>
  <c r="N81" i="4"/>
  <c r="M81" i="4"/>
  <c r="P81" i="4" s="1"/>
  <c r="L81" i="4"/>
  <c r="K81" i="4"/>
  <c r="J81" i="4"/>
  <c r="I81" i="4"/>
  <c r="H81" i="4"/>
  <c r="G81" i="4"/>
  <c r="F81" i="4"/>
  <c r="E81" i="4"/>
  <c r="D81" i="4"/>
  <c r="C8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<sst xmlns="http://schemas.openxmlformats.org/spreadsheetml/2006/main" count="89" uniqueCount="87">
  <si>
    <t>Field</t>
  </si>
  <si>
    <t>Value</t>
  </si>
  <si>
    <t>INSTRUCTIONS</t>
  </si>
  <si>
    <t>Temperature T (K)</t>
  </si>
  <si>
    <t>1) Import thermo_udfs.bas into this workbook's VBA (Alt+F11 → File → Import File...)</t>
  </si>
  <si>
    <t>Pressure p (MPa)</t>
  </si>
  <si>
    <t>2) Save as macro-enabled workbook (.xlsm).</t>
  </si>
  <si>
    <t>3) Ensure 'Parameters' values are set.</t>
  </si>
  <si>
    <t>4) Outputs sheet will then populate via UDF.</t>
  </si>
  <si>
    <t>Parameter</t>
  </si>
  <si>
    <t>v00 [cm^3/mol] (index 0)</t>
  </si>
  <si>
    <t>a1 (index 1)</t>
  </si>
  <si>
    <t>a2 (index 2)</t>
  </si>
  <si>
    <t>a3 (index 3)</t>
  </si>
  <si>
    <t>unused (index 4)</t>
  </si>
  <si>
    <t>unused (index 5)</t>
  </si>
  <si>
    <t>unused (index 6)</t>
  </si>
  <si>
    <t>unused (index 7)</t>
  </si>
  <si>
    <t>unused (index 8)</t>
  </si>
  <si>
    <t>Th[0] (index 9)</t>
  </si>
  <si>
    <t>Th[1] (index 10)</t>
  </si>
  <si>
    <t>Th[2] (index 11)</t>
  </si>
  <si>
    <t>Th[3] (index 12)</t>
  </si>
  <si>
    <t>Th[4] (index 13)</t>
  </si>
  <si>
    <t>Th[5] (index 14)</t>
  </si>
  <si>
    <t>g[0] (index 15)</t>
  </si>
  <si>
    <t>g[1] (index 16)</t>
  </si>
  <si>
    <t>g[2] (index 17)</t>
  </si>
  <si>
    <t>g[3] (index 18)</t>
  </si>
  <si>
    <t>g[4] (index 19)</t>
  </si>
  <si>
    <t>g[5] (index 20)</t>
  </si>
  <si>
    <t>q[0] (index 21)</t>
  </si>
  <si>
    <t>q[1] (index 22)</t>
  </si>
  <si>
    <t>q[2] (index 23)</t>
  </si>
  <si>
    <t>q[3] (index 24)</t>
  </si>
  <si>
    <t>q[4] (index 25)</t>
  </si>
  <si>
    <t>q[5] (index 26)</t>
  </si>
  <si>
    <t>aa (index 27)</t>
  </si>
  <si>
    <t>bb (index 28)</t>
  </si>
  <si>
    <t>cc (index 29)</t>
  </si>
  <si>
    <t>s (index 30)</t>
  </si>
  <si>
    <t>Property</t>
  </si>
  <si>
    <t>v [cm^3/mol]</t>
  </si>
  <si>
    <t>KappaT [1/MPa]</t>
  </si>
  <si>
    <t>KappaS [1/MPa]</t>
  </si>
  <si>
    <t>Alpha [1/K]</t>
  </si>
  <si>
    <t>cp [J/mol/K]</t>
  </si>
  <si>
    <t>cv [J/mol/K]</t>
  </si>
  <si>
    <t>Gruneisen [-]</t>
  </si>
  <si>
    <t>U [J/mol]</t>
  </si>
  <si>
    <t>S [J/mol/K]</t>
  </si>
  <si>
    <t>A [J/mol]</t>
  </si>
  <si>
    <t>H [J/mol]</t>
  </si>
  <si>
    <t>G [J/mol]</t>
  </si>
  <si>
    <t>Full vector (use dynamic array Excel: select B15:M15 and enter formula below)</t>
  </si>
  <si>
    <t>Tmin (K)</t>
  </si>
  <si>
    <t>Tmax (K)</t>
  </si>
  <si>
    <t>ΔT step (K)</t>
  </si>
  <si>
    <t>v</t>
  </si>
  <si>
    <t>KappaT</t>
  </si>
  <si>
    <t>KappaS</t>
  </si>
  <si>
    <t>Alpha</t>
  </si>
  <si>
    <t>cp</t>
  </si>
  <si>
    <t>cv</t>
  </si>
  <si>
    <t>Gruneisen</t>
  </si>
  <si>
    <t>U</t>
  </si>
  <si>
    <t>S</t>
  </si>
  <si>
    <t>A</t>
  </si>
  <si>
    <t>H</t>
  </si>
  <si>
    <t>G</t>
  </si>
  <si>
    <t>Triple-point T_t (K)</t>
  </si>
  <si>
    <t>Triple-point P_t (MPa)</t>
  </si>
  <si>
    <t>e1</t>
  </si>
  <si>
    <t>e2</t>
  </si>
  <si>
    <t>e3</t>
  </si>
  <si>
    <t>e4</t>
  </si>
  <si>
    <t>e5</t>
  </si>
  <si>
    <t>e6</t>
  </si>
  <si>
    <t>e7</t>
  </si>
  <si>
    <t>p(T) [MPa]</t>
  </si>
  <si>
    <t xml:space="preserve">T (K) </t>
  </si>
  <si>
    <t>St_REFPROP</t>
  </si>
  <si>
    <t>Ht_REFPROP</t>
  </si>
  <si>
    <t>Delta S</t>
  </si>
  <si>
    <t>H at Triple Point</t>
  </si>
  <si>
    <t>Delta H</t>
  </si>
  <si>
    <t>Sublimation Enthalpy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</si>
</sst>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  <xf numFmtId="0" fontId="2" fillId="2" borderId="1" xfId="1" applyBorder="1"/>
    <xf numFmtId="0" fontId="3" fillId="3" borderId="1" xfId="2" applyBorder="1"/>
  </cellXfs>
  <cellStyles count="3">
    <cellStyle name="Good" xfId="2" builtinId="26"/>
    <cellStyle name="Neutral" xfId="1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Cell 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Sublimation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Sweep!$A$23:$A$124</c:f>
              <c:numCache>
                <c:formatCode>General</c:formatCode>
                <c:ptCount val="102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Sweep!$C$23:$C$124</c:f>
              <c:numCache>
                <c:formatCode>General</c:formatCode>
                <c:ptCount val="102"/>
                <c:pt idx="0">
                  <c:v>13.380000000146879</c:v>
                </c:pt>
                <c:pt idx="1">
                  <c:v>13.380002146505038</c:v>
                </c:pt>
                <c:pt idx="2">
                  <c:v>13.380028510545618</c:v>
                </c:pt>
                <c:pt idx="3">
                  <c:v>13.380135388762218</c:v>
                </c:pt>
                <c:pt idx="4">
                  <c:v>13.380414287409266</c:v>
                </c:pt>
                <c:pt idx="5">
                  <c:v>13.380991531774859</c:v>
                </c:pt>
                <c:pt idx="6">
                  <c:v>13.382024382972171</c:v>
                </c:pt>
                <c:pt idx="7">
                  <c:v>13.383688363174365</c:v>
                </c:pt>
                <c:pt idx="8">
                  <c:v>13.386156586939498</c:v>
                </c:pt>
                <c:pt idx="9">
                  <c:v>13.389579445122797</c:v>
                </c:pt>
                <c:pt idx="10">
                  <c:v>13.394071834879975</c:v>
                </c:pt>
                <c:pt idx="11">
                  <c:v>13.399709410516948</c:v>
                </c:pt>
                <c:pt idx="12">
                  <c:v>13.406531487779262</c:v>
                </c:pt>
                <c:pt idx="13">
                  <c:v>13.414547384656075</c:v>
                </c:pt>
                <c:pt idx="14">
                  <c:v>13.423743699242504</c:v>
                </c:pt>
                <c:pt idx="15">
                  <c:v>13.434091057563288</c:v>
                </c:pt>
                <c:pt idx="16">
                  <c:v>13.445549672514247</c:v>
                </c:pt>
                <c:pt idx="17">
                  <c:v>13.458073543362747</c:v>
                </c:pt>
                <c:pt idx="18">
                  <c:v>13.471613360904399</c:v>
                </c:pt>
                <c:pt idx="19">
                  <c:v>13.48611825560079</c:v>
                </c:pt>
                <c:pt idx="20">
                  <c:v>13.501536497770035</c:v>
                </c:pt>
                <c:pt idx="21">
                  <c:v>13.517815153580594</c:v>
                </c:pt>
                <c:pt idx="22">
                  <c:v>13.534898485519726</c:v>
                </c:pt>
                <c:pt idx="23">
                  <c:v>13.552724366768501</c:v>
                </c:pt>
                <c:pt idx="24">
                  <c:v>13.571216016232501</c:v>
                </c:pt>
                <c:pt idx="25">
                  <c:v>13.393480639513635</c:v>
                </c:pt>
                <c:pt idx="26">
                  <c:v>13.333856659881818</c:v>
                </c:pt>
                <c:pt idx="27">
                  <c:v>13.27860096098768</c:v>
                </c:pt>
                <c:pt idx="28">
                  <c:v>13.221386173805726</c:v>
                </c:pt>
                <c:pt idx="29">
                  <c:v>13.161648161760784</c:v>
                </c:pt>
                <c:pt idx="30">
                  <c:v>13.099633132626778</c:v>
                </c:pt>
                <c:pt idx="31">
                  <c:v>13.035759056843107</c:v>
                </c:pt>
                <c:pt idx="32">
                  <c:v>12.970466314498626</c:v>
                </c:pt>
                <c:pt idx="33">
                  <c:v>12.90417287763783</c:v>
                </c:pt>
                <c:pt idx="34">
                  <c:v>12.837259223932621</c:v>
                </c:pt>
                <c:pt idx="35">
                  <c:v>12.770063465392008</c:v>
                </c:pt>
                <c:pt idx="36">
                  <c:v>12.702880631317194</c:v>
                </c:pt>
                <c:pt idx="37">
                  <c:v>12.635963954453405</c:v>
                </c:pt>
                <c:pt idx="38">
                  <c:v>12.569527270778243</c:v>
                </c:pt>
                <c:pt idx="39">
                  <c:v>12.503748079287869</c:v>
                </c:pt>
                <c:pt idx="40">
                  <c:v>12.438770972707946</c:v>
                </c:pt>
                <c:pt idx="41">
                  <c:v>12.374711226117924</c:v>
                </c:pt>
                <c:pt idx="42">
                  <c:v>12.311658379300827</c:v>
                </c:pt>
                <c:pt idx="43">
                  <c:v>12.249679689097805</c:v>
                </c:pt>
                <c:pt idx="44">
                  <c:v>12.188823364356479</c:v>
                </c:pt>
                <c:pt idx="45">
                  <c:v>12.129121527984012</c:v>
                </c:pt>
                <c:pt idx="46">
                  <c:v>12.070592877221587</c:v>
                </c:pt>
                <c:pt idx="47">
                  <c:v>12.01324503409097</c:v>
                </c:pt>
                <c:pt idx="48">
                  <c:v>11.957076593201945</c:v>
                </c:pt>
                <c:pt idx="49">
                  <c:v>11.902078884403263</c:v>
                </c:pt>
                <c:pt idx="50">
                  <c:v>11.848237473986527</c:v>
                </c:pt>
                <c:pt idx="51">
                  <c:v>11.795533431244737</c:v>
                </c:pt>
                <c:pt idx="52">
                  <c:v>11.743944388003106</c:v>
                </c:pt>
                <c:pt idx="53">
                  <c:v>11.693445418005515</c:v>
                </c:pt>
                <c:pt idx="54">
                  <c:v>11.64400976133113</c:v>
                </c:pt>
                <c:pt idx="55">
                  <c:v>11.595609416764397</c:v>
                </c:pt>
                <c:pt idx="56">
                  <c:v>11.548215622555906</c:v>
                </c:pt>
                <c:pt idx="57">
                  <c:v>11.501799243500461</c:v>
                </c:pt>
                <c:pt idx="58">
                  <c:v>11.456331079854325</c:v>
                </c:pt>
                <c:pt idx="59">
                  <c:v>11.411782111393341</c:v>
                </c:pt>
                <c:pt idx="60">
                  <c:v>11.368123687915308</c:v>
                </c:pt>
                <c:pt idx="61">
                  <c:v>11.325327675725413</c:v>
                </c:pt>
                <c:pt idx="62">
                  <c:v>11.283366568108272</c:v>
                </c:pt>
                <c:pt idx="63">
                  <c:v>11.242213566469129</c:v>
                </c:pt>
                <c:pt idx="64">
                  <c:v>11.201842637700778</c:v>
                </c:pt>
                <c:pt idx="65">
                  <c:v>11.162228552379563</c:v>
                </c:pt>
                <c:pt idx="66">
                  <c:v>11.123346907591928</c:v>
                </c:pt>
                <c:pt idx="67">
                  <c:v>11.085174137521351</c:v>
                </c:pt>
                <c:pt idx="68">
                  <c:v>11.047687514365368</c:v>
                </c:pt>
                <c:pt idx="69">
                  <c:v>11.0108651416867</c:v>
                </c:pt>
                <c:pt idx="70">
                  <c:v>10.974685941916375</c:v>
                </c:pt>
                <c:pt idx="71">
                  <c:v>10.93912963940749</c:v>
                </c:pt>
                <c:pt idx="72">
                  <c:v>10.90417674017459</c:v>
                </c:pt>
                <c:pt idx="73">
                  <c:v>10.86980850923659</c:v>
                </c:pt>
                <c:pt idx="74">
                  <c:v>10.836006946302529</c:v>
                </c:pt>
                <c:pt idx="75">
                  <c:v>10.802754760392807</c:v>
                </c:pt>
                <c:pt idx="76">
                  <c:v>10.770035343868404</c:v>
                </c:pt>
                <c:pt idx="77">
                  <c:v>10.7378327462421</c:v>
                </c:pt>
                <c:pt idx="78">
                  <c:v>10.706131648065433</c:v>
                </c:pt>
                <c:pt idx="79">
                  <c:v>10.674917335119538</c:v>
                </c:pt>
                <c:pt idx="80">
                  <c:v>10.644175673084716</c:v>
                </c:pt>
                <c:pt idx="81">
                  <c:v>10.613893082820169</c:v>
                </c:pt>
                <c:pt idx="82">
                  <c:v>10.584056516351062</c:v>
                </c:pt>
                <c:pt idx="83">
                  <c:v>10.554653433630067</c:v>
                </c:pt>
                <c:pt idx="84">
                  <c:v>10.525671780119984</c:v>
                </c:pt>
                <c:pt idx="85">
                  <c:v>10.497099965225296</c:v>
                </c:pt>
                <c:pt idx="86">
                  <c:v>10.46892684158456</c:v>
                </c:pt>
                <c:pt idx="87">
                  <c:v>10.441141685225185</c:v>
                </c:pt>
                <c:pt idx="88">
                  <c:v>10.413734176576655</c:v>
                </c:pt>
                <c:pt idx="89">
                  <c:v>10.386694382324558</c:v>
                </c:pt>
                <c:pt idx="90">
                  <c:v>10.360012738088319</c:v>
                </c:pt>
                <c:pt idx="91">
                  <c:v>10.333680031899371</c:v>
                </c:pt>
                <c:pt idx="92">
                  <c:v>10.307687388454141</c:v>
                </c:pt>
                <c:pt idx="93">
                  <c:v>10.28202625411426</c:v>
                </c:pt>
                <c:pt idx="94">
                  <c:v>10.256688382625315</c:v>
                </c:pt>
                <c:pt idx="95">
                  <c:v>10.231665821524711</c:v>
                </c:pt>
                <c:pt idx="96">
                  <c:v>10.206950899209101</c:v>
                </c:pt>
                <c:pt idx="97">
                  <c:v>10.182536212631913</c:v>
                </c:pt>
                <c:pt idx="98">
                  <c:v>10.158414615601925</c:v>
                </c:pt>
                <c:pt idx="99">
                  <c:v>10.134579207654493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FA-474D-9E15-0AEC27FE2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345504"/>
        <c:axId val="1204332064"/>
      </c:scatterChart>
      <c:valAx>
        <c:axId val="1204345504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32064"/>
        <c:crosses val="autoZero"/>
        <c:crossBetween val="midCat"/>
      </c:valAx>
      <c:valAx>
        <c:axId val="120433206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Vm (cm^3/mol)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45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Heat Capacity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Sweep!$A$23:$A$122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Sweep!$G$23:$G$122</c:f>
              <c:numCache>
                <c:formatCode>General</c:formatCode>
                <c:ptCount val="100"/>
                <c:pt idx="0">
                  <c:v>5.8721821918908921E-6</c:v>
                </c:pt>
                <c:pt idx="1">
                  <c:v>7.8051150551535792E-3</c:v>
                </c:pt>
                <c:pt idx="2">
                  <c:v>5.4304596978403674E-2</c:v>
                </c:pt>
                <c:pt idx="3">
                  <c:v>0.17469357921007264</c:v>
                </c:pt>
                <c:pt idx="4">
                  <c:v>0.40413013678780568</c:v>
                </c:pt>
                <c:pt idx="5">
                  <c:v>0.77641691160362936</c:v>
                </c:pt>
                <c:pt idx="6">
                  <c:v>1.3175732087807126</c:v>
                </c:pt>
                <c:pt idx="7">
                  <c:v>2.0356450296432103</c:v>
                </c:pt>
                <c:pt idx="8">
                  <c:v>2.9162005865737544</c:v>
                </c:pt>
                <c:pt idx="9">
                  <c:v>3.9271731501161273</c:v>
                </c:pt>
                <c:pt idx="10">
                  <c:v>5.0281937097381304</c:v>
                </c:pt>
                <c:pt idx="11">
                  <c:v>6.1789713722901523</c:v>
                </c:pt>
                <c:pt idx="12">
                  <c:v>7.3444770945599354</c:v>
                </c:pt>
                <c:pt idx="13">
                  <c:v>8.4970954818861451</c:v>
                </c:pt>
                <c:pt idx="14">
                  <c:v>9.6167565843535847</c:v>
                </c:pt>
                <c:pt idx="15">
                  <c:v>10.690022906018983</c:v>
                </c:pt>
                <c:pt idx="16">
                  <c:v>11.70879906373734</c:v>
                </c:pt>
                <c:pt idx="17">
                  <c:v>12.669037345833075</c:v>
                </c:pt>
                <c:pt idx="18">
                  <c:v>13.569609583003297</c:v>
                </c:pt>
                <c:pt idx="19">
                  <c:v>14.411398071110886</c:v>
                </c:pt>
                <c:pt idx="20">
                  <c:v>15.196599336438188</c:v>
                </c:pt>
                <c:pt idx="21">
                  <c:v>15.928210044215032</c:v>
                </c:pt>
                <c:pt idx="22">
                  <c:v>16.609658033922852</c:v>
                </c:pt>
                <c:pt idx="23">
                  <c:v>17.244543295052715</c:v>
                </c:pt>
                <c:pt idx="24">
                  <c:v>17.836456803099868</c:v>
                </c:pt>
                <c:pt idx="25">
                  <c:v>18.154074036689337</c:v>
                </c:pt>
                <c:pt idx="26">
                  <c:v>18.577778072435521</c:v>
                </c:pt>
                <c:pt idx="27">
                  <c:v>18.973752457167944</c:v>
                </c:pt>
                <c:pt idx="28">
                  <c:v>19.337076290010465</c:v>
                </c:pt>
                <c:pt idx="29">
                  <c:v>19.66951767326163</c:v>
                </c:pt>
                <c:pt idx="30">
                  <c:v>19.97359861599617</c:v>
                </c:pt>
                <c:pt idx="31">
                  <c:v>20.25185668036886</c:v>
                </c:pt>
                <c:pt idx="32">
                  <c:v>20.506691076956031</c:v>
                </c:pt>
                <c:pt idx="33">
                  <c:v>20.740328759571547</c:v>
                </c:pt>
                <c:pt idx="34">
                  <c:v>20.954820877656442</c:v>
                </c:pt>
                <c:pt idx="35">
                  <c:v>21.152047163671767</c:v>
                </c:pt>
                <c:pt idx="36">
                  <c:v>21.333722356285595</c:v>
                </c:pt>
                <c:pt idx="37">
                  <c:v>21.501403277410922</c:v>
                </c:pt>
                <c:pt idx="38">
                  <c:v>21.656496560371064</c:v>
                </c:pt>
                <c:pt idx="39">
                  <c:v>21.800267154601858</c:v>
                </c:pt>
                <c:pt idx="40">
                  <c:v>21.933847609588064</c:v>
                </c:pt>
                <c:pt idx="41">
                  <c:v>22.058248065528971</c:v>
                </c:pt>
                <c:pt idx="42">
                  <c:v>22.174366642292924</c:v>
                </c:pt>
                <c:pt idx="43">
                  <c:v>22.282999948729273</c:v>
                </c:pt>
                <c:pt idx="44">
                  <c:v>22.384853431298918</c:v>
                </c:pt>
                <c:pt idx="45">
                  <c:v>22.480551267060083</c:v>
                </c:pt>
                <c:pt idx="46">
                  <c:v>22.570645699645908</c:v>
                </c:pt>
                <c:pt idx="47">
                  <c:v>22.655625591278518</c:v>
                </c:pt>
                <c:pt idx="48">
                  <c:v>22.735924194003726</c:v>
                </c:pt>
                <c:pt idx="49">
                  <c:v>22.811926150894717</c:v>
                </c:pt>
                <c:pt idx="50">
                  <c:v>22.883973631539604</c:v>
                </c:pt>
                <c:pt idx="51">
                  <c:v>22.952371784125752</c:v>
                </c:pt>
                <c:pt idx="52">
                  <c:v>23.017393470913053</c:v>
                </c:pt>
                <c:pt idx="53">
                  <c:v>23.079283388183715</c:v>
                </c:pt>
                <c:pt idx="54">
                  <c:v>23.138261631117221</c:v>
                </c:pt>
                <c:pt idx="55">
                  <c:v>23.194526771550589</c:v>
                </c:pt>
                <c:pt idx="56">
                  <c:v>23.248258521379885</c:v>
                </c:pt>
                <c:pt idx="57">
                  <c:v>23.29962000713779</c:v>
                </c:pt>
                <c:pt idx="58">
                  <c:v>23.348759756863313</c:v>
                </c:pt>
                <c:pt idx="59">
                  <c:v>23.395813381722398</c:v>
                </c:pt>
                <c:pt idx="60">
                  <c:v>23.44090505798718</c:v>
                </c:pt>
                <c:pt idx="61">
                  <c:v>23.48414879618791</c:v>
                </c:pt>
                <c:pt idx="62">
                  <c:v>23.525649520243078</c:v>
                </c:pt>
                <c:pt idx="63">
                  <c:v>23.565504052937886</c:v>
                </c:pt>
                <c:pt idx="64">
                  <c:v>23.603801914103432</c:v>
                </c:pt>
                <c:pt idx="65">
                  <c:v>23.640626074633367</c:v>
                </c:pt>
                <c:pt idx="66">
                  <c:v>23.676053581092823</c:v>
                </c:pt>
                <c:pt idx="67">
                  <c:v>23.710156110225594</c:v>
                </c:pt>
                <c:pt idx="68">
                  <c:v>23.743000463155798</c:v>
                </c:pt>
                <c:pt idx="69">
                  <c:v>23.774649004843496</c:v>
                </c:pt>
                <c:pt idx="70">
                  <c:v>23.80516005633514</c:v>
                </c:pt>
                <c:pt idx="71">
                  <c:v>23.834588213335323</c:v>
                </c:pt>
                <c:pt idx="72">
                  <c:v>23.862984681307857</c:v>
                </c:pt>
                <c:pt idx="73">
                  <c:v>23.890397523796636</c:v>
                </c:pt>
                <c:pt idx="74">
                  <c:v>23.916871936866155</c:v>
                </c:pt>
                <c:pt idx="75">
                  <c:v>23.942450434770834</c:v>
                </c:pt>
                <c:pt idx="76">
                  <c:v>23.967173094210551</c:v>
                </c:pt>
                <c:pt idx="77">
                  <c:v>23.991077693563184</c:v>
                </c:pt>
                <c:pt idx="78">
                  <c:v>24.014199892225395</c:v>
                </c:pt>
                <c:pt idx="79">
                  <c:v>24.036573398010312</c:v>
                </c:pt>
                <c:pt idx="80">
                  <c:v>24.058230070599063</c:v>
                </c:pt>
                <c:pt idx="81">
                  <c:v>24.079200070870851</c:v>
                </c:pt>
                <c:pt idx="82">
                  <c:v>24.099511960796416</c:v>
                </c:pt>
                <c:pt idx="83">
                  <c:v>24.11919282606112</c:v>
                </c:pt>
                <c:pt idx="84">
                  <c:v>24.138268338175777</c:v>
                </c:pt>
                <c:pt idx="85">
                  <c:v>24.156762876522237</c:v>
                </c:pt>
                <c:pt idx="86">
                  <c:v>24.174699599770079</c:v>
                </c:pt>
                <c:pt idx="87">
                  <c:v>24.192100510930963</c:v>
                </c:pt>
                <c:pt idx="88">
                  <c:v>24.208986536272665</c:v>
                </c:pt>
                <c:pt idx="89">
                  <c:v>24.225377582765265</c:v>
                </c:pt>
                <c:pt idx="90">
                  <c:v>24.241292613905628</c:v>
                </c:pt>
                <c:pt idx="91">
                  <c:v>24.25674968696422</c:v>
                </c:pt>
                <c:pt idx="92">
                  <c:v>24.271766012043535</c:v>
                </c:pt>
                <c:pt idx="93">
                  <c:v>24.286357992480141</c:v>
                </c:pt>
                <c:pt idx="94">
                  <c:v>24.300541294187589</c:v>
                </c:pt>
                <c:pt idx="95">
                  <c:v>24.314330859124297</c:v>
                </c:pt>
                <c:pt idx="96">
                  <c:v>24.327740951190822</c:v>
                </c:pt>
                <c:pt idx="97">
                  <c:v>24.340785206160611</c:v>
                </c:pt>
                <c:pt idx="98">
                  <c:v>24.353476656850649</c:v>
                </c:pt>
                <c:pt idx="99">
                  <c:v>24.365827754761966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63-450A-9D4F-CB5B8179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311408"/>
        <c:axId val="722313328"/>
      </c:scatterChart>
      <c:valAx>
        <c:axId val="722311408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</a:t>
                </a:r>
                <a:r>
                  <a:rPr lang="en-AU" baseline="0"/>
                  <a:t> (K)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3328"/>
        <c:crosses val="autoZero"/>
        <c:crossBetween val="midCat"/>
      </c:valAx>
      <c:valAx>
        <c:axId val="722313328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c_p (J/mol/K)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1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Thermal Expansivity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Sweep!$A$23:$A$122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Sweep!$F$23:$F$122</c:f>
              <c:numCache>
                <c:formatCode>General</c:formatCode>
                <c:ptCount val="100"/>
                <c:pt idx="0">
                  <c:v>4.3887759283717362E-10</c:v>
                </c:pt>
                <c:pt idx="1">
                  <c:v>5.8334232561038179E-7</c:v>
                </c:pt>
                <c:pt idx="2">
                  <c:v>4.0586758746055677E-6</c:v>
                </c:pt>
                <c:pt idx="3">
                  <c:v>1.3056876421888329E-5</c:v>
                </c:pt>
                <c:pt idx="4">
                  <c:v>3.0207975098629669E-5</c:v>
                </c:pt>
                <c:pt idx="5">
                  <c:v>5.8046230814824677E-5</c:v>
                </c:pt>
                <c:pt idx="6">
                  <c:v>9.8535879633151872E-5</c:v>
                </c:pt>
                <c:pt idx="7">
                  <c:v>1.5231680769833822E-4</c:v>
                </c:pt>
                <c:pt idx="8">
                  <c:v>2.1837239372779816E-4</c:v>
                </c:pt>
                <c:pt idx="9">
                  <c:v>2.9438970887271741E-4</c:v>
                </c:pt>
                <c:pt idx="10">
                  <c:v>3.7744892343823496E-4</c:v>
                </c:pt>
                <c:pt idx="11">
                  <c:v>4.6463825299319618E-4</c:v>
                </c:pt>
                <c:pt idx="12">
                  <c:v>5.5343047700108592E-4</c:v>
                </c:pt>
                <c:pt idx="13">
                  <c:v>6.4183584206110986E-4</c:v>
                </c:pt>
                <c:pt idx="14">
                  <c:v>7.2840773572766665E-4</c:v>
                </c:pt>
                <c:pt idx="15">
                  <c:v>8.121735423790422E-4</c:v>
                </c:pt>
                <c:pt idx="16">
                  <c:v>8.9253956811809231E-4</c:v>
                </c:pt>
                <c:pt idx="17">
                  <c:v>9.6919691348565493E-4</c:v>
                </c:pt>
                <c:pt idx="18">
                  <c:v>1.0420402253407894E-3</c:v>
                </c:pt>
                <c:pt idx="19">
                  <c:v>1.1111027254462104E-3</c:v>
                </c:pt>
                <c:pt idx="20">
                  <c:v>1.176506724876875E-3</c:v>
                </c:pt>
                <c:pt idx="21">
                  <c:v>1.2384271427174798E-3</c:v>
                </c:pt>
                <c:pt idx="22">
                  <c:v>1.2970651228051786E-3</c:v>
                </c:pt>
                <c:pt idx="23">
                  <c:v>1.3526288801514381E-3</c:v>
                </c:pt>
                <c:pt idx="24">
                  <c:v>1.4053185214641739E-3</c:v>
                </c:pt>
                <c:pt idx="25">
                  <c:v>1.3624761984769224E-3</c:v>
                </c:pt>
                <c:pt idx="26">
                  <c:v>1.3681069187772826E-3</c:v>
                </c:pt>
                <c:pt idx="27">
                  <c:v>1.3713642335589562E-3</c:v>
                </c:pt>
                <c:pt idx="28">
                  <c:v>1.3692234285443375E-3</c:v>
                </c:pt>
                <c:pt idx="29">
                  <c:v>1.3615458665444686E-3</c:v>
                </c:pt>
                <c:pt idx="30">
                  <c:v>1.3486753546161512E-3</c:v>
                </c:pt>
                <c:pt idx="31">
                  <c:v>1.3311161280941993E-3</c:v>
                </c:pt>
                <c:pt idx="32">
                  <c:v>1.3094445159106047E-3</c:v>
                </c:pt>
                <c:pt idx="33">
                  <c:v>1.2842687741970132E-3</c:v>
                </c:pt>
                <c:pt idx="34">
                  <c:v>1.2562023414312712E-3</c:v>
                </c:pt>
                <c:pt idx="35">
                  <c:v>1.2258427410810275E-3</c:v>
                </c:pt>
                <c:pt idx="36">
                  <c:v>1.1937546688683997E-3</c:v>
                </c:pt>
                <c:pt idx="37">
                  <c:v>1.1604572357741046E-3</c:v>
                </c:pt>
                <c:pt idx="38">
                  <c:v>1.1264154229663893E-3</c:v>
                </c:pt>
                <c:pt idx="39">
                  <c:v>1.0920355238878464E-3</c:v>
                </c:pt>
                <c:pt idx="40">
                  <c:v>1.0576640614346944E-3</c:v>
                </c:pt>
                <c:pt idx="41">
                  <c:v>1.0235894890416085E-3</c:v>
                </c:pt>
                <c:pt idx="42">
                  <c:v>9.9004591689362651E-4</c:v>
                </c:pt>
                <c:pt idx="43">
                  <c:v>9.572181463704569E-4</c:v>
                </c:pt>
                <c:pt idx="44">
                  <c:v>9.252473964258581E-4</c:v>
                </c:pt>
                <c:pt idx="45">
                  <c:v>8.9423723253802571E-4</c:v>
                </c:pt>
                <c:pt idx="46">
                  <c:v>8.6425934762733147E-4</c:v>
                </c:pt>
                <c:pt idx="47">
                  <c:v>8.3535895548572474E-4</c:v>
                </c:pt>
                <c:pt idx="48">
                  <c:v>8.0755966269923534E-4</c:v>
                </c:pt>
                <c:pt idx="49">
                  <c:v>7.8086775763414019E-4</c:v>
                </c:pt>
                <c:pt idx="50">
                  <c:v>7.5527590325967519E-4</c:v>
                </c:pt>
                <c:pt idx="51">
                  <c:v>7.3076626476171113E-4</c:v>
                </c:pt>
                <c:pt idx="52">
                  <c:v>7.0731311540728529E-4</c:v>
                </c:pt>
                <c:pt idx="53">
                  <c:v>6.8488497838414689E-4</c:v>
                </c:pt>
                <c:pt idx="54">
                  <c:v>6.6344636587062215E-4</c:v>
                </c:pt>
                <c:pt idx="55">
                  <c:v>6.4295917285890039E-4</c:v>
                </c:pt>
                <c:pt idx="56">
                  <c:v>6.2338378155278498E-4</c:v>
                </c:pt>
                <c:pt idx="57">
                  <c:v>6.0467992419079735E-4</c:v>
                </c:pt>
                <c:pt idx="58">
                  <c:v>5.8680734863813177E-4</c:v>
                </c:pt>
                <c:pt idx="59">
                  <c:v>5.6972632188287365E-4</c:v>
                </c:pt>
                <c:pt idx="60">
                  <c:v>5.5339800432468436E-4</c:v>
                </c:pt>
                <c:pt idx="61">
                  <c:v>5.377847196012676E-4</c:v>
                </c:pt>
                <c:pt idx="62">
                  <c:v>5.2285014138626874E-4</c:v>
                </c:pt>
                <c:pt idx="63">
                  <c:v>5.0855941641432111E-4</c:v>
                </c:pt>
                <c:pt idx="64">
                  <c:v>4.9487923543070124E-4</c:v>
                </c:pt>
                <c:pt idx="65">
                  <c:v>4.8177786648589813E-4</c:v>
                </c:pt>
                <c:pt idx="66">
                  <c:v>4.6922515763401113E-4</c:v>
                </c:pt>
                <c:pt idx="67">
                  <c:v>4.5719251752849487E-4</c:v>
                </c:pt>
                <c:pt idx="68">
                  <c:v>4.4565287976753074E-4</c:v>
                </c:pt>
                <c:pt idx="69">
                  <c:v>4.3458065556071542E-4</c:v>
                </c:pt>
                <c:pt idx="70">
                  <c:v>4.2395167844862697E-4</c:v>
                </c:pt>
                <c:pt idx="71">
                  <c:v>4.1374314290163567E-4</c:v>
                </c:pt>
                <c:pt idx="72">
                  <c:v>4.0393354149305551E-4</c:v>
                </c:pt>
                <c:pt idx="73">
                  <c:v>3.9450259922969058E-4</c:v>
                </c:pt>
                <c:pt idx="74">
                  <c:v>3.8543120900722037E-4</c:v>
                </c:pt>
                <c:pt idx="75">
                  <c:v>3.7670136683580057E-4</c:v>
                </c:pt>
                <c:pt idx="76">
                  <c:v>3.6829610996223983E-4</c:v>
                </c:pt>
                <c:pt idx="77">
                  <c:v>3.6019945567384513E-4</c:v>
                </c:pt>
                <c:pt idx="78">
                  <c:v>3.5239634343091553E-4</c:v>
                </c:pt>
                <c:pt idx="79">
                  <c:v>3.4487257962280215E-4</c:v>
                </c:pt>
                <c:pt idx="80">
                  <c:v>3.3761478431003637E-4</c:v>
                </c:pt>
                <c:pt idx="81">
                  <c:v>3.3061034159944091E-4</c:v>
                </c:pt>
                <c:pt idx="82">
                  <c:v>3.2384735222235994E-4</c:v>
                </c:pt>
                <c:pt idx="83">
                  <c:v>3.1731458928725882E-4</c:v>
                </c:pt>
                <c:pt idx="84">
                  <c:v>3.110014559832351E-4</c:v>
                </c:pt>
                <c:pt idx="85">
                  <c:v>3.0489794674892236E-4</c:v>
                </c:pt>
                <c:pt idx="86">
                  <c:v>2.989946102954134E-4</c:v>
                </c:pt>
                <c:pt idx="87">
                  <c:v>2.9328251497703716E-4</c:v>
                </c:pt>
                <c:pt idx="88">
                  <c:v>2.877532166219712E-4</c:v>
                </c:pt>
                <c:pt idx="89">
                  <c:v>2.823987282490766E-4</c:v>
                </c:pt>
                <c:pt idx="90">
                  <c:v>2.7721149202758808E-4</c:v>
                </c:pt>
                <c:pt idx="91">
                  <c:v>2.7218435268158356E-4</c:v>
                </c:pt>
                <c:pt idx="92">
                  <c:v>2.6731053293748357E-4</c:v>
                </c:pt>
                <c:pt idx="93">
                  <c:v>2.6258361042410204E-4</c:v>
                </c:pt>
                <c:pt idx="94">
                  <c:v>2.579974964434715E-4</c:v>
                </c:pt>
                <c:pt idx="95">
                  <c:v>2.5354641558127117E-4</c:v>
                </c:pt>
                <c:pt idx="96">
                  <c:v>2.4922488703500468E-4</c:v>
                </c:pt>
                <c:pt idx="97">
                  <c:v>2.4502770723518631E-4</c:v>
                </c:pt>
                <c:pt idx="98">
                  <c:v>2.4094993338153584E-4</c:v>
                </c:pt>
                <c:pt idx="99">
                  <c:v>2.3698686804785342E-4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42-4741-B5D5-E54F041EC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721936"/>
        <c:axId val="985724336"/>
      </c:scatterChart>
      <c:valAx>
        <c:axId val="985721936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4336"/>
        <c:crosses val="autoZero"/>
        <c:crossBetween val="midCat"/>
      </c:valAx>
      <c:valAx>
        <c:axId val="985724336"/>
        <c:scaling>
          <c:orientation val="minMax"/>
          <c:max val="5.000000000000001E-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Alpha (1/K)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1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Sweep!$A$23:$A$122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Sweep!$D$23:$D$122</c:f>
              <c:numCache>
                <c:formatCode>General</c:formatCode>
                <c:ptCount val="100"/>
                <c:pt idx="0">
                  <c:v>1.0000000000789941E-3</c:v>
                </c:pt>
                <c:pt idx="1">
                  <c:v>1.0000011553615723E-3</c:v>
                </c:pt>
                <c:pt idx="2">
                  <c:v>1.0000153461064208E-3</c:v>
                </c:pt>
                <c:pt idx="3">
                  <c:v>1.0000728756217659E-3</c:v>
                </c:pt>
                <c:pt idx="4">
                  <c:v>1.0002229883299539E-3</c:v>
                </c:pt>
                <c:pt idx="5">
                  <c:v>1.000533272828283E-3</c:v>
                </c:pt>
                <c:pt idx="6">
                  <c:v>1.0010853223662442E-3</c:v>
                </c:pt>
                <c:pt idx="7">
                  <c:v>1.001963413326356E-3</c:v>
                </c:pt>
                <c:pt idx="8">
                  <c:v>1.0032400984524294E-3</c:v>
                </c:pt>
                <c:pt idx="9">
                  <c:v>1.0049661244748115E-3</c:v>
                </c:pt>
                <c:pt idx="10">
                  <c:v>1.0071676065294393E-3</c:v>
                </c:pt>
                <c:pt idx="11">
                  <c:v>1.0098486888500931E-3</c:v>
                </c:pt>
                <c:pt idx="12">
                  <c:v>1.0129966659634024E-3</c:v>
                </c:pt>
                <c:pt idx="13">
                  <c:v>1.016587340984093E-3</c:v>
                </c:pt>
                <c:pt idx="14">
                  <c:v>1.0205895310344264E-3</c:v>
                </c:pt>
                <c:pt idx="15">
                  <c:v>1.0249684129507565E-3</c:v>
                </c:pt>
                <c:pt idx="16">
                  <c:v>1.0296877925137071E-3</c:v>
                </c:pt>
                <c:pt idx="17">
                  <c:v>1.0347115157405141E-3</c:v>
                </c:pt>
                <c:pt idx="18">
                  <c:v>1.0400042490833045E-3</c:v>
                </c:pt>
                <c:pt idx="19">
                  <c:v>1.0455318139627348E-3</c:v>
                </c:pt>
                <c:pt idx="20">
                  <c:v>1.0512612071793027E-3</c:v>
                </c:pt>
                <c:pt idx="21">
                  <c:v>1.0571603841859547E-3</c:v>
                </c:pt>
                <c:pt idx="22">
                  <c:v>1.0631978222650613E-3</c:v>
                </c:pt>
                <c:pt idx="23">
                  <c:v>1.0693417799244047E-3</c:v>
                </c:pt>
                <c:pt idx="24">
                  <c:v>1.0755588212051814E-3</c:v>
                </c:pt>
                <c:pt idx="25">
                  <c:v>1.0375434755337809E-3</c:v>
                </c:pt>
                <c:pt idx="26">
                  <c:v>1.0238038644320004E-3</c:v>
                </c:pt>
                <c:pt idx="27">
                  <c:v>1.0101174652598736E-3</c:v>
                </c:pt>
                <c:pt idx="28">
                  <c:v>9.9479930449812549E-4</c:v>
                </c:pt>
                <c:pt idx="29">
                  <c:v>9.7764102207103859E-4</c:v>
                </c:pt>
                <c:pt idx="30">
                  <c:v>9.5870021546967091E-4</c:v>
                </c:pt>
                <c:pt idx="31">
                  <c:v>9.3813603915935935E-4</c:v>
                </c:pt>
                <c:pt idx="32">
                  <c:v>9.1616229479976618E-4</c:v>
                </c:pt>
                <c:pt idx="33">
                  <c:v>8.9302449231622942E-4</c:v>
                </c:pt>
                <c:pt idx="34">
                  <c:v>8.6898354382285126E-4</c:v>
                </c:pt>
                <c:pt idx="35">
                  <c:v>8.4430237503687689E-4</c:v>
                </c:pt>
                <c:pt idx="36">
                  <c:v>8.1923488351165268E-4</c:v>
                </c:pt>
                <c:pt idx="37">
                  <c:v>7.9401734515899443E-4</c:v>
                </c:pt>
                <c:pt idx="38">
                  <c:v>7.6886235241142289E-4</c:v>
                </c:pt>
                <c:pt idx="39">
                  <c:v>7.4395517687813597E-4</c:v>
                </c:pt>
                <c:pt idx="40">
                  <c:v>7.1945226626083465E-4</c:v>
                </c:pt>
                <c:pt idx="41">
                  <c:v>6.954814692675639E-4</c:v>
                </c:pt>
                <c:pt idx="42">
                  <c:v>6.7214354103021005E-4</c:v>
                </c:pt>
                <c:pt idx="43">
                  <c:v>6.4951450078474236E-4</c:v>
                </c:pt>
                <c:pt idx="44">
                  <c:v>6.2764847158581875E-4</c:v>
                </c:pt>
                <c:pt idx="45">
                  <c:v>6.0658070730826275E-4</c:v>
                </c:pt>
                <c:pt idx="46">
                  <c:v>5.8633059069643852E-4</c:v>
                </c:pt>
                <c:pt idx="47">
                  <c:v>5.6690445664022858E-4</c:v>
                </c:pt>
                <c:pt idx="48">
                  <c:v>5.4829815341720083E-4</c:v>
                </c:pt>
                <c:pt idx="49">
                  <c:v>5.3049929932022706E-4</c:v>
                </c:pt>
                <c:pt idx="50">
                  <c:v>5.1348922399837443E-4</c:v>
                </c:pt>
                <c:pt idx="51">
                  <c:v>4.9724460529814059E-4</c:v>
                </c:pt>
                <c:pt idx="52">
                  <c:v>4.8173882515866048E-4</c:v>
                </c:pt>
                <c:pt idx="53">
                  <c:v>4.6694307443488896E-4</c:v>
                </c:pt>
                <c:pt idx="54">
                  <c:v>4.52827239914005E-4</c:v>
                </c:pt>
                <c:pt idx="55">
                  <c:v>4.3936060486796677E-4</c:v>
                </c:pt>
                <c:pt idx="56">
                  <c:v>4.265123936552392E-4</c:v>
                </c:pt>
                <c:pt idx="57">
                  <c:v>4.142521871748952E-4</c:v>
                </c:pt>
                <c:pt idx="58">
                  <c:v>4.0255023286309865E-4</c:v>
                </c:pt>
                <c:pt idx="59">
                  <c:v>3.9137766947852681E-4</c:v>
                </c:pt>
                <c:pt idx="60">
                  <c:v>3.807066838171125E-4</c:v>
                </c:pt>
                <c:pt idx="61">
                  <c:v>3.7051061358261961E-4</c:v>
                </c:pt>
                <c:pt idx="62">
                  <c:v>3.6076400814695437E-4</c:v>
                </c:pt>
                <c:pt idx="63">
                  <c:v>3.514426567977208E-4</c:v>
                </c:pt>
                <c:pt idx="64">
                  <c:v>3.4252359217275979E-4</c:v>
                </c:pt>
                <c:pt idx="65">
                  <c:v>3.3398507513921312E-4</c:v>
                </c:pt>
                <c:pt idx="66">
                  <c:v>3.2580656603094861E-4</c:v>
                </c:pt>
                <c:pt idx="67">
                  <c:v>3.1796868617422683E-4</c:v>
                </c:pt>
                <c:pt idx="68">
                  <c:v>3.1045317277093729E-4</c:v>
                </c:pt>
                <c:pt idx="69">
                  <c:v>3.0324282952717656E-4</c:v>
                </c:pt>
                <c:pt idx="70">
                  <c:v>2.9632147491862661E-4</c:v>
                </c:pt>
                <c:pt idx="71">
                  <c:v>2.8967388923536064E-4</c:v>
                </c:pt>
                <c:pt idx="72">
                  <c:v>2.8328576203893291E-4</c:v>
                </c:pt>
                <c:pt idx="73">
                  <c:v>2.7714364012598318E-4</c:v>
                </c:pt>
                <c:pt idx="74">
                  <c:v>2.7123487703674328E-4</c:v>
                </c:pt>
                <c:pt idx="75">
                  <c:v>2.6554758431374993E-4</c:v>
                </c:pt>
                <c:pt idx="76">
                  <c:v>2.600705848314896E-4</c:v>
                </c:pt>
                <c:pt idx="77">
                  <c:v>2.5479336832465524E-4</c:v>
                </c:pt>
                <c:pt idx="78">
                  <c:v>2.497060492305029E-4</c:v>
                </c:pt>
                <c:pt idx="79">
                  <c:v>2.4479932686016364E-4</c:v>
                </c:pt>
                <c:pt idx="80">
                  <c:v>2.4006444787338566E-4</c:v>
                </c:pt>
                <c:pt idx="81">
                  <c:v>2.3549317102809355E-4</c:v>
                </c:pt>
                <c:pt idx="82">
                  <c:v>2.3107773411641213E-4</c:v>
                </c:pt>
                <c:pt idx="83">
                  <c:v>2.2681082301284131E-4</c:v>
                </c:pt>
                <c:pt idx="84">
                  <c:v>2.22685542724688E-4</c:v>
                </c:pt>
                <c:pt idx="85">
                  <c:v>2.1869539036129475E-4</c:v>
                </c:pt>
                <c:pt idx="86">
                  <c:v>2.1483422989930205E-4</c:v>
                </c:pt>
                <c:pt idx="87">
                  <c:v>2.1109626864595387E-4</c:v>
                </c:pt>
                <c:pt idx="88">
                  <c:v>2.0747603529970571E-4</c:v>
                </c:pt>
                <c:pt idx="89">
                  <c:v>2.0396835950154559E-4</c:v>
                </c:pt>
                <c:pt idx="90">
                  <c:v>2.0056835278526957E-4</c:v>
                </c:pt>
                <c:pt idx="91">
                  <c:v>1.9727139082623097E-4</c:v>
                </c:pt>
                <c:pt idx="92">
                  <c:v>1.9407309690788711E-4</c:v>
                </c:pt>
                <c:pt idx="93">
                  <c:v>1.9096932651731108E-4</c:v>
                </c:pt>
                <c:pt idx="94">
                  <c:v>1.8795615299639388E-4</c:v>
                </c:pt>
                <c:pt idx="95">
                  <c:v>1.8502985416509718E-4</c:v>
                </c:pt>
                <c:pt idx="96">
                  <c:v>1.8218689985774505E-4</c:v>
                </c:pt>
                <c:pt idx="97">
                  <c:v>1.7942394030409254E-4</c:v>
                </c:pt>
                <c:pt idx="98">
                  <c:v>1.7673779529199299E-4</c:v>
                </c:pt>
                <c:pt idx="99">
                  <c:v>1.7412544405800767E-4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5C-4CE6-AD8B-58648A4B8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  <c:max val="1.8000000000000004E-3"/>
          <c:min val="8.0000000000000026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Sweep!$A$23:$A$122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Sweep!$E$23:$E$122</c:f>
              <c:numCache>
                <c:formatCode>General</c:formatCode>
                <c:ptCount val="100"/>
                <c:pt idx="0">
                  <c:v>1.0000000000351065E-3</c:v>
                </c:pt>
                <c:pt idx="1">
                  <c:v>1.0000005136844784E-3</c:v>
                </c:pt>
                <c:pt idx="2">
                  <c:v>1.0000068227926087E-3</c:v>
                </c:pt>
                <c:pt idx="3">
                  <c:v>1.0000323971743701E-3</c:v>
                </c:pt>
                <c:pt idx="4">
                  <c:v>1.0000991156856776E-3</c:v>
                </c:pt>
                <c:pt idx="5">
                  <c:v>1.000237122966449E-3</c:v>
                </c:pt>
                <c:pt idx="6">
                  <c:v>1.0004837807307417E-3</c:v>
                </c:pt>
                <c:pt idx="7">
                  <c:v>1.0008804150303874E-3</c:v>
                </c:pt>
                <c:pt idx="8">
                  <c:v>1.0014670565629035E-3</c:v>
                </c:pt>
                <c:pt idx="9">
                  <c:v>1.0022772314345089E-3</c:v>
                </c:pt>
                <c:pt idx="10">
                  <c:v>1.0033346104132105E-3</c:v>
                </c:pt>
                <c:pt idx="11">
                  <c:v>1.0046519355623885E-3</c:v>
                </c:pt>
                <c:pt idx="12">
                  <c:v>1.0062316774175238E-3</c:v>
                </c:pt>
                <c:pt idx="13">
                  <c:v>1.0080676321529681E-3</c:v>
                </c:pt>
                <c:pt idx="14">
                  <c:v>1.0101468205080098E-3</c:v>
                </c:pt>
                <c:pt idx="15">
                  <c:v>1.0124512970224708E-3</c:v>
                </c:pt>
                <c:pt idx="16">
                  <c:v>1.0149596817655491E-3</c:v>
                </c:pt>
                <c:pt idx="17">
                  <c:v>1.0176483568038188E-3</c:v>
                </c:pt>
                <c:pt idx="18">
                  <c:v>1.0204923383451902E-3</c:v>
                </c:pt>
                <c:pt idx="19">
                  <c:v>1.0234658633327778E-3</c:v>
                </c:pt>
                <c:pt idx="20">
                  <c:v>1.0265427325668415E-3</c:v>
                </c:pt>
                <c:pt idx="21">
                  <c:v>1.0296964399542955E-3</c:v>
                </c:pt>
                <c:pt idx="22">
                  <c:v>1.0329000882485658E-3</c:v>
                </c:pt>
                <c:pt idx="23">
                  <c:v>1.036126019421082E-3</c:v>
                </c:pt>
                <c:pt idx="24">
                  <c:v>1.0393447993194281E-3</c:v>
                </c:pt>
                <c:pt idx="25">
                  <c:v>1.0031678252999051E-3</c:v>
                </c:pt>
                <c:pt idx="26">
                  <c:v>9.8874138714086278E-4</c:v>
                </c:pt>
                <c:pt idx="27">
                  <c:v>9.7444985457745758E-4</c:v>
                </c:pt>
                <c:pt idx="28">
                  <c:v>9.587795172762315E-4</c:v>
                </c:pt>
                <c:pt idx="29">
                  <c:v>9.4154377287293685E-4</c:v>
                </c:pt>
                <c:pt idx="30">
                  <c:v>9.2279279946861942E-4</c:v>
                </c:pt>
                <c:pt idx="31">
                  <c:v>9.0266582918500406E-4</c:v>
                </c:pt>
                <c:pt idx="32">
                  <c:v>8.8134947230163792E-4</c:v>
                </c:pt>
                <c:pt idx="33">
                  <c:v>8.5905771244728681E-4</c:v>
                </c:pt>
                <c:pt idx="34">
                  <c:v>8.3601787173857097E-4</c:v>
                </c:pt>
                <c:pt idx="35">
                  <c:v>8.1245913245393646E-4</c:v>
                </c:pt>
                <c:pt idx="36">
                  <c:v>7.8860305327085021E-4</c:v>
                </c:pt>
                <c:pt idx="37">
                  <c:v>7.6465614763045805E-4</c:v>
                </c:pt>
                <c:pt idx="38">
                  <c:v>7.4080459888100519E-4</c:v>
                </c:pt>
                <c:pt idx="39">
                  <c:v>7.1721103367126786E-4</c:v>
                </c:pt>
                <c:pt idx="40">
                  <c:v>6.9401312085966369E-4</c:v>
                </c:pt>
                <c:pt idx="41">
                  <c:v>6.7132366191176914E-4</c:v>
                </c:pt>
                <c:pt idx="42">
                  <c:v>6.4923179946150861E-4</c:v>
                </c:pt>
                <c:pt idx="43">
                  <c:v>6.2780498235700708E-4</c:v>
                </c:pt>
                <c:pt idx="44">
                  <c:v>6.070913709843211E-4</c:v>
                </c:pt>
                <c:pt idx="45">
                  <c:v>5.8712242817905984E-4</c:v>
                </c:pt>
                <c:pt idx="46">
                  <c:v>5.6791550624463042E-4</c:v>
                </c:pt>
                <c:pt idx="47">
                  <c:v>5.4947630021017445E-4</c:v>
                </c:pt>
                <c:pt idx="48">
                  <c:v>5.3180108745296223E-4</c:v>
                </c:pt>
                <c:pt idx="49">
                  <c:v>5.1487871262767928E-4</c:v>
                </c:pt>
                <c:pt idx="50">
                  <c:v>4.9869230503890745E-4</c:v>
                </c:pt>
                <c:pt idx="51">
                  <c:v>4.832207346755697E-4</c:v>
                </c:pt>
                <c:pt idx="52">
                  <c:v>4.6843982504615338E-4</c:v>
                </c:pt>
                <c:pt idx="53">
                  <c:v>4.5432334697371481E-4</c:v>
                </c:pt>
                <c:pt idx="54">
                  <c:v>4.4084382111151901E-4</c:v>
                </c:pt>
                <c:pt idx="55">
                  <c:v>4.2797315562663403E-4</c:v>
                </c:pt>
                <c:pt idx="56">
                  <c:v>4.1568314521096437E-4</c:v>
                </c:pt>
                <c:pt idx="57">
                  <c:v>4.0394585459112899E-4</c:v>
                </c:pt>
                <c:pt idx="58">
                  <c:v>3.9273390716369847E-4</c:v>
                </c:pt>
                <c:pt idx="59">
                  <c:v>3.8202069655487265E-4</c:v>
                </c:pt>
                <c:pt idx="60">
                  <c:v>3.7178053622368811E-4</c:v>
                </c:pt>
                <c:pt idx="61">
                  <c:v>3.6198875977663591E-4</c:v>
                </c:pt>
                <c:pt idx="62">
                  <c:v>3.5262178248751625E-4</c:v>
                </c:pt>
                <c:pt idx="63">
                  <c:v>3.4365713263120141E-4</c:v>
                </c:pt>
                <c:pt idx="64">
                  <c:v>3.3507345963306834E-4</c:v>
                </c:pt>
                <c:pt idx="65">
                  <c:v>3.2685052468465862E-4</c:v>
                </c:pt>
                <c:pt idx="66">
                  <c:v>3.1896917835214946E-4</c:v>
                </c:pt>
                <c:pt idx="67">
                  <c:v>3.1141132877772151E-4</c:v>
                </c:pt>
                <c:pt idx="68">
                  <c:v>3.0415990331590957E-4</c:v>
                </c:pt>
                <c:pt idx="69">
                  <c:v>2.9719880583108115E-4</c:v>
                </c:pt>
                <c:pt idx="70">
                  <c:v>2.905128714320334E-4</c:v>
                </c:pt>
                <c:pt idx="71">
                  <c:v>2.8408781973073547E-4</c:v>
                </c:pt>
                <c:pt idx="72">
                  <c:v>2.7791020816285102E-4</c:v>
                </c:pt>
                <c:pt idx="73">
                  <c:v>2.7196738549657544E-4</c:v>
                </c:pt>
                <c:pt idx="74">
                  <c:v>2.6624744650927812E-4</c:v>
                </c:pt>
                <c:pt idx="75">
                  <c:v>2.6073918807193678E-4</c:v>
                </c:pt>
                <c:pt idx="76">
                  <c:v>2.5543206693694822E-4</c:v>
                </c:pt>
                <c:pt idx="77">
                  <c:v>2.5031615940497841E-4</c:v>
                </c:pt>
                <c:pt idx="78">
                  <c:v>2.4538212297249795E-4</c:v>
                </c:pt>
                <c:pt idx="79">
                  <c:v>2.4062116000523652E-4</c:v>
                </c:pt>
                <c:pt idx="80">
                  <c:v>2.3602498344027481E-4</c:v>
                </c:pt>
                <c:pt idx="81">
                  <c:v>2.3158578448797203E-4</c:v>
                </c:pt>
                <c:pt idx="82">
                  <c:v>2.2729620228216689E-4</c:v>
                </c:pt>
                <c:pt idx="83">
                  <c:v>2.2314929541072151E-4</c:v>
                </c:pt>
                <c:pt idx="84">
                  <c:v>2.1913851524793101E-4</c:v>
                </c:pt>
                <c:pt idx="85">
                  <c:v>2.1525768100345483E-4</c:v>
                </c:pt>
                <c:pt idx="86">
                  <c:v>2.1150095639848275E-4</c:v>
                </c:pt>
                <c:pt idx="87">
                  <c:v>2.078628278786706E-4</c:v>
                </c:pt>
                <c:pt idx="88">
                  <c:v>2.043380842743026E-4</c:v>
                </c:pt>
                <c:pt idx="89">
                  <c:v>2.0092179781885862E-4</c:v>
                </c:pt>
                <c:pt idx="90">
                  <c:v>1.976093064406137E-4</c:v>
                </c:pt>
                <c:pt idx="91">
                  <c:v>1.9439619724489004E-4</c:v>
                </c:pt>
                <c:pt idx="92">
                  <c:v>1.9127829110831412E-4</c:v>
                </c:pt>
                <c:pt idx="93">
                  <c:v>1.8825162831041692E-4</c:v>
                </c:pt>
                <c:pt idx="94">
                  <c:v>1.8531245513198874E-4</c:v>
                </c:pt>
                <c:pt idx="95">
                  <c:v>1.8245721135370937E-4</c:v>
                </c:pt>
                <c:pt idx="96">
                  <c:v>1.7968251859265283E-4</c:v>
                </c:pt>
                <c:pt idx="97">
                  <c:v>1.7698516941821367E-4</c:v>
                </c:pt>
                <c:pt idx="98">
                  <c:v>1.7436211719284501E-4</c:v>
                </c:pt>
                <c:pt idx="99">
                  <c:v>1.7181046658665291E-4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47-4ACD-8BE6-2E5AE60DB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  <c:max val="1.8000000000000004E-3"/>
          <c:min val="8.0000000000000026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Sweep!$A$23:$A$122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Sweep!$M$23:$M$122</c:f>
              <c:numCache>
                <c:formatCode>General</c:formatCode>
                <c:ptCount val="100"/>
                <c:pt idx="0">
                  <c:v>1.4687871603555164E-7</c:v>
                </c:pt>
                <c:pt idx="1">
                  <c:v>2.1465041417396643E-3</c:v>
                </c:pt>
                <c:pt idx="2">
                  <c:v>2.8510387604589668E-2</c:v>
                </c:pt>
                <c:pt idx="3">
                  <c:v>0.13538519917016031</c:v>
                </c:pt>
                <c:pt idx="4">
                  <c:v>0.4142540510546055</c:v>
                </c:pt>
                <c:pt idx="5">
                  <c:v>0.99134074813183304</c:v>
                </c:pt>
                <c:pt idx="6">
                  <c:v>2.0235870797934776</c:v>
                </c:pt>
                <c:pt idx="7">
                  <c:v>3.6857232287111286</c:v>
                </c:pt>
                <c:pt idx="8">
                  <c:v>6.1492400892541657</c:v>
                </c:pt>
                <c:pt idx="9">
                  <c:v>9.5616869270826577</c:v>
                </c:pt>
                <c:pt idx="10">
                  <c:v>14.033596979771687</c:v>
                </c:pt>
                <c:pt idx="11">
                  <c:v>19.634598917709397</c:v>
                </c:pt>
                <c:pt idx="12">
                  <c:v>26.396372775958831</c:v>
                </c:pt>
                <c:pt idx="13">
                  <c:v>34.319211537919749</c:v>
                </c:pt>
                <c:pt idx="14">
                  <c:v>43.379648540640204</c:v>
                </c:pt>
                <c:pt idx="15">
                  <c:v>53.53765199401014</c:v>
                </c:pt>
                <c:pt idx="16">
                  <c:v>64.742721221928036</c:v>
                </c:pt>
                <c:pt idx="17">
                  <c:v>76.938740418524887</c:v>
                </c:pt>
                <c:pt idx="18">
                  <c:v>90.06772055436123</c:v>
                </c:pt>
                <c:pt idx="19">
                  <c:v>104.07268425027064</c:v>
                </c:pt>
                <c:pt idx="20">
                  <c:v>118.90000239621649</c:v>
                </c:pt>
                <c:pt idx="21">
                  <c:v>134.5015393064993</c:v>
                </c:pt>
                <c:pt idx="22">
                  <c:v>150.83708232285645</c:v>
                </c:pt>
                <c:pt idx="23">
                  <c:v>167.87790966044574</c:v>
                </c:pt>
                <c:pt idx="24">
                  <c:v>185.61400593986482</c:v>
                </c:pt>
                <c:pt idx="25">
                  <c:v>383.03246800954616</c:v>
                </c:pt>
                <c:pt idx="26">
                  <c:v>474.31020989157639</c:v>
                </c:pt>
                <c:pt idx="27">
                  <c:v>562.71096551168239</c:v>
                </c:pt>
                <c:pt idx="28">
                  <c:v>654.21015220368292</c:v>
                </c:pt>
                <c:pt idx="29">
                  <c:v>749.47138181313107</c:v>
                </c:pt>
                <c:pt idx="30">
                  <c:v>848.41926528235626</c:v>
                </c:pt>
                <c:pt idx="31">
                  <c:v>950.82412359183672</c:v>
                </c:pt>
                <c:pt idx="32">
                  <c:v>1056.4338870422091</c:v>
                </c:pt>
                <c:pt idx="33">
                  <c:v>1165.0098140464795</c:v>
                </c:pt>
                <c:pt idx="34">
                  <c:v>1276.3356390304994</c:v>
                </c:pt>
                <c:pt idx="35">
                  <c:v>1390.2184138043619</c:v>
                </c:pt>
                <c:pt idx="36">
                  <c:v>1506.4867154220969</c:v>
                </c:pt>
                <c:pt idx="37">
                  <c:v>1624.9881617958251</c:v>
                </c:pt>
                <c:pt idx="38">
                  <c:v>1745.5869244607768</c:v>
                </c:pt>
                <c:pt idx="39">
                  <c:v>1868.1614724517651</c:v>
                </c:pt>
                <c:pt idx="40">
                  <c:v>1992.6026078564935</c:v>
                </c:pt>
                <c:pt idx="41">
                  <c:v>2118.8117873694987</c:v>
                </c:pt>
                <c:pt idx="42">
                  <c:v>2246.6997006298775</c:v>
                </c:pt>
                <c:pt idx="43">
                  <c:v>2376.1850700564914</c:v>
                </c:pt>
                <c:pt idx="44">
                  <c:v>2507.1936378360365</c:v>
                </c:pt>
                <c:pt idx="45">
                  <c:v>2639.6573093705119</c:v>
                </c:pt>
                <c:pt idx="46">
                  <c:v>2773.5134267867506</c:v>
                </c:pt>
                <c:pt idx="47">
                  <c:v>2908.7041503525415</c:v>
                </c:pt>
                <c:pt idx="48">
                  <c:v>3045.1759294274102</c:v>
                </c:pt>
                <c:pt idx="49">
                  <c:v>3182.8790478384531</c:v>
                </c:pt>
                <c:pt idx="50">
                  <c:v>3321.7672313027415</c:v>
                </c:pt>
                <c:pt idx="51">
                  <c:v>3461.797306772562</c:v>
                </c:pt>
                <c:pt idx="52">
                  <c:v>3602.9289053826151</c:v>
                </c:pt>
                <c:pt idx="53">
                  <c:v>3745.1242023658137</c:v>
                </c:pt>
                <c:pt idx="54">
                  <c:v>3888.3476880538756</c:v>
                </c:pt>
                <c:pt idx="55">
                  <c:v>4032.5659656952193</c:v>
                </c:pt>
                <c:pt idx="56">
                  <c:v>4177.7475720633156</c:v>
                </c:pt>
                <c:pt idx="57">
                  <c:v>4323.8628177577266</c:v>
                </c:pt>
                <c:pt idx="58">
                  <c:v>4470.8836445335919</c:v>
                </c:pt>
                <c:pt idx="59">
                  <c:v>4618.7834974297084</c:v>
                </c:pt>
                <c:pt idx="60">
                  <c:v>4767.5372098117314</c:v>
                </c:pt>
                <c:pt idx="61">
                  <c:v>4917.1208997317817</c:v>
                </c:pt>
                <c:pt idx="62">
                  <c:v>5067.5118762409193</c:v>
                </c:pt>
                <c:pt idx="63">
                  <c:v>5218.6885544861061</c:v>
                </c:pt>
                <c:pt idx="64">
                  <c:v>5370.6303785861755</c:v>
                </c:pt>
                <c:pt idx="65">
                  <c:v>5523.3177514178287</c:v>
                </c:pt>
                <c:pt idx="66">
                  <c:v>5676.7319705576583</c:v>
                </c:pt>
                <c:pt idx="67">
                  <c:v>5830.8551697236462</c:v>
                </c:pt>
                <c:pt idx="68">
                  <c:v>5985.670265142312</c:v>
                </c:pt>
                <c:pt idx="69">
                  <c:v>6141.1609063384594</c:v>
                </c:pt>
                <c:pt idx="70">
                  <c:v>6297.3114308274453</c:v>
                </c:pt>
                <c:pt idx="71">
                  <c:v>6454.1068227063734</c:v>
                </c:pt>
                <c:pt idx="72">
                  <c:v>6611.5326739619313</c:v>
                </c:pt>
                <c:pt idx="73">
                  <c:v>6769.5751491750507</c:v>
                </c:pt>
                <c:pt idx="74">
                  <c:v>6928.2209526854376</c:v>
                </c:pt>
                <c:pt idx="75">
                  <c:v>7087.4572982146146</c:v>
                </c:pt>
                <c:pt idx="76">
                  <c:v>7247.2718806936646</c:v>
                </c:pt>
                <c:pt idx="77">
                  <c:v>7407.6528501015164</c:v>
                </c:pt>
                <c:pt idx="78">
                  <c:v>7568.5887871396935</c:v>
                </c:pt>
                <c:pt idx="79">
                  <c:v>7730.0686805869636</c:v>
                </c:pt>
                <c:pt idx="80">
                  <c:v>7892.0819061930915</c:v>
                </c:pt>
                <c:pt idx="81">
                  <c:v>8054.618206983766</c:v>
                </c:pt>
                <c:pt idx="82">
                  <c:v>8217.6676748658138</c:v>
                </c:pt>
                <c:pt idx="83">
                  <c:v>8381.2207334214745</c:v>
                </c:pt>
                <c:pt idx="84">
                  <c:v>8545.2681218032176</c:v>
                </c:pt>
                <c:pt idx="85">
                  <c:v>8709.8008796469385</c:v>
                </c:pt>
                <c:pt idx="86">
                  <c:v>8874.8103329167225</c:v>
                </c:pt>
                <c:pt idx="87">
                  <c:v>9040.2880806077974</c:v>
                </c:pt>
                <c:pt idx="88">
                  <c:v>9206.2259822672531</c:v>
                </c:pt>
                <c:pt idx="89">
                  <c:v>9372.6161462450073</c:v>
                </c:pt>
                <c:pt idx="90">
                  <c:v>9539.450918636081</c:v>
                </c:pt>
                <c:pt idx="91">
                  <c:v>9706.7228728619939</c:v>
                </c:pt>
                <c:pt idx="92">
                  <c:v>9874.4247998462743</c:v>
                </c:pt>
                <c:pt idx="93">
                  <c:v>10042.549698742634</c:v>
                </c:pt>
                <c:pt idx="94">
                  <c:v>10211.090768177923</c:v>
                </c:pt>
                <c:pt idx="95">
                  <c:v>10380.041397974928</c:v>
                </c:pt>
                <c:pt idx="96">
                  <c:v>10549.395161322844</c:v>
                </c:pt>
                <c:pt idx="97">
                  <c:v>10719.145807365836</c:v>
                </c:pt>
                <c:pt idx="98">
                  <c:v>10889.287254182387</c:v>
                </c:pt>
                <c:pt idx="99">
                  <c:v>11059.813582130246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49-4FD6-8ECB-46049FA37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4242496"/>
        <c:axId val="1274254496"/>
      </c:scatterChart>
      <c:valAx>
        <c:axId val="1274242496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254496"/>
        <c:crosses val="autoZero"/>
        <c:crossBetween val="midCat"/>
      </c:valAx>
      <c:valAx>
        <c:axId val="1274254496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242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6803</xdr:colOff>
      <xdr:row>20</xdr:row>
      <xdr:rowOff>179613</xdr:rowOff>
    </xdr:from>
    <xdr:to>
      <xdr:col>32</xdr:col>
      <xdr:colOff>40822</xdr:colOff>
      <xdr:row>53</xdr:row>
      <xdr:rowOff>122464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3E4DFB-3050-E844-E2F2-BB445CC9B3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20410</xdr:colOff>
      <xdr:row>54</xdr:row>
      <xdr:rowOff>2720</xdr:rowOff>
    </xdr:from>
    <xdr:to>
      <xdr:col>32</xdr:col>
      <xdr:colOff>54429</xdr:colOff>
      <xdr:row>84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5E99EF-53D4-E92B-39A8-32A1FB1D1D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39729</xdr:colOff>
      <xdr:row>86</xdr:row>
      <xdr:rowOff>47472</xdr:rowOff>
    </xdr:from>
    <xdr:to>
      <xdr:col>32</xdr:col>
      <xdr:colOff>23429</xdr:colOff>
      <xdr:row>120</xdr:row>
      <xdr:rowOff>189481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27DD5C-0755-929B-D8E9-3B10FA6D0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1</xdr:colOff>
      <xdr:row>20</xdr:row>
      <xdr:rowOff>187037</xdr:rowOff>
    </xdr:from>
    <xdr:to>
      <xdr:col>47</xdr:col>
      <xdr:colOff>0</xdr:colOff>
      <xdr:row>53</xdr:row>
      <xdr:rowOff>51955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68904C-DDE7-72AD-86FF-7AB83AB65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23813</xdr:colOff>
      <xdr:row>54</xdr:row>
      <xdr:rowOff>23812</xdr:rowOff>
    </xdr:from>
    <xdr:to>
      <xdr:col>47</xdr:col>
      <xdr:colOff>1</xdr:colOff>
      <xdr:row>85</xdr:row>
      <xdr:rowOff>71437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0341521-554E-4B11-A91F-03C55FE64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591909</xdr:colOff>
      <xdr:row>86</xdr:row>
      <xdr:rowOff>2721</xdr:rowOff>
    </xdr:from>
    <xdr:to>
      <xdr:col>47</xdr:col>
      <xdr:colOff>108856</xdr:colOff>
      <xdr:row>124</xdr:row>
      <xdr:rowOff>149678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458654F-B1A5-A1F7-7BF3-D3888679AF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2"/>
  <sheetViews>
    <sheetView tabSelected="1" topLeftCell="A4" zoomScale="220" zoomScaleNormal="220" workbookViewId="0">
      <selection activeCell="G13" sqref="G13"/>
    </sheetView>
  </sheetViews>
  <sheetFormatPr defaultRowHeight="15" x14ac:dyDescent="0.25"/>
  <cols>
    <col min="1" max="1" width="23.42578125" bestFit="1" customWidth="1"/>
  </cols>
  <sheetData>
    <row r="1" spans="1:4" x14ac:dyDescent="0.25">
      <c r="A1" s="1" t="s">
        <v>9</v>
      </c>
      <c r="B1" s="1" t="s">
        <v>1</v>
      </c>
    </row>
    <row r="2" spans="1:4" x14ac:dyDescent="0.25">
      <c r="A2" s="2" t="s">
        <v>10</v>
      </c>
      <c r="B2" s="3">
        <v>13.38</v>
      </c>
      <c r="D2" s="3">
        <v>13.38</v>
      </c>
    </row>
    <row r="3" spans="1:4" x14ac:dyDescent="0.25">
      <c r="A3" s="2" t="s">
        <v>11</v>
      </c>
      <c r="B3" s="3">
        <v>1000</v>
      </c>
      <c r="D3" s="3">
        <v>997.79</v>
      </c>
    </row>
    <row r="4" spans="1:4" x14ac:dyDescent="0.25">
      <c r="A4" s="2" t="s">
        <v>12</v>
      </c>
      <c r="B4" s="3">
        <v>601</v>
      </c>
      <c r="D4" s="3">
        <v>469.13</v>
      </c>
    </row>
    <row r="5" spans="1:4" x14ac:dyDescent="0.25">
      <c r="A5" s="2" t="s">
        <v>13</v>
      </c>
      <c r="B5" s="3">
        <v>11000</v>
      </c>
      <c r="D5" s="3">
        <v>114.76</v>
      </c>
    </row>
    <row r="6" spans="1:4" x14ac:dyDescent="0.25">
      <c r="A6" s="2" t="s">
        <v>14</v>
      </c>
      <c r="B6" s="2">
        <v>0</v>
      </c>
      <c r="D6" s="2">
        <v>0</v>
      </c>
    </row>
    <row r="7" spans="1:4" x14ac:dyDescent="0.25">
      <c r="A7" s="2" t="s">
        <v>15</v>
      </c>
      <c r="B7" s="2">
        <v>0</v>
      </c>
      <c r="D7" s="2">
        <v>0</v>
      </c>
    </row>
    <row r="8" spans="1:4" x14ac:dyDescent="0.25">
      <c r="A8" s="2" t="s">
        <v>16</v>
      </c>
      <c r="B8" s="2">
        <v>0</v>
      </c>
      <c r="D8" s="2">
        <v>0</v>
      </c>
    </row>
    <row r="9" spans="1:4" x14ac:dyDescent="0.25">
      <c r="A9" s="2" t="s">
        <v>17</v>
      </c>
      <c r="B9" s="2">
        <v>0</v>
      </c>
      <c r="D9" s="2">
        <v>0</v>
      </c>
    </row>
    <row r="10" spans="1:4" x14ac:dyDescent="0.25">
      <c r="A10" s="2" t="s">
        <v>18</v>
      </c>
      <c r="B10" s="2">
        <v>0</v>
      </c>
      <c r="D10" s="2">
        <v>0</v>
      </c>
    </row>
    <row r="11" spans="1:4" x14ac:dyDescent="0.25">
      <c r="A11" s="2" t="s">
        <v>19</v>
      </c>
      <c r="B11" s="3">
        <v>69.209999999999994</v>
      </c>
      <c r="D11" s="3">
        <v>61.27</v>
      </c>
    </row>
    <row r="12" spans="1:4" x14ac:dyDescent="0.25">
      <c r="A12" s="2" t="s">
        <v>20</v>
      </c>
      <c r="B12" s="2">
        <v>0</v>
      </c>
      <c r="D12" s="2">
        <v>0</v>
      </c>
    </row>
    <row r="13" spans="1:4" x14ac:dyDescent="0.25">
      <c r="A13" s="2" t="s">
        <v>21</v>
      </c>
      <c r="B13" s="2">
        <v>0</v>
      </c>
      <c r="D13" s="2">
        <v>0</v>
      </c>
    </row>
    <row r="14" spans="1:4" x14ac:dyDescent="0.25">
      <c r="A14" s="2" t="s">
        <v>22</v>
      </c>
      <c r="B14" s="2">
        <v>0</v>
      </c>
      <c r="D14" s="2">
        <v>0</v>
      </c>
    </row>
    <row r="15" spans="1:4" x14ac:dyDescent="0.25">
      <c r="A15" s="2" t="s">
        <v>23</v>
      </c>
      <c r="B15" s="2">
        <v>0</v>
      </c>
      <c r="D15" s="2">
        <v>0</v>
      </c>
    </row>
    <row r="16" spans="1:4" x14ac:dyDescent="0.25">
      <c r="A16" s="2" t="s">
        <v>24</v>
      </c>
      <c r="B16" s="2">
        <v>0</v>
      </c>
      <c r="D16" s="2">
        <v>0</v>
      </c>
    </row>
    <row r="17" spans="1:4" x14ac:dyDescent="0.25">
      <c r="A17" s="2" t="s">
        <v>25</v>
      </c>
      <c r="B17" s="3">
        <v>1</v>
      </c>
      <c r="D17" s="3">
        <v>2.69</v>
      </c>
    </row>
    <row r="18" spans="1:4" x14ac:dyDescent="0.25">
      <c r="A18" s="2" t="s">
        <v>26</v>
      </c>
      <c r="B18" s="2">
        <v>0</v>
      </c>
      <c r="D18" s="2">
        <v>0</v>
      </c>
    </row>
    <row r="19" spans="1:4" x14ac:dyDescent="0.25">
      <c r="A19" s="2" t="s">
        <v>27</v>
      </c>
      <c r="B19" s="2">
        <v>0</v>
      </c>
      <c r="D19" s="2">
        <v>0</v>
      </c>
    </row>
    <row r="20" spans="1:4" x14ac:dyDescent="0.25">
      <c r="A20" s="2" t="s">
        <v>28</v>
      </c>
      <c r="B20" s="2">
        <v>0</v>
      </c>
      <c r="D20" s="2">
        <v>0</v>
      </c>
    </row>
    <row r="21" spans="1:4" x14ac:dyDescent="0.25">
      <c r="A21" s="2" t="s">
        <v>29</v>
      </c>
      <c r="B21" s="2">
        <v>0</v>
      </c>
      <c r="D21" s="2">
        <v>0</v>
      </c>
    </row>
    <row r="22" spans="1:4" x14ac:dyDescent="0.25">
      <c r="A22" s="2" t="s">
        <v>30</v>
      </c>
      <c r="B22" s="2">
        <v>0</v>
      </c>
      <c r="D22" s="2">
        <v>0</v>
      </c>
    </row>
    <row r="23" spans="1:4" x14ac:dyDescent="0.25">
      <c r="A23" s="2" t="s">
        <v>31</v>
      </c>
      <c r="B23" s="3">
        <v>2</v>
      </c>
      <c r="D23" s="3">
        <v>0.2</v>
      </c>
    </row>
    <row r="24" spans="1:4" x14ac:dyDescent="0.25">
      <c r="A24" s="2" t="s">
        <v>32</v>
      </c>
      <c r="B24" s="2">
        <v>0</v>
      </c>
      <c r="D24" s="2">
        <v>0</v>
      </c>
    </row>
    <row r="25" spans="1:4" x14ac:dyDescent="0.25">
      <c r="A25" s="2" t="s">
        <v>33</v>
      </c>
      <c r="B25" s="2">
        <v>0</v>
      </c>
      <c r="D25" s="2">
        <v>0</v>
      </c>
    </row>
    <row r="26" spans="1:4" x14ac:dyDescent="0.25">
      <c r="A26" s="2" t="s">
        <v>34</v>
      </c>
      <c r="B26" s="2">
        <v>0</v>
      </c>
      <c r="D26" s="2">
        <v>0</v>
      </c>
    </row>
    <row r="27" spans="1:4" x14ac:dyDescent="0.25">
      <c r="A27" s="2" t="s">
        <v>35</v>
      </c>
      <c r="B27" s="2">
        <v>0</v>
      </c>
      <c r="D27" s="2">
        <v>0</v>
      </c>
    </row>
    <row r="28" spans="1:4" x14ac:dyDescent="0.25">
      <c r="A28" s="2" t="s">
        <v>36</v>
      </c>
      <c r="B28" s="2">
        <v>0</v>
      </c>
      <c r="D28" s="2">
        <v>0</v>
      </c>
    </row>
    <row r="29" spans="1:4" x14ac:dyDescent="0.25">
      <c r="A29" s="2" t="s">
        <v>37</v>
      </c>
      <c r="B29" s="3">
        <v>0</v>
      </c>
      <c r="D29" s="3">
        <v>0</v>
      </c>
    </row>
    <row r="30" spans="1:4" x14ac:dyDescent="0.25">
      <c r="A30" s="2" t="s">
        <v>38</v>
      </c>
      <c r="B30" s="3">
        <v>2</v>
      </c>
      <c r="D30" s="3">
        <v>0</v>
      </c>
    </row>
    <row r="31" spans="1:4" x14ac:dyDescent="0.25">
      <c r="A31" s="2" t="s">
        <v>39</v>
      </c>
      <c r="B31" s="3">
        <v>1</v>
      </c>
      <c r="D31" s="3">
        <v>0</v>
      </c>
    </row>
    <row r="32" spans="1:4" x14ac:dyDescent="0.25">
      <c r="A32" s="2" t="s">
        <v>40</v>
      </c>
      <c r="B32" s="3">
        <v>69.25</v>
      </c>
      <c r="D32" s="3">
        <v>69.25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"/>
  <sheetViews>
    <sheetView zoomScale="295" zoomScaleNormal="295" workbookViewId="0">
      <selection activeCell="B5" sqref="B5"/>
    </sheetView>
  </sheetViews>
  <sheetFormatPr defaultRowHeight="15" x14ac:dyDescent="0.25"/>
  <cols>
    <col min="1" max="1" width="17.28515625" bestFit="1" customWidth="1"/>
  </cols>
  <sheetData>
    <row r="1" spans="1:4" x14ac:dyDescent="0.25">
      <c r="A1" s="1" t="s">
        <v>0</v>
      </c>
      <c r="B1" s="1" t="s">
        <v>1</v>
      </c>
      <c r="D1" t="s">
        <v>2</v>
      </c>
    </row>
    <row r="2" spans="1:4" x14ac:dyDescent="0.25">
      <c r="A2" t="s">
        <v>3</v>
      </c>
      <c r="B2">
        <v>10</v>
      </c>
      <c r="D2" t="s">
        <v>4</v>
      </c>
    </row>
    <row r="3" spans="1:4" x14ac:dyDescent="0.25">
      <c r="A3" t="s">
        <v>5</v>
      </c>
      <c r="B3">
        <v>0.1</v>
      </c>
      <c r="D3" t="s">
        <v>6</v>
      </c>
    </row>
    <row r="4" spans="1:4" x14ac:dyDescent="0.25">
      <c r="D4" t="s">
        <v>7</v>
      </c>
    </row>
    <row r="5" spans="1:4" x14ac:dyDescent="0.25">
      <c r="D5" t="s">
        <v>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6"/>
  <sheetViews>
    <sheetView zoomScale="145" zoomScaleNormal="145" workbookViewId="0">
      <selection activeCell="A21" sqref="A21"/>
    </sheetView>
  </sheetViews>
  <sheetFormatPr defaultRowHeight="15" x14ac:dyDescent="0.25"/>
  <cols>
    <col min="1" max="1" width="71.7109375" bestFit="1" customWidth="1"/>
  </cols>
  <sheetData>
    <row r="1" spans="1:2" x14ac:dyDescent="0.25">
      <c r="A1" s="1" t="s">
        <v>41</v>
      </c>
      <c r="B1" s="1" t="s">
        <v>1</v>
      </c>
    </row>
    <row r="2" spans="1:2" x14ac:dyDescent="0.25">
      <c r="A2" t="s">
        <v>42</v>
      </c>
      <c r="B2">
        <f>INDEX(ComputeThermoProps(T_in,p_in,ParametersRange),1,1)</f>
        <v>13.392223658745635</v>
      </c>
    </row>
    <row r="3" spans="1:2" x14ac:dyDescent="0.25">
      <c r="A3" t="s">
        <v>43</v>
      </c>
      <c r="B3">
        <f>INDEX(ComputeThermoProps(T_in,p_in,ParametersRange),1,2)</f>
        <v>1.0066044084306208E-3</v>
      </c>
    </row>
    <row r="4" spans="1:2" x14ac:dyDescent="0.25">
      <c r="A4" t="s">
        <v>44</v>
      </c>
      <c r="B4">
        <f>INDEX(ComputeThermoProps(T_in,p_in,ParametersRange),1,3)</f>
        <v>1.0029002384673814E-3</v>
      </c>
    </row>
    <row r="5" spans="1:2" x14ac:dyDescent="0.25">
      <c r="A5" t="s">
        <v>45</v>
      </c>
      <c r="B5">
        <f>INDEX(ComputeThermoProps(T_in,p_in,ParametersRange),1,4)</f>
        <v>3.6867187749720906E-4</v>
      </c>
    </row>
    <row r="6" spans="1:2" x14ac:dyDescent="0.25">
      <c r="A6" t="s">
        <v>46</v>
      </c>
      <c r="B6">
        <f>INDEX(ComputeThermoProps(T_in,p_in,ParametersRange),1,5)</f>
        <v>4.9140753246987972</v>
      </c>
    </row>
    <row r="7" spans="1:2" x14ac:dyDescent="0.25">
      <c r="A7" t="s">
        <v>47</v>
      </c>
      <c r="B7">
        <f>INDEX(ComputeThermoProps(T_in,p_in,ParametersRange),1,6)</f>
        <v>4.8959921829378494</v>
      </c>
    </row>
    <row r="8" spans="1:2" x14ac:dyDescent="0.25">
      <c r="A8" t="s">
        <v>48</v>
      </c>
      <c r="B8">
        <f>INDEX(ComputeThermoProps(T_in,p_in,ParametersRange),1,7)</f>
        <v>1.0018279883963472</v>
      </c>
    </row>
    <row r="9" spans="1:2" x14ac:dyDescent="0.25">
      <c r="A9" t="s">
        <v>49</v>
      </c>
      <c r="B9">
        <f>INDEX(ComputeThermoProps(T_in,p_in,ParametersRange),1,8)</f>
        <v>13.531558736888206</v>
      </c>
    </row>
    <row r="10" spans="1:2" x14ac:dyDescent="0.25">
      <c r="A10" t="s">
        <v>50</v>
      </c>
      <c r="B10">
        <f>INDEX(ComputeThermoProps(T_in,p_in,ParametersRange),1,9)</f>
        <v>1.8282480754813391</v>
      </c>
    </row>
    <row r="11" spans="1:2" x14ac:dyDescent="0.25">
      <c r="A11" t="s">
        <v>51</v>
      </c>
      <c r="B11">
        <f>INDEX(ComputeThermoProps(T_in,p_in,ParametersRange),1,10)</f>
        <v>-4.7509220179251841</v>
      </c>
    </row>
    <row r="12" spans="1:2" x14ac:dyDescent="0.25">
      <c r="A12" t="s">
        <v>52</v>
      </c>
      <c r="B12">
        <f>INDEX(ComputeThermoProps(T_in,p_in,ParametersRange),1,11)</f>
        <v>14.87078110276277</v>
      </c>
    </row>
    <row r="13" spans="1:2" x14ac:dyDescent="0.25">
      <c r="A13" t="s">
        <v>53</v>
      </c>
      <c r="B13">
        <f>INDEX(ComputeThermoProps(T_in,p_in,ParametersRange),1,12)</f>
        <v>-3.4116996520506206</v>
      </c>
    </row>
    <row r="15" spans="1:2" x14ac:dyDescent="0.25">
      <c r="A15" t="s">
        <v>54</v>
      </c>
    </row>
    <row r="16" spans="1:2" x14ac:dyDescent="0.25">
      <c r="B16">
        <f>ComputeThermoProps(T_in,p_in,ParametersRange)</f>
        <v>13.392223658745635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6050-6CB6-442C-AFD7-F6542488DA3F}">
  <dimension ref="A2:P123"/>
  <sheetViews>
    <sheetView topLeftCell="H28" zoomScale="70" zoomScaleNormal="70" workbookViewId="0">
      <selection activeCell="AY36" sqref="AY36"/>
    </sheetView>
  </sheetViews>
  <sheetFormatPr defaultRowHeight="15" x14ac:dyDescent="0.25"/>
  <cols>
    <col min="1" max="1" width="22.140625" bestFit="1" customWidth="1"/>
    <col min="2" max="2" width="16.140625" bestFit="1" customWidth="1"/>
    <col min="4" max="4" width="10.42578125" bestFit="1" customWidth="1"/>
    <col min="13" max="13" width="14.85546875" bestFit="1" customWidth="1"/>
  </cols>
  <sheetData>
    <row r="2" spans="1:2" x14ac:dyDescent="0.25">
      <c r="A2" s="2" t="s">
        <v>55</v>
      </c>
      <c r="B2" s="3">
        <v>0.1</v>
      </c>
    </row>
    <row r="3" spans="1:2" x14ac:dyDescent="0.25">
      <c r="A3" s="2" t="s">
        <v>56</v>
      </c>
      <c r="B3" s="3">
        <v>100</v>
      </c>
    </row>
    <row r="4" spans="1:2" x14ac:dyDescent="0.25">
      <c r="A4" s="2" t="s">
        <v>57</v>
      </c>
      <c r="B4" s="3">
        <v>1</v>
      </c>
    </row>
    <row r="5" spans="1:2" x14ac:dyDescent="0.25">
      <c r="A5" s="2" t="s">
        <v>70</v>
      </c>
      <c r="B5" s="3">
        <v>24.556100000000001</v>
      </c>
    </row>
    <row r="6" spans="1:2" x14ac:dyDescent="0.25">
      <c r="A6" s="2" t="s">
        <v>71</v>
      </c>
      <c r="B6" s="3">
        <v>4.3332000000000002E-2</v>
      </c>
    </row>
    <row r="7" spans="1:2" x14ac:dyDescent="0.25">
      <c r="A7" s="2" t="s">
        <v>81</v>
      </c>
      <c r="B7" s="3">
        <v>69.25</v>
      </c>
    </row>
    <row r="8" spans="1:2" x14ac:dyDescent="0.25">
      <c r="A8" s="2" t="s">
        <v>82</v>
      </c>
      <c r="B8" s="3">
        <v>1.6950000000000001</v>
      </c>
    </row>
    <row r="9" spans="1:2" x14ac:dyDescent="0.25">
      <c r="A9" s="2" t="s">
        <v>83</v>
      </c>
      <c r="B9" s="4">
        <f>Parameters!B32-B7</f>
        <v>0</v>
      </c>
    </row>
    <row r="10" spans="1:2" x14ac:dyDescent="0.25">
      <c r="A10" s="2" t="s">
        <v>84</v>
      </c>
      <c r="B10" s="4">
        <f>INDEX( ComputeThermoProps($B5, $B6, ParametersRange), 1, 12 )</f>
        <v>-101.28866011203051</v>
      </c>
    </row>
    <row r="11" spans="1:2" x14ac:dyDescent="0.25">
      <c r="A11" s="2" t="s">
        <v>85</v>
      </c>
      <c r="B11" s="4">
        <f>(B10+B5*Parameters!B32)-B8</f>
        <v>1597.5262648879695</v>
      </c>
    </row>
    <row r="13" spans="1:2" x14ac:dyDescent="0.25">
      <c r="A13" s="2" t="s">
        <v>72</v>
      </c>
      <c r="B13" s="3">
        <v>-14.883845098313699</v>
      </c>
    </row>
    <row r="14" spans="1:2" x14ac:dyDescent="0.25">
      <c r="A14" s="2" t="s">
        <v>73</v>
      </c>
      <c r="B14" s="3">
        <v>5.8217591179742998</v>
      </c>
    </row>
    <row r="15" spans="1:2" x14ac:dyDescent="0.25">
      <c r="A15" s="2" t="s">
        <v>74</v>
      </c>
      <c r="B15" s="3">
        <v>-0.39834285015300502</v>
      </c>
    </row>
    <row r="17" spans="1:16" x14ac:dyDescent="0.25">
      <c r="A17" s="2" t="s">
        <v>75</v>
      </c>
      <c r="B17" s="3">
        <v>4151.2700000000004</v>
      </c>
    </row>
    <row r="18" spans="1:16" x14ac:dyDescent="0.25">
      <c r="A18" s="2" t="s">
        <v>76</v>
      </c>
      <c r="B18" s="3">
        <v>1.355</v>
      </c>
    </row>
    <row r="19" spans="1:16" x14ac:dyDescent="0.25">
      <c r="A19" s="2" t="s">
        <v>77</v>
      </c>
      <c r="B19" s="3">
        <v>558.6</v>
      </c>
    </row>
    <row r="20" spans="1:16" x14ac:dyDescent="0.25">
      <c r="A20" s="2" t="s">
        <v>78</v>
      </c>
      <c r="B20" s="3">
        <v>0.16850999999999999</v>
      </c>
    </row>
    <row r="22" spans="1:16" x14ac:dyDescent="0.25">
      <c r="A22" s="2" t="s">
        <v>80</v>
      </c>
      <c r="B22" s="2" t="s">
        <v>79</v>
      </c>
      <c r="C22" s="2" t="s">
        <v>58</v>
      </c>
      <c r="D22" s="2" t="s">
        <v>59</v>
      </c>
      <c r="E22" s="2" t="s">
        <v>60</v>
      </c>
      <c r="F22" s="2" t="s">
        <v>61</v>
      </c>
      <c r="G22" s="2" t="s">
        <v>62</v>
      </c>
      <c r="H22" s="2" t="s">
        <v>63</v>
      </c>
      <c r="I22" s="2" t="s">
        <v>64</v>
      </c>
      <c r="J22" s="2" t="s">
        <v>65</v>
      </c>
      <c r="K22" s="2" t="s">
        <v>66</v>
      </c>
      <c r="L22" s="2" t="s">
        <v>67</v>
      </c>
      <c r="M22" s="2" t="s">
        <v>68</v>
      </c>
      <c r="N22" s="2" t="s">
        <v>69</v>
      </c>
      <c r="P22" t="s">
        <v>86</v>
      </c>
    </row>
    <row r="23" spans="1:16" x14ac:dyDescent="0.25">
      <c r="A23" s="2" cm="1">
        <f t="array" ref="A23:A122">_xlfn.SEQUENCE( 1+INT( (B3-B2)/B4 ), 1, B2, B4 )</f>
        <v>0.1</v>
      </c>
      <c r="B23" s="2">
        <f>IF(
  A23 &lt;= $B$5,
  $B$6 * EXP( ($B$5/A23) * ( $B$13*(1 - A23/$B$5) + $B$14*(1 - A23/$B$5)^1.5 + $B$15*(1 - A23/$B$5)^5 ) ),
  $B$6 * ( 1 + $B$17 * MAX(A23/$B$5 - 1, 0)^$B$18 + $B$19 * MAX(A23/$B$5 - 1, 0)^$B$20 )
)</f>
        <v>0</v>
      </c>
      <c r="C23" s="2" cm="1">
        <f t="array" ref="C23">INDEX( ComputeThermoProps($A23, $B23, ParametersRange), 1, COLUMN()-2 )</f>
        <v>13.380000000146879</v>
      </c>
      <c r="D23" s="2" cm="1">
        <f t="array" ref="D23">INDEX( ComputeThermoProps($A23, $B23, ParametersRange), 1, COLUMN()-2 )</f>
        <v>1.0000000000789941E-3</v>
      </c>
      <c r="E23" s="2" cm="1">
        <f t="array" ref="E23">INDEX( ComputeThermoProps($A23, $B23, ParametersRange), 1, COLUMN()-2 )</f>
        <v>1.0000000000351065E-3</v>
      </c>
      <c r="F23" s="2" cm="1">
        <f t="array" ref="F23">INDEX( ComputeThermoProps($A23, $B23, ParametersRange), 1, COLUMN()-2 )</f>
        <v>4.3887759283717362E-10</v>
      </c>
      <c r="G23" s="2" cm="1">
        <f t="array" ref="G23">INDEX( ComputeThermoProps($A23, $B23, ParametersRange), 1, COLUMN()-2 )</f>
        <v>5.8721821918908921E-6</v>
      </c>
      <c r="H23" s="2" cm="1">
        <f t="array" ref="H23">INDEX( ComputeThermoProps($A23, $B23, ParametersRange), 1, COLUMN()-2 )</f>
        <v>5.8721821916331755E-6</v>
      </c>
      <c r="I23" s="2" cm="1">
        <f t="array" ref="I23">INDEX( ComputeThermoProps($A23, $B23, ParametersRange), 1, COLUMN()-2 )</f>
        <v>1.0000000000219342</v>
      </c>
      <c r="J23" s="2" cm="1">
        <f t="array" ref="J23">INDEX( ComputeThermoProps($A23, $B23, ParametersRange), 1, COLUMN()-2 )</f>
        <v>1.4687871603555164E-7</v>
      </c>
      <c r="K23" s="2" cm="1">
        <f t="array" ref="K23">INDEX( ComputeThermoProps($A23, $B23, ParametersRange), 1, COLUMN()-2 )</f>
        <v>1.958382880463293E-6</v>
      </c>
      <c r="L23" s="2" cm="1">
        <f t="array" ref="L23">INDEX( ComputeThermoProps($A23, $B23, ParametersRange), 1, COLUMN()-2 )</f>
        <v>-4.8959572010777673E-8</v>
      </c>
      <c r="M23" s="2" cm="1">
        <f t="array" ref="M23">INDEX( ComputeThermoProps($A23, $B23, ParametersRange), 1, COLUMN()-2 )</f>
        <v>1.4687871603555164E-7</v>
      </c>
      <c r="N23" s="2" cm="1">
        <f t="array" ref="N23">INDEX( ComputeThermoProps($A23, $B23, ParametersRange), 1, COLUMN()-2 )</f>
        <v>-4.8959572010777673E-8</v>
      </c>
      <c r="P23">
        <f>M23-$B$11</f>
        <v>-1597.5262647410909</v>
      </c>
    </row>
    <row r="24" spans="1:16" x14ac:dyDescent="0.25">
      <c r="A24" s="2">
        <v>1.1000000000000001</v>
      </c>
      <c r="B24" s="2">
        <f t="shared" ref="B24:B87" si="0">IF(
  A24 &lt;= $B$5,
  $B$6 * EXP( ($B$5/A24) * ( $B$13*(1 - A24/$B$5) + $B$14*(1 - A24/$B$5)^1.5 + $B$15*(1 - A24/$B$5)^5 ) ),
  $B$6 * ( 1 + $B$17 * MAX(A24/$B$5 - 1, 0)^$B$18 + $B$19 * MAX(A24/$B$5 - 1, 0)^$B$20 )
)</f>
        <v>2.6448036454247749E-90</v>
      </c>
      <c r="C24" s="2" cm="1">
        <f t="array" ref="C24">INDEX( ComputeThermoProps($A24, $B24, ParametersRange), 1, COLUMN()-2 )</f>
        <v>13.380002146505038</v>
      </c>
      <c r="D24" s="2" cm="1">
        <f t="array" ref="D24">INDEX( ComputeThermoProps($A24, $B24, ParametersRange), 1, COLUMN()-2 )</f>
        <v>1.0000011553615723E-3</v>
      </c>
      <c r="E24" s="2" cm="1">
        <f t="array" ref="E24">INDEX( ComputeThermoProps($A24, $B24, ParametersRange), 1, COLUMN()-2 )</f>
        <v>1.0000005136844784E-3</v>
      </c>
      <c r="F24" s="2" cm="1">
        <f t="array" ref="F24">INDEX( ComputeThermoProps($A24, $B24, ParametersRange), 1, COLUMN()-2 )</f>
        <v>5.8334232561038179E-7</v>
      </c>
      <c r="G24" s="2" cm="1">
        <f t="array" ref="G24">INDEX( ComputeThermoProps($A24, $B24, ParametersRange), 1, COLUMN()-2 )</f>
        <v>7.8051150551535792E-3</v>
      </c>
      <c r="H24" s="2" cm="1">
        <f t="array" ref="H24">INDEX( ComputeThermoProps($A24, $B24, ParametersRange), 1, COLUMN()-2 )</f>
        <v>7.8051100467958212E-3</v>
      </c>
      <c r="I24" s="2" cm="1">
        <f t="array" ref="I24">INDEX( ComputeThermoProps($A24, $B24, ParametersRange), 1, COLUMN()-2 )</f>
        <v>1.0000003208527752</v>
      </c>
      <c r="J24" s="2" cm="1">
        <f t="array" ref="J24">INDEX( ComputeThermoProps($A24, $B24, ParametersRange), 1, COLUMN()-2 )</f>
        <v>2.1465041417396643E-3</v>
      </c>
      <c r="K24" s="2" cm="1">
        <f t="array" ref="K24">INDEX( ComputeThermoProps($A24, $B24, ParametersRange), 1, COLUMN()-2 )</f>
        <v>2.601822993408125E-3</v>
      </c>
      <c r="L24" s="2" cm="1">
        <f t="array" ref="L24">INDEX( ComputeThermoProps($A24, $B24, ParametersRange), 1, COLUMN()-2 )</f>
        <v>-7.1550115100927345E-4</v>
      </c>
      <c r="M24" s="2" cm="1">
        <f t="array" ref="M24">INDEX( ComputeThermoProps($A24, $B24, ParametersRange), 1, COLUMN()-2 )</f>
        <v>2.1465041417396643E-3</v>
      </c>
      <c r="N24" s="2" cm="1">
        <f t="array" ref="N24">INDEX( ComputeThermoProps($A24, $B24, ParametersRange), 1, COLUMN()-2 )</f>
        <v>-7.1550115100927345E-4</v>
      </c>
      <c r="P24">
        <f t="shared" ref="P24:P87" si="1">M24-$B$11</f>
        <v>-1597.5241183838277</v>
      </c>
    </row>
    <row r="25" spans="1:16" x14ac:dyDescent="0.25">
      <c r="A25" s="2">
        <v>2.1</v>
      </c>
      <c r="B25" s="2">
        <f t="shared" si="0"/>
        <v>1.1915736706224596E-46</v>
      </c>
      <c r="C25" s="2" cm="1">
        <f t="array" ref="C25">INDEX( ComputeThermoProps($A25, $B25, ParametersRange), 1, COLUMN()-2 )</f>
        <v>13.380028510545618</v>
      </c>
      <c r="D25" s="2" cm="1">
        <f t="array" ref="D25">INDEX( ComputeThermoProps($A25, $B25, ParametersRange), 1, COLUMN()-2 )</f>
        <v>1.0000153461064208E-3</v>
      </c>
      <c r="E25" s="2" cm="1">
        <f t="array" ref="E25">INDEX( ComputeThermoProps($A25, $B25, ParametersRange), 1, COLUMN()-2 )</f>
        <v>1.0000068227926087E-3</v>
      </c>
      <c r="F25" s="2" cm="1">
        <f t="array" ref="F25">INDEX( ComputeThermoProps($A25, $B25, ParametersRange), 1, COLUMN()-2 )</f>
        <v>4.0586758746055677E-6</v>
      </c>
      <c r="G25" s="2" cm="1">
        <f t="array" ref="G25">INDEX( ComputeThermoProps($A25, $B25, ParametersRange), 1, COLUMN()-2 )</f>
        <v>5.4304596978403674E-2</v>
      </c>
      <c r="H25" s="2" cm="1">
        <f t="array" ref="H25">INDEX( ComputeThermoProps($A25, $B25, ParametersRange), 1, COLUMN()-2 )</f>
        <v>5.4304134130385096E-2</v>
      </c>
      <c r="I25" s="2" cm="1">
        <f t="array" ref="I25">INDEX( ComputeThermoProps($A25, $B25, ParametersRange), 1, COLUMN()-2 )</f>
        <v>1.0000042616705307</v>
      </c>
      <c r="J25" s="2" cm="1">
        <f t="array" ref="J25">INDEX( ComputeThermoProps($A25, $B25, ParametersRange), 1, COLUMN()-2 )</f>
        <v>2.8510387604589668E-2</v>
      </c>
      <c r="K25" s="2" cm="1">
        <f t="array" ref="K25">INDEX( ComputeThermoProps($A25, $B25, ParametersRange), 1, COLUMN()-2 )</f>
        <v>1.8101814113820149E-2</v>
      </c>
      <c r="L25" s="2" cm="1">
        <f t="array" ref="L25">INDEX( ComputeThermoProps($A25, $B25, ParametersRange), 1, COLUMN()-2 )</f>
        <v>-9.5034220344326452E-3</v>
      </c>
      <c r="M25" s="2" cm="1">
        <f t="array" ref="M25">INDEX( ComputeThermoProps($A25, $B25, ParametersRange), 1, COLUMN()-2 )</f>
        <v>2.8510387604589668E-2</v>
      </c>
      <c r="N25" s="2" cm="1">
        <f t="array" ref="N25">INDEX( ComputeThermoProps($A25, $B25, ParametersRange), 1, COLUMN()-2 )</f>
        <v>-9.5034220344326452E-3</v>
      </c>
      <c r="P25">
        <f t="shared" si="1"/>
        <v>-1597.4977545003649</v>
      </c>
    </row>
    <row r="26" spans="1:16" x14ac:dyDescent="0.25">
      <c r="A26" s="2">
        <v>3.1</v>
      </c>
      <c r="B26" s="2">
        <f t="shared" si="0"/>
        <v>3.6092035634128807E-31</v>
      </c>
      <c r="C26" s="2" cm="1">
        <f t="array" ref="C26">INDEX( ComputeThermoProps($A26, $B26, ParametersRange), 1, COLUMN()-2 )</f>
        <v>13.380135388762218</v>
      </c>
      <c r="D26" s="2" cm="1">
        <f t="array" ref="D26">INDEX( ComputeThermoProps($A26, $B26, ParametersRange), 1, COLUMN()-2 )</f>
        <v>1.0000728756217659E-3</v>
      </c>
      <c r="E26" s="2" cm="1">
        <f t="array" ref="E26">INDEX( ComputeThermoProps($A26, $B26, ParametersRange), 1, COLUMN()-2 )</f>
        <v>1.0000323971743701E-3</v>
      </c>
      <c r="F26" s="2" cm="1">
        <f t="array" ref="F26">INDEX( ComputeThermoProps($A26, $B26, ParametersRange), 1, COLUMN()-2 )</f>
        <v>1.3056876421888329E-5</v>
      </c>
      <c r="G26" s="2" cm="1">
        <f t="array" ref="G26">INDEX( ComputeThermoProps($A26, $B26, ParametersRange), 1, COLUMN()-2 )</f>
        <v>0.17469357921007264</v>
      </c>
      <c r="H26" s="2" cm="1">
        <f t="array" ref="H26">INDEX( ComputeThermoProps($A26, $B26, ParametersRange), 1, COLUMN()-2 )</f>
        <v>0.17468650840050587</v>
      </c>
      <c r="I26" s="2" cm="1">
        <f t="array" ref="I26">INDEX( ComputeThermoProps($A26, $B26, ParametersRange), 1, COLUMN()-2 )</f>
        <v>1.0000202375855092</v>
      </c>
      <c r="J26" s="2" cm="1">
        <f t="array" ref="J26">INDEX( ComputeThermoProps($A26, $B26, ParametersRange), 1, COLUMN()-2 )</f>
        <v>0.13538519917016031</v>
      </c>
      <c r="K26" s="2" cm="1">
        <f t="array" ref="K26">INDEX( ComputeThermoProps($A26, $B26, ParametersRange), 1, COLUMN()-2 )</f>
        <v>5.8229903604120378E-2</v>
      </c>
      <c r="L26" s="2" cm="1">
        <f t="array" ref="L26">INDEX( ComputeThermoProps($A26, $B26, ParametersRange), 1, COLUMN()-2 )</f>
        <v>-4.5127502002612861E-2</v>
      </c>
      <c r="M26" s="2" cm="1">
        <f t="array" ref="M26">INDEX( ComputeThermoProps($A26, $B26, ParametersRange), 1, COLUMN()-2 )</f>
        <v>0.13538519917016031</v>
      </c>
      <c r="N26" s="2" cm="1">
        <f t="array" ref="N26">INDEX( ComputeThermoProps($A26, $B26, ParametersRange), 1, COLUMN()-2 )</f>
        <v>-4.5127502002612861E-2</v>
      </c>
      <c r="P26">
        <f t="shared" si="1"/>
        <v>-1597.3908796887995</v>
      </c>
    </row>
    <row r="27" spans="1:16" x14ac:dyDescent="0.25">
      <c r="A27" s="2">
        <v>4.0999999999999996</v>
      </c>
      <c r="B27" s="2">
        <f t="shared" si="0"/>
        <v>3.0482837930433757E-23</v>
      </c>
      <c r="C27" s="2" cm="1">
        <f t="array" ref="C27">INDEX( ComputeThermoProps($A27, $B27, ParametersRange), 1, COLUMN()-2 )</f>
        <v>13.380414287409266</v>
      </c>
      <c r="D27" s="2" cm="1">
        <f t="array" ref="D27">INDEX( ComputeThermoProps($A27, $B27, ParametersRange), 1, COLUMN()-2 )</f>
        <v>1.0002229883299539E-3</v>
      </c>
      <c r="E27" s="2" cm="1">
        <f t="array" ref="E27">INDEX( ComputeThermoProps($A27, $B27, ParametersRange), 1, COLUMN()-2 )</f>
        <v>1.0000991156856776E-3</v>
      </c>
      <c r="F27" s="2" cm="1">
        <f t="array" ref="F27">INDEX( ComputeThermoProps($A27, $B27, ParametersRange), 1, COLUMN()-2 )</f>
        <v>3.0207975098629669E-5</v>
      </c>
      <c r="G27" s="2" cm="1">
        <f t="array" ref="G27">INDEX( ComputeThermoProps($A27, $B27, ParametersRange), 1, COLUMN()-2 )</f>
        <v>0.40413013678780568</v>
      </c>
      <c r="H27" s="2" cm="1">
        <f t="array" ref="H27">INDEX( ComputeThermoProps($A27, $B27, ParametersRange), 1, COLUMN()-2 )</f>
        <v>0.40408008727958628</v>
      </c>
      <c r="I27" s="2" cm="1">
        <f t="array" ref="I27">INDEX( ComputeThermoProps($A27, $B27, ParametersRange), 1, COLUMN()-2 )</f>
        <v>1.0000619273277955</v>
      </c>
      <c r="J27" s="2" cm="1">
        <f t="array" ref="J27">INDEX( ComputeThermoProps($A27, $B27, ParametersRange), 1, COLUMN()-2 )</f>
        <v>0.4142540510546055</v>
      </c>
      <c r="K27" s="2" cm="1">
        <f t="array" ref="K27">INDEX( ComputeThermoProps($A27, $B27, ParametersRange), 1, COLUMN()-2 )</f>
        <v>0.13471584320950578</v>
      </c>
      <c r="L27" s="2" cm="1">
        <f t="array" ref="L27">INDEX( ComputeThermoProps($A27, $B27, ParametersRange), 1, COLUMN()-2 )</f>
        <v>-0.13808090610436813</v>
      </c>
      <c r="M27" s="2" cm="1">
        <f t="array" ref="M27">INDEX( ComputeThermoProps($A27, $B27, ParametersRange), 1, COLUMN()-2 )</f>
        <v>0.4142540510546055</v>
      </c>
      <c r="N27" s="2" cm="1">
        <f t="array" ref="N27">INDEX( ComputeThermoProps($A27, $B27, ParametersRange), 1, COLUMN()-2 )</f>
        <v>-0.13808090610436813</v>
      </c>
      <c r="P27">
        <f t="shared" si="1"/>
        <v>-1597.112010836915</v>
      </c>
    </row>
    <row r="28" spans="1:16" x14ac:dyDescent="0.25">
      <c r="A28" s="2">
        <v>5.0999999999999996</v>
      </c>
      <c r="B28" s="2">
        <f t="shared" si="0"/>
        <v>2.0082309765629534E-18</v>
      </c>
      <c r="C28" s="2" cm="1">
        <f t="array" ref="C28">INDEX( ComputeThermoProps($A28, $B28, ParametersRange), 1, COLUMN()-2 )</f>
        <v>13.380991531774859</v>
      </c>
      <c r="D28" s="2" cm="1">
        <f t="array" ref="D28">INDEX( ComputeThermoProps($A28, $B28, ParametersRange), 1, COLUMN()-2 )</f>
        <v>1.000533272828283E-3</v>
      </c>
      <c r="E28" s="2" cm="1">
        <f t="array" ref="E28">INDEX( ComputeThermoProps($A28, $B28, ParametersRange), 1, COLUMN()-2 )</f>
        <v>1.000237122966449E-3</v>
      </c>
      <c r="F28" s="2" cm="1">
        <f t="array" ref="F28">INDEX( ComputeThermoProps($A28, $B28, ParametersRange), 1, COLUMN()-2 )</f>
        <v>5.8046230814824677E-5</v>
      </c>
      <c r="G28" s="2" cm="1">
        <f t="array" ref="G28">INDEX( ComputeThermoProps($A28, $B28, ParametersRange), 1, COLUMN()-2 )</f>
        <v>0.77641691160362936</v>
      </c>
      <c r="H28" s="2" cm="1">
        <f t="array" ref="H28">INDEX( ComputeThermoProps($A28, $B28, ParametersRange), 1, COLUMN()-2 )</f>
        <v>0.77618709839567168</v>
      </c>
      <c r="I28" s="2" cm="1">
        <f t="array" ref="I28">INDEX( ComputeThermoProps($A28, $B28, ParametersRange), 1, COLUMN()-2 )</f>
        <v>1.0001482165192384</v>
      </c>
      <c r="J28" s="2" cm="1">
        <f t="array" ref="J28">INDEX( ComputeThermoProps($A28, $B28, ParametersRange), 1, COLUMN()-2 )</f>
        <v>0.99134074813183304</v>
      </c>
      <c r="K28" s="2" cm="1">
        <f t="array" ref="K28">INDEX( ComputeThermoProps($A28, $B28, ParametersRange), 1, COLUMN()-2 )</f>
        <v>0.25919634582499779</v>
      </c>
      <c r="L28" s="2" cm="1">
        <f t="array" ref="L28">INDEX( ComputeThermoProps($A28, $B28, ParametersRange), 1, COLUMN()-2 )</f>
        <v>-0.33056061557565558</v>
      </c>
      <c r="M28" s="2" cm="1">
        <f t="array" ref="M28">INDEX( ComputeThermoProps($A28, $B28, ParametersRange), 1, COLUMN()-2 )</f>
        <v>0.99134074813183304</v>
      </c>
      <c r="N28" s="2" cm="1">
        <f t="array" ref="N28">INDEX( ComputeThermoProps($A28, $B28, ParametersRange), 1, COLUMN()-2 )</f>
        <v>-0.33056061557565558</v>
      </c>
      <c r="P28">
        <f t="shared" si="1"/>
        <v>-1596.5349241398378</v>
      </c>
    </row>
    <row r="29" spans="1:16" x14ac:dyDescent="0.25">
      <c r="A29" s="2">
        <v>6.1</v>
      </c>
      <c r="B29" s="2">
        <f t="shared" si="0"/>
        <v>3.5024480627789821E-15</v>
      </c>
      <c r="C29" s="2" cm="1">
        <f t="array" ref="C29">INDEX( ComputeThermoProps($A29, $B29, ParametersRange), 1, COLUMN()-2 )</f>
        <v>13.382024382972171</v>
      </c>
      <c r="D29" s="2" cm="1">
        <f t="array" ref="D29">INDEX( ComputeThermoProps($A29, $B29, ParametersRange), 1, COLUMN()-2 )</f>
        <v>1.0010853223662442E-3</v>
      </c>
      <c r="E29" s="2" cm="1">
        <f t="array" ref="E29">INDEX( ComputeThermoProps($A29, $B29, ParametersRange), 1, COLUMN()-2 )</f>
        <v>1.0004837807307417E-3</v>
      </c>
      <c r="F29" s="2" cm="1">
        <f t="array" ref="F29">INDEX( ComputeThermoProps($A29, $B29, ParametersRange), 1, COLUMN()-2 )</f>
        <v>9.8535879633151872E-5</v>
      </c>
      <c r="G29" s="2" cm="1">
        <f t="array" ref="G29">INDEX( ComputeThermoProps($A29, $B29, ParametersRange), 1, COLUMN()-2 )</f>
        <v>1.3175732087807126</v>
      </c>
      <c r="H29" s="2" cm="1">
        <f t="array" ref="H29">INDEX( ComputeThermoProps($A29, $B29, ParametersRange), 1, COLUMN()-2 )</f>
        <v>1.3167814929047563</v>
      </c>
      <c r="I29" s="2" cm="1">
        <f t="array" ref="I29">INDEX( ComputeThermoProps($A29, $B29, ParametersRange), 1, COLUMN()-2 )</f>
        <v>1.0003026212430148</v>
      </c>
      <c r="J29" s="2" cm="1">
        <f t="array" ref="J29">INDEX( ComputeThermoProps($A29, $B29, ParametersRange), 1, COLUMN()-2 )</f>
        <v>2.0235870797934306</v>
      </c>
      <c r="K29" s="2" cm="1">
        <f t="array" ref="K29">INDEX( ComputeThermoProps($A29, $B29, ParametersRange), 1, COLUMN()-2 )</f>
        <v>0.44257593530844275</v>
      </c>
      <c r="L29" s="2" cm="1">
        <f t="array" ref="L29">INDEX( ComputeThermoProps($A29, $B29, ParametersRange), 1, COLUMN()-2 )</f>
        <v>-0.67612612558807006</v>
      </c>
      <c r="M29" s="2" cm="1">
        <f t="array" ref="M29">INDEX( ComputeThermoProps($A29, $B29, ParametersRange), 1, COLUMN()-2 )</f>
        <v>2.0235870797934776</v>
      </c>
      <c r="N29" s="2" cm="1">
        <f t="array" ref="N29">INDEX( ComputeThermoProps($A29, $B29, ParametersRange), 1, COLUMN()-2 )</f>
        <v>-0.67612612558802299</v>
      </c>
      <c r="P29">
        <f t="shared" si="1"/>
        <v>-1595.502677808176</v>
      </c>
    </row>
    <row r="30" spans="1:16" x14ac:dyDescent="0.25">
      <c r="A30" s="2">
        <v>7.1</v>
      </c>
      <c r="B30" s="2">
        <f t="shared" si="0"/>
        <v>7.5322523292031271E-13</v>
      </c>
      <c r="C30" s="2" cm="1">
        <f t="array" ref="C30">INDEX( ComputeThermoProps($A30, $B30, ParametersRange), 1, COLUMN()-2 )</f>
        <v>13.383688363174365</v>
      </c>
      <c r="D30" s="2" cm="1">
        <f t="array" ref="D30">INDEX( ComputeThermoProps($A30, $B30, ParametersRange), 1, COLUMN()-2 )</f>
        <v>1.001963413326356E-3</v>
      </c>
      <c r="E30" s="2" cm="1">
        <f t="array" ref="E30">INDEX( ComputeThermoProps($A30, $B30, ParametersRange), 1, COLUMN()-2 )</f>
        <v>1.0008804150303874E-3</v>
      </c>
      <c r="F30" s="2" cm="1">
        <f t="array" ref="F30">INDEX( ComputeThermoProps($A30, $B30, ParametersRange), 1, COLUMN()-2 )</f>
        <v>1.5231680769833822E-4</v>
      </c>
      <c r="G30" s="2" cm="1">
        <f t="array" ref="G30">INDEX( ComputeThermoProps($A30, $B30, ParametersRange), 1, COLUMN()-2 )</f>
        <v>2.0356450296432103</v>
      </c>
      <c r="H30" s="2" cm="1">
        <f t="array" ref="H30">INDEX( ComputeThermoProps($A30, $B30, ParametersRange), 1, COLUMN()-2 )</f>
        <v>2.03344474960406</v>
      </c>
      <c r="I30" s="2" cm="1">
        <f t="array" ref="I30">INDEX( ComputeThermoProps($A30, $B30, ParametersRange), 1, COLUMN()-2 )</f>
        <v>1.0005514008289671</v>
      </c>
      <c r="J30" s="2" cm="1">
        <f t="array" ref="J30">INDEX( ComputeThermoProps($A30, $B30, ParametersRange), 1, COLUMN()-2 )</f>
        <v>3.6857232287010477</v>
      </c>
      <c r="K30" s="2" cm="1">
        <f t="array" ref="K30">INDEX( ComputeThermoProps($A30, $B30, ParametersRange), 1, COLUMN()-2 )</f>
        <v>0.69352027844637476</v>
      </c>
      <c r="L30" s="2" cm="1">
        <f t="array" ref="L30">INDEX( ComputeThermoProps($A30, $B30, ParametersRange), 1, COLUMN()-2 )</f>
        <v>-1.2382707482682127</v>
      </c>
      <c r="M30" s="2" cm="1">
        <f t="array" ref="M30">INDEX( ComputeThermoProps($A30, $B30, ParametersRange), 1, COLUMN()-2 )</f>
        <v>3.6857232287111286</v>
      </c>
      <c r="N30" s="2" cm="1">
        <f t="array" ref="N30">INDEX( ComputeThermoProps($A30, $B30, ParametersRange), 1, COLUMN()-2 )</f>
        <v>-1.2382707482581319</v>
      </c>
      <c r="P30">
        <f t="shared" si="1"/>
        <v>-1593.8405416592584</v>
      </c>
    </row>
    <row r="31" spans="1:16" x14ac:dyDescent="0.25">
      <c r="A31" s="2">
        <v>8.1</v>
      </c>
      <c r="B31" s="2">
        <f t="shared" si="0"/>
        <v>4.3510060810813322E-11</v>
      </c>
      <c r="C31" s="2" cm="1">
        <f t="array" ref="C31">INDEX( ComputeThermoProps($A31, $B31, ParametersRange), 1, COLUMN()-2 )</f>
        <v>13.386156586939498</v>
      </c>
      <c r="D31" s="2" cm="1">
        <f t="array" ref="D31">INDEX( ComputeThermoProps($A31, $B31, ParametersRange), 1, COLUMN()-2 )</f>
        <v>1.0032400984524294E-3</v>
      </c>
      <c r="E31" s="2" cm="1">
        <f t="array" ref="E31">INDEX( ComputeThermoProps($A31, $B31, ParametersRange), 1, COLUMN()-2 )</f>
        <v>1.0014670565629035E-3</v>
      </c>
      <c r="F31" s="2" cm="1">
        <f t="array" ref="F31">INDEX( ComputeThermoProps($A31, $B31, ParametersRange), 1, COLUMN()-2 )</f>
        <v>2.1837239372779816E-4</v>
      </c>
      <c r="G31" s="2" cm="1">
        <f t="array" ref="G31">INDEX( ComputeThermoProps($A31, $B31, ParametersRange), 1, COLUMN()-2 )</f>
        <v>2.9162005865737544</v>
      </c>
      <c r="H31" s="2" cm="1">
        <f t="array" ref="H31">INDEX( ComputeThermoProps($A31, $B31, ParametersRange), 1, COLUMN()-2 )</f>
        <v>2.9110467397466278</v>
      </c>
      <c r="I31" s="2" cm="1">
        <f t="array" ref="I31">INDEX( ComputeThermoProps($A31, $B31, ParametersRange), 1, COLUMN()-2 )</f>
        <v>1.0009204788289205</v>
      </c>
      <c r="J31" s="2" cm="1">
        <f t="array" ref="J31">INDEX( ComputeThermoProps($A31, $B31, ParametersRange), 1, COLUMN()-2 )</f>
        <v>6.1492400886717329</v>
      </c>
      <c r="K31" s="2" cm="1">
        <f t="array" ref="K31">INDEX( ComputeThermoProps($A31, $B31, ParametersRange), 1, COLUMN()-2 )</f>
        <v>1.0168617772852935</v>
      </c>
      <c r="L31" s="2" cm="1">
        <f t="array" ref="L31">INDEX( ComputeThermoProps($A31, $B31, ParametersRange), 1, COLUMN()-2 )</f>
        <v>-2.0873403073391441</v>
      </c>
      <c r="M31" s="2" cm="1">
        <f t="array" ref="M31">INDEX( ComputeThermoProps($A31, $B31, ParametersRange), 1, COLUMN()-2 )</f>
        <v>6.1492400892541657</v>
      </c>
      <c r="N31" s="2" cm="1">
        <f t="array" ref="N31">INDEX( ComputeThermoProps($A31, $B31, ParametersRange), 1, COLUMN()-2 )</f>
        <v>-2.0873403067567113</v>
      </c>
      <c r="P31">
        <f t="shared" si="1"/>
        <v>-1591.3770247987154</v>
      </c>
    </row>
    <row r="32" spans="1:16" x14ac:dyDescent="0.25">
      <c r="A32" s="2">
        <v>9.1</v>
      </c>
      <c r="B32" s="2">
        <f t="shared" si="0"/>
        <v>1.0441802197839621E-9</v>
      </c>
      <c r="C32" s="2" cm="1">
        <f t="array" ref="C32">INDEX( ComputeThermoProps($A32, $B32, ParametersRange), 1, COLUMN()-2 )</f>
        <v>13.389579445122797</v>
      </c>
      <c r="D32" s="2" cm="1">
        <f t="array" ref="D32">INDEX( ComputeThermoProps($A32, $B32, ParametersRange), 1, COLUMN()-2 )</f>
        <v>1.0049661244748115E-3</v>
      </c>
      <c r="E32" s="2" cm="1">
        <f t="array" ref="E32">INDEX( ComputeThermoProps($A32, $B32, ParametersRange), 1, COLUMN()-2 )</f>
        <v>1.0022772314345089E-3</v>
      </c>
      <c r="F32" s="2" cm="1">
        <f t="array" ref="F32">INDEX( ComputeThermoProps($A32, $B32, ParametersRange), 1, COLUMN()-2 )</f>
        <v>2.9438970887271741E-4</v>
      </c>
      <c r="G32" s="2" cm="1">
        <f t="array" ref="G32">INDEX( ComputeThermoProps($A32, $B32, ParametersRange), 1, COLUMN()-2 )</f>
        <v>3.9271731501161273</v>
      </c>
      <c r="H32" s="2" cm="1">
        <f t="array" ref="H32">INDEX( ComputeThermoProps($A32, $B32, ParametersRange), 1, COLUMN()-2 )</f>
        <v>3.9166655834487147</v>
      </c>
      <c r="I32" s="2" cm="1">
        <f t="array" ref="I32">INDEX( ComputeThermoProps($A32, $B32, ParametersRange), 1, COLUMN()-2 )</f>
        <v>1.0014324176886029</v>
      </c>
      <c r="J32" s="2" cm="1">
        <f t="array" ref="J32">INDEX( ComputeThermoProps($A32, $B32, ParametersRange), 1, COLUMN()-2 )</f>
        <v>9.5616869131015232</v>
      </c>
      <c r="K32" s="2" cm="1">
        <f t="array" ref="K32">INDEX( ComputeThermoProps($A32, $B32, ParametersRange), 1, COLUMN()-2 )</f>
        <v>1.4129633544325735</v>
      </c>
      <c r="L32" s="2" cm="1">
        <f t="array" ref="L32">INDEX( ComputeThermoProps($A32, $B32, ParametersRange), 1, COLUMN()-2 )</f>
        <v>-3.296279612234895</v>
      </c>
      <c r="M32" s="2" cm="1">
        <f t="array" ref="M32">INDEX( ComputeThermoProps($A32, $B32, ParametersRange), 1, COLUMN()-2 )</f>
        <v>9.5616869270826577</v>
      </c>
      <c r="N32" s="2" cm="1">
        <f t="array" ref="N32">INDEX( ComputeThermoProps($A32, $B32, ParametersRange), 1, COLUMN()-2 )</f>
        <v>-3.2962795982537605</v>
      </c>
      <c r="P32">
        <f t="shared" si="1"/>
        <v>-1587.9645779608868</v>
      </c>
    </row>
    <row r="33" spans="1:16" x14ac:dyDescent="0.25">
      <c r="A33" s="2">
        <v>10.1</v>
      </c>
      <c r="B33" s="2">
        <f t="shared" si="0"/>
        <v>1.354599329384741E-8</v>
      </c>
      <c r="C33" s="2" cm="1">
        <f t="array" ref="C33">INDEX( ComputeThermoProps($A33, $B33, ParametersRange), 1, COLUMN()-2 )</f>
        <v>13.394071834879975</v>
      </c>
      <c r="D33" s="2" cm="1">
        <f t="array" ref="D33">INDEX( ComputeThermoProps($A33, $B33, ParametersRange), 1, COLUMN()-2 )</f>
        <v>1.0071676065294393E-3</v>
      </c>
      <c r="E33" s="2" cm="1">
        <f t="array" ref="E33">INDEX( ComputeThermoProps($A33, $B33, ParametersRange), 1, COLUMN()-2 )</f>
        <v>1.0033346104132105E-3</v>
      </c>
      <c r="F33" s="2" cm="1">
        <f t="array" ref="F33">INDEX( ComputeThermoProps($A33, $B33, ParametersRange), 1, COLUMN()-2 )</f>
        <v>3.7744892343823496E-4</v>
      </c>
      <c r="G33" s="2" cm="1">
        <f t="array" ref="G33">INDEX( ComputeThermoProps($A33, $B33, ParametersRange), 1, COLUMN()-2 )</f>
        <v>5.0281937097381304</v>
      </c>
      <c r="H33" s="2" cm="1">
        <f t="array" ref="H33">INDEX( ComputeThermoProps($A33, $B33, ParametersRange), 1, COLUMN()-2 )</f>
        <v>5.0090578212960022</v>
      </c>
      <c r="I33" s="2" cm="1">
        <f t="array" ref="I33">INDEX( ComputeThermoProps($A33, $B33, ParametersRange), 1, COLUMN()-2 )</f>
        <v>1.0021045193723417</v>
      </c>
      <c r="J33" s="2" cm="1">
        <f t="array" ref="J33">INDEX( ComputeThermoProps($A33, $B33, ParametersRange), 1, COLUMN()-2 )</f>
        <v>14.03359679833568</v>
      </c>
      <c r="K33" s="2" cm="1">
        <f t="array" ref="K33">INDEX( ComputeThermoProps($A33, $B33, ParametersRange), 1, COLUMN()-2 )</f>
        <v>1.8782106515553141</v>
      </c>
      <c r="L33" s="2" cm="1">
        <f t="array" ref="L33">INDEX( ComputeThermoProps($A33, $B33, ParametersRange), 1, COLUMN()-2 )</f>
        <v>-4.9363307823729921</v>
      </c>
      <c r="M33" s="2" cm="1">
        <f t="array" ref="M33">INDEX( ComputeThermoProps($A33, $B33, ParametersRange), 1, COLUMN()-2 )</f>
        <v>14.033596979771687</v>
      </c>
      <c r="N33" s="2" cm="1">
        <f t="array" ref="N33">INDEX( ComputeThermoProps($A33, $B33, ParametersRange), 1, COLUMN()-2 )</f>
        <v>-4.9363306009369845</v>
      </c>
      <c r="P33">
        <f t="shared" si="1"/>
        <v>-1583.4926679081977</v>
      </c>
    </row>
    <row r="34" spans="1:16" x14ac:dyDescent="0.25">
      <c r="A34" s="2">
        <v>11.1</v>
      </c>
      <c r="B34" s="2">
        <f t="shared" si="0"/>
        <v>1.1240179060268277E-7</v>
      </c>
      <c r="C34" s="2" cm="1">
        <f t="array" ref="C34">INDEX( ComputeThermoProps($A34, $B34, ParametersRange), 1, COLUMN()-2 )</f>
        <v>13.399709410516948</v>
      </c>
      <c r="D34" s="2" cm="1">
        <f t="array" ref="D34">INDEX( ComputeThermoProps($A34, $B34, ParametersRange), 1, COLUMN()-2 )</f>
        <v>1.0098486888500931E-3</v>
      </c>
      <c r="E34" s="2" cm="1">
        <f t="array" ref="E34">INDEX( ComputeThermoProps($A34, $B34, ParametersRange), 1, COLUMN()-2 )</f>
        <v>1.0046519355623885E-3</v>
      </c>
      <c r="F34" s="2" cm="1">
        <f t="array" ref="F34">INDEX( ComputeThermoProps($A34, $B34, ParametersRange), 1, COLUMN()-2 )</f>
        <v>4.6463825299319618E-4</v>
      </c>
      <c r="G34" s="2" cm="1">
        <f t="array" ref="G34">INDEX( ComputeThermoProps($A34, $B34, ParametersRange), 1, COLUMN()-2 )</f>
        <v>6.1789713722901523</v>
      </c>
      <c r="H34" s="2" cm="1">
        <f t="array" ref="H34">INDEX( ComputeThermoProps($A34, $B34, ParametersRange), 1, COLUMN()-2 )</f>
        <v>6.1471739454596577</v>
      </c>
      <c r="I34" s="2" cm="1">
        <f t="array" ref="I34">INDEX( ComputeThermoProps($A34, $B34, ParametersRange), 1, COLUMN()-2 )</f>
        <v>1.0029482701033676</v>
      </c>
      <c r="J34" s="2" cm="1">
        <f t="array" ref="J34">INDEX( ComputeThermoProps($A34, $B34, ParametersRange), 1, COLUMN()-2 )</f>
        <v>19.634597411558065</v>
      </c>
      <c r="K34" s="2" cm="1">
        <f t="array" ref="K34">INDEX( ComputeThermoProps($A34, $B34, ParametersRange), 1, COLUMN()-2 )</f>
        <v>2.4061433017059777</v>
      </c>
      <c r="L34" s="2" cm="1">
        <f t="array" ref="L34">INDEX( ComputeThermoProps($A34, $B34, ParametersRange), 1, COLUMN()-2 )</f>
        <v>-7.0735932373782857</v>
      </c>
      <c r="M34" s="2" cm="1">
        <f t="array" ref="M34">INDEX( ComputeThermoProps($A34, $B34, ParametersRange), 1, COLUMN()-2 )</f>
        <v>19.634598917709397</v>
      </c>
      <c r="N34" s="2" cm="1">
        <f t="array" ref="N34">INDEX( ComputeThermoProps($A34, $B34, ParametersRange), 1, COLUMN()-2 )</f>
        <v>-7.0735917312269541</v>
      </c>
      <c r="P34">
        <f t="shared" si="1"/>
        <v>-1577.8916659702602</v>
      </c>
    </row>
    <row r="35" spans="1:16" x14ac:dyDescent="0.25">
      <c r="A35" s="2">
        <v>12.1</v>
      </c>
      <c r="B35" s="2">
        <f t="shared" si="0"/>
        <v>6.6764251838809963E-7</v>
      </c>
      <c r="C35" s="2" cm="1">
        <f t="array" ref="C35">INDEX( ComputeThermoProps($A35, $B35, ParametersRange), 1, COLUMN()-2 )</f>
        <v>13.406531487779262</v>
      </c>
      <c r="D35" s="2" cm="1">
        <f t="array" ref="D35">INDEX( ComputeThermoProps($A35, $B35, ParametersRange), 1, COLUMN()-2 )</f>
        <v>1.0129966659634024E-3</v>
      </c>
      <c r="E35" s="2" cm="1">
        <f t="array" ref="E35">INDEX( ComputeThermoProps($A35, $B35, ParametersRange), 1, COLUMN()-2 )</f>
        <v>1.0062316774175238E-3</v>
      </c>
      <c r="F35" s="2" cm="1">
        <f t="array" ref="F35">INDEX( ComputeThermoProps($A35, $B35, ParametersRange), 1, COLUMN()-2 )</f>
        <v>5.5343047700108592E-4</v>
      </c>
      <c r="G35" s="2" cm="1">
        <f t="array" ref="G35">INDEX( ComputeThermoProps($A35, $B35, ParametersRange), 1, COLUMN()-2 )</f>
        <v>7.3444770945599354</v>
      </c>
      <c r="H35" s="2" cm="1">
        <f t="array" ref="H35">INDEX( ComputeThermoProps($A35, $B35, ParametersRange), 1, COLUMN()-2 )</f>
        <v>7.2954292495969773</v>
      </c>
      <c r="I35" s="2" cm="1">
        <f t="array" ref="I35">INDEX( ComputeThermoProps($A35, $B35, ParametersRange), 1, COLUMN()-2 )</f>
        <v>1.0039697746944773</v>
      </c>
      <c r="J35" s="2" cm="1">
        <f t="array" ref="J35">INDEX( ComputeThermoProps($A35, $B35, ParametersRange), 1, COLUMN()-2 )</f>
        <v>26.396363825188384</v>
      </c>
      <c r="K35" s="2" cm="1">
        <f t="array" ref="K35">INDEX( ComputeThermoProps($A35, $B35, ParametersRange), 1, COLUMN()-2 )</f>
        <v>2.9886915504689804</v>
      </c>
      <c r="L35" s="2" cm="1">
        <f t="array" ref="L35">INDEX( ComputeThermoProps($A35, $B35, ParametersRange), 1, COLUMN()-2 )</f>
        <v>-9.7668039354862781</v>
      </c>
      <c r="M35" s="2" cm="1">
        <f t="array" ref="M35">INDEX( ComputeThermoProps($A35, $B35, ParametersRange), 1, COLUMN()-2 )</f>
        <v>26.396372775958831</v>
      </c>
      <c r="N35" s="2" cm="1">
        <f t="array" ref="N35">INDEX( ComputeThermoProps($A35, $B35, ParametersRange), 1, COLUMN()-2 )</f>
        <v>-9.7667949847158315</v>
      </c>
      <c r="P35">
        <f t="shared" si="1"/>
        <v>-1571.1298921120108</v>
      </c>
    </row>
    <row r="36" spans="1:16" x14ac:dyDescent="0.25">
      <c r="A36" s="2">
        <v>13.1</v>
      </c>
      <c r="B36" s="2">
        <f t="shared" si="0"/>
        <v>3.0694002160721521E-6</v>
      </c>
      <c r="C36" s="2" cm="1">
        <f t="array" ref="C36">INDEX( ComputeThermoProps($A36, $B36, ParametersRange), 1, COLUMN()-2 )</f>
        <v>13.414547384656075</v>
      </c>
      <c r="D36" s="2" cm="1">
        <f t="array" ref="D36">INDEX( ComputeThermoProps($A36, $B36, ParametersRange), 1, COLUMN()-2 )</f>
        <v>1.016587340984093E-3</v>
      </c>
      <c r="E36" s="2" cm="1">
        <f t="array" ref="E36">INDEX( ComputeThermoProps($A36, $B36, ParametersRange), 1, COLUMN()-2 )</f>
        <v>1.0080676321529681E-3</v>
      </c>
      <c r="F36" s="2" cm="1">
        <f t="array" ref="F36">INDEX( ComputeThermoProps($A36, $B36, ParametersRange), 1, COLUMN()-2 )</f>
        <v>6.4183584206110986E-4</v>
      </c>
      <c r="G36" s="2" cm="1">
        <f t="array" ref="G36">INDEX( ComputeThermoProps($A36, $B36, ParametersRange), 1, COLUMN()-2 )</f>
        <v>8.4970954818861451</v>
      </c>
      <c r="H36" s="2" cm="1">
        <f t="array" ref="H36">INDEX( ComputeThermoProps($A36, $B36, ParametersRange), 1, COLUMN()-2 )</f>
        <v>8.4258839130445953</v>
      </c>
      <c r="I36" s="2" cm="1">
        <f t="array" ref="I36">INDEX( ComputeThermoProps($A36, $B36, ParametersRange), 1, COLUMN()-2 )</f>
        <v>1.0051707003915689</v>
      </c>
      <c r="J36" s="2" cm="1">
        <f t="array" ref="J36">INDEX( ComputeThermoProps($A36, $B36, ParametersRange), 1, COLUMN()-2 )</f>
        <v>34.319170363305105</v>
      </c>
      <c r="K36" s="2" cm="1">
        <f t="array" ref="K36">INDEX( ComputeThermoProps($A36, $B36, ParametersRange), 1, COLUMN()-2 )</f>
        <v>3.6172090356604492</v>
      </c>
      <c r="L36" s="2" cm="1">
        <f t="array" ref="L36">INDEX( ComputeThermoProps($A36, $B36, ParametersRange), 1, COLUMN()-2 )</f>
        <v>-13.066268003846778</v>
      </c>
      <c r="M36" s="2" cm="1">
        <f t="array" ref="M36">INDEX( ComputeThermoProps($A36, $B36, ParametersRange), 1, COLUMN()-2 )</f>
        <v>34.319211537919749</v>
      </c>
      <c r="N36" s="2" cm="1">
        <f t="array" ref="N36">INDEX( ComputeThermoProps($A36, $B36, ParametersRange), 1, COLUMN()-2 )</f>
        <v>-13.066226829232134</v>
      </c>
      <c r="P36">
        <f t="shared" si="1"/>
        <v>-1563.2070533500498</v>
      </c>
    </row>
    <row r="37" spans="1:16" x14ac:dyDescent="0.25">
      <c r="A37" s="2">
        <v>14.1</v>
      </c>
      <c r="B37" s="2">
        <f t="shared" si="0"/>
        <v>1.155031065365764E-5</v>
      </c>
      <c r="C37" s="2" cm="1">
        <f t="array" ref="C37">INDEX( ComputeThermoProps($A37, $B37, ParametersRange), 1, COLUMN()-2 )</f>
        <v>13.423743699242504</v>
      </c>
      <c r="D37" s="2" cm="1">
        <f t="array" ref="D37">INDEX( ComputeThermoProps($A37, $B37, ParametersRange), 1, COLUMN()-2 )</f>
        <v>1.0205895310344264E-3</v>
      </c>
      <c r="E37" s="2" cm="1">
        <f t="array" ref="E37">INDEX( ComputeThermoProps($A37, $B37, ParametersRange), 1, COLUMN()-2 )</f>
        <v>1.0101468205080098E-3</v>
      </c>
      <c r="F37" s="2" cm="1">
        <f t="array" ref="F37">INDEX( ComputeThermoProps($A37, $B37, ParametersRange), 1, COLUMN()-2 )</f>
        <v>7.2840773572766665E-4</v>
      </c>
      <c r="G37" s="2" cm="1">
        <f t="array" ref="G37">INDEX( ComputeThermoProps($A37, $B37, ParametersRange), 1, COLUMN()-2 )</f>
        <v>9.6167565843535847</v>
      </c>
      <c r="H37" s="2" cm="1">
        <f t="array" ref="H37">INDEX( ComputeThermoProps($A37, $B37, ParametersRange), 1, COLUMN()-2 )</f>
        <v>9.5183575687261879</v>
      </c>
      <c r="I37" s="2" cm="1">
        <f t="array" ref="I37">INDEX( ComputeThermoProps($A37, $B37, ParametersRange), 1, COLUMN()-2 )</f>
        <v>1.0065493580928089</v>
      </c>
      <c r="J37" s="2" cm="1">
        <f t="array" ref="J37">INDEX( ComputeThermoProps($A37, $B37, ParametersRange), 1, COLUMN()-2 )</f>
        <v>43.379493492230345</v>
      </c>
      <c r="K37" s="2" cm="1">
        <f t="array" ref="K37">INDEX( ComputeThermoProps($A37, $B37, ParametersRange), 1, COLUMN()-2 )</f>
        <v>4.2832032887575391</v>
      </c>
      <c r="L37" s="2" cm="1">
        <f t="array" ref="L37">INDEX( ComputeThermoProps($A37, $B37, ParametersRange), 1, COLUMN()-2 )</f>
        <v>-17.013672879250954</v>
      </c>
      <c r="M37" s="2" cm="1">
        <f t="array" ref="M37">INDEX( ComputeThermoProps($A37, $B37, ParametersRange), 1, COLUMN()-2 )</f>
        <v>43.379648540640204</v>
      </c>
      <c r="N37" s="2" cm="1">
        <f t="array" ref="N37">INDEX( ComputeThermoProps($A37, $B37, ParametersRange), 1, COLUMN()-2 )</f>
        <v>-17.013517830841096</v>
      </c>
      <c r="P37">
        <f t="shared" si="1"/>
        <v>-1554.1466163473294</v>
      </c>
    </row>
    <row r="38" spans="1:16" x14ac:dyDescent="0.25">
      <c r="A38" s="2">
        <v>15.1</v>
      </c>
      <c r="B38" s="2">
        <f t="shared" si="0"/>
        <v>3.7069889444936479E-5</v>
      </c>
      <c r="C38" s="2" cm="1">
        <f t="array" ref="C38">INDEX( ComputeThermoProps($A38, $B38, ParametersRange), 1, COLUMN()-2 )</f>
        <v>13.434091057563288</v>
      </c>
      <c r="D38" s="2" cm="1">
        <f t="array" ref="D38">INDEX( ComputeThermoProps($A38, $B38, ParametersRange), 1, COLUMN()-2 )</f>
        <v>1.0249684129507565E-3</v>
      </c>
      <c r="E38" s="2" cm="1">
        <f t="array" ref="E38">INDEX( ComputeThermoProps($A38, $B38, ParametersRange), 1, COLUMN()-2 )</f>
        <v>1.0124512970224708E-3</v>
      </c>
      <c r="F38" s="2" cm="1">
        <f t="array" ref="F38">INDEX( ComputeThermoProps($A38, $B38, ParametersRange), 1, COLUMN()-2 )</f>
        <v>8.121735423790422E-4</v>
      </c>
      <c r="G38" s="2" cm="1">
        <f t="array" ref="G38">INDEX( ComputeThermoProps($A38, $B38, ParametersRange), 1, COLUMN()-2 )</f>
        <v>10.690022906018983</v>
      </c>
      <c r="H38" s="2" cm="1">
        <f t="array" ref="H38">INDEX( ComputeThermoProps($A38, $B38, ParametersRange), 1, COLUMN()-2 )</f>
        <v>10.559474242957796</v>
      </c>
      <c r="I38" s="2" cm="1">
        <f t="array" ref="I38">INDEX( ComputeThermoProps($A38, $B38, ParametersRange), 1, COLUMN()-2 )</f>
        <v>1.0081017031359947</v>
      </c>
      <c r="J38" s="2" cm="1">
        <f t="array" ref="J38">INDEX( ComputeThermoProps($A38, $B38, ParametersRange), 1, COLUMN()-2 )</f>
        <v>53.537153993739842</v>
      </c>
      <c r="K38" s="2" cm="1">
        <f t="array" ref="K38">INDEX( ComputeThermoProps($A38, $B38, ParametersRange), 1, COLUMN()-2 )</f>
        <v>4.9787842103216082</v>
      </c>
      <c r="L38" s="2" cm="1">
        <f t="array" ref="L38">INDEX( ComputeThermoProps($A38, $B38, ParametersRange), 1, COLUMN()-2 )</f>
        <v>-21.642487582116441</v>
      </c>
      <c r="M38" s="2" cm="1">
        <f t="array" ref="M38">INDEX( ComputeThermoProps($A38, $B38, ParametersRange), 1, COLUMN()-2 )</f>
        <v>53.53765199401014</v>
      </c>
      <c r="N38" s="2" cm="1">
        <f t="array" ref="N38">INDEX( ComputeThermoProps($A38, $B38, ParametersRange), 1, COLUMN()-2 )</f>
        <v>-21.641989581846143</v>
      </c>
      <c r="P38">
        <f t="shared" si="1"/>
        <v>-1543.9886128939595</v>
      </c>
    </row>
    <row r="39" spans="1:16" x14ac:dyDescent="0.25">
      <c r="A39" s="2">
        <v>16.100000000000001</v>
      </c>
      <c r="B39" s="2">
        <f t="shared" si="0"/>
        <v>1.0465760776566444E-4</v>
      </c>
      <c r="C39" s="2" cm="1">
        <f t="array" ref="C39">INDEX( ComputeThermoProps($A39, $B39, ParametersRange), 1, COLUMN()-2 )</f>
        <v>13.445549672514247</v>
      </c>
      <c r="D39" s="2" cm="1">
        <f t="array" ref="D39">INDEX( ComputeThermoProps($A39, $B39, ParametersRange), 1, COLUMN()-2 )</f>
        <v>1.0296877925137071E-3</v>
      </c>
      <c r="E39" s="2" cm="1">
        <f t="array" ref="E39">INDEX( ComputeThermoProps($A39, $B39, ParametersRange), 1, COLUMN()-2 )</f>
        <v>1.0149596817655491E-3</v>
      </c>
      <c r="F39" s="2" cm="1">
        <f t="array" ref="F39">INDEX( ComputeThermoProps($A39, $B39, ParametersRange), 1, COLUMN()-2 )</f>
        <v>8.9253956811809231E-4</v>
      </c>
      <c r="G39" s="2" cm="1">
        <f t="array" ref="G39">INDEX( ComputeThermoProps($A39, $B39, ParametersRange), 1, COLUMN()-2 )</f>
        <v>11.70879906373734</v>
      </c>
      <c r="H39" s="2" cm="1">
        <f t="array" ref="H39">INDEX( ComputeThermoProps($A39, $B39, ParametersRange), 1, COLUMN()-2 )</f>
        <v>11.541322581455596</v>
      </c>
      <c r="I39" s="2" cm="1">
        <f t="array" ref="I39">INDEX( ComputeThermoProps($A39, $B39, ParametersRange), 1, COLUMN()-2 )</f>
        <v>1.0098221582982307</v>
      </c>
      <c r="J39" s="2" cm="1">
        <f t="array" ref="J39">INDEX( ComputeThermoProps($A39, $B39, ParametersRange), 1, COLUMN()-2 )</f>
        <v>64.741314042864218</v>
      </c>
      <c r="K39" s="2" cm="1">
        <f t="array" ref="K39">INDEX( ComputeThermoProps($A39, $B39, ParametersRange), 1, COLUMN()-2 )</f>
        <v>5.6968950256053636</v>
      </c>
      <c r="L39" s="2" cm="1">
        <f t="array" ref="L39">INDEX( ComputeThermoProps($A39, $B39, ParametersRange), 1, COLUMN()-2 )</f>
        <v>-26.978695869382143</v>
      </c>
      <c r="M39" s="2" cm="1">
        <f t="array" ref="M39">INDEX( ComputeThermoProps($A39, $B39, ParametersRange), 1, COLUMN()-2 )</f>
        <v>64.742721221928036</v>
      </c>
      <c r="N39" s="2" cm="1">
        <f t="array" ref="N39">INDEX( ComputeThermoProps($A39, $B39, ParametersRange), 1, COLUMN()-2 )</f>
        <v>-26.977288690318325</v>
      </c>
      <c r="P39">
        <f t="shared" si="1"/>
        <v>-1532.7835436660416</v>
      </c>
    </row>
    <row r="40" spans="1:16" x14ac:dyDescent="0.25">
      <c r="A40" s="2">
        <v>17.100000000000001</v>
      </c>
      <c r="B40" s="2">
        <f t="shared" si="0"/>
        <v>2.6617333259291922E-4</v>
      </c>
      <c r="C40" s="2" cm="1">
        <f t="array" ref="C40">INDEX( ComputeThermoProps($A40, $B40, ParametersRange), 1, COLUMN()-2 )</f>
        <v>13.458073543362747</v>
      </c>
      <c r="D40" s="2" cm="1">
        <f t="array" ref="D40">INDEX( ComputeThermoProps($A40, $B40, ParametersRange), 1, COLUMN()-2 )</f>
        <v>1.0347115157405141E-3</v>
      </c>
      <c r="E40" s="2" cm="1">
        <f t="array" ref="E40">INDEX( ComputeThermoProps($A40, $B40, ParametersRange), 1, COLUMN()-2 )</f>
        <v>1.0176483568038188E-3</v>
      </c>
      <c r="F40" s="2" cm="1">
        <f t="array" ref="F40">INDEX( ComputeThermoProps($A40, $B40, ParametersRange), 1, COLUMN()-2 )</f>
        <v>9.6919691348565493E-4</v>
      </c>
      <c r="G40" s="2" cm="1">
        <f t="array" ref="G40">INDEX( ComputeThermoProps($A40, $B40, ParametersRange), 1, COLUMN()-2 )</f>
        <v>12.669037345833075</v>
      </c>
      <c r="H40" s="2" cm="1">
        <f t="array" ref="H40">INDEX( ComputeThermoProps($A40, $B40, ParametersRange), 1, COLUMN()-2 )</f>
        <v>12.460115540558521</v>
      </c>
      <c r="I40" s="2" cm="1">
        <f t="array" ref="I40">INDEX( ComputeThermoProps($A40, $B40, ParametersRange), 1, COLUMN()-2 )</f>
        <v>1.0117042341633786</v>
      </c>
      <c r="J40" s="2" cm="1">
        <f t="array" ref="J40">INDEX( ComputeThermoProps($A40, $B40, ParametersRange), 1, COLUMN()-2 )</f>
        <v>76.935158238239566</v>
      </c>
      <c r="K40" s="2" cm="1">
        <f t="array" ref="K40">INDEX( ComputeThermoProps($A40, $B40, ParametersRange), 1, COLUMN()-2 )</f>
        <v>6.4313940858941363</v>
      </c>
      <c r="L40" s="2" cm="1">
        <f t="array" ref="L40">INDEX( ComputeThermoProps($A40, $B40, ParametersRange), 1, COLUMN()-2 )</f>
        <v>-33.041680630550175</v>
      </c>
      <c r="M40" s="2" cm="1">
        <f t="array" ref="M40">INDEX( ComputeThermoProps($A40, $B40, ParametersRange), 1, COLUMN()-2 )</f>
        <v>76.938740418524887</v>
      </c>
      <c r="N40" s="2" cm="1">
        <f t="array" ref="N40">INDEX( ComputeThermoProps($A40, $B40, ParametersRange), 1, COLUMN()-2 )</f>
        <v>-33.038098450264854</v>
      </c>
      <c r="P40">
        <f t="shared" si="1"/>
        <v>-1520.5875244694446</v>
      </c>
    </row>
    <row r="41" spans="1:16" x14ac:dyDescent="0.25">
      <c r="A41" s="2">
        <v>18.100000000000001</v>
      </c>
      <c r="B41" s="2">
        <f t="shared" si="0"/>
        <v>6.2129069033045018E-4</v>
      </c>
      <c r="C41" s="2" cm="1">
        <f t="array" ref="C41">INDEX( ComputeThermoProps($A41, $B41, ParametersRange), 1, COLUMN()-2 )</f>
        <v>13.471613360904399</v>
      </c>
      <c r="D41" s="2" cm="1">
        <f t="array" ref="D41">INDEX( ComputeThermoProps($A41, $B41, ParametersRange), 1, COLUMN()-2 )</f>
        <v>1.0400042490833045E-3</v>
      </c>
      <c r="E41" s="2" cm="1">
        <f t="array" ref="E41">INDEX( ComputeThermoProps($A41, $B41, ParametersRange), 1, COLUMN()-2 )</f>
        <v>1.0204923383451902E-3</v>
      </c>
      <c r="F41" s="2" cm="1">
        <f t="array" ref="F41">INDEX( ComputeThermoProps($A41, $B41, ParametersRange), 1, COLUMN()-2 )</f>
        <v>1.0420402253407894E-3</v>
      </c>
      <c r="G41" s="2" cm="1">
        <f t="array" ref="G41">INDEX( ComputeThermoProps($A41, $B41, ParametersRange), 1, COLUMN()-2 )</f>
        <v>13.569609583003297</v>
      </c>
      <c r="H41" s="2" cm="1">
        <f t="array" ref="H41">INDEX( ComputeThermoProps($A41, $B41, ParametersRange), 1, COLUMN()-2 )</f>
        <v>13.315025035711306</v>
      </c>
      <c r="I41" s="2" cm="1">
        <f t="array" ref="I41">INDEX( ComputeThermoProps($A41, $B41, ParametersRange), 1, COLUMN()-2 )</f>
        <v>1.0137409567952531</v>
      </c>
      <c r="J41" s="2" cm="1">
        <f t="array" ref="J41">INDEX( ComputeThermoProps($A41, $B41, ParametersRange), 1, COLUMN()-2 )</f>
        <v>90.059350766396363</v>
      </c>
      <c r="K41" s="2" cm="1">
        <f t="array" ref="K41">INDEX( ComputeThermoProps($A41, $B41, ParametersRange), 1, COLUMN()-2 )</f>
        <v>7.1770436822906003</v>
      </c>
      <c r="L41" s="2" cm="1">
        <f t="array" ref="L41">INDEX( ComputeThermoProps($A41, $B41, ParametersRange), 1, COLUMN()-2 )</f>
        <v>-39.84513988306351</v>
      </c>
      <c r="M41" s="2" cm="1">
        <f t="array" ref="M41">INDEX( ComputeThermoProps($A41, $B41, ParametersRange), 1, COLUMN()-2 )</f>
        <v>90.06772055436123</v>
      </c>
      <c r="N41" s="2" cm="1">
        <f t="array" ref="N41">INDEX( ComputeThermoProps($A41, $B41, ParametersRange), 1, COLUMN()-2 )</f>
        <v>-39.836770095098643</v>
      </c>
      <c r="P41">
        <f t="shared" si="1"/>
        <v>-1507.4585443336084</v>
      </c>
    </row>
    <row r="42" spans="1:16" x14ac:dyDescent="0.25">
      <c r="A42" s="2">
        <v>19.100000000000001</v>
      </c>
      <c r="B42" s="2">
        <f t="shared" si="0"/>
        <v>1.3509482334256285E-3</v>
      </c>
      <c r="C42" s="2" cm="1">
        <f t="array" ref="C42">INDEX( ComputeThermoProps($A42, $B42, ParametersRange), 1, COLUMN()-2 )</f>
        <v>13.48611825560079</v>
      </c>
      <c r="D42" s="2" cm="1">
        <f t="array" ref="D42">INDEX( ComputeThermoProps($A42, $B42, ParametersRange), 1, COLUMN()-2 )</f>
        <v>1.0455318139627348E-3</v>
      </c>
      <c r="E42" s="2" cm="1">
        <f t="array" ref="E42">INDEX( ComputeThermoProps($A42, $B42, ParametersRange), 1, COLUMN()-2 )</f>
        <v>1.0234658633327778E-3</v>
      </c>
      <c r="F42" s="2" cm="1">
        <f t="array" ref="F42">INDEX( ComputeThermoProps($A42, $B42, ParametersRange), 1, COLUMN()-2 )</f>
        <v>1.1111027254462104E-3</v>
      </c>
      <c r="G42" s="2" cm="1">
        <f t="array" ref="G42">INDEX( ComputeThermoProps($A42, $B42, ParametersRange), 1, COLUMN()-2 )</f>
        <v>14.411398071110886</v>
      </c>
      <c r="H42" s="2" cm="1">
        <f t="array" ref="H42">INDEX( ComputeThermoProps($A42, $B42, ParametersRange), 1, COLUMN()-2 )</f>
        <v>14.107245491439</v>
      </c>
      <c r="I42" s="2" cm="1">
        <f t="array" ref="I42">INDEX( ComputeThermoProps($A42, $B42, ParametersRange), 1, COLUMN()-2 )</f>
        <v>1.0159251230784594</v>
      </c>
      <c r="J42" s="2" cm="1">
        <f t="array" ref="J42">INDEX( ComputeThermoProps($A42, $B42, ParametersRange), 1, COLUMN()-2 )</f>
        <v>104.05446520263747</v>
      </c>
      <c r="K42" s="2" cm="1">
        <f t="array" ref="K42">INDEX( ComputeThermoProps($A42, $B42, ParametersRange), 1, COLUMN()-2 )</f>
        <v>7.9294465122824969</v>
      </c>
      <c r="L42" s="2" cm="1">
        <f t="array" ref="L42">INDEX( ComputeThermoProps($A42, $B42, ParametersRange), 1, COLUMN()-2 )</f>
        <v>-47.397963181958225</v>
      </c>
      <c r="M42" s="2" cm="1">
        <f t="array" ref="M42">INDEX( ComputeThermoProps($A42, $B42, ParametersRange), 1, COLUMN()-2 )</f>
        <v>104.07268425027064</v>
      </c>
      <c r="N42" s="2" cm="1">
        <f t="array" ref="N42">INDEX( ComputeThermoProps($A42, $B42, ParametersRange), 1, COLUMN()-2 )</f>
        <v>-47.379744134325058</v>
      </c>
      <c r="P42">
        <f t="shared" si="1"/>
        <v>-1493.4535806376989</v>
      </c>
    </row>
    <row r="43" spans="1:16" x14ac:dyDescent="0.25">
      <c r="A43" s="2">
        <v>20.100000000000001</v>
      </c>
      <c r="B43" s="2">
        <f t="shared" si="0"/>
        <v>2.770164685567214E-3</v>
      </c>
      <c r="C43" s="2" cm="1">
        <f t="array" ref="C43">INDEX( ComputeThermoProps($A43, $B43, ParametersRange), 1, COLUMN()-2 )</f>
        <v>13.501536497770035</v>
      </c>
      <c r="D43" s="2" cm="1">
        <f t="array" ref="D43">INDEX( ComputeThermoProps($A43, $B43, ParametersRange), 1, COLUMN()-2 )</f>
        <v>1.0512612071793027E-3</v>
      </c>
      <c r="E43" s="2" cm="1">
        <f t="array" ref="E43">INDEX( ComputeThermoProps($A43, $B43, ParametersRange), 1, COLUMN()-2 )</f>
        <v>1.0265427325668415E-3</v>
      </c>
      <c r="F43" s="2" cm="1">
        <f t="array" ref="F43">INDEX( ComputeThermoProps($A43, $B43, ParametersRange), 1, COLUMN()-2 )</f>
        <v>1.176506724876875E-3</v>
      </c>
      <c r="G43" s="2" cm="1">
        <f t="array" ref="G43">INDEX( ComputeThermoProps($A43, $B43, ParametersRange), 1, COLUMN()-2 )</f>
        <v>15.196599336438188</v>
      </c>
      <c r="H43" s="2" cm="1">
        <f t="array" ref="H43">INDEX( ComputeThermoProps($A43, $B43, ParametersRange), 1, COLUMN()-2 )</f>
        <v>14.839279240986949</v>
      </c>
      <c r="I43" s="2" cm="1">
        <f t="array" ref="I43">INDEX( ComputeThermoProps($A43, $B43, ParametersRange), 1, COLUMN()-2 )</f>
        <v>1.0182493995266284</v>
      </c>
      <c r="J43" s="2" cm="1">
        <f t="array" ref="J43">INDEX( ComputeThermoProps($A43, $B43, ParametersRange), 1, COLUMN()-2 )</f>
        <v>118.86260091660948</v>
      </c>
      <c r="K43" s="2" cm="1">
        <f t="array" ref="K43">INDEX( ComputeThermoProps($A43, $B43, ParametersRange), 1, COLUMN()-2 )</f>
        <v>8.6849568102719061</v>
      </c>
      <c r="L43" s="2" cm="1">
        <f t="array" ref="L43">INDEX( ComputeThermoProps($A43, $B43, ParametersRange), 1, COLUMN()-2 )</f>
        <v>-55.705030969855848</v>
      </c>
      <c r="M43" s="2" cm="1">
        <f t="array" ref="M43">INDEX( ComputeThermoProps($A43, $B43, ParametersRange), 1, COLUMN()-2 )</f>
        <v>118.90000239621649</v>
      </c>
      <c r="N43" s="2" cm="1">
        <f t="array" ref="N43">INDEX( ComputeThermoProps($A43, $B43, ParametersRange), 1, COLUMN()-2 )</f>
        <v>-55.667629490248835</v>
      </c>
      <c r="P43">
        <f t="shared" si="1"/>
        <v>-1478.6262624917531</v>
      </c>
    </row>
    <row r="44" spans="1:16" x14ac:dyDescent="0.25">
      <c r="A44" s="2">
        <v>21.1</v>
      </c>
      <c r="B44" s="2">
        <f t="shared" si="0"/>
        <v>5.4123951021896833E-3</v>
      </c>
      <c r="C44" s="2" cm="1">
        <f t="array" ref="C44">INDEX( ComputeThermoProps($A44, $B44, ParametersRange), 1, COLUMN()-2 )</f>
        <v>13.517815153580594</v>
      </c>
      <c r="D44" s="2" cm="1">
        <f t="array" ref="D44">INDEX( ComputeThermoProps($A44, $B44, ParametersRange), 1, COLUMN()-2 )</f>
        <v>1.0571603841859547E-3</v>
      </c>
      <c r="E44" s="2" cm="1">
        <f t="array" ref="E44">INDEX( ComputeThermoProps($A44, $B44, ParametersRange), 1, COLUMN()-2 )</f>
        <v>1.0296964399542955E-3</v>
      </c>
      <c r="F44" s="2" cm="1">
        <f t="array" ref="F44">INDEX( ComputeThermoProps($A44, $B44, ParametersRange), 1, COLUMN()-2 )</f>
        <v>1.2384271427174798E-3</v>
      </c>
      <c r="G44" s="2" cm="1">
        <f t="array" ref="G44">INDEX( ComputeThermoProps($A44, $B44, ParametersRange), 1, COLUMN()-2 )</f>
        <v>15.928210044215032</v>
      </c>
      <c r="H44" s="2" cm="1">
        <f t="array" ref="H44">INDEX( ComputeThermoProps($A44, $B44, ParametersRange), 1, COLUMN()-2 )</f>
        <v>15.514411458013445</v>
      </c>
      <c r="I44" s="2" cm="1">
        <f t="array" ref="I44">INDEX( ComputeThermoProps($A44, $B44, ParametersRange), 1, COLUMN()-2 )</f>
        <v>1.0207062642096387</v>
      </c>
      <c r="J44" s="2" cm="1">
        <f t="array" ref="J44">INDEX( ComputeThermoProps($A44, $B44, ParametersRange), 1, COLUMN()-2 )</f>
        <v>134.42837554996976</v>
      </c>
      <c r="K44" s="2" cm="1">
        <f t="array" ref="K44">INDEX( ComputeThermoProps($A44, $B44, ParametersRange), 1, COLUMN()-2 )</f>
        <v>9.4405827799229538</v>
      </c>
      <c r="L44" s="2" cm="1">
        <f t="array" ref="L44">INDEX( ComputeThermoProps($A44, $B44, ParametersRange), 1, COLUMN()-2 )</f>
        <v>-64.767921106404586</v>
      </c>
      <c r="M44" s="2" cm="1">
        <f t="array" ref="M44">INDEX( ComputeThermoProps($A44, $B44, ParametersRange), 1, COLUMN()-2 )</f>
        <v>134.5015393064993</v>
      </c>
      <c r="N44" s="2" cm="1">
        <f t="array" ref="N44">INDEX( ComputeThermoProps($A44, $B44, ParametersRange), 1, COLUMN()-2 )</f>
        <v>-64.694757349875047</v>
      </c>
      <c r="P44">
        <f t="shared" si="1"/>
        <v>-1463.0247255814702</v>
      </c>
    </row>
    <row r="45" spans="1:16" x14ac:dyDescent="0.25">
      <c r="A45" s="2">
        <v>22.1</v>
      </c>
      <c r="B45" s="2">
        <f t="shared" si="0"/>
        <v>1.0169380105608659E-2</v>
      </c>
      <c r="C45" s="2" cm="1">
        <f t="array" ref="C45">INDEX( ComputeThermoProps($A45, $B45, ParametersRange), 1, COLUMN()-2 )</f>
        <v>13.534898485519726</v>
      </c>
      <c r="D45" s="2" cm="1">
        <f t="array" ref="D45">INDEX( ComputeThermoProps($A45, $B45, ParametersRange), 1, COLUMN()-2 )</f>
        <v>1.0631978222650613E-3</v>
      </c>
      <c r="E45" s="2" cm="1">
        <f t="array" ref="E45">INDEX( ComputeThermoProps($A45, $B45, ParametersRange), 1, COLUMN()-2 )</f>
        <v>1.0329000882485658E-3</v>
      </c>
      <c r="F45" s="2" cm="1">
        <f t="array" ref="F45">INDEX( ComputeThermoProps($A45, $B45, ParametersRange), 1, COLUMN()-2 )</f>
        <v>1.2970651228051786E-3</v>
      </c>
      <c r="G45" s="2" cm="1">
        <f t="array" ref="G45">INDEX( ComputeThermoProps($A45, $B45, ParametersRange), 1, COLUMN()-2 )</f>
        <v>16.609658033922852</v>
      </c>
      <c r="H45" s="2" cm="1">
        <f t="array" ref="H45">INDEX( ComputeThermoProps($A45, $B45, ParametersRange), 1, COLUMN()-2 )</f>
        <v>16.136335957185864</v>
      </c>
      <c r="I45" s="2" cm="1">
        <f t="array" ref="I45">INDEX( ComputeThermoProps($A45, $B45, ParametersRange), 1, COLUMN()-2 )</f>
        <v>1.0232877586145979</v>
      </c>
      <c r="J45" s="2" cm="1">
        <f t="array" ref="J45">INDEX( ComputeThermoProps($A45, $B45, ParametersRange), 1, COLUMN()-2 )</f>
        <v>150.69944079546636</v>
      </c>
      <c r="K45" s="2" cm="1">
        <f t="array" ref="K45">INDEX( ComputeThermoProps($A45, $B45, ParametersRange), 1, COLUMN()-2 )</f>
        <v>10.193889634210352</v>
      </c>
      <c r="L45" s="2" cm="1">
        <f t="array" ref="L45">INDEX( ComputeThermoProps($A45, $B45, ParametersRange), 1, COLUMN()-2 )</f>
        <v>-74.585520120582444</v>
      </c>
      <c r="M45" s="2" cm="1">
        <f t="array" ref="M45">INDEX( ComputeThermoProps($A45, $B45, ParametersRange), 1, COLUMN()-2 )</f>
        <v>150.83708232285645</v>
      </c>
      <c r="N45" s="2" cm="1">
        <f t="array" ref="N45">INDEX( ComputeThermoProps($A45, $B45, ParametersRange), 1, COLUMN()-2 )</f>
        <v>-74.447878593192357</v>
      </c>
      <c r="P45">
        <f t="shared" si="1"/>
        <v>-1446.689182565113</v>
      </c>
    </row>
    <row r="46" spans="1:16" x14ac:dyDescent="0.25">
      <c r="A46" s="2">
        <v>23.1</v>
      </c>
      <c r="B46" s="2">
        <f t="shared" si="0"/>
        <v>1.8542300916479761E-2</v>
      </c>
      <c r="C46" s="2" cm="1">
        <f t="array" ref="C46">INDEX( ComputeThermoProps($A46, $B46, ParametersRange), 1, COLUMN()-2 )</f>
        <v>13.552724366768501</v>
      </c>
      <c r="D46" s="2" cm="1">
        <f t="array" ref="D46">INDEX( ComputeThermoProps($A46, $B46, ParametersRange), 1, COLUMN()-2 )</f>
        <v>1.0693417799244047E-3</v>
      </c>
      <c r="E46" s="2" cm="1">
        <f t="array" ref="E46">INDEX( ComputeThermoProps($A46, $B46, ParametersRange), 1, COLUMN()-2 )</f>
        <v>1.036126019421082E-3</v>
      </c>
      <c r="F46" s="2" cm="1">
        <f t="array" ref="F46">INDEX( ComputeThermoProps($A46, $B46, ParametersRange), 1, COLUMN()-2 )</f>
        <v>1.3526288801514381E-3</v>
      </c>
      <c r="G46" s="2" cm="1">
        <f t="array" ref="G46">INDEX( ComputeThermoProps($A46, $B46, ParametersRange), 1, COLUMN()-2 )</f>
        <v>17.244543295052715</v>
      </c>
      <c r="H46" s="2" cm="1">
        <f t="array" ref="H46">INDEX( ComputeThermoProps($A46, $B46, ParametersRange), 1, COLUMN()-2 )</f>
        <v>16.708895449966047</v>
      </c>
      <c r="I46" s="2" cm="1">
        <f t="array" ref="I46">INDEX( ComputeThermoProps($A46, $B46, ParametersRange), 1, COLUMN()-2 )</f>
        <v>1.0259849370342806</v>
      </c>
      <c r="J46" s="2" cm="1">
        <f t="array" ref="J46">INDEX( ComputeThermoProps($A46, $B46, ParametersRange), 1, COLUMN()-2 )</f>
        <v>167.62661096699901</v>
      </c>
      <c r="K46" s="2" cm="1">
        <f t="array" ref="K46">INDEX( ComputeThermoProps($A46, $B46, ParametersRange), 1, COLUMN()-2 )</f>
        <v>10.942907123460239</v>
      </c>
      <c r="L46" s="2" cm="1">
        <f t="array" ref="L46">INDEX( ComputeThermoProps($A46, $B46, ParametersRange), 1, COLUMN()-2 )</f>
        <v>-85.15454358493254</v>
      </c>
      <c r="M46" s="2" cm="1">
        <f t="array" ref="M46">INDEX( ComputeThermoProps($A46, $B46, ParametersRange), 1, COLUMN()-2 )</f>
        <v>167.87790966044574</v>
      </c>
      <c r="N46" s="2" cm="1">
        <f t="array" ref="N46">INDEX( ComputeThermoProps($A46, $B46, ParametersRange), 1, COLUMN()-2 )</f>
        <v>-84.903244891485812</v>
      </c>
      <c r="P46">
        <f t="shared" si="1"/>
        <v>-1429.6483552275238</v>
      </c>
    </row>
    <row r="47" spans="1:16" x14ac:dyDescent="0.25">
      <c r="A47" s="2">
        <v>24.1</v>
      </c>
      <c r="B47" s="2">
        <f t="shared" si="0"/>
        <v>3.3189241114309674E-2</v>
      </c>
      <c r="C47" s="2" cm="1">
        <f t="array" ref="C47">INDEX( ComputeThermoProps($A47, $B47, ParametersRange), 1, COLUMN()-2 )</f>
        <v>13.571216016232501</v>
      </c>
      <c r="D47" s="2" cm="1">
        <f t="array" ref="D47">INDEX( ComputeThermoProps($A47, $B47, ParametersRange), 1, COLUMN()-2 )</f>
        <v>1.0755588212051814E-3</v>
      </c>
      <c r="E47" s="2" cm="1">
        <f t="array" ref="E47">INDEX( ComputeThermoProps($A47, $B47, ParametersRange), 1, COLUMN()-2 )</f>
        <v>1.0393447993194281E-3</v>
      </c>
      <c r="F47" s="2" cm="1">
        <f t="array" ref="F47">INDEX( ComputeThermoProps($A47, $B47, ParametersRange), 1, COLUMN()-2 )</f>
        <v>1.4053185214641739E-3</v>
      </c>
      <c r="G47" s="2" cm="1">
        <f t="array" ref="G47">INDEX( ComputeThermoProps($A47, $B47, ParametersRange), 1, COLUMN()-2 )</f>
        <v>17.836456803099868</v>
      </c>
      <c r="H47" s="2" cm="1">
        <f t="array" ref="H47">INDEX( ComputeThermoProps($A47, $B47, ParametersRange), 1, COLUMN()-2 )</f>
        <v>17.235904025978876</v>
      </c>
      <c r="I47" s="2" cm="1">
        <f t="array" ref="I47">INDEX( ComputeThermoProps($A47, $B47, ParametersRange), 1, COLUMN()-2 )</f>
        <v>1.0287866020455589</v>
      </c>
      <c r="J47" s="2" cm="1">
        <f t="array" ref="J47">INDEX( ComputeThermoProps($A47, $B47, ParametersRange), 1, COLUMN()-2 )</f>
        <v>185.16358757928771</v>
      </c>
      <c r="K47" s="2" cm="1">
        <f t="array" ref="K47">INDEX( ComputeThermoProps($A47, $B47, ParametersRange), 1, COLUMN()-2 )</f>
        <v>11.68603988843881</v>
      </c>
      <c r="L47" s="2" cm="1">
        <f t="array" ref="L47">INDEX( ComputeThermoProps($A47, $B47, ParametersRange), 1, COLUMN()-2 )</f>
        <v>-96.469973732087624</v>
      </c>
      <c r="M47" s="2" cm="1">
        <f t="array" ref="M47">INDEX( ComputeThermoProps($A47, $B47, ParametersRange), 1, COLUMN()-2 )</f>
        <v>185.61400593986482</v>
      </c>
      <c r="N47" s="2" cm="1">
        <f t="array" ref="N47">INDEX( ComputeThermoProps($A47, $B47, ParametersRange), 1, COLUMN()-2 )</f>
        <v>-96.019555371510506</v>
      </c>
      <c r="P47">
        <f t="shared" si="1"/>
        <v>-1411.9122589481046</v>
      </c>
    </row>
    <row r="48" spans="1:16" x14ac:dyDescent="0.25">
      <c r="A48" s="2">
        <v>25.1</v>
      </c>
      <c r="B48" s="2">
        <f t="shared" si="0"/>
        <v>13.81116381471697</v>
      </c>
      <c r="C48" s="2" cm="1">
        <f t="array" ref="C48">INDEX( ComputeThermoProps($A48, $B48, ParametersRange), 1, COLUMN()-2 )</f>
        <v>13.393480639513635</v>
      </c>
      <c r="D48" s="2" cm="1">
        <f t="array" ref="D48">INDEX( ComputeThermoProps($A48, $B48, ParametersRange), 1, COLUMN()-2 )</f>
        <v>1.0375434755337809E-3</v>
      </c>
      <c r="E48" s="2" cm="1">
        <f t="array" ref="E48">INDEX( ComputeThermoProps($A48, $B48, ParametersRange), 1, COLUMN()-2 )</f>
        <v>1.0031678252999051E-3</v>
      </c>
      <c r="F48" s="2" cm="1">
        <f t="array" ref="F48">INDEX( ComputeThermoProps($A48, $B48, ParametersRange), 1, COLUMN()-2 )</f>
        <v>1.3624761984769224E-3</v>
      </c>
      <c r="G48" s="2" cm="1">
        <f t="array" ref="G48">INDEX( ComputeThermoProps($A48, $B48, ParametersRange), 1, COLUMN()-2 )</f>
        <v>18.154074036689337</v>
      </c>
      <c r="H48" s="2" cm="1">
        <f t="array" ref="H48">INDEX( ComputeThermoProps($A48, $B48, ParametersRange), 1, COLUMN()-2 )</f>
        <v>17.552597458482278</v>
      </c>
      <c r="I48" s="2" cm="1">
        <f t="array" ref="I48">INDEX( ComputeThermoProps($A48, $B48, ParametersRange), 1, COLUMN()-2 )</f>
        <v>1.0020160583754143</v>
      </c>
      <c r="J48" s="2" cm="1">
        <f t="array" ref="J48">INDEX( ComputeThermoProps($A48, $B48, ParametersRange), 1, COLUMN()-2 )</f>
        <v>198.05291284798315</v>
      </c>
      <c r="K48" s="2" cm="1">
        <f t="array" ref="K48">INDEX( ComputeThermoProps($A48, $B48, ParametersRange), 1, COLUMN()-2 )</f>
        <v>12.160412664275908</v>
      </c>
      <c r="L48" s="2" cm="1">
        <f t="array" ref="L48">INDEX( ComputeThermoProps($A48, $B48, ParametersRange), 1, COLUMN()-2 )</f>
        <v>-107.17344502534216</v>
      </c>
      <c r="M48" s="2" cm="1">
        <f t="array" ref="M48">INDEX( ComputeThermoProps($A48, $B48, ParametersRange), 1, COLUMN()-2 )</f>
        <v>383.03246800954616</v>
      </c>
      <c r="N48" s="2" cm="1">
        <f t="array" ref="N48">INDEX( ComputeThermoProps($A48, $B48, ParametersRange), 1, COLUMN()-2 )</f>
        <v>77.806110136220852</v>
      </c>
      <c r="P48">
        <f t="shared" si="1"/>
        <v>-1214.4937968784234</v>
      </c>
    </row>
    <row r="49" spans="1:16" x14ac:dyDescent="0.25">
      <c r="A49" s="2">
        <v>26.1</v>
      </c>
      <c r="B49" s="2">
        <f t="shared" si="0"/>
        <v>19.464628332074657</v>
      </c>
      <c r="C49" s="2" cm="1">
        <f t="array" ref="C49">INDEX( ComputeThermoProps($A49, $B49, ParametersRange), 1, COLUMN()-2 )</f>
        <v>13.333856659881818</v>
      </c>
      <c r="D49" s="2" cm="1">
        <f t="array" ref="D49">INDEX( ComputeThermoProps($A49, $B49, ParametersRange), 1, COLUMN()-2 )</f>
        <v>1.0238038644320004E-3</v>
      </c>
      <c r="E49" s="2" cm="1">
        <f t="array" ref="E49">INDEX( ComputeThermoProps($A49, $B49, ParametersRange), 1, COLUMN()-2 )</f>
        <v>9.8874138714086278E-4</v>
      </c>
      <c r="F49" s="2" cm="1">
        <f t="array" ref="F49">INDEX( ComputeThermoProps($A49, $B49, ParametersRange), 1, COLUMN()-2 )</f>
        <v>1.3681069187772826E-3</v>
      </c>
      <c r="G49" s="2" cm="1">
        <f t="array" ref="G49">INDEX( ComputeThermoProps($A49, $B49, ParametersRange), 1, COLUMN()-2 )</f>
        <v>18.577778072435521</v>
      </c>
      <c r="H49" s="2" cm="1">
        <f t="array" ref="H49">INDEX( ComputeThermoProps($A49, $B49, ParametersRange), 1, COLUMN()-2 )</f>
        <v>17.941540073718894</v>
      </c>
      <c r="I49" s="2" cm="1">
        <f t="array" ref="I49">INDEX( ComputeThermoProps($A49, $B49, ParametersRange), 1, COLUMN()-2 )</f>
        <v>0.99311453313777776</v>
      </c>
      <c r="J49" s="2" cm="1">
        <f t="array" ref="J49">INDEX( ComputeThermoProps($A49, $B49, ParametersRange), 1, COLUMN()-2 )</f>
        <v>214.77164577381842</v>
      </c>
      <c r="K49" s="2" cm="1">
        <f t="array" ref="K49">INDEX( ComputeThermoProps($A49, $B49, ParametersRange), 1, COLUMN()-2 )</f>
        <v>12.774797885127473</v>
      </c>
      <c r="L49" s="2" cm="1">
        <f t="array" ref="L49">INDEX( ComputeThermoProps($A49, $B49, ParametersRange), 1, COLUMN()-2 )</f>
        <v>-118.65057902800865</v>
      </c>
      <c r="M49" s="2" cm="1">
        <f t="array" ref="M49">INDEX( ComputeThermoProps($A49, $B49, ParametersRange), 1, COLUMN()-2 )</f>
        <v>474.31020989157639</v>
      </c>
      <c r="N49" s="2" cm="1">
        <f t="array" ref="N49">INDEX( ComputeThermoProps($A49, $B49, ParametersRange), 1, COLUMN()-2 )</f>
        <v>140.88798508974932</v>
      </c>
      <c r="P49">
        <f t="shared" si="1"/>
        <v>-1123.2160549963933</v>
      </c>
    </row>
    <row r="50" spans="1:16" x14ac:dyDescent="0.25">
      <c r="A50" s="2">
        <v>27.1</v>
      </c>
      <c r="B50" s="2">
        <f t="shared" si="0"/>
        <v>24.894887153870684</v>
      </c>
      <c r="C50" s="2" cm="1">
        <f t="array" ref="C50">INDEX( ComputeThermoProps($A50, $B50, ParametersRange), 1, COLUMN()-2 )</f>
        <v>13.27860096098768</v>
      </c>
      <c r="D50" s="2" cm="1">
        <f t="array" ref="D50">INDEX( ComputeThermoProps($A50, $B50, ParametersRange), 1, COLUMN()-2 )</f>
        <v>1.0101174652598736E-3</v>
      </c>
      <c r="E50" s="2" cm="1">
        <f t="array" ref="E50">INDEX( ComputeThermoProps($A50, $B50, ParametersRange), 1, COLUMN()-2 )</f>
        <v>9.7444985457745758E-4</v>
      </c>
      <c r="F50" s="2" cm="1">
        <f t="array" ref="F50">INDEX( ComputeThermoProps($A50, $B50, ParametersRange), 1, COLUMN()-2 )</f>
        <v>1.3713642335589562E-3</v>
      </c>
      <c r="G50" s="2" cm="1">
        <f t="array" ref="G50">INDEX( ComputeThermoProps($A50, $B50, ParametersRange), 1, COLUMN()-2 )</f>
        <v>18.973752457167944</v>
      </c>
      <c r="H50" s="2" cm="1">
        <f t="array" ref="H50">INDEX( ComputeThermoProps($A50, $B50, ParametersRange), 1, COLUMN()-2 )</f>
        <v>18.30378243971785</v>
      </c>
      <c r="I50" s="2" cm="1">
        <f t="array" ref="I50">INDEX( ComputeThermoProps($A50, $B50, ParametersRange), 1, COLUMN()-2 )</f>
        <v>0.98490062517253874</v>
      </c>
      <c r="J50" s="2" cm="1">
        <f t="array" ref="J50">INDEX( ComputeThermoProps($A50, $B50, ParametersRange), 1, COLUMN()-2 )</f>
        <v>232.14169302661523</v>
      </c>
      <c r="K50" s="2" cm="1">
        <f t="array" ref="K50">INDEX( ComputeThermoProps($A50, $B50, ParametersRange), 1, COLUMN()-2 )</f>
        <v>13.381788682854101</v>
      </c>
      <c r="L50" s="2" cm="1">
        <f t="array" ref="L50">INDEX( ComputeThermoProps($A50, $B50, ParametersRange), 1, COLUMN()-2 )</f>
        <v>-130.50478027873092</v>
      </c>
      <c r="M50" s="2" cm="1">
        <f t="array" ref="M50">INDEX( ComputeThermoProps($A50, $B50, ParametersRange), 1, COLUMN()-2 )</f>
        <v>562.71096551168239</v>
      </c>
      <c r="N50" s="2" cm="1">
        <f t="array" ref="N50">INDEX( ComputeThermoProps($A50, $B50, ParametersRange), 1, COLUMN()-2 )</f>
        <v>200.06449220633624</v>
      </c>
      <c r="P50">
        <f t="shared" si="1"/>
        <v>-1034.8152993762872</v>
      </c>
    </row>
    <row r="51" spans="1:16" x14ac:dyDescent="0.25">
      <c r="A51" s="2">
        <v>28.1</v>
      </c>
      <c r="B51" s="2">
        <f t="shared" si="0"/>
        <v>30.569319726806857</v>
      </c>
      <c r="C51" s="2" cm="1">
        <f t="array" ref="C51">INDEX( ComputeThermoProps($A51, $B51, ParametersRange), 1, COLUMN()-2 )</f>
        <v>13.221386173805726</v>
      </c>
      <c r="D51" s="2" cm="1">
        <f t="array" ref="D51">INDEX( ComputeThermoProps($A51, $B51, ParametersRange), 1, COLUMN()-2 )</f>
        <v>9.9479930449812549E-4</v>
      </c>
      <c r="E51" s="2" cm="1">
        <f t="array" ref="E51">INDEX( ComputeThermoProps($A51, $B51, ParametersRange), 1, COLUMN()-2 )</f>
        <v>9.587795172762315E-4</v>
      </c>
      <c r="F51" s="2" cm="1">
        <f t="array" ref="F51">INDEX( ComputeThermoProps($A51, $B51, ParametersRange), 1, COLUMN()-2 )</f>
        <v>1.3692234285443375E-3</v>
      </c>
      <c r="G51" s="2" cm="1">
        <f t="array" ref="G51">INDEX( ComputeThermoProps($A51, $B51, ParametersRange), 1, COLUMN()-2 )</f>
        <v>19.337076290010465</v>
      </c>
      <c r="H51" s="2" cm="1">
        <f t="array" ref="H51">INDEX( ComputeThermoProps($A51, $B51, ParametersRange), 1, COLUMN()-2 )</f>
        <v>18.636917604424028</v>
      </c>
      <c r="I51" s="2" cm="1">
        <f t="array" ref="I51">INDEX( ComputeThermoProps($A51, $B51, ParametersRange), 1, COLUMN()-2 )</f>
        <v>0.97643143815534128</v>
      </c>
      <c r="J51" s="2" cm="1">
        <f t="array" ref="J51">INDEX( ComputeThermoProps($A51, $B51, ParametersRange), 1, COLUMN()-2 )</f>
        <v>250.04137102503211</v>
      </c>
      <c r="K51" s="2" cm="1">
        <f t="array" ref="K51">INDEX( ComputeThermoProps($A51, $B51, ParametersRange), 1, COLUMN()-2 )</f>
        <v>13.972894584035524</v>
      </c>
      <c r="L51" s="2" cm="1">
        <f t="array" ref="L51">INDEX( ComputeThermoProps($A51, $B51, ParametersRange), 1, COLUMN()-2 )</f>
        <v>-142.59696678636615</v>
      </c>
      <c r="M51" s="2" cm="1">
        <f t="array" ref="M51">INDEX( ComputeThermoProps($A51, $B51, ParametersRange), 1, COLUMN()-2 )</f>
        <v>654.21015220368292</v>
      </c>
      <c r="N51" s="2" cm="1">
        <f t="array" ref="N51">INDEX( ComputeThermoProps($A51, $B51, ParametersRange), 1, COLUMN()-2 )</f>
        <v>261.57181439228469</v>
      </c>
      <c r="P51">
        <f t="shared" si="1"/>
        <v>-943.31611268428662</v>
      </c>
    </row>
    <row r="52" spans="1:16" x14ac:dyDescent="0.25">
      <c r="A52" s="2">
        <v>29.1</v>
      </c>
      <c r="B52" s="2">
        <f t="shared" si="0"/>
        <v>36.545553895931427</v>
      </c>
      <c r="C52" s="2" cm="1">
        <f t="array" ref="C52">INDEX( ComputeThermoProps($A52, $B52, ParametersRange), 1, COLUMN()-2 )</f>
        <v>13.161648161760784</v>
      </c>
      <c r="D52" s="2" cm="1">
        <f t="array" ref="D52">INDEX( ComputeThermoProps($A52, $B52, ParametersRange), 1, COLUMN()-2 )</f>
        <v>9.7764102207103859E-4</v>
      </c>
      <c r="E52" s="2" cm="1">
        <f t="array" ref="E52">INDEX( ComputeThermoProps($A52, $B52, ParametersRange), 1, COLUMN()-2 )</f>
        <v>9.4154377287293685E-4</v>
      </c>
      <c r="F52" s="2" cm="1">
        <f t="array" ref="F52">INDEX( ComputeThermoProps($A52, $B52, ParametersRange), 1, COLUMN()-2 )</f>
        <v>1.3615458665444686E-3</v>
      </c>
      <c r="G52" s="2" cm="1">
        <f t="array" ref="G52">INDEX( ComputeThermoProps($A52, $B52, ParametersRange), 1, COLUMN()-2 )</f>
        <v>19.66951767326163</v>
      </c>
      <c r="H52" s="2" cm="1">
        <f t="array" ref="H52">INDEX( ComputeThermoProps($A52, $B52, ParametersRange), 1, COLUMN()-2 )</f>
        <v>18.943263900118918</v>
      </c>
      <c r="I52" s="2" cm="1">
        <f t="array" ref="I52">INDEX( ComputeThermoProps($A52, $B52, ParametersRange), 1, COLUMN()-2 )</f>
        <v>0.96762777774413944</v>
      </c>
      <c r="J52" s="2" cm="1">
        <f t="array" ref="J52">INDEX( ComputeThermoProps($A52, $B52, ParametersRange), 1, COLUMN()-2 )</f>
        <v>268.47165955821561</v>
      </c>
      <c r="K52" s="2" cm="1">
        <f t="array" ref="K52">INDEX( ComputeThermoProps($A52, $B52, ParametersRange), 1, COLUMN()-2 )</f>
        <v>14.547273984806576</v>
      </c>
      <c r="L52" s="2" cm="1">
        <f t="array" ref="L52">INDEX( ComputeThermoProps($A52, $B52, ParametersRange), 1, COLUMN()-2 )</f>
        <v>-154.8540133996558</v>
      </c>
      <c r="M52" s="2" cm="1">
        <f t="array" ref="M52">INDEX( ComputeThermoProps($A52, $B52, ParametersRange), 1, COLUMN()-2 )</f>
        <v>749.47138181313107</v>
      </c>
      <c r="N52" s="2" cm="1">
        <f t="array" ref="N52">INDEX( ComputeThermoProps($A52, $B52, ParametersRange), 1, COLUMN()-2 )</f>
        <v>326.14570885525967</v>
      </c>
      <c r="P52">
        <f t="shared" si="1"/>
        <v>-848.05488307483847</v>
      </c>
    </row>
    <row r="53" spans="1:16" x14ac:dyDescent="0.25">
      <c r="A53" s="2">
        <v>30.1</v>
      </c>
      <c r="B53" s="2">
        <f t="shared" si="0"/>
        <v>42.823401186547635</v>
      </c>
      <c r="C53" s="2" cm="1">
        <f t="array" ref="C53">INDEX( ComputeThermoProps($A53, $B53, ParametersRange), 1, COLUMN()-2 )</f>
        <v>13.099633132626778</v>
      </c>
      <c r="D53" s="2" cm="1">
        <f t="array" ref="D53">INDEX( ComputeThermoProps($A53, $B53, ParametersRange), 1, COLUMN()-2 )</f>
        <v>9.5870021546967091E-4</v>
      </c>
      <c r="E53" s="2" cm="1">
        <f t="array" ref="E53">INDEX( ComputeThermoProps($A53, $B53, ParametersRange), 1, COLUMN()-2 )</f>
        <v>9.2279279946861942E-4</v>
      </c>
      <c r="F53" s="2" cm="1">
        <f t="array" ref="F53">INDEX( ComputeThermoProps($A53, $B53, ParametersRange), 1, COLUMN()-2 )</f>
        <v>1.3486753546161512E-3</v>
      </c>
      <c r="G53" s="2" cm="1">
        <f t="array" ref="G53">INDEX( ComputeThermoProps($A53, $B53, ParametersRange), 1, COLUMN()-2 )</f>
        <v>19.97359861599617</v>
      </c>
      <c r="H53" s="2" cm="1">
        <f t="array" ref="H53">INDEX( ComputeThermoProps($A53, $B53, ParametersRange), 1, COLUMN()-2 )</f>
        <v>19.225502075524194</v>
      </c>
      <c r="I53" s="2" cm="1">
        <f t="array" ref="I53">INDEX( ComputeThermoProps($A53, $B53, ParametersRange), 1, COLUMN()-2 )</f>
        <v>0.95853072659040583</v>
      </c>
      <c r="J53" s="2" cm="1">
        <f t="array" ref="J53">INDEX( ComputeThermoProps($A53, $B53, ParametersRange), 1, COLUMN()-2 )</f>
        <v>287.44842024728803</v>
      </c>
      <c r="K53" s="2" cm="1">
        <f t="array" ref="K53">INDEX( ComputeThermoProps($A53, $B53, ParametersRange), 1, COLUMN()-2 )</f>
        <v>15.105295377900182</v>
      </c>
      <c r="L53" s="2" cm="1">
        <f t="array" ref="L53">INDEX( ComputeThermoProps($A53, $B53, ParametersRange), 1, COLUMN()-2 )</f>
        <v>-167.22097062750748</v>
      </c>
      <c r="M53" s="2" cm="1">
        <f t="array" ref="M53">INDEX( ComputeThermoProps($A53, $B53, ParametersRange), 1, COLUMN()-2 )</f>
        <v>848.41926528235626</v>
      </c>
      <c r="N53" s="2" cm="1">
        <f t="array" ref="N53">INDEX( ComputeThermoProps($A53, $B53, ParametersRange), 1, COLUMN()-2 )</f>
        <v>393.74987440756075</v>
      </c>
      <c r="P53">
        <f t="shared" si="1"/>
        <v>-749.10699960561328</v>
      </c>
    </row>
    <row r="54" spans="1:16" x14ac:dyDescent="0.25">
      <c r="A54" s="2">
        <v>31.1</v>
      </c>
      <c r="B54" s="2">
        <f t="shared" si="0"/>
        <v>49.389975184962736</v>
      </c>
      <c r="C54" s="2" cm="1">
        <f t="array" ref="C54">INDEX( ComputeThermoProps($A54, $B54, ParametersRange), 1, COLUMN()-2 )</f>
        <v>13.035759056843107</v>
      </c>
      <c r="D54" s="2" cm="1">
        <f t="array" ref="D54">INDEX( ComputeThermoProps($A54, $B54, ParametersRange), 1, COLUMN()-2 )</f>
        <v>9.3813603915935935E-4</v>
      </c>
      <c r="E54" s="2" cm="1">
        <f t="array" ref="E54">INDEX( ComputeThermoProps($A54, $B54, ParametersRange), 1, COLUMN()-2 )</f>
        <v>9.0266582918500406E-4</v>
      </c>
      <c r="F54" s="2" cm="1">
        <f t="array" ref="F54">INDEX( ComputeThermoProps($A54, $B54, ParametersRange), 1, COLUMN()-2 )</f>
        <v>1.3311161280941993E-3</v>
      </c>
      <c r="G54" s="2" cm="1">
        <f t="array" ref="G54">INDEX( ComputeThermoProps($A54, $B54, ParametersRange), 1, COLUMN()-2 )</f>
        <v>20.25185668036886</v>
      </c>
      <c r="H54" s="2" cm="1">
        <f t="array" ref="H54">INDEX( ComputeThermoProps($A54, $B54, ParametersRange), 1, COLUMN()-2 )</f>
        <v>19.486149385436541</v>
      </c>
      <c r="I54" s="2" cm="1">
        <f t="array" ref="I54">INDEX( ComputeThermoProps($A54, $B54, ParametersRange), 1, COLUMN()-2 )</f>
        <v>0.94920588583492738</v>
      </c>
      <c r="J54" s="2" cm="1">
        <f t="array" ref="J54">INDEX( ComputeThermoProps($A54, $B54, ParametersRange), 1, COLUMN()-2 )</f>
        <v>306.98830725720245</v>
      </c>
      <c r="K54" s="2" cm="1">
        <f t="array" ref="K54">INDEX( ComputeThermoProps($A54, $B54, ParametersRange), 1, COLUMN()-2 )</f>
        <v>15.6476698936653</v>
      </c>
      <c r="L54" s="2" cm="1">
        <f t="array" ref="L54">INDEX( ComputeThermoProps($A54, $B54, ParametersRange), 1, COLUMN()-2 )</f>
        <v>-179.65422643578842</v>
      </c>
      <c r="M54" s="2" cm="1">
        <f t="array" ref="M54">INDEX( ComputeThermoProps($A54, $B54, ParametersRange), 1, COLUMN()-2 )</f>
        <v>950.82412359183672</v>
      </c>
      <c r="N54" s="2" cm="1">
        <f t="array" ref="N54">INDEX( ComputeThermoProps($A54, $B54, ParametersRange), 1, COLUMN()-2 )</f>
        <v>464.18158989884586</v>
      </c>
      <c r="P54">
        <f t="shared" si="1"/>
        <v>-646.70214129613282</v>
      </c>
    </row>
    <row r="55" spans="1:16" x14ac:dyDescent="0.25">
      <c r="A55" s="2">
        <v>32.1</v>
      </c>
      <c r="B55" s="2">
        <f t="shared" si="0"/>
        <v>56.229948618360389</v>
      </c>
      <c r="C55" s="2" cm="1">
        <f t="array" ref="C55">INDEX( ComputeThermoProps($A55, $B55, ParametersRange), 1, COLUMN()-2 )</f>
        <v>12.970466314498626</v>
      </c>
      <c r="D55" s="2" cm="1">
        <f t="array" ref="D55">INDEX( ComputeThermoProps($A55, $B55, ParametersRange), 1, COLUMN()-2 )</f>
        <v>9.1616229479976618E-4</v>
      </c>
      <c r="E55" s="2" cm="1">
        <f t="array" ref="E55">INDEX( ComputeThermoProps($A55, $B55, ParametersRange), 1, COLUMN()-2 )</f>
        <v>8.8134947230163792E-4</v>
      </c>
      <c r="F55" s="2" cm="1">
        <f t="array" ref="F55">INDEX( ComputeThermoProps($A55, $B55, ParametersRange), 1, COLUMN()-2 )</f>
        <v>1.3094445159106047E-3</v>
      </c>
      <c r="G55" s="2" cm="1">
        <f t="array" ref="G55">INDEX( ComputeThermoProps($A55, $B55, ParametersRange), 1, COLUMN()-2 )</f>
        <v>20.506691076956031</v>
      </c>
      <c r="H55" s="2" cm="1">
        <f t="array" ref="H55">INDEX( ComputeThermoProps($A55, $B55, ParametersRange), 1, COLUMN()-2 )</f>
        <v>19.727466914885436</v>
      </c>
      <c r="I55" s="2" cm="1">
        <f t="array" ref="I55">INDEX( ComputeThermoProps($A55, $B55, ParametersRange), 1, COLUMN()-2 )</f>
        <v>0.93972104593308781</v>
      </c>
      <c r="J55" s="2" cm="1">
        <f t="array" ref="J55">INDEX( ComputeThermoProps($A55, $B55, ParametersRange), 1, COLUMN()-2 )</f>
        <v>327.10523262177708</v>
      </c>
      <c r="K55" s="2" cm="1">
        <f t="array" ref="K55">INDEX( ComputeThermoProps($A55, $B55, ParametersRange), 1, COLUMN()-2 )</f>
        <v>16.175223635232939</v>
      </c>
      <c r="L55" s="2" cm="1">
        <f t="array" ref="L55">INDEX( ComputeThermoProps($A55, $B55, ParametersRange), 1, COLUMN()-2 )</f>
        <v>-192.11944606920028</v>
      </c>
      <c r="M55" s="2" cm="1">
        <f t="array" ref="M55">INDEX( ComputeThermoProps($A55, $B55, ParametersRange), 1, COLUMN()-2 )</f>
        <v>1056.4338870422091</v>
      </c>
      <c r="N55" s="2" cm="1">
        <f t="array" ref="N55">INDEX( ComputeThermoProps($A55, $B55, ParametersRange), 1, COLUMN()-2 )</f>
        <v>537.20920835123172</v>
      </c>
      <c r="P55">
        <f t="shared" si="1"/>
        <v>-541.09237784576044</v>
      </c>
    </row>
    <row r="56" spans="1:16" x14ac:dyDescent="0.25">
      <c r="A56" s="2">
        <v>33.1</v>
      </c>
      <c r="B56" s="2">
        <f t="shared" si="0"/>
        <v>63.328395862429993</v>
      </c>
      <c r="C56" s="2" cm="1">
        <f t="array" ref="C56">INDEX( ComputeThermoProps($A56, $B56, ParametersRange), 1, COLUMN()-2 )</f>
        <v>12.90417287763783</v>
      </c>
      <c r="D56" s="2" cm="1">
        <f t="array" ref="D56">INDEX( ComputeThermoProps($A56, $B56, ParametersRange), 1, COLUMN()-2 )</f>
        <v>8.9302449231622942E-4</v>
      </c>
      <c r="E56" s="2" cm="1">
        <f t="array" ref="E56">INDEX( ComputeThermoProps($A56, $B56, ParametersRange), 1, COLUMN()-2 )</f>
        <v>8.5905771244728681E-4</v>
      </c>
      <c r="F56" s="2" cm="1">
        <f t="array" ref="F56">INDEX( ComputeThermoProps($A56, $B56, ParametersRange), 1, COLUMN()-2 )</f>
        <v>1.2842687741970132E-3</v>
      </c>
      <c r="G56" s="2" cm="1">
        <f t="array" ref="G56">INDEX( ComputeThermoProps($A56, $B56, ParametersRange), 1, COLUMN()-2 )</f>
        <v>20.740328759571547</v>
      </c>
      <c r="H56" s="2" cm="1">
        <f t="array" ref="H56">INDEX( ComputeThermoProps($A56, $B56, ParametersRange), 1, COLUMN()-2 )</f>
        <v>19.951456575832601</v>
      </c>
      <c r="I56" s="2" cm="1">
        <f t="array" ref="I56">INDEX( ComputeThermoProps($A56, $B56, ParametersRange), 1, COLUMN()-2 )</f>
        <v>0.9301395656455983</v>
      </c>
      <c r="J56" s="2" cm="1">
        <f t="array" ref="J56">INDEX( ComputeThermoProps($A56, $B56, ParametersRange), 1, COLUMN()-2 )</f>
        <v>347.80924577419864</v>
      </c>
      <c r="K56" s="2" cm="1">
        <f t="array" ref="K56">INDEX( ComputeThermoProps($A56, $B56, ParametersRange), 1, COLUMN()-2 )</f>
        <v>16.688812751638373</v>
      </c>
      <c r="L56" s="2" cm="1">
        <f t="array" ref="L56">INDEX( ComputeThermoProps($A56, $B56, ParametersRange), 1, COLUMN()-2 )</f>
        <v>-204.59045630503152</v>
      </c>
      <c r="M56" s="2" cm="1">
        <f t="array" ref="M56">INDEX( ComputeThermoProps($A56, $B56, ParametersRange), 1, COLUMN()-2 )</f>
        <v>1165.0098140464795</v>
      </c>
      <c r="N56" s="2" cm="1">
        <f t="array" ref="N56">INDEX( ComputeThermoProps($A56, $B56, ParametersRange), 1, COLUMN()-2 )</f>
        <v>612.61011196724928</v>
      </c>
      <c r="P56">
        <f t="shared" si="1"/>
        <v>-432.51645084149004</v>
      </c>
    </row>
    <row r="57" spans="1:16" x14ac:dyDescent="0.25">
      <c r="A57" s="2">
        <v>34.1</v>
      </c>
      <c r="B57" s="2">
        <f t="shared" si="0"/>
        <v>70.671580782986652</v>
      </c>
      <c r="C57" s="2" cm="1">
        <f t="array" ref="C57">INDEX( ComputeThermoProps($A57, $B57, ParametersRange), 1, COLUMN()-2 )</f>
        <v>12.837259223932621</v>
      </c>
      <c r="D57" s="2" cm="1">
        <f t="array" ref="D57">INDEX( ComputeThermoProps($A57, $B57, ParametersRange), 1, COLUMN()-2 )</f>
        <v>8.6898354382285126E-4</v>
      </c>
      <c r="E57" s="2" cm="1">
        <f t="array" ref="E57">INDEX( ComputeThermoProps($A57, $B57, ParametersRange), 1, COLUMN()-2 )</f>
        <v>8.3601787173857097E-4</v>
      </c>
      <c r="F57" s="2" cm="1">
        <f t="array" ref="F57">INDEX( ComputeThermoProps($A57, $B57, ParametersRange), 1, COLUMN()-2 )</f>
        <v>1.2562023414312712E-3</v>
      </c>
      <c r="G57" s="2" cm="1">
        <f t="array" ref="G57">INDEX( ComputeThermoProps($A57, $B57, ParametersRange), 1, COLUMN()-2 )</f>
        <v>20.954820877656442</v>
      </c>
      <c r="H57" s="2" cm="1">
        <f t="array" ref="H57">INDEX( ComputeThermoProps($A57, $B57, ParametersRange), 1, COLUMN()-2 )</f>
        <v>20.159880906067663</v>
      </c>
      <c r="I57" s="2" cm="1">
        <f t="array" ref="I57">INDEX( ComputeThermoProps($A57, $B57, ParametersRange), 1, COLUMN()-2 )</f>
        <v>0.92051823317069148</v>
      </c>
      <c r="J57" s="2" cm="1">
        <f t="array" ref="J57">INDEX( ComputeThermoProps($A57, $B57, ParametersRange), 1, COLUMN()-2 )</f>
        <v>369.10623675420464</v>
      </c>
      <c r="K57" s="2" cm="1">
        <f t="array" ref="K57">INDEX( ComputeThermoProps($A57, $B57, ParametersRange), 1, COLUMN()-2 )</f>
        <v>17.189283181741605</v>
      </c>
      <c r="L57" s="2" cm="1">
        <f t="array" ref="L57">INDEX( ComputeThermoProps($A57, $B57, ParametersRange), 1, COLUMN()-2 )</f>
        <v>-217.04831974318409</v>
      </c>
      <c r="M57" s="2" cm="1">
        <f t="array" ref="M57">INDEX( ComputeThermoProps($A57, $B57, ParametersRange), 1, COLUMN()-2 )</f>
        <v>1276.3356390304994</v>
      </c>
      <c r="N57" s="2" cm="1">
        <f t="array" ref="N57">INDEX( ComputeThermoProps($A57, $B57, ParametersRange), 1, COLUMN()-2 )</f>
        <v>690.18108253311061</v>
      </c>
      <c r="P57">
        <f t="shared" si="1"/>
        <v>-321.1906258574702</v>
      </c>
    </row>
    <row r="58" spans="1:16" x14ac:dyDescent="0.25">
      <c r="A58" s="2">
        <v>35.1</v>
      </c>
      <c r="B58" s="2">
        <f t="shared" si="0"/>
        <v>78.247096922875286</v>
      </c>
      <c r="C58" s="2" cm="1">
        <f t="array" ref="C58">INDEX( ComputeThermoProps($A58, $B58, ParametersRange), 1, COLUMN()-2 )</f>
        <v>12.770063465392008</v>
      </c>
      <c r="D58" s="2" cm="1">
        <f t="array" ref="D58">INDEX( ComputeThermoProps($A58, $B58, ParametersRange), 1, COLUMN()-2 )</f>
        <v>8.4430237503687689E-4</v>
      </c>
      <c r="E58" s="2" cm="1">
        <f t="array" ref="E58">INDEX( ComputeThermoProps($A58, $B58, ParametersRange), 1, COLUMN()-2 )</f>
        <v>8.1245913245393646E-4</v>
      </c>
      <c r="F58" s="2" cm="1">
        <f t="array" ref="F58">INDEX( ComputeThermoProps($A58, $B58, ParametersRange), 1, COLUMN()-2 )</f>
        <v>1.2258427410810275E-3</v>
      </c>
      <c r="G58" s="2" cm="1">
        <f t="array" ref="G58">INDEX( ComputeThermoProps($A58, $B58, ParametersRange), 1, COLUMN()-2 )</f>
        <v>21.152047163671767</v>
      </c>
      <c r="H58" s="2" cm="1">
        <f t="array" ref="H58">INDEX( ComputeThermoProps($A58, $B58, ParametersRange), 1, COLUMN()-2 )</f>
        <v>20.354288222238992</v>
      </c>
      <c r="I58" s="2" cm="1">
        <f t="array" ref="I58">INDEX( ComputeThermoProps($A58, $B58, ParametersRange), 1, COLUMN()-2 )</f>
        <v>0.91090667478924536</v>
      </c>
      <c r="J58" s="2" cm="1">
        <f t="array" ref="J58">INDEX( ComputeThermoProps($A58, $B58, ParametersRange), 1, COLUMN()-2 )</f>
        <v>390.99802011656487</v>
      </c>
      <c r="K58" s="2" cm="1">
        <f t="array" ref="K58">INDEX( ComputeThermoProps($A58, $B58, ParametersRange), 1, COLUMN()-2 )</f>
        <v>17.677448561373684</v>
      </c>
      <c r="L58" s="2" cm="1">
        <f t="array" ref="L58">INDEX( ComputeThermoProps($A58, $B58, ParametersRange), 1, COLUMN()-2 )</f>
        <v>-229.48042438765145</v>
      </c>
      <c r="M58" s="2" cm="1">
        <f t="array" ref="M58">INDEX( ComputeThermoProps($A58, $B58, ParametersRange), 1, COLUMN()-2 )</f>
        <v>1390.2184138043619</v>
      </c>
      <c r="N58" s="2" cm="1">
        <f t="array" ref="N58">INDEX( ComputeThermoProps($A58, $B58, ParametersRange), 1, COLUMN()-2 )</f>
        <v>769.73996930014562</v>
      </c>
      <c r="P58">
        <f t="shared" si="1"/>
        <v>-207.3078510836076</v>
      </c>
    </row>
    <row r="59" spans="1:16" x14ac:dyDescent="0.25">
      <c r="A59" s="2">
        <v>36.1</v>
      </c>
      <c r="B59" s="2">
        <f t="shared" si="0"/>
        <v>86.043797153300162</v>
      </c>
      <c r="C59" s="2" cm="1">
        <f t="array" ref="C59">INDEX( ComputeThermoProps($A59, $B59, ParametersRange), 1, COLUMN()-2 )</f>
        <v>12.702880631317194</v>
      </c>
      <c r="D59" s="2" cm="1">
        <f t="array" ref="D59">INDEX( ComputeThermoProps($A59, $B59, ParametersRange), 1, COLUMN()-2 )</f>
        <v>8.1923488351165268E-4</v>
      </c>
      <c r="E59" s="2" cm="1">
        <f t="array" ref="E59">INDEX( ComputeThermoProps($A59, $B59, ParametersRange), 1, COLUMN()-2 )</f>
        <v>7.8860305327085021E-4</v>
      </c>
      <c r="F59" s="2" cm="1">
        <f t="array" ref="F59">INDEX( ComputeThermoProps($A59, $B59, ParametersRange), 1, COLUMN()-2 )</f>
        <v>1.1937546688683997E-3</v>
      </c>
      <c r="G59" s="2" cm="1">
        <f t="array" ref="G59">INDEX( ComputeThermoProps($A59, $B59, ParametersRange), 1, COLUMN()-2 )</f>
        <v>21.333722356285595</v>
      </c>
      <c r="H59" s="2" cm="1">
        <f t="array" ref="H59">INDEX( ComputeThermoProps($A59, $B59, ParametersRange), 1, COLUMN()-2 )</f>
        <v>20.5360378646036</v>
      </c>
      <c r="I59" s="2" cm="1">
        <f t="array" ref="I59">INDEX( ComputeThermoProps($A59, $B59, ParametersRange), 1, COLUMN()-2 )</f>
        <v>0.90134739361502358</v>
      </c>
      <c r="J59" s="2" cm="1">
        <f t="array" ref="J59">INDEX( ComputeThermoProps($A59, $B59, ParametersRange), 1, COLUMN()-2 )</f>
        <v>413.48263111845466</v>
      </c>
      <c r="K59" s="2" cm="1">
        <f t="array" ref="K59">INDEX( ComputeThermoProps($A59, $B59, ParametersRange), 1, COLUMN()-2 )</f>
        <v>18.154077433889576</v>
      </c>
      <c r="L59" s="2" cm="1">
        <f t="array" ref="L59">INDEX( ComputeThermoProps($A59, $B59, ParametersRange), 1, COLUMN()-2 )</f>
        <v>-241.87956424495906</v>
      </c>
      <c r="M59" s="2" cm="1">
        <f t="array" ref="M59">INDEX( ComputeThermoProps($A59, $B59, ParametersRange), 1, COLUMN()-2 )</f>
        <v>1506.4867154220969</v>
      </c>
      <c r="N59" s="2" cm="1">
        <f t="array" ref="N59">INDEX( ComputeThermoProps($A59, $B59, ParametersRange), 1, COLUMN()-2 )</f>
        <v>851.12452005868329</v>
      </c>
      <c r="P59">
        <f t="shared" si="1"/>
        <v>-91.039549465872597</v>
      </c>
    </row>
    <row r="60" spans="1:16" x14ac:dyDescent="0.25">
      <c r="A60" s="2">
        <v>37.1</v>
      </c>
      <c r="B60" s="2">
        <f t="shared" si="0"/>
        <v>94.051662389014894</v>
      </c>
      <c r="C60" s="2" cm="1">
        <f t="array" ref="C60">INDEX( ComputeThermoProps($A60, $B60, ParametersRange), 1, COLUMN()-2 )</f>
        <v>12.635963954453405</v>
      </c>
      <c r="D60" s="2" cm="1">
        <f t="array" ref="D60">INDEX( ComputeThermoProps($A60, $B60, ParametersRange), 1, COLUMN()-2 )</f>
        <v>7.9401734515899443E-4</v>
      </c>
      <c r="E60" s="2" cm="1">
        <f t="array" ref="E60">INDEX( ComputeThermoProps($A60, $B60, ParametersRange), 1, COLUMN()-2 )</f>
        <v>7.6465614763045805E-4</v>
      </c>
      <c r="F60" s="2" cm="1">
        <f t="array" ref="F60">INDEX( ComputeThermoProps($A60, $B60, ParametersRange), 1, COLUMN()-2 )</f>
        <v>1.1604572357741046E-3</v>
      </c>
      <c r="G60" s="2" cm="1">
        <f t="array" ref="G60">INDEX( ComputeThermoProps($A60, $B60, ParametersRange), 1, COLUMN()-2 )</f>
        <v>21.501403277410922</v>
      </c>
      <c r="H60" s="2" cm="1">
        <f t="array" ref="H60">INDEX( ComputeThermoProps($A60, $B60, ParametersRange), 1, COLUMN()-2 )</f>
        <v>20.706323733345837</v>
      </c>
      <c r="I60" s="2" cm="1">
        <f t="array" ref="I60">INDEX( ComputeThermoProps($A60, $B60, ParametersRange), 1, COLUMN()-2 )</f>
        <v>0.8918761077162547</v>
      </c>
      <c r="J60" s="2" cm="1">
        <f t="array" ref="J60">INDEX( ComputeThermoProps($A60, $B60, ParametersRange), 1, COLUMN()-2 )</f>
        <v>436.5547459918119</v>
      </c>
      <c r="K60" s="2" cm="1">
        <f t="array" ref="K60">INDEX( ComputeThermoProps($A60, $B60, ParametersRange), 1, COLUMN()-2 )</f>
        <v>18.619886167876196</v>
      </c>
      <c r="L60" s="2" cm="1">
        <f t="array" ref="L60">INDEX( ComputeThermoProps($A60, $B60, ParametersRange), 1, COLUMN()-2 )</f>
        <v>-254.24303083639498</v>
      </c>
      <c r="M60" s="2" cm="1">
        <f t="array" ref="M60">INDEX( ComputeThermoProps($A60, $B60, ParametersRange), 1, COLUMN()-2 )</f>
        <v>1624.9881617958251</v>
      </c>
      <c r="N60" s="2" cm="1">
        <f t="array" ref="N60">INDEX( ComputeThermoProps($A60, $B60, ParametersRange), 1, COLUMN()-2 )</f>
        <v>934.19038496761823</v>
      </c>
      <c r="P60">
        <f t="shared" si="1"/>
        <v>27.461896907855589</v>
      </c>
    </row>
    <row r="61" spans="1:16" x14ac:dyDescent="0.25">
      <c r="A61" s="2">
        <v>38.1</v>
      </c>
      <c r="B61" s="2">
        <f t="shared" si="0"/>
        <v>102.2616626143449</v>
      </c>
      <c r="C61" s="2" cm="1">
        <f t="array" ref="C61">INDEX( ComputeThermoProps($A61, $B61, ParametersRange), 1, COLUMN()-2 )</f>
        <v>12.569527270778243</v>
      </c>
      <c r="D61" s="2" cm="1">
        <f t="array" ref="D61">INDEX( ComputeThermoProps($A61, $B61, ParametersRange), 1, COLUMN()-2 )</f>
        <v>7.6886235241142289E-4</v>
      </c>
      <c r="E61" s="2" cm="1">
        <f t="array" ref="E61">INDEX( ComputeThermoProps($A61, $B61, ParametersRange), 1, COLUMN()-2 )</f>
        <v>7.4080459888100519E-4</v>
      </c>
      <c r="F61" s="2" cm="1">
        <f t="array" ref="F61">INDEX( ComputeThermoProps($A61, $B61, ParametersRange), 1, COLUMN()-2 )</f>
        <v>1.1264154229663893E-3</v>
      </c>
      <c r="G61" s="2" cm="1">
        <f t="array" ref="G61">INDEX( ComputeThermoProps($A61, $B61, ParametersRange), 1, COLUMN()-2 )</f>
        <v>21.656496560371064</v>
      </c>
      <c r="H61" s="2" cm="1">
        <f t="array" ref="H61">INDEX( ComputeThermoProps($A61, $B61, ParametersRange), 1, COLUMN()-2 )</f>
        <v>20.866195616492774</v>
      </c>
      <c r="I61" s="2" cm="1">
        <f t="array" ref="I61">INDEX( ComputeThermoProps($A61, $B61, ParametersRange), 1, COLUMN()-2 )</f>
        <v>0.88252224730728013</v>
      </c>
      <c r="J61" s="2" cm="1">
        <f t="array" ref="J61">INDEX( ComputeThermoProps($A61, $B61, ParametersRange), 1, COLUMN()-2 )</f>
        <v>460.20616747464464</v>
      </c>
      <c r="K61" s="2" cm="1">
        <f t="array" ref="K61">INDEX( ComputeThermoProps($A61, $B61, ParametersRange), 1, COLUMN()-2 )</f>
        <v>19.075535772760741</v>
      </c>
      <c r="L61" s="2" cm="1">
        <f t="array" ref="L61">INDEX( ComputeThermoProps($A61, $B61, ParametersRange), 1, COLUMN()-2 )</f>
        <v>-266.57174546753964</v>
      </c>
      <c r="M61" s="2" cm="1">
        <f t="array" ref="M61">INDEX( ComputeThermoProps($A61, $B61, ParametersRange), 1, COLUMN()-2 )</f>
        <v>1745.5869244607768</v>
      </c>
      <c r="N61" s="2" cm="1">
        <f t="array" ref="N61">INDEX( ComputeThermoProps($A61, $B61, ParametersRange), 1, COLUMN()-2 )</f>
        <v>1018.8090115185926</v>
      </c>
      <c r="P61">
        <f t="shared" si="1"/>
        <v>148.06065957280725</v>
      </c>
    </row>
    <row r="62" spans="1:16" x14ac:dyDescent="0.25">
      <c r="A62" s="2">
        <v>39.1</v>
      </c>
      <c r="B62" s="2">
        <f t="shared" si="0"/>
        <v>110.66562854929161</v>
      </c>
      <c r="C62" s="2" cm="1">
        <f t="array" ref="C62">INDEX( ComputeThermoProps($A62, $B62, ParametersRange), 1, COLUMN()-2 )</f>
        <v>12.503748079287869</v>
      </c>
      <c r="D62" s="2" cm="1">
        <f t="array" ref="D62">INDEX( ComputeThermoProps($A62, $B62, ParametersRange), 1, COLUMN()-2 )</f>
        <v>7.4395517687813597E-4</v>
      </c>
      <c r="E62" s="2" cm="1">
        <f t="array" ref="E62">INDEX( ComputeThermoProps($A62, $B62, ParametersRange), 1, COLUMN()-2 )</f>
        <v>7.1721103367126786E-4</v>
      </c>
      <c r="F62" s="2" cm="1">
        <f t="array" ref="F62">INDEX( ComputeThermoProps($A62, $B62, ParametersRange), 1, COLUMN()-2 )</f>
        <v>1.0920355238878464E-3</v>
      </c>
      <c r="G62" s="2" cm="1">
        <f t="array" ref="G62">INDEX( ComputeThermoProps($A62, $B62, ParametersRange), 1, COLUMN()-2 )</f>
        <v>21.800267154601858</v>
      </c>
      <c r="H62" s="2" cm="1">
        <f t="array" ref="H62">INDEX( ComputeThermoProps($A62, $B62, ParametersRange), 1, COLUMN()-2 )</f>
        <v>21.016578184014641</v>
      </c>
      <c r="I62" s="2" cm="1">
        <f t="array" ref="I62">INDEX( ComputeThermoProps($A62, $B62, ParametersRange), 1, COLUMN()-2 )</f>
        <v>0.87330953786351029</v>
      </c>
      <c r="J62" s="2" cm="1">
        <f t="array" ref="J62">INDEX( ComputeThermoProps($A62, $B62, ParametersRange), 1, COLUMN()-2 )</f>
        <v>484.42633203537548</v>
      </c>
      <c r="K62" s="2" cm="1">
        <f t="array" ref="K62">INDEX( ComputeThermoProps($A62, $B62, ParametersRange), 1, COLUMN()-2 )</f>
        <v>19.521631486353051</v>
      </c>
      <c r="L62" s="2" cm="1">
        <f t="array" ref="L62">INDEX( ComputeThermoProps($A62, $B62, ParametersRange), 1, COLUMN()-2 )</f>
        <v>-278.86945908102888</v>
      </c>
      <c r="M62" s="2" cm="1">
        <f t="array" ref="M62">INDEX( ComputeThermoProps($A62, $B62, ParametersRange), 1, COLUMN()-2 )</f>
        <v>1868.1614724517651</v>
      </c>
      <c r="N62" s="2" cm="1">
        <f t="array" ref="N62">INDEX( ComputeThermoProps($A62, $B62, ParametersRange), 1, COLUMN()-2 )</f>
        <v>1104.8656813353607</v>
      </c>
      <c r="P62">
        <f t="shared" si="1"/>
        <v>270.63520756379557</v>
      </c>
    </row>
    <row r="63" spans="1:16" x14ac:dyDescent="0.25">
      <c r="A63" s="2">
        <v>40.1</v>
      </c>
      <c r="B63" s="2">
        <f t="shared" si="0"/>
        <v>119.25613910377641</v>
      </c>
      <c r="C63" s="2" cm="1">
        <f t="array" ref="C63">INDEX( ComputeThermoProps($A63, $B63, ParametersRange), 1, COLUMN()-2 )</f>
        <v>12.438770972707946</v>
      </c>
      <c r="D63" s="2" cm="1">
        <f t="array" ref="D63">INDEX( ComputeThermoProps($A63, $B63, ParametersRange), 1, COLUMN()-2 )</f>
        <v>7.1945226626083465E-4</v>
      </c>
      <c r="E63" s="2" cm="1">
        <f t="array" ref="E63">INDEX( ComputeThermoProps($A63, $B63, ParametersRange), 1, COLUMN()-2 )</f>
        <v>6.9401312085966369E-4</v>
      </c>
      <c r="F63" s="2" cm="1">
        <f t="array" ref="F63">INDEX( ComputeThermoProps($A63, $B63, ParametersRange), 1, COLUMN()-2 )</f>
        <v>1.0576640614346944E-3</v>
      </c>
      <c r="G63" s="2" cm="1">
        <f t="array" ref="G63">INDEX( ComputeThermoProps($A63, $B63, ParametersRange), 1, COLUMN()-2 )</f>
        <v>21.933847609588064</v>
      </c>
      <c r="H63" s="2" cm="1">
        <f t="array" ref="H63">INDEX( ComputeThermoProps($A63, $B63, ParametersRange), 1, COLUMN()-2 )</f>
        <v>21.158287694477387</v>
      </c>
      <c r="I63" s="2" cm="1">
        <f t="array" ref="I63">INDEX( ComputeThermoProps($A63, $B63, ParametersRange), 1, COLUMN()-2 )</f>
        <v>0.86425662262507741</v>
      </c>
      <c r="J63" s="2" cm="1">
        <f t="array" ref="J63">INDEX( ComputeThermoProps($A63, $B63, ParametersRange), 1, COLUMN()-2 )</f>
        <v>509.20280645521859</v>
      </c>
      <c r="K63" s="2" cm="1">
        <f t="array" ref="K63">INDEX( ComputeThermoProps($A63, $B63, ParametersRange), 1, COLUMN()-2 )</f>
        <v>19.958724317910729</v>
      </c>
      <c r="L63" s="2" cm="1">
        <f t="array" ref="L63">INDEX( ComputeThermoProps($A63, $B63, ParametersRange), 1, COLUMN()-2 )</f>
        <v>-291.14203869300167</v>
      </c>
      <c r="M63" s="2" cm="1">
        <f t="array" ref="M63">INDEX( ComputeThermoProps($A63, $B63, ParametersRange), 1, COLUMN()-2 )</f>
        <v>1992.6026078564935</v>
      </c>
      <c r="N63" s="2" cm="1">
        <f t="array" ref="N63">INDEX( ComputeThermoProps($A63, $B63, ParametersRange), 1, COLUMN()-2 )</f>
        <v>1192.2577627082733</v>
      </c>
      <c r="P63">
        <f t="shared" si="1"/>
        <v>395.07634296852393</v>
      </c>
    </row>
    <row r="64" spans="1:16" x14ac:dyDescent="0.25">
      <c r="A64" s="2">
        <v>41.1</v>
      </c>
      <c r="B64" s="2">
        <f t="shared" si="0"/>
        <v>128.02642480325255</v>
      </c>
      <c r="C64" s="2" cm="1">
        <f t="array" ref="C64">INDEX( ComputeThermoProps($A64, $B64, ParametersRange), 1, COLUMN()-2 )</f>
        <v>12.374711226117924</v>
      </c>
      <c r="D64" s="2" cm="1">
        <f t="array" ref="D64">INDEX( ComputeThermoProps($A64, $B64, ParametersRange), 1, COLUMN()-2 )</f>
        <v>6.954814692675639E-4</v>
      </c>
      <c r="E64" s="2" cm="1">
        <f t="array" ref="E64">INDEX( ComputeThermoProps($A64, $B64, ParametersRange), 1, COLUMN()-2 )</f>
        <v>6.7132366191176914E-4</v>
      </c>
      <c r="F64" s="2" cm="1">
        <f t="array" ref="F64">INDEX( ComputeThermoProps($A64, $B64, ParametersRange), 1, COLUMN()-2 )</f>
        <v>1.0235894890416085E-3</v>
      </c>
      <c r="G64" s="2" cm="1">
        <f t="array" ref="G64">INDEX( ComputeThermoProps($A64, $B64, ParametersRange), 1, COLUMN()-2 )</f>
        <v>22.058248065528971</v>
      </c>
      <c r="H64" s="2" cm="1">
        <f t="array" ref="H64">INDEX( ComputeThermoProps($A64, $B64, ParametersRange), 1, COLUMN()-2 )</f>
        <v>21.292046619594583</v>
      </c>
      <c r="I64" s="2" cm="1">
        <f t="array" ref="I64">INDEX( ComputeThermoProps($A64, $B64, ParametersRange), 1, COLUMN()-2 )</f>
        <v>0.85537769113929929</v>
      </c>
      <c r="J64" s="2" cm="1">
        <f t="array" ref="J64">INDEX( ComputeThermoProps($A64, $B64, ParametersRange), 1, COLUMN()-2 )</f>
        <v>534.52175111694726</v>
      </c>
      <c r="K64" s="2" cm="1">
        <f t="array" ref="K64">INDEX( ComputeThermoProps($A64, $B64, ParametersRange), 1, COLUMN()-2 )</f>
        <v>20.387313910365595</v>
      </c>
      <c r="L64" s="2" cm="1">
        <f t="array" ref="L64">INDEX( ComputeThermoProps($A64, $B64, ParametersRange), 1, COLUMN()-2 )</f>
        <v>-303.39685059907873</v>
      </c>
      <c r="M64" s="2" cm="1">
        <f t="array" ref="M64">INDEX( ComputeThermoProps($A64, $B64, ParametersRange), 1, COLUMN()-2 )</f>
        <v>2118.8117873694987</v>
      </c>
      <c r="N64" s="2" cm="1">
        <f t="array" ref="N64">INDEX( ComputeThermoProps($A64, $B64, ParametersRange), 1, COLUMN()-2 )</f>
        <v>1280.8931856534728</v>
      </c>
      <c r="P64">
        <f t="shared" si="1"/>
        <v>521.28552248152914</v>
      </c>
    </row>
    <row r="65" spans="1:16" x14ac:dyDescent="0.25">
      <c r="A65" s="2">
        <v>42.1</v>
      </c>
      <c r="B65" s="2">
        <f t="shared" si="0"/>
        <v>136.97028563658151</v>
      </c>
      <c r="C65" s="2" cm="1">
        <f t="array" ref="C65">INDEX( ComputeThermoProps($A65, $B65, ParametersRange), 1, COLUMN()-2 )</f>
        <v>12.311658379300827</v>
      </c>
      <c r="D65" s="2" cm="1">
        <f t="array" ref="D65">INDEX( ComputeThermoProps($A65, $B65, ParametersRange), 1, COLUMN()-2 )</f>
        <v>6.7214354103021005E-4</v>
      </c>
      <c r="E65" s="2" cm="1">
        <f t="array" ref="E65">INDEX( ComputeThermoProps($A65, $B65, ParametersRange), 1, COLUMN()-2 )</f>
        <v>6.4923179946150861E-4</v>
      </c>
      <c r="F65" s="2" cm="1">
        <f t="array" ref="F65">INDEX( ComputeThermoProps($A65, $B65, ParametersRange), 1, COLUMN()-2 )</f>
        <v>9.9004591689362651E-4</v>
      </c>
      <c r="G65" s="2" cm="1">
        <f t="array" ref="G65">INDEX( ComputeThermoProps($A65, $B65, ParametersRange), 1, COLUMN()-2 )</f>
        <v>22.174366642292924</v>
      </c>
      <c r="H65" s="2" cm="1">
        <f t="array" ref="H65">INDEX( ComputeThermoProps($A65, $B65, ParametersRange), 1, COLUMN()-2 )</f>
        <v>21.418496315577972</v>
      </c>
      <c r="I65" s="2" cm="1">
        <f t="array" ref="I65">INDEX( ComputeThermoProps($A65, $B65, ParametersRange), 1, COLUMN()-2 )</f>
        <v>0.84668308928061342</v>
      </c>
      <c r="J65" s="2" cm="1">
        <f t="array" ref="J65">INDEX( ComputeThermoProps($A65, $B65, ParametersRange), 1, COLUMN()-2 )</f>
        <v>560.3683357570311</v>
      </c>
      <c r="K65" s="2" cm="1">
        <f t="array" ref="K65">INDEX( ComputeThermoProps($A65, $B65, ParametersRange), 1, COLUMN()-2 )</f>
        <v>20.807852219001347</v>
      </c>
      <c r="L65" s="2" cm="1">
        <f t="array" ref="L65">INDEX( ComputeThermoProps($A65, $B65, ParametersRange), 1, COLUMN()-2 )</f>
        <v>-315.64224266292564</v>
      </c>
      <c r="M65" s="2" cm="1">
        <f t="array" ref="M65">INDEX( ComputeThermoProps($A65, $B65, ParametersRange), 1, COLUMN()-2 )</f>
        <v>2246.6997006298775</v>
      </c>
      <c r="N65" s="2" cm="1">
        <f t="array" ref="N65">INDEX( ComputeThermoProps($A65, $B65, ParametersRange), 1, COLUMN()-2 )</f>
        <v>1370.6891222099207</v>
      </c>
      <c r="P65">
        <f t="shared" si="1"/>
        <v>649.17343574190795</v>
      </c>
    </row>
    <row r="66" spans="1:16" x14ac:dyDescent="0.25">
      <c r="A66" s="2">
        <v>43.1</v>
      </c>
      <c r="B66" s="2">
        <f t="shared" si="0"/>
        <v>146.0820213313919</v>
      </c>
      <c r="C66" s="2" cm="1">
        <f t="array" ref="C66">INDEX( ComputeThermoProps($A66, $B66, ParametersRange), 1, COLUMN()-2 )</f>
        <v>12.249679689097805</v>
      </c>
      <c r="D66" s="2" cm="1">
        <f t="array" ref="D66">INDEX( ComputeThermoProps($A66, $B66, ParametersRange), 1, COLUMN()-2 )</f>
        <v>6.4951450078474236E-4</v>
      </c>
      <c r="E66" s="2" cm="1">
        <f t="array" ref="E66">INDEX( ComputeThermoProps($A66, $B66, ParametersRange), 1, COLUMN()-2 )</f>
        <v>6.2780498235700708E-4</v>
      </c>
      <c r="F66" s="2" cm="1">
        <f t="array" ref="F66">INDEX( ComputeThermoProps($A66, $B66, ParametersRange), 1, COLUMN()-2 )</f>
        <v>9.572181463704569E-4</v>
      </c>
      <c r="G66" s="2" cm="1">
        <f t="array" ref="G66">INDEX( ComputeThermoProps($A66, $B66, ParametersRange), 1, COLUMN()-2 )</f>
        <v>22.282999948729273</v>
      </c>
      <c r="H66" s="2" cm="1">
        <f t="array" ref="H66">INDEX( ComputeThermoProps($A66, $B66, ParametersRange), 1, COLUMN()-2 )</f>
        <v>21.538207958053633</v>
      </c>
      <c r="I66" s="2" cm="1">
        <f t="array" ref="I66">INDEX( ComputeThermoProps($A66, $B66, ParametersRange), 1, COLUMN()-2 )</f>
        <v>0.83817989327429854</v>
      </c>
      <c r="J66" s="2" cm="1">
        <f t="array" ref="J66">INDEX( ComputeThermoProps($A66, $B66, ParametersRange), 1, COLUMN()-2 )</f>
        <v>586.72710041098776</v>
      </c>
      <c r="K66" s="2" cm="1">
        <f t="array" ref="K66">INDEX( ComputeThermoProps($A66, $B66, ParametersRange), 1, COLUMN()-2 )</f>
        <v>21.220747616414975</v>
      </c>
      <c r="L66" s="2" cm="1">
        <f t="array" ref="L66">INDEX( ComputeThermoProps($A66, $B66, ParametersRange), 1, COLUMN()-2 )</f>
        <v>-327.88712185649769</v>
      </c>
      <c r="M66" s="2" cm="1">
        <f t="array" ref="M66">INDEX( ComputeThermoProps($A66, $B66, ParametersRange), 1, COLUMN()-2 )</f>
        <v>2376.1850700564914</v>
      </c>
      <c r="N66" s="2" cm="1">
        <f t="array" ref="N66">INDEX( ComputeThermoProps($A66, $B66, ParametersRange), 1, COLUMN()-2 )</f>
        <v>1461.5708477890059</v>
      </c>
      <c r="P66">
        <f t="shared" si="1"/>
        <v>778.65880516852189</v>
      </c>
    </row>
    <row r="67" spans="1:16" x14ac:dyDescent="0.25">
      <c r="A67" s="2">
        <v>44.1</v>
      </c>
      <c r="B67" s="2">
        <f t="shared" si="0"/>
        <v>155.35637211373628</v>
      </c>
      <c r="C67" s="2" cm="1">
        <f t="array" ref="C67">INDEX( ComputeThermoProps($A67, $B67, ParametersRange), 1, COLUMN()-2 )</f>
        <v>12.188823364356479</v>
      </c>
      <c r="D67" s="2" cm="1">
        <f t="array" ref="D67">INDEX( ComputeThermoProps($A67, $B67, ParametersRange), 1, COLUMN()-2 )</f>
        <v>6.2764847158581875E-4</v>
      </c>
      <c r="E67" s="2" cm="1">
        <f t="array" ref="E67">INDEX( ComputeThermoProps($A67, $B67, ParametersRange), 1, COLUMN()-2 )</f>
        <v>6.070913709843211E-4</v>
      </c>
      <c r="F67" s="2" cm="1">
        <f t="array" ref="F67">INDEX( ComputeThermoProps($A67, $B67, ParametersRange), 1, COLUMN()-2 )</f>
        <v>9.252473964258581E-4</v>
      </c>
      <c r="G67" s="2" cm="1">
        <f t="array" ref="G67">INDEX( ComputeThermoProps($A67, $B67, ParametersRange), 1, COLUMN()-2 )</f>
        <v>22.384853431298918</v>
      </c>
      <c r="H67" s="2" cm="1">
        <f t="array" ref="H67">INDEX( ComputeThermoProps($A67, $B67, ParametersRange), 1, COLUMN()-2 )</f>
        <v>21.651691948766615</v>
      </c>
      <c r="I67" s="2" cm="1">
        <f t="array" ref="I67">INDEX( ComputeThermoProps($A67, $B67, ParametersRange), 1, COLUMN()-2 )</f>
        <v>0.82987243642476882</v>
      </c>
      <c r="J67" s="2" cm="1">
        <f t="array" ref="J67">INDEX( ComputeThermoProps($A67, $B67, ParametersRange), 1, COLUMN()-2 )</f>
        <v>613.58225961446828</v>
      </c>
      <c r="K67" s="2" cm="1">
        <f t="array" ref="K67">INDEX( ComputeThermoProps($A67, $B67, ParametersRange), 1, COLUMN()-2 )</f>
        <v>21.626369132656979</v>
      </c>
      <c r="L67" s="2" cm="1">
        <f t="array" ref="L67">INDEX( ComputeThermoProps($A67, $B67, ParametersRange), 1, COLUMN()-2 )</f>
        <v>-340.14061913570453</v>
      </c>
      <c r="M67" s="2" cm="1">
        <f t="array" ref="M67">INDEX( ComputeThermoProps($A67, $B67, ParametersRange), 1, COLUMN()-2 )</f>
        <v>2507.1936378360365</v>
      </c>
      <c r="N67" s="2" cm="1">
        <f t="array" ref="N67">INDEX( ComputeThermoProps($A67, $B67, ParametersRange), 1, COLUMN()-2 )</f>
        <v>1553.4707590858636</v>
      </c>
      <c r="P67">
        <f t="shared" si="1"/>
        <v>909.66737294806694</v>
      </c>
    </row>
    <row r="68" spans="1:16" x14ac:dyDescent="0.25">
      <c r="A68" s="2">
        <v>45.1</v>
      </c>
      <c r="B68" s="2">
        <f t="shared" si="0"/>
        <v>164.78846823158216</v>
      </c>
      <c r="C68" s="2" cm="1">
        <f t="array" ref="C68">INDEX( ComputeThermoProps($A68, $B68, ParametersRange), 1, COLUMN()-2 )</f>
        <v>12.129121527984012</v>
      </c>
      <c r="D68" s="2" cm="1">
        <f t="array" ref="D68">INDEX( ComputeThermoProps($A68, $B68, ParametersRange), 1, COLUMN()-2 )</f>
        <v>6.0658070730826275E-4</v>
      </c>
      <c r="E68" s="2" cm="1">
        <f t="array" ref="E68">INDEX( ComputeThermoProps($A68, $B68, ParametersRange), 1, COLUMN()-2 )</f>
        <v>5.8712242817905984E-4</v>
      </c>
      <c r="F68" s="2" cm="1">
        <f t="array" ref="F68">INDEX( ComputeThermoProps($A68, $B68, ParametersRange), 1, COLUMN()-2 )</f>
        <v>8.9423723253802571E-4</v>
      </c>
      <c r="G68" s="2" cm="1">
        <f t="array" ref="G68">INDEX( ComputeThermoProps($A68, $B68, ParametersRange), 1, COLUMN()-2 )</f>
        <v>22.480551267060083</v>
      </c>
      <c r="H68" s="2" cm="1">
        <f t="array" ref="H68">INDEX( ComputeThermoProps($A68, $B68, ParametersRange), 1, COLUMN()-2 )</f>
        <v>21.759405941693664</v>
      </c>
      <c r="I68" s="2" cm="1">
        <f t="array" ref="I68">INDEX( ComputeThermoProps($A68, $B68, ParametersRange), 1, COLUMN()-2 )</f>
        <v>0.82176278228333788</v>
      </c>
      <c r="J68" s="2" cm="1">
        <f t="array" ref="J68">INDEX( ComputeThermoProps($A68, $B68, ParametersRange), 1, COLUMN()-2 )</f>
        <v>640.91795177931954</v>
      </c>
      <c r="K68" s="2" cm="1">
        <f t="array" ref="K68">INDEX( ComputeThermoProps($A68, $B68, ParametersRange), 1, COLUMN()-2 )</f>
        <v>22.025050622571616</v>
      </c>
      <c r="L68" s="2" cm="1">
        <f t="array" ref="L68">INDEX( ComputeThermoProps($A68, $B68, ParametersRange), 1, COLUMN()-2 )</f>
        <v>-352.41183129866039</v>
      </c>
      <c r="M68" s="2" cm="1">
        <f t="array" ref="M68">INDEX( ComputeThermoProps($A68, $B68, ParametersRange), 1, COLUMN()-2 )</f>
        <v>2639.6573093705119</v>
      </c>
      <c r="N68" s="2" cm="1">
        <f t="array" ref="N68">INDEX( ComputeThermoProps($A68, $B68, ParametersRange), 1, COLUMN()-2 )</f>
        <v>1646.327526292532</v>
      </c>
      <c r="P68">
        <f t="shared" si="1"/>
        <v>1042.1310444825424</v>
      </c>
    </row>
    <row r="69" spans="1:16" x14ac:dyDescent="0.25">
      <c r="A69" s="2">
        <v>46.1</v>
      </c>
      <c r="B69" s="2">
        <f t="shared" si="0"/>
        <v>174.37378678181665</v>
      </c>
      <c r="C69" s="2" cm="1">
        <f t="array" ref="C69">INDEX( ComputeThermoProps($A69, $B69, ParametersRange), 1, COLUMN()-2 )</f>
        <v>12.070592877221587</v>
      </c>
      <c r="D69" s="2" cm="1">
        <f t="array" ref="D69">INDEX( ComputeThermoProps($A69, $B69, ParametersRange), 1, COLUMN()-2 )</f>
        <v>5.8633059069643852E-4</v>
      </c>
      <c r="E69" s="2" cm="1">
        <f t="array" ref="E69">INDEX( ComputeThermoProps($A69, $B69, ParametersRange), 1, COLUMN()-2 )</f>
        <v>5.6791550624463042E-4</v>
      </c>
      <c r="F69" s="2" cm="1">
        <f t="array" ref="F69">INDEX( ComputeThermoProps($A69, $B69, ParametersRange), 1, COLUMN()-2 )</f>
        <v>8.6425934762733147E-4</v>
      </c>
      <c r="G69" s="2" cm="1">
        <f t="array" ref="G69">INDEX( ComputeThermoProps($A69, $B69, ParametersRange), 1, COLUMN()-2 )</f>
        <v>22.570645699645908</v>
      </c>
      <c r="H69" s="2" cm="1">
        <f t="array" ref="H69">INDEX( ComputeThermoProps($A69, $B69, ParametersRange), 1, COLUMN()-2 )</f>
        <v>21.861761746998777</v>
      </c>
      <c r="I69" s="2" cm="1">
        <f t="array" ref="I69">INDEX( ComputeThermoProps($A69, $B69, ParametersRange), 1, COLUMN()-2 )</f>
        <v>0.81385114212158893</v>
      </c>
      <c r="J69" s="2" cm="1">
        <f t="array" ref="J69">INDEX( ComputeThermoProps($A69, $B69, ParametersRange), 1, COLUMN()-2 )</f>
        <v>668.71843808399899</v>
      </c>
      <c r="K69" s="2" cm="1">
        <f t="array" ref="K69">INDEX( ComputeThermoProps($A69, $B69, ParametersRange), 1, COLUMN()-2 )</f>
        <v>22.417094722140106</v>
      </c>
      <c r="L69" s="2" cm="1">
        <f t="array" ref="L69">INDEX( ComputeThermoProps($A69, $B69, ParametersRange), 1, COLUMN()-2 )</f>
        <v>-364.70962860665998</v>
      </c>
      <c r="M69" s="2" cm="1">
        <f t="array" ref="M69">INDEX( ComputeThermoProps($A69, $B69, ParametersRange), 1, COLUMN()-2 )</f>
        <v>2773.5134267867506</v>
      </c>
      <c r="N69" s="2" cm="1">
        <f t="array" ref="N69">INDEX( ComputeThermoProps($A69, $B69, ParametersRange), 1, COLUMN()-2 )</f>
        <v>1740.0853600960918</v>
      </c>
      <c r="P69">
        <f t="shared" si="1"/>
        <v>1175.9871618987811</v>
      </c>
    </row>
    <row r="70" spans="1:16" x14ac:dyDescent="0.25">
      <c r="A70" s="2">
        <v>47.1</v>
      </c>
      <c r="B70" s="2">
        <f t="shared" si="0"/>
        <v>184.1081146259485</v>
      </c>
      <c r="C70" s="2" cm="1">
        <f t="array" ref="C70">INDEX( ComputeThermoProps($A70, $B70, ParametersRange), 1, COLUMN()-2 )</f>
        <v>12.01324503409097</v>
      </c>
      <c r="D70" s="2" cm="1">
        <f t="array" ref="D70">INDEX( ComputeThermoProps($A70, $B70, ParametersRange), 1, COLUMN()-2 )</f>
        <v>5.6690445664022858E-4</v>
      </c>
      <c r="E70" s="2" cm="1">
        <f t="array" ref="E70">INDEX( ComputeThermoProps($A70, $B70, ParametersRange), 1, COLUMN()-2 )</f>
        <v>5.4947630021017445E-4</v>
      </c>
      <c r="F70" s="2" cm="1">
        <f t="array" ref="F70">INDEX( ComputeThermoProps($A70, $B70, ParametersRange), 1, COLUMN()-2 )</f>
        <v>8.3535895548572474E-4</v>
      </c>
      <c r="G70" s="2" cm="1">
        <f t="array" ref="G70">INDEX( ComputeThermoProps($A70, $B70, ParametersRange), 1, COLUMN()-2 )</f>
        <v>22.655625591278518</v>
      </c>
      <c r="H70" s="2" cm="1">
        <f t="array" ref="H70">INDEX( ComputeThermoProps($A70, $B70, ParametersRange), 1, COLUMN()-2 )</f>
        <v>21.959131178153594</v>
      </c>
      <c r="I70" s="2" cm="1">
        <f t="array" ref="I70">INDEX( ComputeThermoProps($A70, $B70, ParametersRange), 1, COLUMN()-2 )</f>
        <v>0.80613623756933839</v>
      </c>
      <c r="J70" s="2" cm="1">
        <f t="array" ref="J70">INDEX( ComputeThermoProps($A70, $B70, ParametersRange), 1, COLUMN()-2 )</f>
        <v>696.96825658651483</v>
      </c>
      <c r="K70" s="2" cm="1">
        <f t="array" ref="K70">INDEX( ComputeThermoProps($A70, $B70, ParametersRange), 1, COLUMN()-2 )</f>
        <v>22.80277650978627</v>
      </c>
      <c r="L70" s="2" cm="1">
        <f t="array" ref="L70">INDEX( ComputeThermoProps($A70, $B70, ParametersRange), 1, COLUMN()-2 )</f>
        <v>-377.04251702441849</v>
      </c>
      <c r="M70" s="2" cm="1">
        <f t="array" ref="M70">INDEX( ComputeThermoProps($A70, $B70, ParametersRange), 1, COLUMN()-2 )</f>
        <v>2908.7041503525415</v>
      </c>
      <c r="N70" s="2" cm="1">
        <f t="array" ref="N70">INDEX( ComputeThermoProps($A70, $B70, ParametersRange), 1, COLUMN()-2 )</f>
        <v>1834.6933767416083</v>
      </c>
      <c r="P70">
        <f t="shared" si="1"/>
        <v>1311.177885464572</v>
      </c>
    </row>
    <row r="71" spans="1:16" x14ac:dyDescent="0.25">
      <c r="A71" s="2">
        <v>48.1</v>
      </c>
      <c r="B71" s="2">
        <f t="shared" si="0"/>
        <v>193.98751639330558</v>
      </c>
      <c r="C71" s="2" cm="1">
        <f t="array" ref="C71">INDEX( ComputeThermoProps($A71, $B71, ParametersRange), 1, COLUMN()-2 )</f>
        <v>11.957076593201945</v>
      </c>
      <c r="D71" s="2" cm="1">
        <f t="array" ref="D71">INDEX( ComputeThermoProps($A71, $B71, ParametersRange), 1, COLUMN()-2 )</f>
        <v>5.4829815341720083E-4</v>
      </c>
      <c r="E71" s="2" cm="1">
        <f t="array" ref="E71">INDEX( ComputeThermoProps($A71, $B71, ParametersRange), 1, COLUMN()-2 )</f>
        <v>5.3180108745296223E-4</v>
      </c>
      <c r="F71" s="2" cm="1">
        <f t="array" ref="F71">INDEX( ComputeThermoProps($A71, $B71, ParametersRange), 1, COLUMN()-2 )</f>
        <v>8.0755966269923534E-4</v>
      </c>
      <c r="G71" s="2" cm="1">
        <f t="array" ref="G71">INDEX( ComputeThermoProps($A71, $B71, ParametersRange), 1, COLUMN()-2 )</f>
        <v>22.735924194003726</v>
      </c>
      <c r="H71" s="2" cm="1">
        <f t="array" ref="H71">INDEX( ComputeThermoProps($A71, $B71, ParametersRange), 1, COLUMN()-2 )</f>
        <v>22.051851050862915</v>
      </c>
      <c r="I71" s="2" cm="1">
        <f t="array" ref="I71">INDEX( ComputeThermoProps($A71, $B71, ParametersRange), 1, COLUMN()-2 )</f>
        <v>0.79861561136737669</v>
      </c>
      <c r="J71" s="2" cm="1">
        <f t="array" ref="J71">INDEX( ComputeThermoProps($A71, $B71, ParametersRange), 1, COLUMN()-2 )</f>
        <v>725.65233778763729</v>
      </c>
      <c r="K71" s="2" cm="1">
        <f t="array" ref="K71">INDEX( ComputeThermoProps($A71, $B71, ParametersRange), 1, COLUMN()-2 )</f>
        <v>23.18234682963347</v>
      </c>
      <c r="L71" s="2" cm="1">
        <f t="array" ref="L71">INDEX( ComputeThermoProps($A71, $B71, ParametersRange), 1, COLUMN()-2 )</f>
        <v>-389.41854471773269</v>
      </c>
      <c r="M71" s="2" cm="1">
        <f t="array" ref="M71">INDEX( ComputeThermoProps($A71, $B71, ParametersRange), 1, COLUMN()-2 )</f>
        <v>3045.1759294274102</v>
      </c>
      <c r="N71" s="2" cm="1">
        <f t="array" ref="N71">INDEX( ComputeThermoProps($A71, $B71, ParametersRange), 1, COLUMN()-2 )</f>
        <v>1930.1050469220402</v>
      </c>
      <c r="P71">
        <f t="shared" si="1"/>
        <v>1447.6496645394407</v>
      </c>
    </row>
    <row r="72" spans="1:16" x14ac:dyDescent="0.25">
      <c r="A72" s="2">
        <v>49.1</v>
      </c>
      <c r="B72" s="2">
        <f t="shared" si="0"/>
        <v>204.00830674947045</v>
      </c>
      <c r="C72" s="2" cm="1">
        <f t="array" ref="C72">INDEX( ComputeThermoProps($A72, $B72, ParametersRange), 1, COLUMN()-2 )</f>
        <v>11.902078884403263</v>
      </c>
      <c r="D72" s="2" cm="1">
        <f t="array" ref="D72">INDEX( ComputeThermoProps($A72, $B72, ParametersRange), 1, COLUMN()-2 )</f>
        <v>5.3049929932022706E-4</v>
      </c>
      <c r="E72" s="2" cm="1">
        <f t="array" ref="E72">INDEX( ComputeThermoProps($A72, $B72, ParametersRange), 1, COLUMN()-2 )</f>
        <v>5.1487871262767928E-4</v>
      </c>
      <c r="F72" s="2" cm="1">
        <f t="array" ref="F72">INDEX( ComputeThermoProps($A72, $B72, ParametersRange), 1, COLUMN()-2 )</f>
        <v>7.8086775763414019E-4</v>
      </c>
      <c r="G72" s="2" cm="1">
        <f t="array" ref="G72">INDEX( ComputeThermoProps($A72, $B72, ParametersRange), 1, COLUMN()-2 )</f>
        <v>22.811926150894717</v>
      </c>
      <c r="H72" s="2" cm="1">
        <f t="array" ref="H72">INDEX( ComputeThermoProps($A72, $B72, ParametersRange), 1, COLUMN()-2 )</f>
        <v>22.140227487916931</v>
      </c>
      <c r="I72" s="2" cm="1">
        <f t="array" ref="I72">INDEX( ComputeThermoProps($A72, $B72, ParametersRange), 1, COLUMN()-2 )</f>
        <v>0.7912858904733272</v>
      </c>
      <c r="J72" s="2" cm="1">
        <f t="array" ref="J72">INDEX( ComputeThermoProps($A72, $B72, ParametersRange), 1, COLUMN()-2 )</f>
        <v>754.7560878327173</v>
      </c>
      <c r="K72" s="2" cm="1">
        <f t="array" ref="K72">INDEX( ComputeThermoProps($A72, $B72, ParametersRange), 1, COLUMN()-2 )</f>
        <v>23.556035263234673</v>
      </c>
      <c r="L72" s="2" cm="1">
        <f t="array" ref="L72">INDEX( ComputeThermoProps($A72, $B72, ParametersRange), 1, COLUMN()-2 )</f>
        <v>-401.84524359210519</v>
      </c>
      <c r="M72" s="2" cm="1">
        <f t="array" ref="M72">INDEX( ComputeThermoProps($A72, $B72, ParametersRange), 1, COLUMN()-2 )</f>
        <v>3182.8790478384531</v>
      </c>
      <c r="N72" s="2" cm="1">
        <f t="array" ref="N72">INDEX( ComputeThermoProps($A72, $B72, ParametersRange), 1, COLUMN()-2 )</f>
        <v>2026.2777164136305</v>
      </c>
      <c r="P72">
        <f t="shared" si="1"/>
        <v>1585.3527829504835</v>
      </c>
    </row>
    <row r="73" spans="1:16" x14ac:dyDescent="0.25">
      <c r="A73" s="2">
        <v>50.1</v>
      </c>
      <c r="B73" s="2">
        <f t="shared" si="0"/>
        <v>214.16702625478231</v>
      </c>
      <c r="C73" s="2" cm="1">
        <f t="array" ref="C73">INDEX( ComputeThermoProps($A73, $B73, ParametersRange), 1, COLUMN()-2 )</f>
        <v>11.848237473986527</v>
      </c>
      <c r="D73" s="2" cm="1">
        <f t="array" ref="D73">INDEX( ComputeThermoProps($A73, $B73, ParametersRange), 1, COLUMN()-2 )</f>
        <v>5.1348922399837443E-4</v>
      </c>
      <c r="E73" s="2" cm="1">
        <f t="array" ref="E73">INDEX( ComputeThermoProps($A73, $B73, ParametersRange), 1, COLUMN()-2 )</f>
        <v>4.9869230503890745E-4</v>
      </c>
      <c r="F73" s="2" cm="1">
        <f t="array" ref="F73">INDEX( ComputeThermoProps($A73, $B73, ParametersRange), 1, COLUMN()-2 )</f>
        <v>7.5527590325967519E-4</v>
      </c>
      <c r="G73" s="2" cm="1">
        <f t="array" ref="G73">INDEX( ComputeThermoProps($A73, $B73, ParametersRange), 1, COLUMN()-2 )</f>
        <v>22.883973631539604</v>
      </c>
      <c r="H73" s="2" cm="1">
        <f t="array" ref="H73">INDEX( ComputeThermoProps($A73, $B73, ParametersRange), 1, COLUMN()-2 )</f>
        <v>22.224539533468747</v>
      </c>
      <c r="I73" s="2" cm="1">
        <f t="array" ref="I73">INDEX( ComputeThermoProps($A73, $B73, ParametersRange), 1, COLUMN()-2 )</f>
        <v>0.78414300642547774</v>
      </c>
      <c r="J73" s="2" cm="1">
        <f t="array" ref="J73">INDEX( ComputeThermoProps($A73, $B73, ParametersRange), 1, COLUMN()-2 )</f>
        <v>784.26544513857323</v>
      </c>
      <c r="K73" s="2" cm="1">
        <f t="array" ref="K73">INDEX( ComputeThermoProps($A73, $B73, ParametersRange), 1, COLUMN()-2 )</f>
        <v>23.924052756314257</v>
      </c>
      <c r="L73" s="2" cm="1">
        <f t="array" ref="L73">INDEX( ComputeThermoProps($A73, $B73, ParametersRange), 1, COLUMN()-2 )</f>
        <v>-414.32959795277111</v>
      </c>
      <c r="M73" s="2" cm="1">
        <f t="array" ref="M73">INDEX( ComputeThermoProps($A73, $B73, ParametersRange), 1, COLUMN()-2 )</f>
        <v>3321.7672313027415</v>
      </c>
      <c r="N73" s="2" cm="1">
        <f t="array" ref="N73">INDEX( ComputeThermoProps($A73, $B73, ParametersRange), 1, COLUMN()-2 )</f>
        <v>2123.172188211397</v>
      </c>
      <c r="P73">
        <f t="shared" si="1"/>
        <v>1724.2409664147719</v>
      </c>
    </row>
    <row r="74" spans="1:16" x14ac:dyDescent="0.25">
      <c r="A74" s="2">
        <v>51.1</v>
      </c>
      <c r="B74" s="2">
        <f t="shared" si="0"/>
        <v>224.46042025753471</v>
      </c>
      <c r="C74" s="2" cm="1">
        <f t="array" ref="C74">INDEX( ComputeThermoProps($A74, $B74, ParametersRange), 1, COLUMN()-2 )</f>
        <v>11.795533431244737</v>
      </c>
      <c r="D74" s="2" cm="1">
        <f t="array" ref="D74">INDEX( ComputeThermoProps($A74, $B74, ParametersRange), 1, COLUMN()-2 )</f>
        <v>4.9724460529814059E-4</v>
      </c>
      <c r="E74" s="2" cm="1">
        <f t="array" ref="E74">INDEX( ComputeThermoProps($A74, $B74, ParametersRange), 1, COLUMN()-2 )</f>
        <v>4.832207346755697E-4</v>
      </c>
      <c r="F74" s="2" cm="1">
        <f t="array" ref="F74">INDEX( ComputeThermoProps($A74, $B74, ParametersRange), 1, COLUMN()-2 )</f>
        <v>7.3076626476171113E-4</v>
      </c>
      <c r="G74" s="2" cm="1">
        <f t="array" ref="G74">INDEX( ComputeThermoProps($A74, $B74, ParametersRange), 1, COLUMN()-2 )</f>
        <v>22.952371784125752</v>
      </c>
      <c r="H74" s="2" cm="1">
        <f t="array" ref="H74">INDEX( ComputeThermoProps($A74, $B74, ParametersRange), 1, COLUMN()-2 )</f>
        <v>22.305042302916537</v>
      </c>
      <c r="I74" s="2" cm="1">
        <f t="array" ref="I74">INDEX( ComputeThermoProps($A74, $B74, ParametersRange), 1, COLUMN()-2 )</f>
        <v>0.77718237807728652</v>
      </c>
      <c r="J74" s="2" cm="1">
        <f t="array" ref="J74">INDEX( ComputeThermoProps($A74, $B74, ParametersRange), 1, COLUMN()-2 )</f>
        <v>814.1669156335679</v>
      </c>
      <c r="K74" s="2" cm="1">
        <f t="array" ref="K74">INDEX( ComputeThermoProps($A74, $B74, ParametersRange), 1, COLUMN()-2 )</f>
        <v>24.28659391978054</v>
      </c>
      <c r="L74" s="2" cm="1">
        <f t="array" ref="L74">INDEX( ComputeThermoProps($A74, $B74, ParametersRange), 1, COLUMN()-2 )</f>
        <v>-426.87803366721772</v>
      </c>
      <c r="M74" s="2" cm="1">
        <f t="array" ref="M74">INDEX( ComputeThermoProps($A74, $B74, ParametersRange), 1, COLUMN()-2 )</f>
        <v>3461.797306772562</v>
      </c>
      <c r="N74" s="2" cm="1">
        <f t="array" ref="N74">INDEX( ComputeThermoProps($A74, $B74, ParametersRange), 1, COLUMN()-2 )</f>
        <v>2220.7523574717766</v>
      </c>
      <c r="P74">
        <f t="shared" si="1"/>
        <v>1864.2710418845925</v>
      </c>
    </row>
    <row r="75" spans="1:16" x14ac:dyDescent="0.25">
      <c r="A75" s="2">
        <v>52.1</v>
      </c>
      <c r="B75" s="2">
        <f t="shared" si="0"/>
        <v>234.88542036369782</v>
      </c>
      <c r="C75" s="2" cm="1">
        <f t="array" ref="C75">INDEX( ComputeThermoProps($A75, $B75, ParametersRange), 1, COLUMN()-2 )</f>
        <v>11.743944388003106</v>
      </c>
      <c r="D75" s="2" cm="1">
        <f t="array" ref="D75">INDEX( ComputeThermoProps($A75, $B75, ParametersRange), 1, COLUMN()-2 )</f>
        <v>4.8173882515866048E-4</v>
      </c>
      <c r="E75" s="2" cm="1">
        <f t="array" ref="E75">INDEX( ComputeThermoProps($A75, $B75, ParametersRange), 1, COLUMN()-2 )</f>
        <v>4.6843982504615338E-4</v>
      </c>
      <c r="F75" s="2" cm="1">
        <f t="array" ref="F75">INDEX( ComputeThermoProps($A75, $B75, ParametersRange), 1, COLUMN()-2 )</f>
        <v>7.0731311540728529E-4</v>
      </c>
      <c r="G75" s="2" cm="1">
        <f t="array" ref="G75">INDEX( ComputeThermoProps($A75, $B75, ParametersRange), 1, COLUMN()-2 )</f>
        <v>23.017393470913053</v>
      </c>
      <c r="H75" s="2" cm="1">
        <f t="array" ref="H75">INDEX( ComputeThermoProps($A75, $B75, ParametersRange), 1, COLUMN()-2 )</f>
        <v>22.381969663711139</v>
      </c>
      <c r="I75" s="2" cm="1">
        <f t="array" ref="I75">INDEX( ComputeThermoProps($A75, $B75, ParametersRange), 1, COLUMN()-2 )</f>
        <v>0.77039906173968242</v>
      </c>
      <c r="J75" s="2" cm="1">
        <f t="array" ref="J75">INDEX( ComputeThermoProps($A75, $B75, ParametersRange), 1, COLUMN()-2 )</f>
        <v>844.44759107861569</v>
      </c>
      <c r="K75" s="2" cm="1">
        <f t="array" ref="K75">INDEX( ComputeThermoProps($A75, $B75, ParametersRange), 1, COLUMN()-2 )</f>
        <v>24.643839031890717</v>
      </c>
      <c r="L75" s="2" cm="1">
        <f t="array" ref="L75">INDEX( ComputeThermoProps($A75, $B75, ParametersRange), 1, COLUMN()-2 )</f>
        <v>-439.49642248289075</v>
      </c>
      <c r="M75" s="2" cm="1">
        <f t="array" ref="M75">INDEX( ComputeThermoProps($A75, $B75, ParametersRange), 1, COLUMN()-2 )</f>
        <v>3602.9289053826151</v>
      </c>
      <c r="N75" s="2" cm="1">
        <f t="array" ref="N75">INDEX( ComputeThermoProps($A75, $B75, ParametersRange), 1, COLUMN()-2 )</f>
        <v>2318.9848918211087</v>
      </c>
      <c r="P75">
        <f t="shared" si="1"/>
        <v>2005.4026404946455</v>
      </c>
    </row>
    <row r="76" spans="1:16" x14ac:dyDescent="0.25">
      <c r="A76" s="2">
        <v>53.1</v>
      </c>
      <c r="B76" s="2">
        <f t="shared" si="0"/>
        <v>245.43912810381755</v>
      </c>
      <c r="C76" s="2" cm="1">
        <f t="array" ref="C76">INDEX( ComputeThermoProps($A76, $B76, ParametersRange), 1, COLUMN()-2 )</f>
        <v>11.693445418005515</v>
      </c>
      <c r="D76" s="2" cm="1">
        <f t="array" ref="D76">INDEX( ComputeThermoProps($A76, $B76, ParametersRange), 1, COLUMN()-2 )</f>
        <v>4.6694307443488896E-4</v>
      </c>
      <c r="E76" s="2" cm="1">
        <f t="array" ref="E76">INDEX( ComputeThermoProps($A76, $B76, ParametersRange), 1, COLUMN()-2 )</f>
        <v>4.5432334697371481E-4</v>
      </c>
      <c r="F76" s="2" cm="1">
        <f t="array" ref="F76">INDEX( ComputeThermoProps($A76, $B76, ParametersRange), 1, COLUMN()-2 )</f>
        <v>6.8488497838414689E-4</v>
      </c>
      <c r="G76" s="2" cm="1">
        <f t="array" ref="G76">INDEX( ComputeThermoProps($A76, $B76, ParametersRange), 1, COLUMN()-2 )</f>
        <v>23.079283388183715</v>
      </c>
      <c r="H76" s="2" cm="1">
        <f t="array" ref="H76">INDEX( ComputeThermoProps($A76, $B76, ParametersRange), 1, COLUMN()-2 )</f>
        <v>22.455536549855363</v>
      </c>
      <c r="I76" s="2" cm="1">
        <f t="array" ref="I76">INDEX( ComputeThermoProps($A76, $B76, ParametersRange), 1, COLUMN()-2 )</f>
        <v>0.76378787329478059</v>
      </c>
      <c r="J76" s="2" cm="1">
        <f t="array" ref="J76">INDEX( ComputeThermoProps($A76, $B76, ParametersRange), 1, COLUMN()-2 )</f>
        <v>875.09515444095973</v>
      </c>
      <c r="K76" s="2" cm="1">
        <f t="array" ref="K76">INDEX( ComputeThermoProps($A76, $B76, ParametersRange), 1, COLUMN()-2 )</f>
        <v>24.995955769976074</v>
      </c>
      <c r="L76" s="2" cm="1">
        <f t="array" ref="L76">INDEX( ComputeThermoProps($A76, $B76, ParametersRange), 1, COLUMN()-2 )</f>
        <v>-452.19009694476983</v>
      </c>
      <c r="M76" s="2" cm="1">
        <f t="array" ref="M76">INDEX( ComputeThermoProps($A76, $B76, ParametersRange), 1, COLUMN()-2 )</f>
        <v>3745.1242023658137</v>
      </c>
      <c r="N76" s="2" cm="1">
        <f t="array" ref="N76">INDEX( ComputeThermoProps($A76, $B76, ParametersRange), 1, COLUMN()-2 )</f>
        <v>2417.8389509800841</v>
      </c>
      <c r="P76">
        <f t="shared" si="1"/>
        <v>2147.5979374778444</v>
      </c>
    </row>
    <row r="77" spans="1:16" x14ac:dyDescent="0.25">
      <c r="A77" s="2">
        <v>54.1</v>
      </c>
      <c r="B77" s="2">
        <f t="shared" si="0"/>
        <v>256.11880048174714</v>
      </c>
      <c r="C77" s="2" cm="1">
        <f t="array" ref="C77">INDEX( ComputeThermoProps($A77, $B77, ParametersRange), 1, COLUMN()-2 )</f>
        <v>11.64400976133113</v>
      </c>
      <c r="D77" s="2" cm="1">
        <f t="array" ref="D77">INDEX( ComputeThermoProps($A77, $B77, ParametersRange), 1, COLUMN()-2 )</f>
        <v>4.52827239914005E-4</v>
      </c>
      <c r="E77" s="2" cm="1">
        <f t="array" ref="E77">INDEX( ComputeThermoProps($A77, $B77, ParametersRange), 1, COLUMN()-2 )</f>
        <v>4.4084382111151901E-4</v>
      </c>
      <c r="F77" s="2" cm="1">
        <f t="array" ref="F77">INDEX( ComputeThermoProps($A77, $B77, ParametersRange), 1, COLUMN()-2 )</f>
        <v>6.6344636587062215E-4</v>
      </c>
      <c r="G77" s="2" cm="1">
        <f t="array" ref="G77">INDEX( ComputeThermoProps($A77, $B77, ParametersRange), 1, COLUMN()-2 )</f>
        <v>23.138261631117221</v>
      </c>
      <c r="H77" s="2" cm="1">
        <f t="array" ref="H77">INDEX( ComputeThermoProps($A77, $B77, ParametersRange), 1, COLUMN()-2 )</f>
        <v>22.525940959905334</v>
      </c>
      <c r="I77" s="2" cm="1">
        <f t="array" ref="I77">INDEX( ComputeThermoProps($A77, $B77, ParametersRange), 1, COLUMN()-2 )</f>
        <v>0.75734348682064923</v>
      </c>
      <c r="J77" s="2" cm="1">
        <f t="array" ref="J77">INDEX( ComputeThermoProps($A77, $B77, ParametersRange), 1, COLUMN()-2 )</f>
        <v>906.0978751839915</v>
      </c>
      <c r="K77" s="2" cm="1">
        <f t="array" ref="K77">INDEX( ComputeThermoProps($A77, $B77, ParametersRange), 1, COLUMN()-2 )</f>
        <v>25.343100705295619</v>
      </c>
      <c r="L77" s="2" cm="1">
        <f t="array" ref="L77">INDEX( ComputeThermoProps($A77, $B77, ParametersRange), 1, COLUMN()-2 )</f>
        <v>-464.96387297250152</v>
      </c>
      <c r="M77" s="2" cm="1">
        <f t="array" ref="M77">INDEX( ComputeThermoProps($A77, $B77, ParametersRange), 1, COLUMN()-2 )</f>
        <v>3888.3476880538756</v>
      </c>
      <c r="N77" s="2" cm="1">
        <f t="array" ref="N77">INDEX( ComputeThermoProps($A77, $B77, ParametersRange), 1, COLUMN()-2 )</f>
        <v>2517.2859398973824</v>
      </c>
      <c r="P77">
        <f t="shared" si="1"/>
        <v>2290.8214231659058</v>
      </c>
    </row>
    <row r="78" spans="1:16" x14ac:dyDescent="0.25">
      <c r="A78" s="2">
        <v>55.1</v>
      </c>
      <c r="B78" s="2">
        <f t="shared" si="0"/>
        <v>266.92183714196375</v>
      </c>
      <c r="C78" s="2" cm="1">
        <f t="array" ref="C78">INDEX( ComputeThermoProps($A78, $B78, ParametersRange), 1, COLUMN()-2 )</f>
        <v>11.595609416764397</v>
      </c>
      <c r="D78" s="2" cm="1">
        <f t="array" ref="D78">INDEX( ComputeThermoProps($A78, $B78, ParametersRange), 1, COLUMN()-2 )</f>
        <v>4.3936060486796677E-4</v>
      </c>
      <c r="E78" s="2" cm="1">
        <f t="array" ref="E78">INDEX( ComputeThermoProps($A78, $B78, ParametersRange), 1, COLUMN()-2 )</f>
        <v>4.2797315562663403E-4</v>
      </c>
      <c r="F78" s="2" cm="1">
        <f t="array" ref="F78">INDEX( ComputeThermoProps($A78, $B78, ParametersRange), 1, COLUMN()-2 )</f>
        <v>6.4295917285890039E-4</v>
      </c>
      <c r="G78" s="2" cm="1">
        <f t="array" ref="G78">INDEX( ComputeThermoProps($A78, $B78, ParametersRange), 1, COLUMN()-2 )</f>
        <v>23.194526771550589</v>
      </c>
      <c r="H78" s="2" cm="1">
        <f t="array" ref="H78">INDEX( ComputeThermoProps($A78, $B78, ParametersRange), 1, COLUMN()-2 )</f>
        <v>22.593365690285374</v>
      </c>
      <c r="I78" s="2" cm="1">
        <f t="array" ref="I78">INDEX( ComputeThermoProps($A78, $B78, ParametersRange), 1, COLUMN()-2 )</f>
        <v>0.75106051323816858</v>
      </c>
      <c r="J78" s="2" cm="1">
        <f t="array" ref="J78">INDEX( ComputeThermoProps($A78, $B78, ParametersRange), 1, COLUMN()-2 )</f>
        <v>937.44459739181184</v>
      </c>
      <c r="K78" s="2" cm="1">
        <f t="array" ref="K78">INDEX( ComputeThermoProps($A78, $B78, ParametersRange), 1, COLUMN()-2 )</f>
        <v>25.685420587386322</v>
      </c>
      <c r="L78" s="2" cm="1">
        <f t="array" ref="L78">INDEX( ComputeThermoProps($A78, $B78, ParametersRange), 1, COLUMN()-2 )</f>
        <v>-477.82207697317449</v>
      </c>
      <c r="M78" s="2" cm="1">
        <f t="array" ref="M78">INDEX( ComputeThermoProps($A78, $B78, ParametersRange), 1, COLUMN()-2 )</f>
        <v>4032.5659656952193</v>
      </c>
      <c r="N78" s="2" cm="1">
        <f t="array" ref="N78">INDEX( ComputeThermoProps($A78, $B78, ParametersRange), 1, COLUMN()-2 )</f>
        <v>2617.2992913302328</v>
      </c>
      <c r="P78">
        <f t="shared" si="1"/>
        <v>2435.0397008072496</v>
      </c>
    </row>
    <row r="79" spans="1:16" x14ac:dyDescent="0.25">
      <c r="A79" s="2">
        <v>56.1</v>
      </c>
      <c r="B79" s="2">
        <f t="shared" si="0"/>
        <v>277.84576893478209</v>
      </c>
      <c r="C79" s="2" cm="1">
        <f t="array" ref="C79">INDEX( ComputeThermoProps($A79, $B79, ParametersRange), 1, COLUMN()-2 )</f>
        <v>11.548215622555906</v>
      </c>
      <c r="D79" s="2" cm="1">
        <f t="array" ref="D79">INDEX( ComputeThermoProps($A79, $B79, ParametersRange), 1, COLUMN()-2 )</f>
        <v>4.265123936552392E-4</v>
      </c>
      <c r="E79" s="2" cm="1">
        <f t="array" ref="E79">INDEX( ComputeThermoProps($A79, $B79, ParametersRange), 1, COLUMN()-2 )</f>
        <v>4.1568314521096437E-4</v>
      </c>
      <c r="F79" s="2" cm="1">
        <f t="array" ref="F79">INDEX( ComputeThermoProps($A79, $B79, ParametersRange), 1, COLUMN()-2 )</f>
        <v>6.2338378155278498E-4</v>
      </c>
      <c r="G79" s="2" cm="1">
        <f t="array" ref="G79">INDEX( ComputeThermoProps($A79, $B79, ParametersRange), 1, COLUMN()-2 )</f>
        <v>23.248258521379885</v>
      </c>
      <c r="H79" s="2" cm="1">
        <f t="array" ref="H79">INDEX( ComputeThermoProps($A79, $B79, ParametersRange), 1, COLUMN()-2 )</f>
        <v>22.657979853819626</v>
      </c>
      <c r="I79" s="2" cm="1">
        <f t="array" ref="I79">INDEX( ComputeThermoProps($A79, $B79, ParametersRange), 1, COLUMN()-2 )</f>
        <v>0.74493356249228782</v>
      </c>
      <c r="J79" s="2" cm="1">
        <f t="array" ref="J79">INDEX( ComputeThermoProps($A79, $B79, ParametersRange), 1, COLUMN()-2 )</f>
        <v>969.1247225896069</v>
      </c>
      <c r="K79" s="2" cm="1">
        <f t="array" ref="K79">INDEX( ComputeThermoProps($A79, $B79, ParametersRange), 1, COLUMN()-2 )</f>
        <v>26.02305344763743</v>
      </c>
      <c r="L79" s="2" cm="1">
        <f t="array" ref="L79">INDEX( ComputeThermoProps($A79, $B79, ParametersRange), 1, COLUMN()-2 )</f>
        <v>-490.76857582285299</v>
      </c>
      <c r="M79" s="2" cm="1">
        <f t="array" ref="M79">INDEX( ComputeThermoProps($A79, $B79, ParametersRange), 1, COLUMN()-2 )</f>
        <v>4177.7475720633156</v>
      </c>
      <c r="N79" s="2" cm="1">
        <f t="array" ref="N79">INDEX( ComputeThermoProps($A79, $B79, ParametersRange), 1, COLUMN()-2 )</f>
        <v>2717.8542736508557</v>
      </c>
      <c r="P79">
        <f t="shared" si="1"/>
        <v>2580.2213071753458</v>
      </c>
    </row>
    <row r="80" spans="1:16" x14ac:dyDescent="0.25">
      <c r="A80" s="2">
        <v>57.1</v>
      </c>
      <c r="B80" s="2">
        <f t="shared" si="0"/>
        <v>288.88824769365237</v>
      </c>
      <c r="C80" s="2" cm="1">
        <f t="array" ref="C80">INDEX( ComputeThermoProps($A80, $B80, ParametersRange), 1, COLUMN()-2 )</f>
        <v>11.501799243500461</v>
      </c>
      <c r="D80" s="2" cm="1">
        <f t="array" ref="D80">INDEX( ComputeThermoProps($A80, $B80, ParametersRange), 1, COLUMN()-2 )</f>
        <v>4.142521871748952E-4</v>
      </c>
      <c r="E80" s="2" cm="1">
        <f t="array" ref="E80">INDEX( ComputeThermoProps($A80, $B80, ParametersRange), 1, COLUMN()-2 )</f>
        <v>4.0394585459112899E-4</v>
      </c>
      <c r="F80" s="2" cm="1">
        <f t="array" ref="F80">INDEX( ComputeThermoProps($A80, $B80, ParametersRange), 1, COLUMN()-2 )</f>
        <v>6.0467992419079735E-4</v>
      </c>
      <c r="G80" s="2" cm="1">
        <f t="array" ref="G80">INDEX( ComputeThermoProps($A80, $B80, ParametersRange), 1, COLUMN()-2 )</f>
        <v>23.29962000713779</v>
      </c>
      <c r="H80" s="2" cm="1">
        <f t="array" ref="H80">INDEX( ComputeThermoProps($A80, $B80, ParametersRange), 1, COLUMN()-2 )</f>
        <v>22.71994018816908</v>
      </c>
      <c r="I80" s="2" cm="1">
        <f t="array" ref="I80">INDEX( ComputeThermoProps($A80, $B80, ParametersRange), 1, COLUMN()-2 )</f>
        <v>0.73895729206626437</v>
      </c>
      <c r="J80" s="2" cm="1">
        <f t="array" ref="J80">INDEX( ComputeThermoProps($A80, $B80, ParametersRange), 1, COLUMN()-2 )</f>
        <v>1001.128188978702</v>
      </c>
      <c r="K80" s="2" cm="1">
        <f t="array" ref="K80">INDEX( ComputeThermoProps($A80, $B80, ParametersRange), 1, COLUMN()-2 )</f>
        <v>26.356129546446084</v>
      </c>
      <c r="L80" s="2" cm="1">
        <f t="array" ref="L80">INDEX( ComputeThermoProps($A80, $B80, ParametersRange), 1, COLUMN()-2 )</f>
        <v>-503.80680812336942</v>
      </c>
      <c r="M80" s="2" cm="1">
        <f t="array" ref="M80">INDEX( ComputeThermoProps($A80, $B80, ParametersRange), 1, COLUMN()-2 )</f>
        <v>4323.8628177577266</v>
      </c>
      <c r="N80" s="2" cm="1">
        <f t="array" ref="N80">INDEX( ComputeThermoProps($A80, $B80, ParametersRange), 1, COLUMN()-2 )</f>
        <v>2818.9278206556551</v>
      </c>
      <c r="P80">
        <f t="shared" si="1"/>
        <v>2726.3365528697568</v>
      </c>
    </row>
    <row r="81" spans="1:16" x14ac:dyDescent="0.25">
      <c r="A81" s="2">
        <v>58.1</v>
      </c>
      <c r="B81" s="2">
        <f t="shared" si="0"/>
        <v>300.04703706744527</v>
      </c>
      <c r="C81" s="2" cm="1">
        <f t="array" ref="C81">INDEX( ComputeThermoProps($A81, $B81, ParametersRange), 1, COLUMN()-2 )</f>
        <v>11.456331079854325</v>
      </c>
      <c r="D81" s="2" cm="1">
        <f t="array" ref="D81">INDEX( ComputeThermoProps($A81, $B81, ParametersRange), 1, COLUMN()-2 )</f>
        <v>4.0255023286309865E-4</v>
      </c>
      <c r="E81" s="2" cm="1">
        <f t="array" ref="E81">INDEX( ComputeThermoProps($A81, $B81, ParametersRange), 1, COLUMN()-2 )</f>
        <v>3.9273390716369847E-4</v>
      </c>
      <c r="F81" s="2" cm="1">
        <f t="array" ref="F81">INDEX( ComputeThermoProps($A81, $B81, ParametersRange), 1, COLUMN()-2 )</f>
        <v>5.8680734863813177E-4</v>
      </c>
      <c r="G81" s="2" cm="1">
        <f t="array" ref="G81">INDEX( ComputeThermoProps($A81, $B81, ParametersRange), 1, COLUMN()-2 )</f>
        <v>23.348759756863313</v>
      </c>
      <c r="H81" s="2" cm="1">
        <f t="array" ref="H81">INDEX( ComputeThermoProps($A81, $B81, ParametersRange), 1, COLUMN()-2 )</f>
        <v>22.779392230181578</v>
      </c>
      <c r="I81" s="2" cm="1">
        <f t="array" ref="I81">INDEX( ComputeThermoProps($A81, $B81, ParametersRange), 1, COLUMN()-2 )</f>
        <v>0.7331264442793054</v>
      </c>
      <c r="J81" s="2" cm="1">
        <f t="array" ref="J81">INDEX( ComputeThermoProps($A81, $B81, ParametersRange), 1, COLUMN()-2 )</f>
        <v>1033.4454483596164</v>
      </c>
      <c r="K81" s="2" cm="1">
        <f t="array" ref="K81">INDEX( ComputeThermoProps($A81, $B81, ParametersRange), 1, COLUMN()-2 )</f>
        <v>26.684772186421124</v>
      </c>
      <c r="L81" s="2" cm="1">
        <f t="array" ref="L81">INDEX( ComputeThermoProps($A81, $B81, ParametersRange), 1, COLUMN()-2 )</f>
        <v>-516.9398156714509</v>
      </c>
      <c r="M81" s="2" cm="1">
        <f t="array" ref="M81">INDEX( ComputeThermoProps($A81, $B81, ParametersRange), 1, COLUMN()-2 )</f>
        <v>4470.8836445335919</v>
      </c>
      <c r="N81" s="2" cm="1">
        <f t="array" ref="N81">INDEX( ComputeThermoProps($A81, $B81, ParametersRange), 1, COLUMN()-2 )</f>
        <v>2920.4983805025245</v>
      </c>
      <c r="P81">
        <f t="shared" si="1"/>
        <v>2873.3573796456221</v>
      </c>
    </row>
    <row r="82" spans="1:16" x14ac:dyDescent="0.25">
      <c r="A82" s="2">
        <v>59.1</v>
      </c>
      <c r="B82" s="2">
        <f t="shared" si="0"/>
        <v>311.3200042743502</v>
      </c>
      <c r="C82" s="2" cm="1">
        <f t="array" ref="C82">INDEX( ComputeThermoProps($A82, $B82, ParametersRange), 1, COLUMN()-2 )</f>
        <v>11.411782111393341</v>
      </c>
      <c r="D82" s="2" cm="1">
        <f t="array" ref="D82">INDEX( ComputeThermoProps($A82, $B82, ParametersRange), 1, COLUMN()-2 )</f>
        <v>3.9137766947852681E-4</v>
      </c>
      <c r="E82" s="2" cm="1">
        <f t="array" ref="E82">INDEX( ComputeThermoProps($A82, $B82, ParametersRange), 1, COLUMN()-2 )</f>
        <v>3.8202069655487265E-4</v>
      </c>
      <c r="F82" s="2" cm="1">
        <f t="array" ref="F82">INDEX( ComputeThermoProps($A82, $B82, ParametersRange), 1, COLUMN()-2 )</f>
        <v>5.6972632188287365E-4</v>
      </c>
      <c r="G82" s="2" cm="1">
        <f t="array" ref="G82">INDEX( ComputeThermoProps($A82, $B82, ParametersRange), 1, COLUMN()-2 )</f>
        <v>23.395813381722398</v>
      </c>
      <c r="H82" s="2" cm="1">
        <f t="array" ref="H82">INDEX( ComputeThermoProps($A82, $B82, ParametersRange), 1, COLUMN()-2 )</f>
        <v>22.836471320558498</v>
      </c>
      <c r="I82" s="2" cm="1">
        <f t="array" ref="I82">INDEX( ComputeThermoProps($A82, $B82, ParametersRange), 1, COLUMN()-2 )</f>
        <v>0.7274358744278262</v>
      </c>
      <c r="J82" s="2" cm="1">
        <f t="array" ref="J82">INDEX( ComputeThermoProps($A82, $B82, ParametersRange), 1, COLUMN()-2 )</f>
        <v>1066.06744173278</v>
      </c>
      <c r="K82" s="2" cm="1">
        <f t="array" ref="K82">INDEX( ComputeThermoProps($A82, $B82, ParametersRange), 1, COLUMN()-2 )</f>
        <v>27.009098411269271</v>
      </c>
      <c r="L82" s="2" cm="1">
        <f t="array" ref="L82">INDEX( ComputeThermoProps($A82, $B82, ParametersRange), 1, COLUMN()-2 )</f>
        <v>-530.17027437323395</v>
      </c>
      <c r="M82" s="2" cm="1">
        <f t="array" ref="M82">INDEX( ComputeThermoProps($A82, $B82, ParametersRange), 1, COLUMN()-2 )</f>
        <v>4618.7834974297084</v>
      </c>
      <c r="N82" s="2" cm="1">
        <f t="array" ref="N82">INDEX( ComputeThermoProps($A82, $B82, ParametersRange), 1, COLUMN()-2 )</f>
        <v>3022.5457813236944</v>
      </c>
      <c r="P82">
        <f t="shared" si="1"/>
        <v>3021.2572325417386</v>
      </c>
    </row>
    <row r="83" spans="1:16" x14ac:dyDescent="0.25">
      <c r="A83" s="2">
        <v>60.1</v>
      </c>
      <c r="B83" s="2">
        <f t="shared" si="0"/>
        <v>322.70511266370062</v>
      </c>
      <c r="C83" s="2" cm="1">
        <f t="array" ref="C83">INDEX( ComputeThermoProps($A83, $B83, ParametersRange), 1, COLUMN()-2 )</f>
        <v>11.368123687915308</v>
      </c>
      <c r="D83" s="2" cm="1">
        <f t="array" ref="D83">INDEX( ComputeThermoProps($A83, $B83, ParametersRange), 1, COLUMN()-2 )</f>
        <v>3.807066838171125E-4</v>
      </c>
      <c r="E83" s="2" cm="1">
        <f t="array" ref="E83">INDEX( ComputeThermoProps($A83, $B83, ParametersRange), 1, COLUMN()-2 )</f>
        <v>3.7178053622368811E-4</v>
      </c>
      <c r="F83" s="2" cm="1">
        <f t="array" ref="F83">INDEX( ComputeThermoProps($A83, $B83, ParametersRange), 1, COLUMN()-2 )</f>
        <v>5.5339800432468436E-4</v>
      </c>
      <c r="G83" s="2" cm="1">
        <f t="array" ref="G83">INDEX( ComputeThermoProps($A83, $B83, ParametersRange), 1, COLUMN()-2 )</f>
        <v>23.44090505798718</v>
      </c>
      <c r="H83" s="2" cm="1">
        <f t="array" ref="H83">INDEX( ComputeThermoProps($A83, $B83, ParametersRange), 1, COLUMN()-2 )</f>
        <v>22.891303521777857</v>
      </c>
      <c r="I83" s="2" cm="1">
        <f t="array" ref="I83">INDEX( ComputeThermoProps($A83, $B83, ParametersRange), 1, COLUMN()-2 )</f>
        <v>0.72188057149606799</v>
      </c>
      <c r="J83" s="2" cm="1">
        <f t="array" ref="J83">INDEX( ComputeThermoProps($A83, $B83, ParametersRange), 1, COLUMN()-2 )</f>
        <v>1098.9855743281382</v>
      </c>
      <c r="K83" s="2" cm="1">
        <f t="array" ref="K83">INDEX( ComputeThermoProps($A83, $B83, ParametersRange), 1, COLUMN()-2 )</f>
        <v>27.329219607416324</v>
      </c>
      <c r="L83" s="2" cm="1">
        <f t="array" ref="L83">INDEX( ComputeThermoProps($A83, $B83, ParametersRange), 1, COLUMN()-2 )</f>
        <v>-543.5005240775829</v>
      </c>
      <c r="M83" s="2" cm="1">
        <f t="array" ref="M83">INDEX( ComputeThermoProps($A83, $B83, ParametersRange), 1, COLUMN()-2 )</f>
        <v>4767.5372098117314</v>
      </c>
      <c r="N83" s="2" cm="1">
        <f t="array" ref="N83">INDEX( ComputeThermoProps($A83, $B83, ParametersRange), 1, COLUMN()-2 )</f>
        <v>3125.0511114060105</v>
      </c>
      <c r="P83">
        <f t="shared" si="1"/>
        <v>3170.0109449237616</v>
      </c>
    </row>
    <row r="84" spans="1:16" x14ac:dyDescent="0.25">
      <c r="A84" s="2">
        <v>61.1</v>
      </c>
      <c r="B84" s="2">
        <f t="shared" si="0"/>
        <v>334.20041498844677</v>
      </c>
      <c r="C84" s="2" cm="1">
        <f t="array" ref="C84">INDEX( ComputeThermoProps($A84, $B84, ParametersRange), 1, COLUMN()-2 )</f>
        <v>11.325327675725413</v>
      </c>
      <c r="D84" s="2" cm="1">
        <f t="array" ref="D84">INDEX( ComputeThermoProps($A84, $B84, ParametersRange), 1, COLUMN()-2 )</f>
        <v>3.7051061358261961E-4</v>
      </c>
      <c r="E84" s="2" cm="1">
        <f t="array" ref="E84">INDEX( ComputeThermoProps($A84, $B84, ParametersRange), 1, COLUMN()-2 )</f>
        <v>3.6198875977663591E-4</v>
      </c>
      <c r="F84" s="2" cm="1">
        <f t="array" ref="F84">INDEX( ComputeThermoProps($A84, $B84, ParametersRange), 1, COLUMN()-2 )</f>
        <v>5.377847196012676E-4</v>
      </c>
      <c r="G84" s="2" cm="1">
        <f t="array" ref="G84">INDEX( ComputeThermoProps($A84, $B84, ParametersRange), 1, COLUMN()-2 )</f>
        <v>23.48414879618791</v>
      </c>
      <c r="H84" s="2" cm="1">
        <f t="array" ref="H84">INDEX( ComputeThermoProps($A84, $B84, ParametersRange), 1, COLUMN()-2 )</f>
        <v>22.944006421145108</v>
      </c>
      <c r="I84" s="2" cm="1">
        <f t="array" ref="I84">INDEX( ComputeThermoProps($A84, $B84, ParametersRange), 1, COLUMN()-2 )</f>
        <v>0.71645567287224832</v>
      </c>
      <c r="J84" s="2" cm="1">
        <f t="array" ref="J84">INDEX( ComputeThermoProps($A84, $B84, ParametersRange), 1, COLUMN()-2 )</f>
        <v>1132.1916906242072</v>
      </c>
      <c r="K84" s="2" cm="1">
        <f t="array" ref="K84">INDEX( ComputeThermoProps($A84, $B84, ParametersRange), 1, COLUMN()-2 )</f>
        <v>27.645242023047963</v>
      </c>
      <c r="L84" s="2" cm="1">
        <f t="array" ref="L84">INDEX( ComputeThermoProps($A84, $B84, ParametersRange), 1, COLUMN()-2 )</f>
        <v>-556.93259698402335</v>
      </c>
      <c r="M84" s="2" cm="1">
        <f t="array" ref="M84">INDEX( ComputeThermoProps($A84, $B84, ParametersRange), 1, COLUMN()-2 )</f>
        <v>4917.1208997317817</v>
      </c>
      <c r="N84" s="2" cm="1">
        <f t="array" ref="N84">INDEX( ComputeThermoProps($A84, $B84, ParametersRange), 1, COLUMN()-2 )</f>
        <v>3227.9966121235511</v>
      </c>
      <c r="P84">
        <f t="shared" si="1"/>
        <v>3319.5946348438119</v>
      </c>
    </row>
    <row r="85" spans="1:16" x14ac:dyDescent="0.25">
      <c r="A85" s="2">
        <v>62.1</v>
      </c>
      <c r="B85" s="2">
        <f t="shared" si="0"/>
        <v>345.80404730472151</v>
      </c>
      <c r="C85" s="2" cm="1">
        <f t="array" ref="C85">INDEX( ComputeThermoProps($A85, $B85, ParametersRange), 1, COLUMN()-2 )</f>
        <v>11.283366568108272</v>
      </c>
      <c r="D85" s="2" cm="1">
        <f t="array" ref="D85">INDEX( ComputeThermoProps($A85, $B85, ParametersRange), 1, COLUMN()-2 )</f>
        <v>3.6076400814695437E-4</v>
      </c>
      <c r="E85" s="2" cm="1">
        <f t="array" ref="E85">INDEX( ComputeThermoProps($A85, $B85, ParametersRange), 1, COLUMN()-2 )</f>
        <v>3.5262178248751625E-4</v>
      </c>
      <c r="F85" s="2" cm="1">
        <f t="array" ref="F85">INDEX( ComputeThermoProps($A85, $B85, ParametersRange), 1, COLUMN()-2 )</f>
        <v>5.2285014138626874E-4</v>
      </c>
      <c r="G85" s="2" cm="1">
        <f t="array" ref="G85">INDEX( ComputeThermoProps($A85, $B85, ParametersRange), 1, COLUMN()-2 )</f>
        <v>23.525649520243078</v>
      </c>
      <c r="H85" s="2" cm="1">
        <f t="array" ref="H85">INDEX( ComputeThermoProps($A85, $B85, ParametersRange), 1, COLUMN()-2 )</f>
        <v>22.994689826778743</v>
      </c>
      <c r="I85" s="2" cm="1">
        <f t="array" ref="I85">INDEX( ComputeThermoProps($A85, $B85, ParametersRange), 1, COLUMN()-2 )</f>
        <v>0.71115647425880957</v>
      </c>
      <c r="J85" s="2" cm="1">
        <f t="array" ref="J85">INDEX( ComputeThermoProps($A85, $B85, ParametersRange), 1, COLUMN()-2 )</f>
        <v>1165.6780497662928</v>
      </c>
      <c r="K85" s="2" cm="1">
        <f t="array" ref="K85">INDEX( ComputeThermoProps($A85, $B85, ParametersRange), 1, COLUMN()-2 )</f>
        <v>27.957267217130923</v>
      </c>
      <c r="L85" s="2" cm="1">
        <f t="array" ref="L85">INDEX( ComputeThermoProps($A85, $B85, ParametersRange), 1, COLUMN()-2 )</f>
        <v>-570.46824441753756</v>
      </c>
      <c r="M85" s="2" cm="1">
        <f t="array" ref="M85">INDEX( ComputeThermoProps($A85, $B85, ParametersRange), 1, COLUMN()-2 )</f>
        <v>5067.5118762409193</v>
      </c>
      <c r="N85" s="2" cm="1">
        <f t="array" ref="N85">INDEX( ComputeThermoProps($A85, $B85, ParametersRange), 1, COLUMN()-2 )</f>
        <v>3331.3655820570889</v>
      </c>
      <c r="P85">
        <f t="shared" si="1"/>
        <v>3469.9856113529495</v>
      </c>
    </row>
    <row r="86" spans="1:16" x14ac:dyDescent="0.25">
      <c r="A86" s="2">
        <v>63.1</v>
      </c>
      <c r="B86" s="2">
        <f t="shared" si="0"/>
        <v>357.51422342647209</v>
      </c>
      <c r="C86" s="2" cm="1">
        <f t="array" ref="C86">INDEX( ComputeThermoProps($A86, $B86, ParametersRange), 1, COLUMN()-2 )</f>
        <v>11.242213566469129</v>
      </c>
      <c r="D86" s="2" cm="1">
        <f t="array" ref="D86">INDEX( ComputeThermoProps($A86, $B86, ParametersRange), 1, COLUMN()-2 )</f>
        <v>3.514426567977208E-4</v>
      </c>
      <c r="E86" s="2" cm="1">
        <f t="array" ref="E86">INDEX( ComputeThermoProps($A86, $B86, ParametersRange), 1, COLUMN()-2 )</f>
        <v>3.4365713263120141E-4</v>
      </c>
      <c r="F86" s="2" cm="1">
        <f t="array" ref="F86">INDEX( ComputeThermoProps($A86, $B86, ParametersRange), 1, COLUMN()-2 )</f>
        <v>5.0855941641432111E-4</v>
      </c>
      <c r="G86" s="2" cm="1">
        <f t="array" ref="G86">INDEX( ComputeThermoProps($A86, $B86, ParametersRange), 1, COLUMN()-2 )</f>
        <v>23.565504052937886</v>
      </c>
      <c r="H86" s="2" cm="1">
        <f t="array" ref="H86">INDEX( ComputeThermoProps($A86, $B86, ParametersRange), 1, COLUMN()-2 )</f>
        <v>23.043456436487165</v>
      </c>
      <c r="I86" s="2" cm="1">
        <f t="array" ref="I86">INDEX( ComputeThermoProps($A86, $B86, ParametersRange), 1, COLUMN()-2 )</f>
        <v>0.70597843575562413</v>
      </c>
      <c r="J86" s="2" cm="1">
        <f t="array" ref="J86">INDEX( ComputeThermoProps($A86, $B86, ParametersRange), 1, COLUMN()-2 )</f>
        <v>1199.4373016753461</v>
      </c>
      <c r="K86" s="2" cm="1">
        <f t="array" ref="K86">INDEX( ComputeThermoProps($A86, $B86, ParametersRange), 1, COLUMN()-2 )</f>
        <v>28.26539244910397</v>
      </c>
      <c r="L86" s="2" cm="1">
        <f t="array" ref="L86">INDEX( ComputeThermoProps($A86, $B86, ParametersRange), 1, COLUMN()-2 )</f>
        <v>-584.10896186311447</v>
      </c>
      <c r="M86" s="2" cm="1">
        <f t="array" ref="M86">INDEX( ComputeThermoProps($A86, $B86, ParametersRange), 1, COLUMN()-2 )</f>
        <v>5218.6885544861061</v>
      </c>
      <c r="N86" s="2" cm="1">
        <f t="array" ref="N86">INDEX( ComputeThermoProps($A86, $B86, ParametersRange), 1, COLUMN()-2 )</f>
        <v>3435.1422909476455</v>
      </c>
      <c r="P86">
        <f t="shared" si="1"/>
        <v>3621.1622895981363</v>
      </c>
    </row>
    <row r="87" spans="1:16" x14ac:dyDescent="0.25">
      <c r="A87" s="2">
        <v>64.099999999999994</v>
      </c>
      <c r="B87" s="2">
        <f t="shared" si="0"/>
        <v>369.32922987285292</v>
      </c>
      <c r="C87" s="2" cm="1">
        <f t="array" ref="C87">INDEX( ComputeThermoProps($A87, $B87, ParametersRange), 1, COLUMN()-2 )</f>
        <v>11.201842637700778</v>
      </c>
      <c r="D87" s="2" cm="1">
        <f t="array" ref="D87">INDEX( ComputeThermoProps($A87, $B87, ParametersRange), 1, COLUMN()-2 )</f>
        <v>3.4252359217275979E-4</v>
      </c>
      <c r="E87" s="2" cm="1">
        <f t="array" ref="E87">INDEX( ComputeThermoProps($A87, $B87, ParametersRange), 1, COLUMN()-2 )</f>
        <v>3.3507345963306834E-4</v>
      </c>
      <c r="F87" s="2" cm="1">
        <f t="array" ref="F87">INDEX( ComputeThermoProps($A87, $B87, ParametersRange), 1, COLUMN()-2 )</f>
        <v>4.9487923543070124E-4</v>
      </c>
      <c r="G87" s="2" cm="1">
        <f t="array" ref="G87">INDEX( ComputeThermoProps($A87, $B87, ParametersRange), 1, COLUMN()-2 )</f>
        <v>23.603801914103432</v>
      </c>
      <c r="H87" s="2" cm="1">
        <f t="array" ref="H87">INDEX( ComputeThermoProps($A87, $B87, ParametersRange), 1, COLUMN()-2 )</f>
        <v>23.090402379825516</v>
      </c>
      <c r="I87" s="2" cm="1">
        <f t="array" ref="I87">INDEX( ComputeThermoProps($A87, $B87, ParametersRange), 1, COLUMN()-2 )</f>
        <v>0.70091718491878585</v>
      </c>
      <c r="J87" s="2" cm="1">
        <f t="array" ref="J87">INDEX( ComputeThermoProps($A87, $B87, ParametersRange), 1, COLUMN()-2 )</f>
        <v>1233.46246404726</v>
      </c>
      <c r="K87" s="2" cm="1">
        <f t="array" ref="K87">INDEX( ComputeThermoProps($A87, $B87, ParametersRange), 1, COLUMN()-2 )</f>
        <v>28.569711018299017</v>
      </c>
      <c r="L87" s="2" cm="1">
        <f t="array" ref="L87">INDEX( ComputeThermoProps($A87, $B87, ParametersRange), 1, COLUMN()-2 )</f>
        <v>-597.85601222570676</v>
      </c>
      <c r="M87" s="2" cm="1">
        <f t="array" ref="M87">INDEX( ComputeThermoProps($A87, $B87, ParametersRange), 1, COLUMN()-2 )</f>
        <v>5370.6303785861755</v>
      </c>
      <c r="N87" s="2" cm="1">
        <f t="array" ref="N87">INDEX( ComputeThermoProps($A87, $B87, ParametersRange), 1, COLUMN()-2 )</f>
        <v>3539.3119023132085</v>
      </c>
      <c r="P87">
        <f t="shared" si="1"/>
        <v>3773.1041136982058</v>
      </c>
    </row>
    <row r="88" spans="1:16" x14ac:dyDescent="0.25">
      <c r="A88" s="2">
        <v>65.099999999999994</v>
      </c>
      <c r="B88" s="2">
        <f t="shared" ref="B88:B122" si="2">IF(
  A88 &lt;= $B$5,
  $B$6 * EXP( ($B$5/A88) * ( $B$13*(1 - A88/$B$5) + $B$14*(1 - A88/$B$5)^1.5 + $B$15*(1 - A88/$B$5)^5 ) ),
  $B$6 * ( 1 + $B$17 * MAX(A88/$B$5 - 1, 0)^$B$18 + $B$19 * MAX(A88/$B$5 - 1, 0)^$B$20 )
)</f>
        <v>381.24742125430674</v>
      </c>
      <c r="C88" s="2" cm="1">
        <f t="array" ref="C88">INDEX( ComputeThermoProps($A88, $B88, ParametersRange), 1, COLUMN()-2 )</f>
        <v>11.162228552379563</v>
      </c>
      <c r="D88" s="2" cm="1">
        <f t="array" ref="D88">INDEX( ComputeThermoProps($A88, $B88, ParametersRange), 1, COLUMN()-2 )</f>
        <v>3.3398507513921312E-4</v>
      </c>
      <c r="E88" s="2" cm="1">
        <f t="array" ref="E88">INDEX( ComputeThermoProps($A88, $B88, ParametersRange), 1, COLUMN()-2 )</f>
        <v>3.2685052468465862E-4</v>
      </c>
      <c r="F88" s="2" cm="1">
        <f t="array" ref="F88">INDEX( ComputeThermoProps($A88, $B88, ParametersRange), 1, COLUMN()-2 )</f>
        <v>4.8177786648589813E-4</v>
      </c>
      <c r="G88" s="2" cm="1">
        <f t="array" ref="G88">INDEX( ComputeThermoProps($A88, $B88, ParametersRange), 1, COLUMN()-2 )</f>
        <v>23.640626074633367</v>
      </c>
      <c r="H88" s="2" cm="1">
        <f t="array" ref="H88">INDEX( ComputeThermoProps($A88, $B88, ParametersRange), 1, COLUMN()-2 )</f>
        <v>23.135617761203719</v>
      </c>
      <c r="I88" s="2" cm="1">
        <f t="array" ref="I88">INDEX( ComputeThermoProps($A88, $B88, ParametersRange), 1, COLUMN()-2 )</f>
        <v>0.69596851745049249</v>
      </c>
      <c r="J88" s="2" cm="1">
        <f t="array" ref="J88">INDEX( ComputeThermoProps($A88, $B88, ParametersRange), 1, COLUMN()-2 )</f>
        <v>1267.7469003719266</v>
      </c>
      <c r="K88" s="2" cm="1">
        <f t="array" ref="K88">INDEX( ComputeThermoProps($A88, $B88, ParametersRange), 1, COLUMN()-2 )</f>
        <v>28.870312560748772</v>
      </c>
      <c r="L88" s="2" cm="1">
        <f t="array" ref="L88">INDEX( ComputeThermoProps($A88, $B88, ParametersRange), 1, COLUMN()-2 )</f>
        <v>-611.71044733281826</v>
      </c>
      <c r="M88" s="2" cm="1">
        <f t="array" ref="M88">INDEX( ComputeThermoProps($A88, $B88, ParametersRange), 1, COLUMN()-2 )</f>
        <v>5523.3177514178287</v>
      </c>
      <c r="N88" s="2" cm="1">
        <f t="array" ref="N88">INDEX( ComputeThermoProps($A88, $B88, ParametersRange), 1, COLUMN()-2 )</f>
        <v>3643.860403713084</v>
      </c>
      <c r="P88">
        <f t="shared" ref="P88:P122" si="3">M88-$B$11</f>
        <v>3925.791486529859</v>
      </c>
    </row>
    <row r="89" spans="1:16" x14ac:dyDescent="0.25">
      <c r="A89" s="2">
        <v>66.099999999999994</v>
      </c>
      <c r="B89" s="2">
        <f t="shared" si="2"/>
        <v>393.26721605024255</v>
      </c>
      <c r="C89" s="2" cm="1">
        <f t="array" ref="C89">INDEX( ComputeThermoProps($A89, $B89, ParametersRange), 1, COLUMN()-2 )</f>
        <v>11.123346907591928</v>
      </c>
      <c r="D89" s="2" cm="1">
        <f t="array" ref="D89">INDEX( ComputeThermoProps($A89, $B89, ParametersRange), 1, COLUMN()-2 )</f>
        <v>3.2580656603094861E-4</v>
      </c>
      <c r="E89" s="2" cm="1">
        <f t="array" ref="E89">INDEX( ComputeThermoProps($A89, $B89, ParametersRange), 1, COLUMN()-2 )</f>
        <v>3.1896917835214946E-4</v>
      </c>
      <c r="F89" s="2" cm="1">
        <f t="array" ref="F89">INDEX( ComputeThermoProps($A89, $B89, ParametersRange), 1, COLUMN()-2 )</f>
        <v>4.6922515763401113E-4</v>
      </c>
      <c r="G89" s="2" cm="1">
        <f t="array" ref="G89">INDEX( ComputeThermoProps($A89, $B89, ParametersRange), 1, COLUMN()-2 )</f>
        <v>23.676053581092823</v>
      </c>
      <c r="H89" s="2" cm="1">
        <f t="array" ref="H89">INDEX( ComputeThermoProps($A89, $B89, ParametersRange), 1, COLUMN()-2 )</f>
        <v>23.179187115170908</v>
      </c>
      <c r="I89" s="2" cm="1">
        <f t="array" ref="I89">INDEX( ComputeThermoProps($A89, $B89, ParametersRange), 1, COLUMN()-2 )</f>
        <v>0.69112839605331666</v>
      </c>
      <c r="J89" s="2" cm="1">
        <f t="array" ref="J89">INDEX( ComputeThermoProps($A89, $B89, ParametersRange), 1, COLUMN()-2 )</f>
        <v>1302.2842990479057</v>
      </c>
      <c r="K89" s="2" cm="1">
        <f t="array" ref="K89">INDEX( ComputeThermoProps($A89, $B89, ParametersRange), 1, COLUMN()-2 )</f>
        <v>29.16728330983711</v>
      </c>
      <c r="L89" s="2" cm="1">
        <f t="array" ref="L89">INDEX( ComputeThermoProps($A89, $B89, ParametersRange), 1, COLUMN()-2 )</f>
        <v>-625.67312773232709</v>
      </c>
      <c r="M89" s="2" cm="1">
        <f t="array" ref="M89">INDEX( ComputeThermoProps($A89, $B89, ParametersRange), 1, COLUMN()-2 )</f>
        <v>5676.7319705576583</v>
      </c>
      <c r="N89" s="2" cm="1">
        <f t="array" ref="N89">INDEX( ComputeThermoProps($A89, $B89, ParametersRange), 1, COLUMN()-2 )</f>
        <v>3748.7745437774256</v>
      </c>
      <c r="P89">
        <f t="shared" si="3"/>
        <v>4079.2057056696885</v>
      </c>
    </row>
    <row r="90" spans="1:16" x14ac:dyDescent="0.25">
      <c r="A90" s="2">
        <v>67.099999999999994</v>
      </c>
      <c r="B90" s="2">
        <f t="shared" si="2"/>
        <v>405.38709273719024</v>
      </c>
      <c r="C90" s="2" cm="1">
        <f t="array" ref="C90">INDEX( ComputeThermoProps($A90, $B90, ParametersRange), 1, COLUMN()-2 )</f>
        <v>11.085174137521351</v>
      </c>
      <c r="D90" s="2" cm="1">
        <f t="array" ref="D90">INDEX( ComputeThermoProps($A90, $B90, ParametersRange), 1, COLUMN()-2 )</f>
        <v>3.1796868617422683E-4</v>
      </c>
      <c r="E90" s="2" cm="1">
        <f t="array" ref="E90">INDEX( ComputeThermoProps($A90, $B90, ParametersRange), 1, COLUMN()-2 )</f>
        <v>3.1141132877772151E-4</v>
      </c>
      <c r="F90" s="2" cm="1">
        <f t="array" ref="F90">INDEX( ComputeThermoProps($A90, $B90, ParametersRange), 1, COLUMN()-2 )</f>
        <v>4.5719251752849487E-4</v>
      </c>
      <c r="G90" s="2" cm="1">
        <f t="array" ref="G90">INDEX( ComputeThermoProps($A90, $B90, ParametersRange), 1, COLUMN()-2 )</f>
        <v>23.710156110225594</v>
      </c>
      <c r="H90" s="2" cm="1">
        <f t="array" ref="H90">INDEX( ComputeThermoProps($A90, $B90, ParametersRange), 1, COLUMN()-2 )</f>
        <v>23.221189824229455</v>
      </c>
      <c r="I90" s="2" cm="1">
        <f t="array" ref="I90">INDEX( ComputeThermoProps($A90, $B90, ParametersRange), 1, COLUMN()-2 )</f>
        <v>0.68639294788110505</v>
      </c>
      <c r="J90" s="2" cm="1">
        <f t="array" ref="J90">INDEX( ComputeThermoProps($A90, $B90, ParametersRange), 1, COLUMN()-2 )</f>
        <v>1337.0686536283756</v>
      </c>
      <c r="K90" s="2" cm="1">
        <f t="array" ref="K90">INDEX( ComputeThermoProps($A90, $B90, ParametersRange), 1, COLUMN()-2 )</f>
        <v>29.460706326227108</v>
      </c>
      <c r="L90" s="2" cm="1">
        <f t="array" ref="L90">INDEX( ComputeThermoProps($A90, $B90, ParametersRange), 1, COLUMN()-2 )</f>
        <v>-639.74474086146313</v>
      </c>
      <c r="M90" s="2" cm="1">
        <f t="array" ref="M90">INDEX( ComputeThermoProps($A90, $B90, ParametersRange), 1, COLUMN()-2 )</f>
        <v>5830.8551697236462</v>
      </c>
      <c r="N90" s="2" cm="1">
        <f t="array" ref="N90">INDEX( ComputeThermoProps($A90, $B90, ParametersRange), 1, COLUMN()-2 )</f>
        <v>3854.0417752338076</v>
      </c>
      <c r="P90">
        <f t="shared" si="3"/>
        <v>4233.3289048356764</v>
      </c>
    </row>
    <row r="91" spans="1:16" x14ac:dyDescent="0.25">
      <c r="A91" s="2">
        <v>68.099999999999994</v>
      </c>
      <c r="B91" s="2">
        <f t="shared" si="2"/>
        <v>417.60558623139832</v>
      </c>
      <c r="C91" s="2" cm="1">
        <f t="array" ref="C91">INDEX( ComputeThermoProps($A91, $B91, ParametersRange), 1, COLUMN()-2 )</f>
        <v>11.047687514365368</v>
      </c>
      <c r="D91" s="2" cm="1">
        <f t="array" ref="D91">INDEX( ComputeThermoProps($A91, $B91, ParametersRange), 1, COLUMN()-2 )</f>
        <v>3.1045317277093729E-4</v>
      </c>
      <c r="E91" s="2" cm="1">
        <f t="array" ref="E91">INDEX( ComputeThermoProps($A91, $B91, ParametersRange), 1, COLUMN()-2 )</f>
        <v>3.0415990331590957E-4</v>
      </c>
      <c r="F91" s="2" cm="1">
        <f t="array" ref="F91">INDEX( ComputeThermoProps($A91, $B91, ParametersRange), 1, COLUMN()-2 )</f>
        <v>4.4565287976753074E-4</v>
      </c>
      <c r="G91" s="2" cm="1">
        <f t="array" ref="G91">INDEX( ComputeThermoProps($A91, $B91, ParametersRange), 1, COLUMN()-2 )</f>
        <v>23.743000463155798</v>
      </c>
      <c r="H91" s="2" cm="1">
        <f t="array" ref="H91">INDEX( ComputeThermoProps($A91, $B91, ParametersRange), 1, COLUMN()-2 )</f>
        <v>23.261700503320196</v>
      </c>
      <c r="I91" s="2" cm="1">
        <f t="array" ref="I91">INDEX( ComputeThermoProps($A91, $B91, ParametersRange), 1, COLUMN()-2 )</f>
        <v>0.68175846093550951</v>
      </c>
      <c r="J91" s="2" cm="1">
        <f t="array" ref="J91">INDEX( ComputeThermoProps($A91, $B91, ParametersRange), 1, COLUMN()-2 )</f>
        <v>1372.0942442044629</v>
      </c>
      <c r="K91" s="2" cm="1">
        <f t="array" ref="K91">INDEX( ComputeThermoProps($A91, $B91, ParametersRange), 1, COLUMN()-2 )</f>
        <v>29.75066170163776</v>
      </c>
      <c r="L91" s="2" cm="1">
        <f t="array" ref="L91">INDEX( ComputeThermoProps($A91, $B91, ParametersRange), 1, COLUMN()-2 )</f>
        <v>-653.92581767706838</v>
      </c>
      <c r="M91" s="2" cm="1">
        <f t="array" ref="M91">INDEX( ComputeThermoProps($A91, $B91, ParametersRange), 1, COLUMN()-2 )</f>
        <v>5985.670265142312</v>
      </c>
      <c r="N91" s="2" cm="1">
        <f t="array" ref="N91">INDEX( ComputeThermoProps($A91, $B91, ParametersRange), 1, COLUMN()-2 )</f>
        <v>3959.6502032607809</v>
      </c>
      <c r="P91">
        <f t="shared" si="3"/>
        <v>4388.1440002543422</v>
      </c>
    </row>
    <row r="92" spans="1:16" x14ac:dyDescent="0.25">
      <c r="A92" s="2">
        <v>69.099999999999994</v>
      </c>
      <c r="B92" s="2">
        <f t="shared" si="2"/>
        <v>429.92128461422504</v>
      </c>
      <c r="C92" s="2" cm="1">
        <f t="array" ref="C92">INDEX( ComputeThermoProps($A92, $B92, ParametersRange), 1, COLUMN()-2 )</f>
        <v>11.0108651416867</v>
      </c>
      <c r="D92" s="2" cm="1">
        <f t="array" ref="D92">INDEX( ComputeThermoProps($A92, $B92, ParametersRange), 1, COLUMN()-2 )</f>
        <v>3.0324282952717656E-4</v>
      </c>
      <c r="E92" s="2" cm="1">
        <f t="array" ref="E92">INDEX( ComputeThermoProps($A92, $B92, ParametersRange), 1, COLUMN()-2 )</f>
        <v>2.9719880583108115E-4</v>
      </c>
      <c r="F92" s="2" cm="1">
        <f t="array" ref="F92">INDEX( ComputeThermoProps($A92, $B92, ParametersRange), 1, COLUMN()-2 )</f>
        <v>4.3458065556071542E-4</v>
      </c>
      <c r="G92" s="2" cm="1">
        <f t="array" ref="G92">INDEX( ComputeThermoProps($A92, $B92, ParametersRange), 1, COLUMN()-2 )</f>
        <v>23.774649004843496</v>
      </c>
      <c r="H92" s="2" cm="1">
        <f t="array" ref="H92">INDEX( ComputeThermoProps($A92, $B92, ParametersRange), 1, COLUMN()-2 )</f>
        <v>23.300789351918883</v>
      </c>
      <c r="I92" s="2" cm="1">
        <f t="array" ref="I92">INDEX( ComputeThermoProps($A92, $B92, ParametersRange), 1, COLUMN()-2 )</f>
        <v>0.67722137968877738</v>
      </c>
      <c r="J92" s="2" cm="1">
        <f t="array" ref="J92">INDEX( ComputeThermoProps($A92, $B92, ParametersRange), 1, COLUMN()-2 )</f>
        <v>1407.3556199105224</v>
      </c>
      <c r="K92" s="2" cm="1">
        <f t="array" ref="K92">INDEX( ComputeThermoProps($A92, $B92, ParametersRange), 1, COLUMN()-2 )</f>
        <v>30.037226740311866</v>
      </c>
      <c r="L92" s="2" cm="1">
        <f t="array" ref="L92">INDEX( ComputeThermoProps($A92, $B92, ParametersRange), 1, COLUMN()-2 )</f>
        <v>-668.21674784502738</v>
      </c>
      <c r="M92" s="2" cm="1">
        <f t="array" ref="M92">INDEX( ComputeThermoProps($A92, $B92, ParametersRange), 1, COLUMN()-2 )</f>
        <v>6141.1609063384594</v>
      </c>
      <c r="N92" s="2" cm="1">
        <f t="array" ref="N92">INDEX( ComputeThermoProps($A92, $B92, ParametersRange), 1, COLUMN()-2 )</f>
        <v>4065.5885385829097</v>
      </c>
      <c r="P92">
        <f t="shared" si="3"/>
        <v>4543.6346414504897</v>
      </c>
    </row>
    <row r="93" spans="1:16" x14ac:dyDescent="0.25">
      <c r="A93" s="2">
        <v>70.099999999999994</v>
      </c>
      <c r="B93" s="2">
        <f t="shared" si="2"/>
        <v>442.33282611243709</v>
      </c>
      <c r="C93" s="2" cm="1">
        <f t="array" ref="C93">INDEX( ComputeThermoProps($A93, $B93, ParametersRange), 1, COLUMN()-2 )</f>
        <v>10.974685941916375</v>
      </c>
      <c r="D93" s="2" cm="1">
        <f t="array" ref="D93">INDEX( ComputeThermoProps($A93, $B93, ParametersRange), 1, COLUMN()-2 )</f>
        <v>2.9632147491862661E-4</v>
      </c>
      <c r="E93" s="2" cm="1">
        <f t="array" ref="E93">INDEX( ComputeThermoProps($A93, $B93, ParametersRange), 1, COLUMN()-2 )</f>
        <v>2.905128714320334E-4</v>
      </c>
      <c r="F93" s="2" cm="1">
        <f t="array" ref="F93">INDEX( ComputeThermoProps($A93, $B93, ParametersRange), 1, COLUMN()-2 )</f>
        <v>4.2395167844862697E-4</v>
      </c>
      <c r="G93" s="2" cm="1">
        <f t="array" ref="G93">INDEX( ComputeThermoProps($A93, $B93, ParametersRange), 1, COLUMN()-2 )</f>
        <v>23.80516005633514</v>
      </c>
      <c r="H93" s="2" cm="1">
        <f t="array" ref="H93">INDEX( ComputeThermoProps($A93, $B93, ParametersRange), 1, COLUMN()-2 )</f>
        <v>23.338522477198801</v>
      </c>
      <c r="I93" s="2" cm="1">
        <f t="array" ref="I93">INDEX( ComputeThermoProps($A93, $B93, ParametersRange), 1, COLUMN()-2 )</f>
        <v>0.67277830018532059</v>
      </c>
      <c r="J93" s="2" cm="1">
        <f t="array" ref="J93">INDEX( ComputeThermoProps($A93, $B93, ParametersRange), 1, COLUMN()-2 )</f>
        <v>1442.8475824431414</v>
      </c>
      <c r="K93" s="2" cm="1">
        <f t="array" ref="K93">INDEX( ComputeThermoProps($A93, $B93, ParametersRange), 1, COLUMN()-2 )</f>
        <v>30.320476121729531</v>
      </c>
      <c r="L93" s="2" cm="1">
        <f t="array" ref="L93">INDEX( ComputeThermoProps($A93, $B93, ParametersRange), 1, COLUMN()-2 )</f>
        <v>-682.61779369009855</v>
      </c>
      <c r="M93" s="2" cm="1">
        <f t="array" ref="M93">INDEX( ComputeThermoProps($A93, $B93, ParametersRange), 1, COLUMN()-2 )</f>
        <v>6297.3114308274453</v>
      </c>
      <c r="N93" s="2" cm="1">
        <f t="array" ref="N93">INDEX( ComputeThermoProps($A93, $B93, ParametersRange), 1, COLUMN()-2 )</f>
        <v>4171.8460546942051</v>
      </c>
      <c r="P93">
        <f t="shared" si="3"/>
        <v>4699.7851659394755</v>
      </c>
    </row>
    <row r="94" spans="1:16" x14ac:dyDescent="0.25">
      <c r="A94" s="2">
        <v>71.099999999999994</v>
      </c>
      <c r="B94" s="2">
        <f t="shared" si="2"/>
        <v>454.8388963087811</v>
      </c>
      <c r="C94" s="2" cm="1">
        <f t="array" ref="C94">INDEX( ComputeThermoProps($A94, $B94, ParametersRange), 1, COLUMN()-2 )</f>
        <v>10.93912963940749</v>
      </c>
      <c r="D94" s="2" cm="1">
        <f t="array" ref="D94">INDEX( ComputeThermoProps($A94, $B94, ParametersRange), 1, COLUMN()-2 )</f>
        <v>2.8967388923536064E-4</v>
      </c>
      <c r="E94" s="2" cm="1">
        <f t="array" ref="E94">INDEX( ComputeThermoProps($A94, $B94, ParametersRange), 1, COLUMN()-2 )</f>
        <v>2.8408781973073547E-4</v>
      </c>
      <c r="F94" s="2" cm="1">
        <f t="array" ref="F94">INDEX( ComputeThermoProps($A94, $B94, ParametersRange), 1, COLUMN()-2 )</f>
        <v>4.1374314290163567E-4</v>
      </c>
      <c r="G94" s="2" cm="1">
        <f t="array" ref="G94">INDEX( ComputeThermoProps($A94, $B94, ParametersRange), 1, COLUMN()-2 )</f>
        <v>23.834588213335323</v>
      </c>
      <c r="H94" s="2" cm="1">
        <f t="array" ref="H94">INDEX( ComputeThermoProps($A94, $B94, ParametersRange), 1, COLUMN()-2 )</f>
        <v>23.374962160309767</v>
      </c>
      <c r="I94" s="2" cm="1">
        <f t="array" ref="I94">INDEX( ComputeThermoProps($A94, $B94, ParametersRange), 1, COLUMN()-2 )</f>
        <v>0.66842596466047888</v>
      </c>
      <c r="J94" s="2" cm="1">
        <f t="array" ref="J94">INDEX( ComputeThermoProps($A94, $B94, ParametersRange), 1, COLUMN()-2 )</f>
        <v>1478.5651709395959</v>
      </c>
      <c r="K94" s="2" cm="1">
        <f t="array" ref="K94">INDEX( ComputeThermoProps($A94, $B94, ParametersRange), 1, COLUMN()-2 )</f>
        <v>30.600482045643489</v>
      </c>
      <c r="L94" s="2" cm="1">
        <f t="array" ref="L94">INDEX( ComputeThermoProps($A94, $B94, ParametersRange), 1, COLUMN()-2 )</f>
        <v>-697.12910250565596</v>
      </c>
      <c r="M94" s="2" cm="1">
        <f t="array" ref="M94">INDEX( ComputeThermoProps($A94, $B94, ParametersRange), 1, COLUMN()-2 )</f>
        <v>6454.1068227063734</v>
      </c>
      <c r="N94" s="2" cm="1">
        <f t="array" ref="N94">INDEX( ComputeThermoProps($A94, $B94, ParametersRange), 1, COLUMN()-2 )</f>
        <v>4278.4125492611211</v>
      </c>
      <c r="P94">
        <f t="shared" si="3"/>
        <v>4856.5805578184036</v>
      </c>
    </row>
    <row r="95" spans="1:16" x14ac:dyDescent="0.25">
      <c r="A95" s="2">
        <v>72.099999999999994</v>
      </c>
      <c r="B95" s="2">
        <f t="shared" si="2"/>
        <v>467.43822556102043</v>
      </c>
      <c r="C95" s="2" cm="1">
        <f t="array" ref="C95">INDEX( ComputeThermoProps($A95, $B95, ParametersRange), 1, COLUMN()-2 )</f>
        <v>10.90417674017459</v>
      </c>
      <c r="D95" s="2" cm="1">
        <f t="array" ref="D95">INDEX( ComputeThermoProps($A95, $B95, ParametersRange), 1, COLUMN()-2 )</f>
        <v>2.8328576203893291E-4</v>
      </c>
      <c r="E95" s="2" cm="1">
        <f t="array" ref="E95">INDEX( ComputeThermoProps($A95, $B95, ParametersRange), 1, COLUMN()-2 )</f>
        <v>2.7791020816285102E-4</v>
      </c>
      <c r="F95" s="2" cm="1">
        <f t="array" ref="F95">INDEX( ComputeThermoProps($A95, $B95, ParametersRange), 1, COLUMN()-2 )</f>
        <v>4.0393354149305551E-4</v>
      </c>
      <c r="G95" s="2" cm="1">
        <f t="array" ref="G95">INDEX( ComputeThermoProps($A95, $B95, ParametersRange), 1, COLUMN()-2 )</f>
        <v>23.862984681307857</v>
      </c>
      <c r="H95" s="2" cm="1">
        <f t="array" ref="H95">INDEX( ComputeThermoProps($A95, $B95, ParametersRange), 1, COLUMN()-2 )</f>
        <v>23.410167148667945</v>
      </c>
      <c r="I95" s="2" cm="1">
        <f t="array" ref="I95">INDEX( ComputeThermoProps($A95, $B95, ParametersRange), 1, COLUMN()-2 )</f>
        <v>0.66416125612466514</v>
      </c>
      <c r="J95" s="2" cm="1">
        <f t="array" ref="J95">INDEX( ComputeThermoProps($A95, $B95, ParametersRange), 1, COLUMN()-2 )</f>
        <v>1514.5036473309685</v>
      </c>
      <c r="K95" s="2" cm="1">
        <f t="array" ref="K95">INDEX( ComputeThermoProps($A95, $B95, ParametersRange), 1, COLUMN()-2 )</f>
        <v>30.877314365293369</v>
      </c>
      <c r="L95" s="2" cm="1">
        <f t="array" ref="L95">INDEX( ComputeThermoProps($A95, $B95, ParametersRange), 1, COLUMN()-2 )</f>
        <v>-711.75071840668318</v>
      </c>
      <c r="M95" s="2" cm="1">
        <f t="array" ref="M95">INDEX( ComputeThermoProps($A95, $B95, ParametersRange), 1, COLUMN()-2 )</f>
        <v>6611.5326739619313</v>
      </c>
      <c r="N95" s="2" cm="1">
        <f t="array" ref="N95">INDEX( ComputeThermoProps($A95, $B95, ParametersRange), 1, COLUMN()-2 )</f>
        <v>4385.2783082242795</v>
      </c>
      <c r="P95">
        <f t="shared" si="3"/>
        <v>5014.0064090739615</v>
      </c>
    </row>
    <row r="96" spans="1:16" x14ac:dyDescent="0.25">
      <c r="A96" s="2">
        <v>73.099999999999994</v>
      </c>
      <c r="B96" s="2">
        <f t="shared" si="2"/>
        <v>480.12958661006644</v>
      </c>
      <c r="C96" s="2" cm="1">
        <f t="array" ref="C96">INDEX( ComputeThermoProps($A96, $B96, ParametersRange), 1, COLUMN()-2 )</f>
        <v>10.86980850923659</v>
      </c>
      <c r="D96" s="2" cm="1">
        <f t="array" ref="D96">INDEX( ComputeThermoProps($A96, $B96, ParametersRange), 1, COLUMN()-2 )</f>
        <v>2.7714364012598318E-4</v>
      </c>
      <c r="E96" s="2" cm="1">
        <f t="array" ref="E96">INDEX( ComputeThermoProps($A96, $B96, ParametersRange), 1, COLUMN()-2 )</f>
        <v>2.7196738549657544E-4</v>
      </c>
      <c r="F96" s="2" cm="1">
        <f t="array" ref="F96">INDEX( ComputeThermoProps($A96, $B96, ParametersRange), 1, COLUMN()-2 )</f>
        <v>3.9450259922969058E-4</v>
      </c>
      <c r="G96" s="2" cm="1">
        <f t="array" ref="G96">INDEX( ComputeThermoProps($A96, $B96, ParametersRange), 1, COLUMN()-2 )</f>
        <v>23.890397523796636</v>
      </c>
      <c r="H96" s="2" cm="1">
        <f t="array" ref="H96">INDEX( ComputeThermoProps($A96, $B96, ParametersRange), 1, COLUMN()-2 )</f>
        <v>23.444192874378274</v>
      </c>
      <c r="I96" s="2" cm="1">
        <f t="array" ref="I96">INDEX( ComputeThermoProps($A96, $B96, ParametersRange), 1, COLUMN()-2 )</f>
        <v>0.65998119266129163</v>
      </c>
      <c r="J96" s="2" cm="1">
        <f t="array" ref="J96">INDEX( ComputeThermoProps($A96, $B96, ParametersRange), 1, COLUMN()-2 )</f>
        <v>1550.6584831047041</v>
      </c>
      <c r="K96" s="2" cm="1">
        <f t="array" ref="K96">INDEX( ComputeThermoProps($A96, $B96, ParametersRange), 1, COLUMN()-2 )</f>
        <v>31.151040706490452</v>
      </c>
      <c r="L96" s="2" cm="1">
        <f t="array" ref="L96">INDEX( ComputeThermoProps($A96, $B96, ParametersRange), 1, COLUMN()-2 )</f>
        <v>-726.48259253974777</v>
      </c>
      <c r="M96" s="2" cm="1">
        <f t="array" ref="M96">INDEX( ComputeThermoProps($A96, $B96, ParametersRange), 1, COLUMN()-2 )</f>
        <v>6769.5751491750507</v>
      </c>
      <c r="N96" s="2" cm="1">
        <f t="array" ref="N96">INDEX( ComputeThermoProps($A96, $B96, ParametersRange), 1, COLUMN()-2 )</f>
        <v>4492.4340735305987</v>
      </c>
      <c r="P96">
        <f t="shared" si="3"/>
        <v>5172.0488842870809</v>
      </c>
    </row>
    <row r="97" spans="1:16" x14ac:dyDescent="0.25">
      <c r="A97" s="2">
        <v>74.099999999999994</v>
      </c>
      <c r="B97" s="2">
        <f t="shared" si="2"/>
        <v>492.91179235997663</v>
      </c>
      <c r="C97" s="2" cm="1">
        <f t="array" ref="C97">INDEX( ComputeThermoProps($A97, $B97, ParametersRange), 1, COLUMN()-2 )</f>
        <v>10.836006946302529</v>
      </c>
      <c r="D97" s="2" cm="1">
        <f t="array" ref="D97">INDEX( ComputeThermoProps($A97, $B97, ParametersRange), 1, COLUMN()-2 )</f>
        <v>2.7123487703674328E-4</v>
      </c>
      <c r="E97" s="2" cm="1">
        <f t="array" ref="E97">INDEX( ComputeThermoProps($A97, $B97, ParametersRange), 1, COLUMN()-2 )</f>
        <v>2.6624744650927812E-4</v>
      </c>
      <c r="F97" s="2" cm="1">
        <f t="array" ref="F97">INDEX( ComputeThermoProps($A97, $B97, ParametersRange), 1, COLUMN()-2 )</f>
        <v>3.8543120900722037E-4</v>
      </c>
      <c r="G97" s="2" cm="1">
        <f t="array" ref="G97">INDEX( ComputeThermoProps($A97, $B97, ParametersRange), 1, COLUMN()-2 )</f>
        <v>23.916871936866155</v>
      </c>
      <c r="H97" s="2" cm="1">
        <f t="array" ref="H97">INDEX( ComputeThermoProps($A97, $B97, ParametersRange), 1, COLUMN()-2 )</f>
        <v>23.477091704609215</v>
      </c>
      <c r="I97" s="2" cm="1">
        <f t="array" ref="I97">INDEX( ComputeThermoProps($A97, $B97, ParametersRange), 1, COLUMN()-2 )</f>
        <v>0.65588292177109164</v>
      </c>
      <c r="J97" s="2" cm="1">
        <f t="array" ref="J97">INDEX( ComputeThermoProps($A97, $B97, ParametersRange), 1, COLUMN()-2 )</f>
        <v>1587.0253467583009</v>
      </c>
      <c r="K97" s="2" cm="1">
        <f t="array" ref="K97">INDEX( ComputeThermoProps($A97, $B97, ParametersRange), 1, COLUMN()-2 )</f>
        <v>31.421726577057303</v>
      </c>
      <c r="L97" s="2" cm="1">
        <f t="array" ref="L97">INDEX( ComputeThermoProps($A97, $B97, ParametersRange), 1, COLUMN()-2 )</f>
        <v>-741.32459260164512</v>
      </c>
      <c r="M97" s="2" cm="1">
        <f t="array" ref="M97">INDEX( ComputeThermoProps($A97, $B97, ParametersRange), 1, COLUMN()-2 )</f>
        <v>6928.2209526854376</v>
      </c>
      <c r="N97" s="2" cm="1">
        <f t="array" ref="N97">INDEX( ComputeThermoProps($A97, $B97, ParametersRange), 1, COLUMN()-2 )</f>
        <v>4599.8710133254917</v>
      </c>
      <c r="P97">
        <f t="shared" si="3"/>
        <v>5330.6946877974679</v>
      </c>
    </row>
    <row r="98" spans="1:16" x14ac:dyDescent="0.25">
      <c r="A98" s="2">
        <v>75.099999999999994</v>
      </c>
      <c r="B98" s="2">
        <f t="shared" si="2"/>
        <v>505.78369381445168</v>
      </c>
      <c r="C98" s="2" cm="1">
        <f t="array" ref="C98">INDEX( ComputeThermoProps($A98, $B98, ParametersRange), 1, COLUMN()-2 )</f>
        <v>10.802754760392807</v>
      </c>
      <c r="D98" s="2" cm="1">
        <f t="array" ref="D98">INDEX( ComputeThermoProps($A98, $B98, ParametersRange), 1, COLUMN()-2 )</f>
        <v>2.6554758431374993E-4</v>
      </c>
      <c r="E98" s="2" cm="1">
        <f t="array" ref="E98">INDEX( ComputeThermoProps($A98, $B98, ParametersRange), 1, COLUMN()-2 )</f>
        <v>2.6073918807193678E-4</v>
      </c>
      <c r="F98" s="2" cm="1">
        <f t="array" ref="F98">INDEX( ComputeThermoProps($A98, $B98, ParametersRange), 1, COLUMN()-2 )</f>
        <v>3.7670136683580057E-4</v>
      </c>
      <c r="G98" s="2" cm="1">
        <f t="array" ref="G98">INDEX( ComputeThermoProps($A98, $B98, ParametersRange), 1, COLUMN()-2 )</f>
        <v>23.942450434770834</v>
      </c>
      <c r="H98" s="2" cm="1">
        <f t="array" ref="H98">INDEX( ComputeThermoProps($A98, $B98, ParametersRange), 1, COLUMN()-2 )</f>
        <v>23.508913112306143</v>
      </c>
      <c r="I98" s="2" cm="1">
        <f t="array" ref="I98">INDEX( ComputeThermoProps($A98, $B98, ParametersRange), 1, COLUMN()-2 )</f>
        <v>0.65186371474050153</v>
      </c>
      <c r="J98" s="2" cm="1">
        <f t="array" ref="J98">INDEX( ComputeThermoProps($A98, $B98, ParametersRange), 1, COLUMN()-2 )</f>
        <v>1623.600092131489</v>
      </c>
      <c r="K98" s="2" cm="1">
        <f t="array" ref="K98">INDEX( ComputeThermoProps($A98, $B98, ParametersRange), 1, COLUMN()-2 )</f>
        <v>31.689435466949384</v>
      </c>
      <c r="L98" s="2" cm="1">
        <f t="array" ref="L98">INDEX( ComputeThermoProps($A98, $B98, ParametersRange), 1, COLUMN()-2 )</f>
        <v>-756.27651143640958</v>
      </c>
      <c r="M98" s="2" cm="1">
        <f t="array" ref="M98">INDEX( ComputeThermoProps($A98, $B98, ParametersRange), 1, COLUMN()-2 )</f>
        <v>7087.4572982146146</v>
      </c>
      <c r="N98" s="2" cm="1">
        <f t="array" ref="N98">INDEX( ComputeThermoProps($A98, $B98, ParametersRange), 1, COLUMN()-2 )</f>
        <v>4707.5806946467164</v>
      </c>
      <c r="P98">
        <f t="shared" si="3"/>
        <v>5489.9310333266449</v>
      </c>
    </row>
    <row r="99" spans="1:16" x14ac:dyDescent="0.25">
      <c r="A99" s="2">
        <v>76.099999999999994</v>
      </c>
      <c r="B99" s="2">
        <f t="shared" si="2"/>
        <v>518.74417815609024</v>
      </c>
      <c r="C99" s="2" cm="1">
        <f t="array" ref="C99">INDEX( ComputeThermoProps($A99, $B99, ParametersRange), 1, COLUMN()-2 )</f>
        <v>10.770035343868404</v>
      </c>
      <c r="D99" s="2" cm="1">
        <f t="array" ref="D99">INDEX( ComputeThermoProps($A99, $B99, ParametersRange), 1, COLUMN()-2 )</f>
        <v>2.600705848314896E-4</v>
      </c>
      <c r="E99" s="2" cm="1">
        <f t="array" ref="E99">INDEX( ComputeThermoProps($A99, $B99, ParametersRange), 1, COLUMN()-2 )</f>
        <v>2.5543206693694822E-4</v>
      </c>
      <c r="F99" s="2" cm="1">
        <f t="array" ref="F99">INDEX( ComputeThermoProps($A99, $B99, ParametersRange), 1, COLUMN()-2 )</f>
        <v>3.6829610996223983E-4</v>
      </c>
      <c r="G99" s="2" cm="1">
        <f t="array" ref="G99">INDEX( ComputeThermoProps($A99, $B99, ParametersRange), 1, COLUMN()-2 )</f>
        <v>23.967173094210551</v>
      </c>
      <c r="H99" s="2" cm="1">
        <f t="array" ref="H99">INDEX( ComputeThermoProps($A99, $B99, ParametersRange), 1, COLUMN()-2 )</f>
        <v>23.539703907908301</v>
      </c>
      <c r="I99" s="2" cm="1">
        <f t="array" ref="I99">INDEX( ComputeThermoProps($A99, $B99, ParametersRange), 1, COLUMN()-2 )</f>
        <v>0.64792096109901554</v>
      </c>
      <c r="J99" s="2" cm="1">
        <f t="array" ref="J99">INDEX( ComputeThermoProps($A99, $B99, ParametersRange), 1, COLUMN()-2 )</f>
        <v>1660.3787475266047</v>
      </c>
      <c r="K99" s="2" cm="1">
        <f t="array" ref="K99">INDEX( ComputeThermoProps($A99, $B99, ParametersRange), 1, COLUMN()-2 )</f>
        <v>31.954228940377231</v>
      </c>
      <c r="L99" s="2" cm="1">
        <f t="array" ref="L99">INDEX( ComputeThermoProps($A99, $B99, ParametersRange), 1, COLUMN()-2 )</f>
        <v>-771.33807483610235</v>
      </c>
      <c r="M99" s="2" cm="1">
        <f t="array" ref="M99">INDEX( ComputeThermoProps($A99, $B99, ParametersRange), 1, COLUMN()-2 )</f>
        <v>7247.2718806936646</v>
      </c>
      <c r="N99" s="2" cm="1">
        <f t="array" ref="N99">INDEX( ComputeThermoProps($A99, $B99, ParametersRange), 1, COLUMN()-2 )</f>
        <v>4815.5550583309578</v>
      </c>
      <c r="P99">
        <f t="shared" si="3"/>
        <v>5649.7456158056948</v>
      </c>
    </row>
    <row r="100" spans="1:16" x14ac:dyDescent="0.25">
      <c r="A100" s="2">
        <v>77.099999999999994</v>
      </c>
      <c r="B100" s="2">
        <f t="shared" si="2"/>
        <v>531.79216695610103</v>
      </c>
      <c r="C100" s="2" cm="1">
        <f t="array" ref="C100">INDEX( ComputeThermoProps($A100, $B100, ParametersRange), 1, COLUMN()-2 )</f>
        <v>10.7378327462421</v>
      </c>
      <c r="D100" s="2" cm="1">
        <f t="array" ref="D100">INDEX( ComputeThermoProps($A100, $B100, ParametersRange), 1, COLUMN()-2 )</f>
        <v>2.5479336832465524E-4</v>
      </c>
      <c r="E100" s="2" cm="1">
        <f t="array" ref="E100">INDEX( ComputeThermoProps($A100, $B100, ParametersRange), 1, COLUMN()-2 )</f>
        <v>2.5031615940497841E-4</v>
      </c>
      <c r="F100" s="2" cm="1">
        <f t="array" ref="F100">INDEX( ComputeThermoProps($A100, $B100, ParametersRange), 1, COLUMN()-2 )</f>
        <v>3.6019945567384513E-4</v>
      </c>
      <c r="G100" s="2" cm="1">
        <f t="array" ref="G100">INDEX( ComputeThermoProps($A100, $B100, ParametersRange), 1, COLUMN()-2 )</f>
        <v>23.991077693563184</v>
      </c>
      <c r="H100" s="2" cm="1">
        <f t="array" ref="H100">INDEX( ComputeThermoProps($A100, $B100, ParametersRange), 1, COLUMN()-2 )</f>
        <v>23.569508373495889</v>
      </c>
      <c r="I100" s="2" cm="1">
        <f t="array" ref="I100">INDEX( ComputeThermoProps($A100, $B100, ParametersRange), 1, COLUMN()-2 )</f>
        <v>0.64405216320383796</v>
      </c>
      <c r="J100" s="2" cm="1">
        <f t="array" ref="J100">INDEX( ComputeThermoProps($A100, $B100, ParametersRange), 1, COLUMN()-2 )</f>
        <v>1697.3575055652486</v>
      </c>
      <c r="K100" s="2" cm="1">
        <f t="array" ref="K100">INDEX( ComputeThermoProps($A100, $B100, ParametersRange), 1, COLUMN()-2 )</f>
        <v>32.216166720911268</v>
      </c>
      <c r="L100" s="2" cm="1">
        <f t="array" ref="L100">INDEX( ComputeThermoProps($A100, $B100, ParametersRange), 1, COLUMN()-2 )</f>
        <v>-786.50894861700999</v>
      </c>
      <c r="M100" s="2" cm="1">
        <f t="array" ref="M100">INDEX( ComputeThermoProps($A100, $B100, ParametersRange), 1, COLUMN()-2 )</f>
        <v>7407.6528501015164</v>
      </c>
      <c r="N100" s="2" cm="1">
        <f t="array" ref="N100">INDEX( ComputeThermoProps($A100, $B100, ParametersRange), 1, COLUMN()-2 )</f>
        <v>4923.7863959192582</v>
      </c>
      <c r="P100">
        <f t="shared" si="3"/>
        <v>5810.1265852135466</v>
      </c>
    </row>
    <row r="101" spans="1:16" x14ac:dyDescent="0.25">
      <c r="A101" s="2">
        <v>78.099999999999994</v>
      </c>
      <c r="B101" s="2">
        <f t="shared" si="2"/>
        <v>544.92661450342757</v>
      </c>
      <c r="C101" s="2" cm="1">
        <f t="array" ref="C101">INDEX( ComputeThermoProps($A101, $B101, ParametersRange), 1, COLUMN()-2 )</f>
        <v>10.706131648065433</v>
      </c>
      <c r="D101" s="2" cm="1">
        <f t="array" ref="D101">INDEX( ComputeThermoProps($A101, $B101, ParametersRange), 1, COLUMN()-2 )</f>
        <v>2.497060492305029E-4</v>
      </c>
      <c r="E101" s="2" cm="1">
        <f t="array" ref="E101">INDEX( ComputeThermoProps($A101, $B101, ParametersRange), 1, COLUMN()-2 )</f>
        <v>2.4538212297249795E-4</v>
      </c>
      <c r="F101" s="2" cm="1">
        <f t="array" ref="F101">INDEX( ComputeThermoProps($A101, $B101, ParametersRange), 1, COLUMN()-2 )</f>
        <v>3.5239634343091553E-4</v>
      </c>
      <c r="G101" s="2" cm="1">
        <f t="array" ref="G101">INDEX( ComputeThermoProps($A101, $B101, ParametersRange), 1, COLUMN()-2 )</f>
        <v>24.014199892225395</v>
      </c>
      <c r="H101" s="2" cm="1">
        <f t="array" ref="H101">INDEX( ComputeThermoProps($A101, $B101, ParametersRange), 1, COLUMN()-2 )</f>
        <v>23.59836843840618</v>
      </c>
      <c r="I101" s="2" cm="1">
        <f t="array" ref="I101">INDEX( ComputeThermoProps($A101, $B101, ParametersRange), 1, COLUMN()-2 )</f>
        <v>0.64025493097984554</v>
      </c>
      <c r="J101" s="2" cm="1">
        <f t="array" ref="J101">INDEX( ComputeThermoProps($A101, $B101, ParametersRange), 1, COLUMN()-2 )</f>
        <v>1734.532713731395</v>
      </c>
      <c r="K101" s="2" cm="1">
        <f t="array" ref="K101">INDEX( ComputeThermoProps($A101, $B101, ParametersRange), 1, COLUMN()-2 )</f>
        <v>32.475306770403748</v>
      </c>
      <c r="L101" s="2" cm="1">
        <f t="array" ref="L101">INDEX( ComputeThermoProps($A101, $B101, ParametersRange), 1, COLUMN()-2 )</f>
        <v>-801.78874503713746</v>
      </c>
      <c r="M101" s="2" cm="1">
        <f t="array" ref="M101">INDEX( ComputeThermoProps($A101, $B101, ParametersRange), 1, COLUMN()-2 )</f>
        <v>7568.5887871396935</v>
      </c>
      <c r="N101" s="2" cm="1">
        <f t="array" ref="N101">INDEX( ComputeThermoProps($A101, $B101, ParametersRange), 1, COLUMN()-2 )</f>
        <v>5032.2673283711611</v>
      </c>
      <c r="P101">
        <f t="shared" si="3"/>
        <v>5971.0625222517237</v>
      </c>
    </row>
    <row r="102" spans="1:16" x14ac:dyDescent="0.25">
      <c r="A102" s="2">
        <v>79.099999999999994</v>
      </c>
      <c r="B102" s="2">
        <f t="shared" si="2"/>
        <v>558.1465062433499</v>
      </c>
      <c r="C102" s="2" cm="1">
        <f t="array" ref="C102">INDEX( ComputeThermoProps($A102, $B102, ParametersRange), 1, COLUMN()-2 )</f>
        <v>10.674917335119538</v>
      </c>
      <c r="D102" s="2" cm="1">
        <f t="array" ref="D102">INDEX( ComputeThermoProps($A102, $B102, ParametersRange), 1, COLUMN()-2 )</f>
        <v>2.4479932686016364E-4</v>
      </c>
      <c r="E102" s="2" cm="1">
        <f t="array" ref="E102">INDEX( ComputeThermoProps($A102, $B102, ParametersRange), 1, COLUMN()-2 )</f>
        <v>2.4062116000523652E-4</v>
      </c>
      <c r="F102" s="2" cm="1">
        <f t="array" ref="F102">INDEX( ComputeThermoProps($A102, $B102, ParametersRange), 1, COLUMN()-2 )</f>
        <v>3.4487257962280215E-4</v>
      </c>
      <c r="G102" s="2" cm="1">
        <f t="array" ref="G102">INDEX( ComputeThermoProps($A102, $B102, ParametersRange), 1, COLUMN()-2 )</f>
        <v>24.036573398010312</v>
      </c>
      <c r="H102" s="2" cm="1">
        <f t="array" ref="H102">INDEX( ComputeThermoProps($A102, $B102, ParametersRange), 1, COLUMN()-2 )</f>
        <v>23.62632384558831</v>
      </c>
      <c r="I102" s="2" cm="1">
        <f t="array" ref="I102">INDEX( ComputeThermoProps($A102, $B102, ParametersRange), 1, COLUMN()-2 )</f>
        <v>0.63652697683464166</v>
      </c>
      <c r="J102" s="2" cm="1">
        <f t="array" ref="J102">INDEX( ComputeThermoProps($A102, $B102, ParametersRange), 1, COLUMN()-2 )</f>
        <v>1771.9008655534224</v>
      </c>
      <c r="K102" s="2" cm="1">
        <f t="array" ref="K102">INDEX( ComputeThermoProps($A102, $B102, ParametersRange), 1, COLUMN()-2 )</f>
        <v>32.7317053624378</v>
      </c>
      <c r="L102" s="2" cm="1">
        <f t="array" ref="L102">INDEX( ComputeThermoProps($A102, $B102, ParametersRange), 1, COLUMN()-2 )</f>
        <v>-817.17702861540749</v>
      </c>
      <c r="M102" s="2" cm="1">
        <f t="array" ref="M102">INDEX( ComputeThermoProps($A102, $B102, ParametersRange), 1, COLUMN()-2 )</f>
        <v>7730.0686805869636</v>
      </c>
      <c r="N102" s="2" cm="1">
        <f t="array" ref="N102">INDEX( ComputeThermoProps($A102, $B102, ParametersRange), 1, COLUMN()-2 )</f>
        <v>5140.9907864181341</v>
      </c>
      <c r="P102">
        <f t="shared" si="3"/>
        <v>6132.5424156989939</v>
      </c>
    </row>
    <row r="103" spans="1:16" x14ac:dyDescent="0.25">
      <c r="A103" s="2">
        <v>80.099999999999994</v>
      </c>
      <c r="B103" s="2">
        <f t="shared" si="2"/>
        <v>571.45085731661868</v>
      </c>
      <c r="C103" s="2" cm="1">
        <f t="array" ref="C103">INDEX( ComputeThermoProps($A103, $B103, ParametersRange), 1, COLUMN()-2 )</f>
        <v>10.644175673084716</v>
      </c>
      <c r="D103" s="2" cm="1">
        <f t="array" ref="D103">INDEX( ComputeThermoProps($A103, $B103, ParametersRange), 1, COLUMN()-2 )</f>
        <v>2.4006444787338566E-4</v>
      </c>
      <c r="E103" s="2" cm="1">
        <f t="array" ref="E103">INDEX( ComputeThermoProps($A103, $B103, ParametersRange), 1, COLUMN()-2 )</f>
        <v>2.3602498344027481E-4</v>
      </c>
      <c r="F103" s="2" cm="1">
        <f t="array" ref="F103">INDEX( ComputeThermoProps($A103, $B103, ParametersRange), 1, COLUMN()-2 )</f>
        <v>3.3761478431003637E-4</v>
      </c>
      <c r="G103" s="2" cm="1">
        <f t="array" ref="G103">INDEX( ComputeThermoProps($A103, $B103, ParametersRange), 1, COLUMN()-2 )</f>
        <v>24.058230070599063</v>
      </c>
      <c r="H103" s="2" cm="1">
        <f t="array" ref="H103">INDEX( ComputeThermoProps($A103, $B103, ParametersRange), 1, COLUMN()-2 )</f>
        <v>23.653412257904705</v>
      </c>
      <c r="I103" s="2" cm="1">
        <f t="array" ref="I103">INDEX( ComputeThermoProps($A103, $B103, ParametersRange), 1, COLUMN()-2 )</f>
        <v>0.63286611076193211</v>
      </c>
      <c r="J103" s="2" cm="1">
        <f t="array" ref="J103">INDEX( ComputeThermoProps($A103, $B103, ParametersRange), 1, COLUMN()-2 )</f>
        <v>1809.4585923801337</v>
      </c>
      <c r="K103" s="2" cm="1">
        <f t="array" ref="K103">INDEX( ComputeThermoProps($A103, $B103, ParametersRange), 1, COLUMN()-2 )</f>
        <v>32.985417150910195</v>
      </c>
      <c r="L103" s="2" cm="1">
        <f t="array" ref="L103">INDEX( ComputeThermoProps($A103, $B103, ParametersRange), 1, COLUMN()-2 )</f>
        <v>-832.67332140777262</v>
      </c>
      <c r="M103" s="2" cm="1">
        <f t="array" ref="M103">INDEX( ComputeThermoProps($A103, $B103, ParametersRange), 1, COLUMN()-2 )</f>
        <v>7892.0819061930915</v>
      </c>
      <c r="N103" s="2" cm="1">
        <f t="array" ref="N103">INDEX( ComputeThermoProps($A103, $B103, ParametersRange), 1, COLUMN()-2 )</f>
        <v>5249.9499924051852</v>
      </c>
      <c r="P103">
        <f t="shared" si="3"/>
        <v>6294.5556413051218</v>
      </c>
    </row>
    <row r="104" spans="1:16" x14ac:dyDescent="0.25">
      <c r="A104" s="2">
        <v>81.099999999999994</v>
      </c>
      <c r="B104" s="2">
        <f t="shared" si="2"/>
        <v>584.83871119103833</v>
      </c>
      <c r="C104" s="2" cm="1">
        <f t="array" ref="C104">INDEX( ComputeThermoProps($A104, $B104, ParametersRange), 1, COLUMN()-2 )</f>
        <v>10.613893082820169</v>
      </c>
      <c r="D104" s="2" cm="1">
        <f t="array" ref="D104">INDEX( ComputeThermoProps($A104, $B104, ParametersRange), 1, COLUMN()-2 )</f>
        <v>2.3549317102809355E-4</v>
      </c>
      <c r="E104" s="2" cm="1">
        <f t="array" ref="E104">INDEX( ComputeThermoProps($A104, $B104, ParametersRange), 1, COLUMN()-2 )</f>
        <v>2.3158578448797203E-4</v>
      </c>
      <c r="F104" s="2" cm="1">
        <f t="array" ref="F104">INDEX( ComputeThermoProps($A104, $B104, ParametersRange), 1, COLUMN()-2 )</f>
        <v>3.3061034159944091E-4</v>
      </c>
      <c r="G104" s="2" cm="1">
        <f t="array" ref="G104">INDEX( ComputeThermoProps($A104, $B104, ParametersRange), 1, COLUMN()-2 )</f>
        <v>24.079200070870851</v>
      </c>
      <c r="H104" s="2" cm="1">
        <f t="array" ref="H104">INDEX( ComputeThermoProps($A104, $B104, ParametersRange), 1, COLUMN()-2 )</f>
        <v>23.679669409989863</v>
      </c>
      <c r="I104" s="2" cm="1">
        <f t="array" ref="I104">INDEX( ComputeThermoProps($A104, $B104, ParametersRange), 1, COLUMN()-2 )</f>
        <v>0.6292702356412746</v>
      </c>
      <c r="J104" s="2" cm="1">
        <f t="array" ref="J104">INDEX( ComputeThermoProps($A104, $B104, ParametersRange), 1, COLUMN()-2 )</f>
        <v>1847.2026557077415</v>
      </c>
      <c r="K104" s="2" cm="1">
        <f t="array" ref="K104">INDEX( ComputeThermoProps($A104, $B104, ParametersRange), 1, COLUMN()-2 )</f>
        <v>33.236495234253688</v>
      </c>
      <c r="L104" s="2" cm="1">
        <f t="array" ref="L104">INDEX( ComputeThermoProps($A104, $B104, ParametersRange), 1, COLUMN()-2 )</f>
        <v>-848.27710779023232</v>
      </c>
      <c r="M104" s="2" cm="1">
        <f t="array" ref="M104">INDEX( ComputeThermoProps($A104, $B104, ParametersRange), 1, COLUMN()-2 )</f>
        <v>8054.618206983766</v>
      </c>
      <c r="N104" s="2" cm="1">
        <f t="array" ref="N104">INDEX( ComputeThermoProps($A104, $B104, ParametersRange), 1, COLUMN()-2 )</f>
        <v>5359.1384434857919</v>
      </c>
      <c r="P104">
        <f t="shared" si="3"/>
        <v>6457.0919420957962</v>
      </c>
    </row>
    <row r="105" spans="1:16" x14ac:dyDescent="0.25">
      <c r="A105" s="2">
        <v>82.1</v>
      </c>
      <c r="B105" s="2">
        <f t="shared" si="2"/>
        <v>598.30913837819639</v>
      </c>
      <c r="C105" s="2" cm="1">
        <f t="array" ref="C105">INDEX( ComputeThermoProps($A105, $B105, ParametersRange), 1, COLUMN()-2 )</f>
        <v>10.584056516351062</v>
      </c>
      <c r="D105" s="2" cm="1">
        <f t="array" ref="D105">INDEX( ComputeThermoProps($A105, $B105, ParametersRange), 1, COLUMN()-2 )</f>
        <v>2.3107773411641213E-4</v>
      </c>
      <c r="E105" s="2" cm="1">
        <f t="array" ref="E105">INDEX( ComputeThermoProps($A105, $B105, ParametersRange), 1, COLUMN()-2 )</f>
        <v>2.2729620228216689E-4</v>
      </c>
      <c r="F105" s="2" cm="1">
        <f t="array" ref="F105">INDEX( ComputeThermoProps($A105, $B105, ParametersRange), 1, COLUMN()-2 )</f>
        <v>3.2384735222235994E-4</v>
      </c>
      <c r="G105" s="2" cm="1">
        <f t="array" ref="G105">INDEX( ComputeThermoProps($A105, $B105, ParametersRange), 1, COLUMN()-2 )</f>
        <v>24.099511960796416</v>
      </c>
      <c r="H105" s="2" cm="1">
        <f t="array" ref="H105">INDEX( ComputeThermoProps($A105, $B105, ParametersRange), 1, COLUMN()-2 )</f>
        <v>23.705129213285076</v>
      </c>
      <c r="I105" s="2" cm="1">
        <f t="array" ref="I105">INDEX( ComputeThermoProps($A105, $B105, ParametersRange), 1, COLUMN()-2 )</f>
        <v>0.62573734273827042</v>
      </c>
      <c r="J105" s="2" cm="1">
        <f t="array" ref="J105">INDEX( ComputeThermoProps($A105, $B105, ParametersRange), 1, COLUMN()-2 )</f>
        <v>1885.1299400216753</v>
      </c>
      <c r="K105" s="2" cm="1">
        <f t="array" ref="K105">INDEX( ComputeThermoProps($A105, $B105, ParametersRange), 1, COLUMN()-2 )</f>
        <v>33.484991215807916</v>
      </c>
      <c r="L105" s="2" cm="1">
        <f t="array" ref="L105">INDEX( ComputeThermoProps($A105, $B105, ParametersRange), 1, COLUMN()-2 )</f>
        <v>-863.98783879615439</v>
      </c>
      <c r="M105" s="2" cm="1">
        <f t="array" ref="M105">INDEX( ComputeThermoProps($A105, $B105, ParametersRange), 1, COLUMN()-2 )</f>
        <v>8217.6676748658138</v>
      </c>
      <c r="N105" s="2" cm="1">
        <f t="array" ref="N105">INDEX( ComputeThermoProps($A105, $B105, ParametersRange), 1, COLUMN()-2 )</f>
        <v>5468.5498960479836</v>
      </c>
      <c r="P105">
        <f t="shared" si="3"/>
        <v>6620.141409977844</v>
      </c>
    </row>
    <row r="106" spans="1:16" x14ac:dyDescent="0.25">
      <c r="A106" s="2">
        <v>83.1</v>
      </c>
      <c r="B106" s="2">
        <f t="shared" si="2"/>
        <v>611.86123522871981</v>
      </c>
      <c r="C106" s="2" cm="1">
        <f t="array" ref="C106">INDEX( ComputeThermoProps($A106, $B106, ParametersRange), 1, COLUMN()-2 )</f>
        <v>10.554653433630067</v>
      </c>
      <c r="D106" s="2" cm="1">
        <f t="array" ref="D106">INDEX( ComputeThermoProps($A106, $B106, ParametersRange), 1, COLUMN()-2 )</f>
        <v>2.2681082301284131E-4</v>
      </c>
      <c r="E106" s="2" cm="1">
        <f t="array" ref="E106">INDEX( ComputeThermoProps($A106, $B106, ParametersRange), 1, COLUMN()-2 )</f>
        <v>2.2314929541072151E-4</v>
      </c>
      <c r="F106" s="2" cm="1">
        <f t="array" ref="F106">INDEX( ComputeThermoProps($A106, $B106, ParametersRange), 1, COLUMN()-2 )</f>
        <v>3.1731458928725882E-4</v>
      </c>
      <c r="G106" s="2" cm="1">
        <f t="array" ref="G106">INDEX( ComputeThermoProps($A106, $B106, ParametersRange), 1, COLUMN()-2 )</f>
        <v>24.11919282606112</v>
      </c>
      <c r="H106" s="2" cm="1">
        <f t="array" ref="H106">INDEX( ComputeThermoProps($A106, $B106, ParametersRange), 1, COLUMN()-2 )</f>
        <v>23.729823883695996</v>
      </c>
      <c r="I106" s="2" cm="1">
        <f t="array" ref="I106">INDEX( ComputeThermoProps($A106, $B106, ParametersRange), 1, COLUMN()-2 )</f>
        <v>0.62226550740591069</v>
      </c>
      <c r="J106" s="2" cm="1">
        <f t="array" ref="J106">INDEX( ComputeThermoProps($A106, $B106, ParametersRange), 1, COLUMN()-2 )</f>
        <v>1923.2374461095324</v>
      </c>
      <c r="K106" s="2" cm="1">
        <f t="array" ref="K106">INDEX( ComputeThermoProps($A106, $B106, ParametersRange), 1, COLUMN()-2 )</f>
        <v>33.730955260601988</v>
      </c>
      <c r="L106" s="2" cm="1">
        <f t="array" ref="L106">INDEX( ComputeThermoProps($A106, $B106, ParametersRange), 1, COLUMN()-2 )</f>
        <v>-879.80493604649268</v>
      </c>
      <c r="M106" s="2" cm="1">
        <f t="array" ref="M106">INDEX( ComputeThermoProps($A106, $B106, ParametersRange), 1, COLUMN()-2 )</f>
        <v>8381.2207334214745</v>
      </c>
      <c r="N106" s="2" cm="1">
        <f t="array" ref="N106">INDEX( ComputeThermoProps($A106, $B106, ParametersRange), 1, COLUMN()-2 )</f>
        <v>5578.1783512654492</v>
      </c>
      <c r="P106">
        <f t="shared" si="3"/>
        <v>6783.6944685335047</v>
      </c>
    </row>
    <row r="107" spans="1:16" x14ac:dyDescent="0.25">
      <c r="A107" s="2">
        <v>84.1</v>
      </c>
      <c r="B107" s="2">
        <f t="shared" si="2"/>
        <v>625.49412280005311</v>
      </c>
      <c r="C107" s="2" cm="1">
        <f t="array" ref="C107">INDEX( ComputeThermoProps($A107, $B107, ParametersRange), 1, COLUMN()-2 )</f>
        <v>10.525671780119984</v>
      </c>
      <c r="D107" s="2" cm="1">
        <f t="array" ref="D107">INDEX( ComputeThermoProps($A107, $B107, ParametersRange), 1, COLUMN()-2 )</f>
        <v>2.22685542724688E-4</v>
      </c>
      <c r="E107" s="2" cm="1">
        <f t="array" ref="E107">INDEX( ComputeThermoProps($A107, $B107, ParametersRange), 1, COLUMN()-2 )</f>
        <v>2.1913851524793101E-4</v>
      </c>
      <c r="F107" s="2" cm="1">
        <f t="array" ref="F107">INDEX( ComputeThermoProps($A107, $B107, ParametersRange), 1, COLUMN()-2 )</f>
        <v>3.110014559832351E-4</v>
      </c>
      <c r="G107" s="2" cm="1">
        <f t="array" ref="G107">INDEX( ComputeThermoProps($A107, $B107, ParametersRange), 1, COLUMN()-2 )</f>
        <v>24.138268338175777</v>
      </c>
      <c r="H107" s="2" cm="1">
        <f t="array" ref="H107">INDEX( ComputeThermoProps($A107, $B107, ParametersRange), 1, COLUMN()-2 )</f>
        <v>23.753784011132165</v>
      </c>
      <c r="I107" s="2" cm="1">
        <f t="array" ref="I107">INDEX( ComputeThermoProps($A107, $B107, ParametersRange), 1, COLUMN()-2 )</f>
        <v>0.61885288498558733</v>
      </c>
      <c r="J107" s="2" cm="1">
        <f t="array" ref="J107">INDEX( ComputeThermoProps($A107, $B107, ParametersRange), 1, COLUMN()-2 )</f>
        <v>1961.5222848157953</v>
      </c>
      <c r="K107" s="2" cm="1">
        <f t="array" ref="K107">INDEX( ComputeThermoProps($A107, $B107, ParametersRange), 1, COLUMN()-2 )</f>
        <v>33.974436148974561</v>
      </c>
      <c r="L107" s="2" cm="1">
        <f t="array" ref="L107">INDEX( ComputeThermoProps($A107, $B107, ParametersRange), 1, COLUMN()-2 )</f>
        <v>-895.7277953129651</v>
      </c>
      <c r="M107" s="2" cm="1">
        <f t="array" ref="M107">INDEX( ComputeThermoProps($A107, $B107, ParametersRange), 1, COLUMN()-2 )</f>
        <v>8545.2681218032176</v>
      </c>
      <c r="N107" s="2" cm="1">
        <f t="array" ref="N107">INDEX( ComputeThermoProps($A107, $B107, ParametersRange), 1, COLUMN()-2 )</f>
        <v>5688.018041674457</v>
      </c>
      <c r="P107">
        <f t="shared" si="3"/>
        <v>6947.7418569152478</v>
      </c>
    </row>
    <row r="108" spans="1:16" x14ac:dyDescent="0.25">
      <c r="A108" s="2">
        <v>85.1</v>
      </c>
      <c r="B108" s="2">
        <f t="shared" si="2"/>
        <v>639.20694579130281</v>
      </c>
      <c r="C108" s="2" cm="1">
        <f t="array" ref="C108">INDEX( ComputeThermoProps($A108, $B108, ParametersRange), 1, COLUMN()-2 )</f>
        <v>10.497099965225296</v>
      </c>
      <c r="D108" s="2" cm="1">
        <f t="array" ref="D108">INDEX( ComputeThermoProps($A108, $B108, ParametersRange), 1, COLUMN()-2 )</f>
        <v>2.1869539036129475E-4</v>
      </c>
      <c r="E108" s="2" cm="1">
        <f t="array" ref="E108">INDEX( ComputeThermoProps($A108, $B108, ParametersRange), 1, COLUMN()-2 )</f>
        <v>2.1525768100345483E-4</v>
      </c>
      <c r="F108" s="2" cm="1">
        <f t="array" ref="F108">INDEX( ComputeThermoProps($A108, $B108, ParametersRange), 1, COLUMN()-2 )</f>
        <v>3.0489794674892236E-4</v>
      </c>
      <c r="G108" s="2" cm="1">
        <f t="array" ref="G108">INDEX( ComputeThermoProps($A108, $B108, ParametersRange), 1, COLUMN()-2 )</f>
        <v>24.156762876522237</v>
      </c>
      <c r="H108" s="2" cm="1">
        <f t="array" ref="H108">INDEX( ComputeThermoProps($A108, $B108, ParametersRange), 1, COLUMN()-2 )</f>
        <v>23.777038687280989</v>
      </c>
      <c r="I108" s="2" cm="1">
        <f t="array" ref="I108">INDEX( ComputeThermoProps($A108, $B108, ParametersRange), 1, COLUMN()-2 )</f>
        <v>0.61549770690437766</v>
      </c>
      <c r="J108" s="2" cm="1">
        <f t="array" ref="J108">INDEX( ComputeThermoProps($A108, $B108, ParametersRange), 1, COLUMN()-2 )</f>
        <v>1999.9816712092854</v>
      </c>
      <c r="K108" s="2" cm="1">
        <f t="array" ref="K108">INDEX( ComputeThermoProps($A108, $B108, ParametersRange), 1, COLUMN()-2 )</f>
        <v>34.215481327369105</v>
      </c>
      <c r="L108" s="2" cm="1">
        <f t="array" ref="L108">INDEX( ComputeThermoProps($A108, $B108, ParametersRange), 1, COLUMN()-2 )</f>
        <v>-911.75578974982523</v>
      </c>
      <c r="M108" s="2" cm="1">
        <f t="array" ref="M108">INDEX( ComputeThermoProps($A108, $B108, ParametersRange), 1, COLUMN()-2 )</f>
        <v>8709.8008796469385</v>
      </c>
      <c r="N108" s="2" cm="1">
        <f t="array" ref="N108">INDEX( ComputeThermoProps($A108, $B108, ParametersRange), 1, COLUMN()-2 )</f>
        <v>5798.0634186878278</v>
      </c>
      <c r="P108">
        <f t="shared" si="3"/>
        <v>7112.2746147589687</v>
      </c>
    </row>
    <row r="109" spans="1:16" x14ac:dyDescent="0.25">
      <c r="A109" s="2">
        <v>86.1</v>
      </c>
      <c r="B109" s="2">
        <f t="shared" si="2"/>
        <v>652.99887154017506</v>
      </c>
      <c r="C109" s="2" cm="1">
        <f t="array" ref="C109">INDEX( ComputeThermoProps($A109, $B109, ParametersRange), 1, COLUMN()-2 )</f>
        <v>10.46892684158456</v>
      </c>
      <c r="D109" s="2" cm="1">
        <f t="array" ref="D109">INDEX( ComputeThermoProps($A109, $B109, ParametersRange), 1, COLUMN()-2 )</f>
        <v>2.1483422989930205E-4</v>
      </c>
      <c r="E109" s="2" cm="1">
        <f t="array" ref="E109">INDEX( ComputeThermoProps($A109, $B109, ParametersRange), 1, COLUMN()-2 )</f>
        <v>2.1150095639848275E-4</v>
      </c>
      <c r="F109" s="2" cm="1">
        <f t="array" ref="F109">INDEX( ComputeThermoProps($A109, $B109, ParametersRange), 1, COLUMN()-2 )</f>
        <v>2.989946102954134E-4</v>
      </c>
      <c r="G109" s="2" cm="1">
        <f t="array" ref="G109">INDEX( ComputeThermoProps($A109, $B109, ParametersRange), 1, COLUMN()-2 )</f>
        <v>24.174699599770079</v>
      </c>
      <c r="H109" s="2" cm="1">
        <f t="array" ref="H109">INDEX( ComputeThermoProps($A109, $B109, ParametersRange), 1, COLUMN()-2 )</f>
        <v>23.799615584508867</v>
      </c>
      <c r="I109" s="2" cm="1">
        <f t="array" ref="I109">INDEX( ComputeThermoProps($A109, $B109, ParametersRange), 1, COLUMN()-2 )</f>
        <v>0.61219827696363571</v>
      </c>
      <c r="J109" s="2" cm="1">
        <f t="array" ref="J109">INDEX( ComputeThermoProps($A109, $B109, ParametersRange), 1, COLUMN()-2 )</f>
        <v>2038.6129191253553</v>
      </c>
      <c r="K109" s="2" cm="1">
        <f t="array" ref="K109">INDEX( ComputeThermoProps($A109, $B109, ParametersRange), 1, COLUMN()-2 )</f>
        <v>34.454136956409798</v>
      </c>
      <c r="L109" s="2" cm="1">
        <f t="array" ref="L109">INDEX( ComputeThermoProps($A109, $B109, ParametersRange), 1, COLUMN()-2 )</f>
        <v>-927.88827282152806</v>
      </c>
      <c r="M109" s="2" cm="1">
        <f t="array" ref="M109">INDEX( ComputeThermoProps($A109, $B109, ParametersRange), 1, COLUMN()-2 )</f>
        <v>8874.8103329167225</v>
      </c>
      <c r="N109" s="2" cm="1">
        <f t="array" ref="N109">INDEX( ComputeThermoProps($A109, $B109, ParametersRange), 1, COLUMN()-2 )</f>
        <v>5908.3091409698391</v>
      </c>
      <c r="P109">
        <f t="shared" si="3"/>
        <v>7277.2840680287527</v>
      </c>
    </row>
    <row r="110" spans="1:16" x14ac:dyDescent="0.25">
      <c r="A110" s="2">
        <v>87.1</v>
      </c>
      <c r="B110" s="2">
        <f t="shared" si="2"/>
        <v>666.86908907748557</v>
      </c>
      <c r="C110" s="2" cm="1">
        <f t="array" ref="C110">INDEX( ComputeThermoProps($A110, $B110, ParametersRange), 1, COLUMN()-2 )</f>
        <v>10.441141685225185</v>
      </c>
      <c r="D110" s="2" cm="1">
        <f t="array" ref="D110">INDEX( ComputeThermoProps($A110, $B110, ParametersRange), 1, COLUMN()-2 )</f>
        <v>2.1109626864595387E-4</v>
      </c>
      <c r="E110" s="2" cm="1">
        <f t="array" ref="E110">INDEX( ComputeThermoProps($A110, $B110, ParametersRange), 1, COLUMN()-2 )</f>
        <v>2.078628278786706E-4</v>
      </c>
      <c r="F110" s="2" cm="1">
        <f t="array" ref="F110">INDEX( ComputeThermoProps($A110, $B110, ParametersRange), 1, COLUMN()-2 )</f>
        <v>2.9328251497703716E-4</v>
      </c>
      <c r="G110" s="2" cm="1">
        <f t="array" ref="G110">INDEX( ComputeThermoProps($A110, $B110, ParametersRange), 1, COLUMN()-2 )</f>
        <v>24.192100510930963</v>
      </c>
      <c r="H110" s="2" cm="1">
        <f t="array" ref="H110">INDEX( ComputeThermoProps($A110, $B110, ParametersRange), 1, COLUMN()-2 )</f>
        <v>23.821541028567712</v>
      </c>
      <c r="I110" s="2" cm="1">
        <f t="array" ref="I110">INDEX( ComputeThermoProps($A110, $B110, ParametersRange), 1, COLUMN()-2 )</f>
        <v>0.60895296781302599</v>
      </c>
      <c r="J110" s="2" cm="1">
        <f t="array" ref="J110">INDEX( ComputeThermoProps($A110, $B110, ParametersRange), 1, COLUMN()-2 )</f>
        <v>2077.413436052715</v>
      </c>
      <c r="K110" s="2" cm="1">
        <f t="array" ref="K110">INDEX( ComputeThermoProps($A110, $B110, ParametersRange), 1, COLUMN()-2 )</f>
        <v>34.690447956439122</v>
      </c>
      <c r="L110" s="2" cm="1">
        <f t="array" ref="L110">INDEX( ComputeThermoProps($A110, $B110, ParametersRange), 1, COLUMN()-2 )</f>
        <v>-944.12458095313229</v>
      </c>
      <c r="M110" s="2" cm="1">
        <f t="array" ref="M110">INDEX( ComputeThermoProps($A110, $B110, ParametersRange), 1, COLUMN()-2 )</f>
        <v>9040.2880806077974</v>
      </c>
      <c r="N110" s="2" cm="1">
        <f t="array" ref="N110">INDEX( ComputeThermoProps($A110, $B110, ParametersRange), 1, COLUMN()-2 )</f>
        <v>6018.7500636019504</v>
      </c>
      <c r="P110">
        <f t="shared" si="3"/>
        <v>7442.7618157198276</v>
      </c>
    </row>
    <row r="111" spans="1:16" x14ac:dyDescent="0.25">
      <c r="A111" s="2">
        <v>88.1</v>
      </c>
      <c r="B111" s="2">
        <f t="shared" si="2"/>
        <v>680.81680823509987</v>
      </c>
      <c r="C111" s="2" cm="1">
        <f t="array" ref="C111">INDEX( ComputeThermoProps($A111, $B111, ParametersRange), 1, COLUMN()-2 )</f>
        <v>10.413734176576655</v>
      </c>
      <c r="D111" s="2" cm="1">
        <f t="array" ref="D111">INDEX( ComputeThermoProps($A111, $B111, ParametersRange), 1, COLUMN()-2 )</f>
        <v>2.0747603529970571E-4</v>
      </c>
      <c r="E111" s="2" cm="1">
        <f t="array" ref="E111">INDEX( ComputeThermoProps($A111, $B111, ParametersRange), 1, COLUMN()-2 )</f>
        <v>2.043380842743026E-4</v>
      </c>
      <c r="F111" s="2" cm="1">
        <f t="array" ref="F111">INDEX( ComputeThermoProps($A111, $B111, ParametersRange), 1, COLUMN()-2 )</f>
        <v>2.877532166219712E-4</v>
      </c>
      <c r="G111" s="2" cm="1">
        <f t="array" ref="G111">INDEX( ComputeThermoProps($A111, $B111, ParametersRange), 1, COLUMN()-2 )</f>
        <v>24.208986536272665</v>
      </c>
      <c r="H111" s="2" cm="1">
        <f t="array" ref="H111">INDEX( ComputeThermoProps($A111, $B111, ParametersRange), 1, COLUMN()-2 )</f>
        <v>23.84284008463197</v>
      </c>
      <c r="I111" s="2" cm="1">
        <f t="array" ref="I111">INDEX( ComputeThermoProps($A111, $B111, ParametersRange), 1, COLUMN()-2 )</f>
        <v>0.60576021760385812</v>
      </c>
      <c r="J111" s="2" cm="1">
        <f t="array" ref="J111">INDEX( ComputeThermoProps($A111, $B111, ParametersRange), 1, COLUMN()-2 )</f>
        <v>2116.380718361559</v>
      </c>
      <c r="K111" s="2" cm="1">
        <f t="array" ref="K111">INDEX( ComputeThermoProps($A111, $B111, ParametersRange), 1, COLUMN()-2 )</f>
        <v>34.924458051084557</v>
      </c>
      <c r="L111" s="2" cm="1">
        <f t="array" ref="L111">INDEX( ComputeThermoProps($A111, $B111, ParametersRange), 1, COLUMN()-2 )</f>
        <v>-960.46403593899015</v>
      </c>
      <c r="M111" s="2" cm="1">
        <f t="array" ref="M111">INDEX( ComputeThermoProps($A111, $B111, ParametersRange), 1, COLUMN()-2 )</f>
        <v>9206.2259822672531</v>
      </c>
      <c r="N111" s="2" cm="1">
        <f t="array" ref="N111">INDEX( ComputeThermoProps($A111, $B111, ParametersRange), 1, COLUMN()-2 )</f>
        <v>6129.3812279667036</v>
      </c>
      <c r="P111">
        <f t="shared" si="3"/>
        <v>7608.6997173792834</v>
      </c>
    </row>
    <row r="112" spans="1:16" x14ac:dyDescent="0.25">
      <c r="A112" s="2">
        <v>89.1</v>
      </c>
      <c r="B112" s="2">
        <f t="shared" si="2"/>
        <v>694.84125880352713</v>
      </c>
      <c r="C112" s="2" cm="1">
        <f t="array" ref="C112">INDEX( ComputeThermoProps($A112, $B112, ParametersRange), 1, COLUMN()-2 )</f>
        <v>10.386694382324558</v>
      </c>
      <c r="D112" s="2" cm="1">
        <f t="array" ref="D112">INDEX( ComputeThermoProps($A112, $B112, ParametersRange), 1, COLUMN()-2 )</f>
        <v>2.0396835950154559E-4</v>
      </c>
      <c r="E112" s="2" cm="1">
        <f t="array" ref="E112">INDEX( ComputeThermoProps($A112, $B112, ParametersRange), 1, COLUMN()-2 )</f>
        <v>2.0092179781885862E-4</v>
      </c>
      <c r="F112" s="2" cm="1">
        <f t="array" ref="F112">INDEX( ComputeThermoProps($A112, $B112, ParametersRange), 1, COLUMN()-2 )</f>
        <v>2.823987282490766E-4</v>
      </c>
      <c r="G112" s="2" cm="1">
        <f t="array" ref="G112">INDEX( ComputeThermoProps($A112, $B112, ParametersRange), 1, COLUMN()-2 )</f>
        <v>24.225377582765265</v>
      </c>
      <c r="H112" s="2" cm="1">
        <f t="array" ref="H112">INDEX( ComputeThermoProps($A112, $B112, ParametersRange), 1, COLUMN()-2 )</f>
        <v>23.863536622370049</v>
      </c>
      <c r="I112" s="2" cm="1">
        <f t="array" ref="I112">INDEX( ComputeThermoProps($A112, $B112, ParametersRange), 1, COLUMN()-2 )</f>
        <v>0.60261852681429007</v>
      </c>
      <c r="J112" s="2" cm="1">
        <f t="array" ref="J112">INDEX( ComputeThermoProps($A112, $B112, ParametersRange), 1, COLUMN()-2 )</f>
        <v>2155.5123468230868</v>
      </c>
      <c r="K112" s="2" cm="1">
        <f t="array" ref="K112">INDEX( ComputeThermoProps($A112, $B112, ParametersRange), 1, COLUMN()-2 )</f>
        <v>35.156209808574346</v>
      </c>
      <c r="L112" s="2" cm="1">
        <f t="array" ref="L112">INDEX( ComputeThermoProps($A112, $B112, ParametersRange), 1, COLUMN()-2 )</f>
        <v>-976.90594712088728</v>
      </c>
      <c r="M112" s="2" cm="1">
        <f t="array" ref="M112">INDEX( ComputeThermoProps($A112, $B112, ParametersRange), 1, COLUMN()-2 )</f>
        <v>9372.6161462450073</v>
      </c>
      <c r="N112" s="2" cm="1">
        <f t="array" ref="N112">INDEX( ComputeThermoProps($A112, $B112, ParametersRange), 1, COLUMN()-2 )</f>
        <v>6240.197852301033</v>
      </c>
      <c r="P112">
        <f t="shared" si="3"/>
        <v>7775.0898813570375</v>
      </c>
    </row>
    <row r="113" spans="1:16" x14ac:dyDescent="0.25">
      <c r="A113" s="2">
        <v>90.1</v>
      </c>
      <c r="B113" s="2">
        <f t="shared" si="2"/>
        <v>708.94168973570822</v>
      </c>
      <c r="C113" s="2" cm="1">
        <f t="array" ref="C113">INDEX( ComputeThermoProps($A113, $B113, ParametersRange), 1, COLUMN()-2 )</f>
        <v>10.360012738088319</v>
      </c>
      <c r="D113" s="2" cm="1">
        <f t="array" ref="D113">INDEX( ComputeThermoProps($A113, $B113, ParametersRange), 1, COLUMN()-2 )</f>
        <v>2.0056835278526957E-4</v>
      </c>
      <c r="E113" s="2" cm="1">
        <f t="array" ref="E113">INDEX( ComputeThermoProps($A113, $B113, ParametersRange), 1, COLUMN()-2 )</f>
        <v>1.976093064406137E-4</v>
      </c>
      <c r="F113" s="2" cm="1">
        <f t="array" ref="F113">INDEX( ComputeThermoProps($A113, $B113, ParametersRange), 1, COLUMN()-2 )</f>
        <v>2.7721149202758808E-4</v>
      </c>
      <c r="G113" s="2" cm="1">
        <f t="array" ref="G113">INDEX( ComputeThermoProps($A113, $B113, ParametersRange), 1, COLUMN()-2 )</f>
        <v>24.241292613905628</v>
      </c>
      <c r="H113" s="2" cm="1">
        <f t="array" ref="H113">INDEX( ComputeThermoProps($A113, $B113, ParametersRange), 1, COLUMN()-2 )</f>
        <v>23.883653398631687</v>
      </c>
      <c r="I113" s="2" cm="1">
        <f t="array" ref="I113">INDEX( ComputeThermoProps($A113, $B113, ParametersRange), 1, COLUMN()-2 )</f>
        <v>0.59952645523935233</v>
      </c>
      <c r="J113" s="2" cm="1">
        <f t="array" ref="J113">INDEX( ComputeThermoProps($A113, $B113, ParametersRange), 1, COLUMN()-2 )</f>
        <v>2194.8059824122874</v>
      </c>
      <c r="K113" s="2" cm="1">
        <f t="array" ref="K113">INDEX( ComputeThermoProps($A113, $B113, ParametersRange), 1, COLUMN()-2 )</f>
        <v>35.38574468118513</v>
      </c>
      <c r="L113" s="2" cm="1">
        <f t="array" ref="L113">INDEX( ComputeThermoProps($A113, $B113, ParametersRange), 1, COLUMN()-2 )</f>
        <v>-993.44961336249264</v>
      </c>
      <c r="M113" s="2" cm="1">
        <f t="array" ref="M113">INDEX( ComputeThermoProps($A113, $B113, ParametersRange), 1, COLUMN()-2 )</f>
        <v>9539.450918636081</v>
      </c>
      <c r="N113" s="2" cm="1">
        <f t="array" ref="N113">INDEX( ComputeThermoProps($A113, $B113, ParametersRange), 1, COLUMN()-2 )</f>
        <v>6351.1953228613011</v>
      </c>
      <c r="P113">
        <f t="shared" si="3"/>
        <v>7941.9246537481113</v>
      </c>
    </row>
    <row r="114" spans="1:16" x14ac:dyDescent="0.25">
      <c r="A114" s="2">
        <v>91.1</v>
      </c>
      <c r="B114" s="2">
        <f t="shared" si="2"/>
        <v>723.11736839382115</v>
      </c>
      <c r="C114" s="2" cm="1">
        <f t="array" ref="C114">INDEX( ComputeThermoProps($A114, $B114, ParametersRange), 1, COLUMN()-2 )</f>
        <v>10.333680031899371</v>
      </c>
      <c r="D114" s="2" cm="1">
        <f t="array" ref="D114">INDEX( ComputeThermoProps($A114, $B114, ParametersRange), 1, COLUMN()-2 )</f>
        <v>1.9727139082623097E-4</v>
      </c>
      <c r="E114" s="2" cm="1">
        <f t="array" ref="E114">INDEX( ComputeThermoProps($A114, $B114, ParametersRange), 1, COLUMN()-2 )</f>
        <v>1.9439619724489004E-4</v>
      </c>
      <c r="F114" s="2" cm="1">
        <f t="array" ref="F114">INDEX( ComputeThermoProps($A114, $B114, ParametersRange), 1, COLUMN()-2 )</f>
        <v>2.7218435268158356E-4</v>
      </c>
      <c r="G114" s="2" cm="1">
        <f t="array" ref="G114">INDEX( ComputeThermoProps($A114, $B114, ParametersRange), 1, COLUMN()-2 )</f>
        <v>24.25674968696422</v>
      </c>
      <c r="H114" s="2" cm="1">
        <f t="array" ref="H114">INDEX( ComputeThermoProps($A114, $B114, ParametersRange), 1, COLUMN()-2 )</f>
        <v>23.903212102461726</v>
      </c>
      <c r="I114" s="2" cm="1">
        <f t="array" ref="I114">INDEX( ComputeThermoProps($A114, $B114, ParametersRange), 1, COLUMN()-2 )</f>
        <v>0.59648261913837197</v>
      </c>
      <c r="J114" s="2" cm="1">
        <f t="array" ref="J114">INDEX( ComputeThermoProps($A114, $B114, ParametersRange), 1, COLUMN()-2 )</f>
        <v>2234.2593623711423</v>
      </c>
      <c r="K114" s="2" cm="1">
        <f t="array" ref="K114">INDEX( ComputeThermoProps($A114, $B114, ParametersRange), 1, COLUMN()-2 )</f>
        <v>35.613103042909131</v>
      </c>
      <c r="L114" s="2" cm="1">
        <f t="array" ref="L114">INDEX( ComputeThermoProps($A114, $B114, ParametersRange), 1, COLUMN()-2 )</f>
        <v>-1010.0943248378793</v>
      </c>
      <c r="M114" s="2" cm="1">
        <f t="array" ref="M114">INDEX( ComputeThermoProps($A114, $B114, ParametersRange), 1, COLUMN()-2 )</f>
        <v>9706.7228728619939</v>
      </c>
      <c r="N114" s="2" cm="1">
        <f t="array" ref="N114">INDEX( ComputeThermoProps($A114, $B114, ParametersRange), 1, COLUMN()-2 )</f>
        <v>6462.3691856529722</v>
      </c>
      <c r="P114">
        <f t="shared" si="3"/>
        <v>8109.1966079740241</v>
      </c>
    </row>
    <row r="115" spans="1:16" x14ac:dyDescent="0.25">
      <c r="A115" s="2">
        <v>92.1</v>
      </c>
      <c r="B115" s="2">
        <f t="shared" si="2"/>
        <v>737.36757983619725</v>
      </c>
      <c r="C115" s="2" cm="1">
        <f t="array" ref="C115">INDEX( ComputeThermoProps($A115, $B115, ParametersRange), 1, COLUMN()-2 )</f>
        <v>10.307687388454141</v>
      </c>
      <c r="D115" s="2" cm="1">
        <f t="array" ref="D115">INDEX( ComputeThermoProps($A115, $B115, ParametersRange), 1, COLUMN()-2 )</f>
        <v>1.9407309690788711E-4</v>
      </c>
      <c r="E115" s="2" cm="1">
        <f t="array" ref="E115">INDEX( ComputeThermoProps($A115, $B115, ParametersRange), 1, COLUMN()-2 )</f>
        <v>1.9127829110831412E-4</v>
      </c>
      <c r="F115" s="2" cm="1">
        <f t="array" ref="F115">INDEX( ComputeThermoProps($A115, $B115, ParametersRange), 1, COLUMN()-2 )</f>
        <v>2.6731053293748357E-4</v>
      </c>
      <c r="G115" s="2" cm="1">
        <f t="array" ref="G115">INDEX( ComputeThermoProps($A115, $B115, ParametersRange), 1, COLUMN()-2 )</f>
        <v>24.271766012043535</v>
      </c>
      <c r="H115" s="2" cm="1">
        <f t="array" ref="H115">INDEX( ComputeThermoProps($A115, $B115, ParametersRange), 1, COLUMN()-2 )</f>
        <v>23.922233420988249</v>
      </c>
      <c r="I115" s="2" cm="1">
        <f t="array" ref="I115">INDEX( ComputeThermoProps($A115, $B115, ParametersRange), 1, COLUMN()-2 )</f>
        <v>0.59348568853238115</v>
      </c>
      <c r="J115" s="2" cm="1">
        <f t="array" ref="J115">INDEX( ComputeThermoProps($A115, $B115, ParametersRange), 1, COLUMN()-2 )</f>
        <v>2273.8702965137522</v>
      </c>
      <c r="K115" s="2" cm="1">
        <f t="array" ref="K115">INDEX( ComputeThermoProps($A115, $B115, ParametersRange), 1, COLUMN()-2 )</f>
        <v>35.838324225460482</v>
      </c>
      <c r="L115" s="2" cm="1">
        <f t="array" ref="L115">INDEX( ComputeThermoProps($A115, $B115, ParametersRange), 1, COLUMN()-2 )</f>
        <v>-1026.8393646511579</v>
      </c>
      <c r="M115" s="2" cm="1">
        <f t="array" ref="M115">INDEX( ComputeThermoProps($A115, $B115, ParametersRange), 1, COLUMN()-2 )</f>
        <v>9874.4247998462743</v>
      </c>
      <c r="N115" s="2" cm="1">
        <f t="array" ref="N115">INDEX( ComputeThermoProps($A115, $B115, ParametersRange), 1, COLUMN()-2 )</f>
        <v>6573.7151386813639</v>
      </c>
      <c r="P115">
        <f t="shared" si="3"/>
        <v>8276.8985349583054</v>
      </c>
    </row>
    <row r="116" spans="1:16" x14ac:dyDescent="0.25">
      <c r="A116" s="2">
        <v>93.1</v>
      </c>
      <c r="B116" s="2">
        <f t="shared" si="2"/>
        <v>751.69162614166385</v>
      </c>
      <c r="C116" s="2" cm="1">
        <f t="array" ref="C116">INDEX( ComputeThermoProps($A116, $B116, ParametersRange), 1, COLUMN()-2 )</f>
        <v>10.28202625411426</v>
      </c>
      <c r="D116" s="2" cm="1">
        <f t="array" ref="D116">INDEX( ComputeThermoProps($A116, $B116, ParametersRange), 1, COLUMN()-2 )</f>
        <v>1.9096932651731108E-4</v>
      </c>
      <c r="E116" s="2" cm="1">
        <f t="array" ref="E116">INDEX( ComputeThermoProps($A116, $B116, ParametersRange), 1, COLUMN()-2 )</f>
        <v>1.8825162831041692E-4</v>
      </c>
      <c r="F116" s="2" cm="1">
        <f t="array" ref="F116">INDEX( ComputeThermoProps($A116, $B116, ParametersRange), 1, COLUMN()-2 )</f>
        <v>2.6258361042410204E-4</v>
      </c>
      <c r="G116" s="2" cm="1">
        <f t="array" ref="G116">INDEX( ComputeThermoProps($A116, $B116, ParametersRange), 1, COLUMN()-2 )</f>
        <v>24.286357992480141</v>
      </c>
      <c r="H116" s="2" cm="1">
        <f t="array" ref="H116">INDEX( ComputeThermoProps($A116, $B116, ParametersRange), 1, COLUMN()-2 )</f>
        <v>23.940737086904136</v>
      </c>
      <c r="I116" s="2" cm="1">
        <f t="array" ref="I116">INDEX( ComputeThermoProps($A116, $B116, ParametersRange), 1, COLUMN()-2 )</f>
        <v>0.59053438464418673</v>
      </c>
      <c r="J116" s="2" cm="1">
        <f t="array" ref="J116">INDEX( ComputeThermoProps($A116, $B116, ParametersRange), 1, COLUMN()-2 )</f>
        <v>2313.6366637562046</v>
      </c>
      <c r="K116" s="2" cm="1">
        <f t="array" ref="K116">INDEX( ComputeThermoProps($A116, $B116, ParametersRange), 1, COLUMN()-2 )</f>
        <v>36.061446552727226</v>
      </c>
      <c r="L116" s="2" cm="1">
        <f t="array" ref="L116">INDEX( ComputeThermoProps($A116, $B116, ParametersRange), 1, COLUMN()-2 )</f>
        <v>-1043.6840103027</v>
      </c>
      <c r="M116" s="2" cm="1">
        <f t="array" ref="M116">INDEX( ComputeThermoProps($A116, $B116, ParametersRange), 1, COLUMN()-2 )</f>
        <v>10042.549698742634</v>
      </c>
      <c r="N116" s="2" cm="1">
        <f t="array" ref="N116">INDEX( ComputeThermoProps($A116, $B116, ParametersRange), 1, COLUMN()-2 )</f>
        <v>6685.2290246837292</v>
      </c>
      <c r="P116">
        <f t="shared" si="3"/>
        <v>8445.0234338546652</v>
      </c>
    </row>
    <row r="117" spans="1:16" x14ac:dyDescent="0.25">
      <c r="A117" s="2">
        <v>94.1</v>
      </c>
      <c r="B117" s="2">
        <f t="shared" si="2"/>
        <v>766.08882576885821</v>
      </c>
      <c r="C117" s="2" cm="1">
        <f t="array" ref="C117">INDEX( ComputeThermoProps($A117, $B117, ParametersRange), 1, COLUMN()-2 )</f>
        <v>10.256688382625315</v>
      </c>
      <c r="D117" s="2" cm="1">
        <f t="array" ref="D117">INDEX( ComputeThermoProps($A117, $B117, ParametersRange), 1, COLUMN()-2 )</f>
        <v>1.8795615299639388E-4</v>
      </c>
      <c r="E117" s="2" cm="1">
        <f t="array" ref="E117">INDEX( ComputeThermoProps($A117, $B117, ParametersRange), 1, COLUMN()-2 )</f>
        <v>1.8531245513198874E-4</v>
      </c>
      <c r="F117" s="2" cm="1">
        <f t="array" ref="F117">INDEX( ComputeThermoProps($A117, $B117, ParametersRange), 1, COLUMN()-2 )</f>
        <v>2.579974964434715E-4</v>
      </c>
      <c r="G117" s="2" cm="1">
        <f t="array" ref="G117">INDEX( ComputeThermoProps($A117, $B117, ParametersRange), 1, COLUMN()-2 )</f>
        <v>24.300541294187589</v>
      </c>
      <c r="H117" s="2" cm="1">
        <f t="array" ref="H117">INDEX( ComputeThermoProps($A117, $B117, ParametersRange), 1, COLUMN()-2 )</f>
        <v>23.958741953760754</v>
      </c>
      <c r="I117" s="2" cm="1">
        <f t="array" ref="I117">INDEX( ComputeThermoProps($A117, $B117, ParametersRange), 1, COLUMN()-2 )</f>
        <v>0.58762747747391397</v>
      </c>
      <c r="J117" s="2" cm="1">
        <f t="array" ref="J117">INDEX( ComputeThermoProps($A117, $B117, ParametersRange), 1, COLUMN()-2 )</f>
        <v>2353.5564088554056</v>
      </c>
      <c r="K117" s="2" cm="1">
        <f t="array" ref="K117">INDEX( ComputeThermoProps($A117, $B117, ParametersRange), 1, COLUMN()-2 )</f>
        <v>36.282507373766229</v>
      </c>
      <c r="L117" s="2" cm="1">
        <f t="array" ref="L117">INDEX( ComputeThermoProps($A117, $B117, ParametersRange), 1, COLUMN()-2 )</f>
        <v>-1060.6275350159963</v>
      </c>
      <c r="M117" s="2" cm="1">
        <f t="array" ref="M117">INDEX( ComputeThermoProps($A117, $B117, ParametersRange), 1, COLUMN()-2 )</f>
        <v>10211.090768177923</v>
      </c>
      <c r="N117" s="2" cm="1">
        <f t="array" ref="N117">INDEX( ComputeThermoProps($A117, $B117, ParametersRange), 1, COLUMN()-2 )</f>
        <v>6796.9068243065203</v>
      </c>
      <c r="P117">
        <f t="shared" si="3"/>
        <v>8613.5645032899538</v>
      </c>
    </row>
    <row r="118" spans="1:16" x14ac:dyDescent="0.25">
      <c r="A118" s="2">
        <v>95.1</v>
      </c>
      <c r="B118" s="2">
        <f t="shared" si="2"/>
        <v>780.5585129482397</v>
      </c>
      <c r="C118" s="2" cm="1">
        <f t="array" ref="C118">INDEX( ComputeThermoProps($A118, $B118, ParametersRange), 1, COLUMN()-2 )</f>
        <v>10.231665821524711</v>
      </c>
      <c r="D118" s="2" cm="1">
        <f t="array" ref="D118">INDEX( ComputeThermoProps($A118, $B118, ParametersRange), 1, COLUMN()-2 )</f>
        <v>1.8502985416509718E-4</v>
      </c>
      <c r="E118" s="2" cm="1">
        <f t="array" ref="E118">INDEX( ComputeThermoProps($A118, $B118, ParametersRange), 1, COLUMN()-2 )</f>
        <v>1.8245721135370937E-4</v>
      </c>
      <c r="F118" s="2" cm="1">
        <f t="array" ref="F118">INDEX( ComputeThermoProps($A118, $B118, ParametersRange), 1, COLUMN()-2 )</f>
        <v>2.5354641558127117E-4</v>
      </c>
      <c r="G118" s="2" cm="1">
        <f t="array" ref="G118">INDEX( ComputeThermoProps($A118, $B118, ParametersRange), 1, COLUMN()-2 )</f>
        <v>24.314330859124297</v>
      </c>
      <c r="H118" s="2" cm="1">
        <f t="array" ref="H118">INDEX( ComputeThermoProps($A118, $B118, ParametersRange), 1, COLUMN()-2 )</f>
        <v>23.976266016665861</v>
      </c>
      <c r="I118" s="2" cm="1">
        <f t="array" ref="I118">INDEX( ComputeThermoProps($A118, $B118, ParametersRange), 1, COLUMN()-2 )</f>
        <v>0.58476378350301339</v>
      </c>
      <c r="J118" s="2" cm="1">
        <f t="array" ref="J118">INDEX( ComputeThermoProps($A118, $B118, ParametersRange), 1, COLUMN()-2 )</f>
        <v>2393.6275393422698</v>
      </c>
      <c r="K118" s="2" cm="1">
        <f t="array" ref="K118">INDEX( ComputeThermoProps($A118, $B118, ParametersRange), 1, COLUMN()-2 )</f>
        <v>36.501543094427284</v>
      </c>
      <c r="L118" s="2" cm="1">
        <f t="array" ref="L118">INDEX( ComputeThermoProps($A118, $B118, ParametersRange), 1, COLUMN()-2 )</f>
        <v>-1077.6692089377648</v>
      </c>
      <c r="M118" s="2" cm="1">
        <f t="array" ref="M118">INDEX( ComputeThermoProps($A118, $B118, ParametersRange), 1, COLUMN()-2 )</f>
        <v>10380.041397974928</v>
      </c>
      <c r="N118" s="2" cm="1">
        <f t="array" ref="N118">INDEX( ComputeThermoProps($A118, $B118, ParametersRange), 1, COLUMN()-2 )</f>
        <v>6908.7446496948942</v>
      </c>
      <c r="P118">
        <f t="shared" si="3"/>
        <v>8782.5151330869594</v>
      </c>
    </row>
    <row r="119" spans="1:16" x14ac:dyDescent="0.25">
      <c r="A119" s="2">
        <v>96.1</v>
      </c>
      <c r="B119" s="2">
        <f t="shared" si="2"/>
        <v>795.10003710470664</v>
      </c>
      <c r="C119" s="2" cm="1">
        <f t="array" ref="C119">INDEX( ComputeThermoProps($A119, $B119, ParametersRange), 1, COLUMN()-2 )</f>
        <v>10.206950899209101</v>
      </c>
      <c r="D119" s="2" cm="1">
        <f t="array" ref="D119">INDEX( ComputeThermoProps($A119, $B119, ParametersRange), 1, COLUMN()-2 )</f>
        <v>1.8218689985774505E-4</v>
      </c>
      <c r="E119" s="2" cm="1">
        <f t="array" ref="E119">INDEX( ComputeThermoProps($A119, $B119, ParametersRange), 1, COLUMN()-2 )</f>
        <v>1.7968251859265283E-4</v>
      </c>
      <c r="F119" s="2" cm="1">
        <f t="array" ref="F119">INDEX( ComputeThermoProps($A119, $B119, ParametersRange), 1, COLUMN()-2 )</f>
        <v>2.4922488703500468E-4</v>
      </c>
      <c r="G119" s="2" cm="1">
        <f t="array" ref="G119">INDEX( ComputeThermoProps($A119, $B119, ParametersRange), 1, COLUMN()-2 )</f>
        <v>24.327740951190822</v>
      </c>
      <c r="H119" s="2" cm="1">
        <f t="array" ref="H119">INDEX( ComputeThermoProps($A119, $B119, ParametersRange), 1, COLUMN()-2 )</f>
        <v>23.993326464157171</v>
      </c>
      <c r="I119" s="2" cm="1">
        <f t="array" ref="I119">INDEX( ComputeThermoProps($A119, $B119, ParametersRange), 1, COLUMN()-2 )</f>
        <v>0.58194216351997519</v>
      </c>
      <c r="J119" s="2" cm="1">
        <f t="array" ref="J119">INDEX( ComputeThermoProps($A119, $B119, ParametersRange), 1, COLUMN()-2 )</f>
        <v>2433.8481226357694</v>
      </c>
      <c r="K119" s="2" cm="1">
        <f t="array" ref="K119">INDEX( ComputeThermoProps($A119, $B119, ParametersRange), 1, COLUMN()-2 )</f>
        <v>36.718589207686421</v>
      </c>
      <c r="L119" s="2" cm="1">
        <f t="array" ref="L119">INDEX( ComputeThermoProps($A119, $B119, ParametersRange), 1, COLUMN()-2 )</f>
        <v>-1094.8083002228955</v>
      </c>
      <c r="M119" s="2" cm="1">
        <f t="array" ref="M119">INDEX( ComputeThermoProps($A119, $B119, ParametersRange), 1, COLUMN()-2 )</f>
        <v>10549.395161322844</v>
      </c>
      <c r="N119" s="2" cm="1">
        <f t="array" ref="N119">INDEX( ComputeThermoProps($A119, $B119, ParametersRange), 1, COLUMN()-2 )</f>
        <v>7020.7387384641788</v>
      </c>
      <c r="P119">
        <f t="shared" si="3"/>
        <v>8951.8688964348748</v>
      </c>
    </row>
    <row r="120" spans="1:16" x14ac:dyDescent="0.25">
      <c r="A120" s="2">
        <v>97.1</v>
      </c>
      <c r="B120" s="2">
        <f t="shared" si="2"/>
        <v>809.71276230888361</v>
      </c>
      <c r="C120" s="2" cm="1">
        <f t="array" ref="C120">INDEX( ComputeThermoProps($A120, $B120, ParametersRange), 1, COLUMN()-2 )</f>
        <v>10.182536212631913</v>
      </c>
      <c r="D120" s="2" cm="1">
        <f t="array" ref="D120">INDEX( ComputeThermoProps($A120, $B120, ParametersRange), 1, COLUMN()-2 )</f>
        <v>1.7942394030409254E-4</v>
      </c>
      <c r="E120" s="2" cm="1">
        <f t="array" ref="E120">INDEX( ComputeThermoProps($A120, $B120, ParametersRange), 1, COLUMN()-2 )</f>
        <v>1.7698516941821367E-4</v>
      </c>
      <c r="F120" s="2" cm="1">
        <f t="array" ref="F120">INDEX( ComputeThermoProps($A120, $B120, ParametersRange), 1, COLUMN()-2 )</f>
        <v>2.4502770723518631E-4</v>
      </c>
      <c r="G120" s="2" cm="1">
        <f t="array" ref="G120">INDEX( ComputeThermoProps($A120, $B120, ParametersRange), 1, COLUMN()-2 )</f>
        <v>24.340785206160611</v>
      </c>
      <c r="H120" s="2" cm="1">
        <f t="array" ref="H120">INDEX( ComputeThermoProps($A120, $B120, ParametersRange), 1, COLUMN()-2 )</f>
        <v>24.009939733702428</v>
      </c>
      <c r="I120" s="2" cm="1">
        <f t="array" ref="I120">INDEX( ComputeThermoProps($A120, $B120, ParametersRange), 1, COLUMN()-2 )</f>
        <v>0.57916152056122072</v>
      </c>
      <c r="J120" s="2" cm="1">
        <f t="array" ref="J120">INDEX( ComputeThermoProps($A120, $B120, ParametersRange), 1, COLUMN()-2 )</f>
        <v>2474.2162833254115</v>
      </c>
      <c r="K120" s="2" cm="1">
        <f t="array" ref="K120">INDEX( ComputeThermoProps($A120, $B120, ParametersRange), 1, COLUMN()-2 )</f>
        <v>36.933680322760019</v>
      </c>
      <c r="L120" s="2" cm="1">
        <f t="array" ref="L120">INDEX( ComputeThermoProps($A120, $B120, ParametersRange), 1, COLUMN()-2 )</f>
        <v>-1112.0440760145862</v>
      </c>
      <c r="M120" s="2" cm="1">
        <f t="array" ref="M120">INDEX( ComputeThermoProps($A120, $B120, ParametersRange), 1, COLUMN()-2 )</f>
        <v>10719.145807365836</v>
      </c>
      <c r="N120" s="2" cm="1">
        <f t="array" ref="N120">INDEX( ComputeThermoProps($A120, $B120, ParametersRange), 1, COLUMN()-2 )</f>
        <v>7132.8854480258387</v>
      </c>
      <c r="P120">
        <f t="shared" si="3"/>
        <v>9121.6195424778671</v>
      </c>
    </row>
    <row r="121" spans="1:16" x14ac:dyDescent="0.25">
      <c r="A121" s="2">
        <v>98.1</v>
      </c>
      <c r="B121" s="2">
        <f t="shared" si="2"/>
        <v>824.39606675529956</v>
      </c>
      <c r="C121" s="2" cm="1">
        <f t="array" ref="C121">INDEX( ComputeThermoProps($A121, $B121, ParametersRange), 1, COLUMN()-2 )</f>
        <v>10.158414615601925</v>
      </c>
      <c r="D121" s="2" cm="1">
        <f t="array" ref="D121">INDEX( ComputeThermoProps($A121, $B121, ParametersRange), 1, COLUMN()-2 )</f>
        <v>1.7673779529199299E-4</v>
      </c>
      <c r="E121" s="2" cm="1">
        <f t="array" ref="E121">INDEX( ComputeThermoProps($A121, $B121, ParametersRange), 1, COLUMN()-2 )</f>
        <v>1.7436211719284501E-4</v>
      </c>
      <c r="F121" s="2" cm="1">
        <f t="array" ref="F121">INDEX( ComputeThermoProps($A121, $B121, ParametersRange), 1, COLUMN()-2 )</f>
        <v>2.4094993338153584E-4</v>
      </c>
      <c r="G121" s="2" cm="1">
        <f t="array" ref="G121">INDEX( ComputeThermoProps($A121, $B121, ParametersRange), 1, COLUMN()-2 )</f>
        <v>24.353476656850649</v>
      </c>
      <c r="H121" s="2" cm="1">
        <f t="array" ref="H121">INDEX( ComputeThermoProps($A121, $B121, ParametersRange), 1, COLUMN()-2 )</f>
        <v>24.026121542817425</v>
      </c>
      <c r="I121" s="2" cm="1">
        <f t="array" ref="I121">INDEX( ComputeThermoProps($A121, $B121, ParametersRange), 1, COLUMN()-2 )</f>
        <v>0.57642079796091905</v>
      </c>
      <c r="J121" s="2" cm="1">
        <f t="array" ref="J121">INDEX( ComputeThermoProps($A121, $B121, ParametersRange), 1, COLUMN()-2 )</f>
        <v>2514.7302006106111</v>
      </c>
      <c r="K121" s="2" cm="1">
        <f t="array" ref="K121">INDEX( ComputeThermoProps($A121, $B121, ParametersRange), 1, COLUMN()-2 )</f>
        <v>37.146850193066122</v>
      </c>
      <c r="L121" s="2" cm="1">
        <f t="array" ref="L121">INDEX( ComputeThermoProps($A121, $B121, ParametersRange), 1, COLUMN()-2 )</f>
        <v>-1129.3758033291754</v>
      </c>
      <c r="M121" s="2" cm="1">
        <f t="array" ref="M121">INDEX( ComputeThermoProps($A121, $B121, ParametersRange), 1, COLUMN()-2 )</f>
        <v>10889.287254182387</v>
      </c>
      <c r="N121" s="2" cm="1">
        <f t="array" ref="N121">INDEX( ComputeThermoProps($A121, $B121, ParametersRange), 1, COLUMN()-2 )</f>
        <v>7245.181250242601</v>
      </c>
      <c r="P121">
        <f t="shared" si="3"/>
        <v>9291.7609892944183</v>
      </c>
    </row>
    <row r="122" spans="1:16" x14ac:dyDescent="0.25">
      <c r="A122" s="2">
        <v>99.1</v>
      </c>
      <c r="B122" s="2">
        <f t="shared" si="2"/>
        <v>839.14934226579544</v>
      </c>
      <c r="C122" s="2" cm="1">
        <f t="array" ref="C122">INDEX( ComputeThermoProps($A122, $B122, ParametersRange), 1, COLUMN()-2 )</f>
        <v>10.134579207654493</v>
      </c>
      <c r="D122" s="2" cm="1">
        <f t="array" ref="D122">INDEX( ComputeThermoProps($A122, $B122, ParametersRange), 1, COLUMN()-2 )</f>
        <v>1.7412544405800767E-4</v>
      </c>
      <c r="E122" s="2" cm="1">
        <f t="array" ref="E122">INDEX( ComputeThermoProps($A122, $B122, ParametersRange), 1, COLUMN()-2 )</f>
        <v>1.7181046658665291E-4</v>
      </c>
      <c r="F122" s="2" cm="1">
        <f t="array" ref="F122">INDEX( ComputeThermoProps($A122, $B122, ParametersRange), 1, COLUMN()-2 )</f>
        <v>2.3698686804785342E-4</v>
      </c>
      <c r="G122" s="2" cm="1">
        <f t="array" ref="G122">INDEX( ComputeThermoProps($A122, $B122, ParametersRange), 1, COLUMN()-2 )</f>
        <v>24.365827754761966</v>
      </c>
      <c r="H122" s="2" cm="1">
        <f t="array" ref="H122">INDEX( ComputeThermoProps($A122, $B122, ParametersRange), 1, COLUMN()-2 )</f>
        <v>24.04188691642938</v>
      </c>
      <c r="I122" s="2" cm="1">
        <f t="array" ref="I122">INDEX( ComputeThermoProps($A122, $B122, ParametersRange), 1, COLUMN()-2 )</f>
        <v>0.57371897750375234</v>
      </c>
      <c r="J122" s="2" cm="1">
        <f t="array" ref="J122">INDEX( ComputeThermoProps($A122, $B122, ParametersRange), 1, COLUMN()-2 )</f>
        <v>2555.3881058863722</v>
      </c>
      <c r="K122" s="2" cm="1">
        <f t="array" ref="K122">INDEX( ComputeThermoProps($A122, $B122, ParametersRange), 1, COLUMN()-2 )</f>
        <v>37.358131743093459</v>
      </c>
      <c r="L122" s="2" cm="1">
        <f t="array" ref="L122">INDEX( ComputeThermoProps($A122, $B122, ParametersRange), 1, COLUMN()-2 )</f>
        <v>-1146.8027498541894</v>
      </c>
      <c r="M122" s="2" cm="1">
        <f t="array" ref="M122">INDEX( ComputeThermoProps($A122, $B122, ParametersRange), 1, COLUMN()-2 )</f>
        <v>11059.813582130246</v>
      </c>
      <c r="N122" s="2" cm="1">
        <f t="array" ref="N122">INDEX( ComputeThermoProps($A122, $B122, ParametersRange), 1, COLUMN()-2 )</f>
        <v>7357.6227263896844</v>
      </c>
      <c r="P122">
        <f t="shared" si="3"/>
        <v>9462.2873172422769</v>
      </c>
    </row>
    <row r="123" spans="1:16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Parameters</vt:lpstr>
      <vt:lpstr>Inputs</vt:lpstr>
      <vt:lpstr>Outputs</vt:lpstr>
      <vt:lpstr>Sweep</vt:lpstr>
      <vt:lpstr>p_in</vt:lpstr>
      <vt:lpstr>ParametersRange</vt:lpstr>
      <vt:lpstr>T_in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Iash Bashir (23059859)</cp:lastModifiedBy>
  <dcterms:created xsi:type="dcterms:W3CDTF">2025-09-21T02:19:55Z</dcterms:created>
  <dcterms:modified xsi:type="dcterms:W3CDTF">2025-10-04T12:16:05Z</dcterms:modified>
</cp:coreProperties>
</file>