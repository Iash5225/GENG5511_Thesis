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407" documentId="8_{B0C8A4BE-9622-4CEE-91F7-C2B4B71EBE2F}" xr6:coauthVersionLast="47" xr6:coauthVersionMax="47" xr10:uidLastSave="{32362C34-1C10-4023-8E04-41E5AD5055FD}"/>
  <bookViews>
    <workbookView xWindow="-1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  <sheet name="Experimental" sheetId="5" r:id="rId5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10" i="4"/>
  <c r="B11" i="4" l="1"/>
  <c r="A23" i="4" l="1" a="1"/>
  <c r="A23" i="4" s="1"/>
  <c r="B23" i="4" s="1"/>
  <c r="B11" i="3"/>
  <c r="B16" i="3"/>
  <c r="C23" i="4" a="1"/>
  <c r="B4" i="3"/>
  <c r="M23" i="4" a="1"/>
  <c r="B3" i="3"/>
  <c r="J23" i="4" a="1"/>
  <c r="I23" i="4" a="1"/>
  <c r="D23" i="4" a="1"/>
  <c r="F23" i="4" a="1"/>
  <c r="B8" i="3"/>
  <c r="B5" i="3"/>
  <c r="G23" i="4" a="1"/>
  <c r="B9" i="3"/>
  <c r="B13" i="3"/>
  <c r="E23" i="4" a="1"/>
  <c r="B12" i="3"/>
  <c r="B6" i="3"/>
  <c r="B7" i="3"/>
  <c r="B2" i="3"/>
  <c r="N23" i="4" a="1"/>
  <c r="L23" i="4" a="1"/>
  <c r="K23" i="4" a="1"/>
  <c r="H23" i="4" a="1"/>
  <c r="B10" i="3"/>
  <c r="B81" i="4" l="1"/>
  <c r="B104" i="4"/>
  <c r="B119" i="4"/>
  <c r="B107" i="4"/>
  <c r="B95" i="4"/>
  <c r="B83" i="4"/>
  <c r="B71" i="4"/>
  <c r="B59" i="4"/>
  <c r="B47" i="4"/>
  <c r="B35" i="4"/>
  <c r="B117" i="4"/>
  <c r="B45" i="4"/>
  <c r="B68" i="4"/>
  <c r="B118" i="4"/>
  <c r="B106" i="4"/>
  <c r="B94" i="4"/>
  <c r="B82" i="4"/>
  <c r="B70" i="4"/>
  <c r="B58" i="4"/>
  <c r="B46" i="4"/>
  <c r="B34" i="4"/>
  <c r="B33" i="4"/>
  <c r="B93" i="4"/>
  <c r="B57" i="4"/>
  <c r="B80" i="4"/>
  <c r="B44" i="4"/>
  <c r="B115" i="4"/>
  <c r="B91" i="4"/>
  <c r="B67" i="4"/>
  <c r="B43" i="4"/>
  <c r="B114" i="4"/>
  <c r="B90" i="4"/>
  <c r="B66" i="4"/>
  <c r="B42" i="4"/>
  <c r="B113" i="4"/>
  <c r="B77" i="4"/>
  <c r="B65" i="4"/>
  <c r="B41" i="4"/>
  <c r="B100" i="4"/>
  <c r="B64" i="4"/>
  <c r="B40" i="4"/>
  <c r="B87" i="4"/>
  <c r="B51" i="4"/>
  <c r="B27" i="4"/>
  <c r="B122" i="4"/>
  <c r="B110" i="4"/>
  <c r="B98" i="4"/>
  <c r="B86" i="4"/>
  <c r="B74" i="4"/>
  <c r="B62" i="4"/>
  <c r="B50" i="4"/>
  <c r="B38" i="4"/>
  <c r="B26" i="4"/>
  <c r="B88" i="4"/>
  <c r="B99" i="4"/>
  <c r="B63" i="4"/>
  <c r="B39" i="4"/>
  <c r="B121" i="4"/>
  <c r="B109" i="4"/>
  <c r="B97" i="4"/>
  <c r="B85" i="4"/>
  <c r="B73" i="4"/>
  <c r="B61" i="4"/>
  <c r="B49" i="4"/>
  <c r="B37" i="4"/>
  <c r="B25" i="4"/>
  <c r="B105" i="4"/>
  <c r="B69" i="4"/>
  <c r="B116" i="4"/>
  <c r="B92" i="4"/>
  <c r="B56" i="4"/>
  <c r="B32" i="4"/>
  <c r="B103" i="4"/>
  <c r="B79" i="4"/>
  <c r="B55" i="4"/>
  <c r="B31" i="4"/>
  <c r="B102" i="4"/>
  <c r="B78" i="4"/>
  <c r="B54" i="4"/>
  <c r="B30" i="4"/>
  <c r="B101" i="4"/>
  <c r="B89" i="4"/>
  <c r="B53" i="4"/>
  <c r="B29" i="4"/>
  <c r="B112" i="4"/>
  <c r="B76" i="4"/>
  <c r="B52" i="4"/>
  <c r="B28" i="4"/>
  <c r="B111" i="4"/>
  <c r="B75" i="4"/>
  <c r="B120" i="4"/>
  <c r="B108" i="4"/>
  <c r="B96" i="4"/>
  <c r="B84" i="4"/>
  <c r="B72" i="4"/>
  <c r="B60" i="4"/>
  <c r="B48" i="4"/>
  <c r="B36" i="4"/>
  <c r="B24" i="4"/>
  <c r="G23" i="4"/>
  <c r="M23" i="4"/>
  <c r="P23" i="4" s="1"/>
  <c r="F23" i="4"/>
  <c r="N23" i="4"/>
  <c r="L23" i="4"/>
  <c r="I23" i="4"/>
  <c r="E23" i="4"/>
  <c r="H23" i="4"/>
  <c r="K23" i="4"/>
  <c r="J23" i="4"/>
  <c r="D23" i="4"/>
  <c r="C23" i="4"/>
  <c r="N77" i="4" a="1"/>
  <c r="H62" i="4" a="1"/>
  <c r="N76" i="4" a="1"/>
  <c r="G42" i="4" a="1"/>
  <c r="L94" i="4" a="1"/>
  <c r="F64" i="4" a="1"/>
  <c r="K58" i="4" a="1"/>
  <c r="E59" i="4" a="1"/>
  <c r="M87" i="4" a="1"/>
  <c r="F116" i="4" a="1"/>
  <c r="L101" i="4" a="1"/>
  <c r="F26" i="4" a="1"/>
  <c r="K73" i="4" a="1"/>
  <c r="F72" i="4" a="1"/>
  <c r="J52" i="4" a="1"/>
  <c r="D28" i="4" a="1"/>
  <c r="L118" i="4" a="1"/>
  <c r="E40" i="4" a="1"/>
  <c r="K118" i="4" a="1"/>
  <c r="E85" i="4" a="1"/>
  <c r="J98" i="4" a="1"/>
  <c r="C34" i="4" a="1"/>
  <c r="H53" i="4" a="1"/>
  <c r="N93" i="4" a="1"/>
  <c r="G25" i="4" a="1"/>
  <c r="M44" i="4" a="1"/>
  <c r="F77" i="4" a="1"/>
  <c r="L96" i="4" a="1"/>
  <c r="F69" i="4" a="1"/>
  <c r="K80" i="4" a="1"/>
  <c r="D34" i="4" a="1"/>
  <c r="J40" i="4" a="1"/>
  <c r="C55" i="4" a="1"/>
  <c r="I73" i="4" a="1"/>
  <c r="N63" i="4" a="1"/>
  <c r="H71" i="4" a="1"/>
  <c r="N111" i="4" a="1"/>
  <c r="F30" i="4" a="1"/>
  <c r="L64" i="4" a="1"/>
  <c r="F48" i="4" a="1"/>
  <c r="K60" i="4" a="1"/>
  <c r="D113" i="4" a="1"/>
  <c r="J119" i="4" a="1"/>
  <c r="D107" i="4" a="1"/>
  <c r="I110" i="4" a="1"/>
  <c r="N83" i="4" a="1"/>
  <c r="H83" i="4" a="1"/>
  <c r="M121" i="4" a="1"/>
  <c r="G39" i="4" a="1"/>
  <c r="F28" i="4" a="1"/>
  <c r="K84" i="4" a="1"/>
  <c r="E35" i="4" a="1"/>
  <c r="K59" i="4" a="1"/>
  <c r="E51" i="4" a="1"/>
  <c r="I92" i="4" a="1"/>
  <c r="C54" i="4" a="1"/>
  <c r="I61" i="4" a="1"/>
  <c r="C46" i="4" a="1"/>
  <c r="I75" i="4" a="1"/>
  <c r="C65" i="4" a="1"/>
  <c r="H97" i="4" a="1"/>
  <c r="N110" i="4" a="1"/>
  <c r="G112" i="4" a="1"/>
  <c r="L108" i="4" a="1"/>
  <c r="F70" i="4" a="1"/>
  <c r="L66" i="4" a="1"/>
  <c r="F39" i="4" a="1"/>
  <c r="L41" i="4" a="1"/>
  <c r="F80" i="4" a="1"/>
  <c r="K46" i="4" a="1"/>
  <c r="D64" i="4" a="1"/>
  <c r="J55" i="4" a="1"/>
  <c r="C122" i="4" a="1"/>
  <c r="I25" i="4" a="1"/>
  <c r="D81" i="4" a="1"/>
  <c r="I79" i="4" a="1"/>
  <c r="C94" i="4" a="1"/>
  <c r="H32" i="4" a="1"/>
  <c r="M37" i="4" a="1"/>
  <c r="G70" i="4" a="1"/>
  <c r="L121" i="4" a="1"/>
  <c r="F66" i="4" a="1"/>
  <c r="K121" i="4" a="1"/>
  <c r="D56" i="4" a="1"/>
  <c r="J47" i="4" a="1"/>
  <c r="D69" i="4" a="1"/>
  <c r="J87" i="4" a="1"/>
  <c r="C115" i="4" a="1"/>
  <c r="H70" i="4" a="1"/>
  <c r="N88" i="4" a="1"/>
  <c r="N73" i="4" a="1"/>
  <c r="G97" i="4" a="1"/>
  <c r="G108" i="4" a="1"/>
  <c r="E54" i="4" a="1"/>
  <c r="E88" i="4" a="1"/>
  <c r="D82" i="4" a="1"/>
  <c r="I71" i="4" a="1"/>
  <c r="C69" i="4" a="1"/>
  <c r="I119" i="4" a="1"/>
  <c r="M33" i="4" a="1"/>
  <c r="G92" i="4" a="1"/>
  <c r="M106" i="4" a="1"/>
  <c r="G44" i="4" a="1"/>
  <c r="C68" i="4" a="1"/>
  <c r="H52" i="4" a="1"/>
  <c r="N94" i="4" a="1"/>
  <c r="G29" i="4" a="1"/>
  <c r="L37" i="4" a="1"/>
  <c r="F111" i="4" a="1"/>
  <c r="K32" i="4" a="1"/>
  <c r="E39" i="4" a="1"/>
  <c r="M120" i="4" a="1"/>
  <c r="F57" i="4" a="1"/>
  <c r="L77" i="4" a="1"/>
  <c r="F71" i="4" a="1"/>
  <c r="K24" i="4" a="1"/>
  <c r="E48" i="4" a="1"/>
  <c r="J67" i="4" a="1"/>
  <c r="D87" i="4" a="1"/>
  <c r="H93" i="4" a="1"/>
  <c r="N27" i="4" a="1"/>
  <c r="H40" i="4" a="1"/>
  <c r="N91" i="4" a="1"/>
  <c r="H36" i="4" a="1"/>
  <c r="L42" i="4" a="1"/>
  <c r="F112" i="4" a="1"/>
  <c r="L48" i="4" a="1"/>
  <c r="D39" i="4" a="1"/>
  <c r="J30" i="4" a="1"/>
  <c r="D73" i="4" a="1"/>
  <c r="I60" i="4" a="1"/>
  <c r="C60" i="4" a="1"/>
  <c r="H119" i="4" a="1"/>
  <c r="M110" i="4" a="1"/>
  <c r="G120" i="4" a="1"/>
  <c r="L31" i="4" a="1"/>
  <c r="F95" i="4" a="1"/>
  <c r="K89" i="4" a="1"/>
  <c r="E69" i="4" a="1"/>
  <c r="K55" i="4" a="1"/>
  <c r="C109" i="4" a="1"/>
  <c r="I89" i="4" a="1"/>
  <c r="C28" i="4" a="1"/>
  <c r="I41" i="4" a="1"/>
  <c r="G57" i="4" a="1"/>
  <c r="M88" i="4" a="1"/>
  <c r="G107" i="4" a="1"/>
  <c r="M73" i="4" a="1"/>
  <c r="G103" i="4" a="1"/>
  <c r="K117" i="4" a="1"/>
  <c r="F93" i="4" a="1"/>
  <c r="J96" i="4" a="1"/>
  <c r="E81" i="4" a="1"/>
  <c r="L117" i="4" a="1"/>
  <c r="D75" i="4" a="1"/>
  <c r="J49" i="4" a="1"/>
  <c r="D91" i="4" a="1"/>
  <c r="H51" i="4" a="1"/>
  <c r="N100" i="4" a="1"/>
  <c r="G98" i="4" a="1"/>
  <c r="N55" i="4" a="1"/>
  <c r="H55" i="4" a="1"/>
  <c r="M46" i="4" a="1"/>
  <c r="G58" i="4" a="1"/>
  <c r="M26" i="4" a="1"/>
  <c r="E47" i="4" a="1"/>
  <c r="K63" i="4" a="1"/>
  <c r="E118" i="4" a="1"/>
  <c r="L53" i="4" a="1"/>
  <c r="E67" i="4" a="1"/>
  <c r="J108" i="4" a="1"/>
  <c r="D35" i="4" a="1"/>
  <c r="J31" i="4" a="1"/>
  <c r="N109" i="4" a="1"/>
  <c r="H109" i="4" a="1"/>
  <c r="N28" i="4" a="1"/>
  <c r="H50" i="4" a="1"/>
  <c r="M118" i="4" a="1"/>
  <c r="F82" i="4" a="1"/>
  <c r="L67" i="4" a="1"/>
  <c r="F65" i="4" a="1"/>
  <c r="K77" i="4" a="1"/>
  <c r="D47" i="4" a="1"/>
  <c r="I84" i="4" a="1"/>
  <c r="C93" i="4" a="1"/>
  <c r="I77" i="4" a="1"/>
  <c r="C27" i="4" a="1"/>
  <c r="I94" i="4" a="1"/>
  <c r="C91" i="4" a="1"/>
  <c r="I112" i="4" a="1"/>
  <c r="M42" i="4" a="1"/>
  <c r="G104" i="4" a="1"/>
  <c r="M48" i="4" a="1"/>
  <c r="K72" i="4" a="1"/>
  <c r="E101" i="4" a="1"/>
  <c r="M72" i="4" a="1"/>
  <c r="E74" i="4" a="1"/>
  <c r="J66" i="4" a="1"/>
  <c r="C38" i="4" a="1"/>
  <c r="I100" i="4" a="1"/>
  <c r="N122" i="4" a="1"/>
  <c r="K111" i="4" a="1"/>
  <c r="D25" i="4" a="1"/>
  <c r="I63" i="4" a="1"/>
  <c r="C33" i="4" a="1"/>
  <c r="I64" i="4" a="1"/>
  <c r="M32" i="4" a="1"/>
  <c r="G53" i="4" a="1"/>
  <c r="M38" i="4" a="1"/>
  <c r="G61" i="4" a="1"/>
  <c r="C62" i="4" a="1"/>
  <c r="H67" i="4" a="1"/>
  <c r="N37" i="4" a="1"/>
  <c r="H74" i="4" a="1"/>
  <c r="L58" i="4" a="1"/>
  <c r="F51" i="4" a="1"/>
  <c r="K113" i="4" a="1"/>
  <c r="E45" i="4" a="1"/>
  <c r="J37" i="4" a="1"/>
  <c r="D62" i="4" a="1"/>
  <c r="I33" i="4" a="1"/>
  <c r="C42" i="4" a="1"/>
  <c r="I99" i="4" a="1"/>
  <c r="N49" i="4" a="1"/>
  <c r="G54" i="4" a="1"/>
  <c r="M105" i="4" a="1"/>
  <c r="F118" i="4" a="1"/>
  <c r="N113" i="4" a="1"/>
  <c r="E71" i="4" a="1"/>
  <c r="K95" i="4" a="1"/>
  <c r="E64" i="4" a="1"/>
  <c r="I105" i="4" a="1"/>
  <c r="C31" i="4" a="1"/>
  <c r="N117" i="4" a="1"/>
  <c r="M89" i="4" a="1"/>
  <c r="G77" i="4" a="1"/>
  <c r="M55" i="4" a="1"/>
  <c r="G76" i="4" a="1"/>
  <c r="M65" i="4" a="1"/>
  <c r="E38" i="4" a="1"/>
  <c r="K107" i="4" a="1"/>
  <c r="D89" i="4" a="1"/>
  <c r="J63" i="4" a="1"/>
  <c r="I52" i="4" a="1"/>
  <c r="C80" i="4" a="1"/>
  <c r="H96" i="4" a="1"/>
  <c r="N30" i="4" a="1"/>
  <c r="H114" i="4" a="1"/>
  <c r="M36" i="4" a="1"/>
  <c r="F83" i="4" a="1"/>
  <c r="L70" i="4" a="1"/>
  <c r="F87" i="4" a="1"/>
  <c r="L44" i="4" a="1"/>
  <c r="E97" i="4" a="1"/>
  <c r="K39" i="4" a="1"/>
  <c r="E108" i="4" a="1"/>
  <c r="I117" i="4" a="1"/>
  <c r="C66" i="4" a="1"/>
  <c r="I95" i="4" a="1"/>
  <c r="C116" i="4" a="1"/>
  <c r="I27" i="4" a="1"/>
  <c r="C79" i="4" a="1"/>
  <c r="I29" i="4" a="1"/>
  <c r="N60" i="4" a="1"/>
  <c r="G106" i="4" a="1"/>
  <c r="L110" i="4" a="1"/>
  <c r="F105" i="4" a="1"/>
  <c r="L89" i="4" a="1"/>
  <c r="F45" i="4" a="1"/>
  <c r="L55" i="4" a="1"/>
  <c r="F73" i="4" a="1"/>
  <c r="L65" i="4" a="1"/>
  <c r="D111" i="4" a="1"/>
  <c r="J82" i="4" a="1"/>
  <c r="C84" i="4" a="1"/>
  <c r="I46" i="4" a="1"/>
  <c r="N90" i="4" a="1"/>
  <c r="G86" i="4" a="1"/>
  <c r="M77" i="4" a="1"/>
  <c r="G114" i="4" a="1"/>
  <c r="L74" i="4" a="1"/>
  <c r="F103" i="4" a="1"/>
  <c r="K94" i="4" a="1"/>
  <c r="E95" i="4" a="1"/>
  <c r="M56" i="4" a="1"/>
  <c r="E80" i="4" a="1"/>
  <c r="J121" i="4" a="1"/>
  <c r="D33" i="4" a="1"/>
  <c r="J120" i="4" a="1"/>
  <c r="C49" i="4" a="1"/>
  <c r="H105" i="4" a="1"/>
  <c r="N59" i="4" a="1"/>
  <c r="K122" i="4" a="1"/>
  <c r="D121" i="4" a="1"/>
  <c r="M100" i="4" a="1"/>
  <c r="G52" i="4" a="1"/>
  <c r="L46" i="4" a="1"/>
  <c r="F75" i="4" a="1"/>
  <c r="L26" i="4" a="1"/>
  <c r="D110" i="4" a="1"/>
  <c r="J116" i="4" a="1"/>
  <c r="D100" i="4" a="1"/>
  <c r="K51" i="4" a="1"/>
  <c r="E77" i="4" a="1"/>
  <c r="K104" i="4" a="1"/>
  <c r="E76" i="4" a="1"/>
  <c r="J89" i="4" a="1"/>
  <c r="C83" i="4" a="1"/>
  <c r="I31" i="4" a="1"/>
  <c r="N84" i="4" a="1"/>
  <c r="H122" i="4" a="1"/>
  <c r="D46" i="4" a="1"/>
  <c r="I35" i="4" a="1"/>
  <c r="C32" i="4" a="1"/>
  <c r="I111" i="4" a="1"/>
  <c r="N112" i="4" a="1"/>
  <c r="H112" i="4" a="1"/>
  <c r="M83" i="4" a="1"/>
  <c r="G95" i="4" a="1"/>
  <c r="L50" i="4" a="1"/>
  <c r="E75" i="4" a="1"/>
  <c r="K50" i="4" a="1"/>
  <c r="E36" i="4" a="1"/>
  <c r="K68" i="4" a="1"/>
  <c r="C92" i="4" a="1"/>
  <c r="I56" i="4" a="1"/>
  <c r="C44" i="4" a="1"/>
  <c r="G46" i="4" a="1"/>
  <c r="M61" i="4" a="1"/>
  <c r="G65" i="4" a="1"/>
  <c r="L86" i="4" a="1"/>
  <c r="F33" i="4" a="1"/>
  <c r="K40" i="4" a="1"/>
  <c r="D92" i="4" a="1"/>
  <c r="J75" i="4" a="1"/>
  <c r="C82" i="4" a="1"/>
  <c r="I24" i="4" a="1"/>
  <c r="N35" i="4" a="1"/>
  <c r="H63" i="4" a="1"/>
  <c r="N51" i="4" a="1"/>
  <c r="F42" i="4" a="1"/>
  <c r="L111" i="4" a="1"/>
  <c r="F115" i="4" a="1"/>
  <c r="M53" i="4" a="1"/>
  <c r="J33" i="4" a="1"/>
  <c r="D78" i="4" a="1"/>
  <c r="J106" i="4" a="1"/>
  <c r="D76" i="4" a="1"/>
  <c r="I93" i="4" a="1"/>
  <c r="N34" i="4" a="1"/>
  <c r="G72" i="4" a="1"/>
  <c r="M93" i="4" a="1"/>
  <c r="G113" i="4" a="1"/>
  <c r="M59" i="4" a="1"/>
  <c r="G26" i="4" a="1"/>
  <c r="M24" i="4" a="1"/>
  <c r="G119" i="4" a="1"/>
  <c r="K30" i="4" a="1"/>
  <c r="E104" i="4" a="1"/>
  <c r="J86" i="4" a="1"/>
  <c r="E41" i="4" a="1"/>
  <c r="K48" i="4" a="1"/>
  <c r="D27" i="4" a="1"/>
  <c r="J70" i="4" a="1"/>
  <c r="D102" i="4" a="1"/>
  <c r="H108" i="4" a="1"/>
  <c r="N31" i="4" a="1"/>
  <c r="H104" i="4" a="1"/>
  <c r="N82" i="4" a="1"/>
  <c r="H82" i="4" a="1"/>
  <c r="M116" i="4" a="1"/>
  <c r="G69" i="4" a="1"/>
  <c r="M71" i="4" a="1"/>
  <c r="E121" i="4" a="1"/>
  <c r="K35" i="4" a="1"/>
  <c r="E50" i="4" a="1"/>
  <c r="K103" i="4" a="1"/>
  <c r="D41" i="4" a="1"/>
  <c r="I107" i="4" a="1"/>
  <c r="C37" i="4" a="1"/>
  <c r="I109" i="4" a="1"/>
  <c r="M58" i="4" a="1"/>
  <c r="G105" i="4" a="1"/>
  <c r="L72" i="4" a="1"/>
  <c r="F89" i="4" a="1"/>
  <c r="M50" i="4" a="1"/>
  <c r="F25" i="4" a="1"/>
  <c r="L78" i="4" a="1"/>
  <c r="F79" i="4" a="1"/>
  <c r="K56" i="4" a="1"/>
  <c r="J68" i="4" a="1"/>
  <c r="N116" i="4" a="1"/>
  <c r="H116" i="4" a="1"/>
  <c r="N79" i="4" a="1"/>
  <c r="H65" i="4" a="1"/>
  <c r="M97" i="4" a="1"/>
  <c r="F36" i="4" a="1"/>
  <c r="K33" i="4" a="1"/>
  <c r="E120" i="4" a="1"/>
  <c r="M31" i="4" a="1"/>
  <c r="G67" i="4" a="1"/>
  <c r="L116" i="4" a="1"/>
  <c r="F27" i="4" a="1"/>
  <c r="L71" i="4" a="1"/>
  <c r="D60" i="4" a="1"/>
  <c r="J57" i="4" a="1"/>
  <c r="D31" i="4" a="1"/>
  <c r="J79" i="4" a="1"/>
  <c r="G117" i="4" a="1"/>
  <c r="K100" i="4" a="1"/>
  <c r="E94" i="4" a="1"/>
  <c r="J72" i="4" a="1"/>
  <c r="C99" i="4" a="1"/>
  <c r="I43" i="4" a="1"/>
  <c r="N98" i="4" a="1"/>
  <c r="H84" i="4" a="1"/>
  <c r="M122" i="4" a="1"/>
  <c r="G80" i="4" a="1"/>
  <c r="M68" i="4" a="1"/>
  <c r="F63" i="4" a="1"/>
  <c r="K75" i="4" a="1"/>
  <c r="E115" i="4" a="1"/>
  <c r="J78" i="4" a="1"/>
  <c r="D120" i="4" a="1"/>
  <c r="I68" i="4" a="1"/>
  <c r="N96" i="4" a="1"/>
  <c r="H75" i="4" a="1"/>
  <c r="N102" i="4" a="1"/>
  <c r="H91" i="4" a="1"/>
  <c r="L29" i="4" a="1"/>
  <c r="F106" i="4" a="1"/>
  <c r="L115" i="4" a="1"/>
  <c r="D45" i="4" a="1"/>
  <c r="J42" i="4" a="1"/>
  <c r="D24" i="4" a="1"/>
  <c r="J48" i="4" a="1"/>
  <c r="D85" i="4" a="1"/>
  <c r="H64" i="4" a="1"/>
  <c r="M60" i="4" a="1"/>
  <c r="G122" i="4" a="1"/>
  <c r="G45" i="4" a="1"/>
  <c r="L120" i="4" a="1"/>
  <c r="E86" i="4" a="1"/>
  <c r="K98" i="4" a="1"/>
  <c r="E114" i="4" a="1"/>
  <c r="K67" i="4" a="1"/>
  <c r="D106" i="4" a="1"/>
  <c r="I28" i="4" a="1"/>
  <c r="C88" i="4" a="1"/>
  <c r="I67" i="4" a="1"/>
  <c r="C73" i="4" a="1"/>
  <c r="H86" i="4" a="1"/>
  <c r="N42" i="4" a="1"/>
  <c r="H30" i="4" a="1"/>
  <c r="M91" i="4" a="1"/>
  <c r="F99" i="4" a="1"/>
  <c r="L105" i="4" a="1"/>
  <c r="F120" i="4" a="1"/>
  <c r="L61" i="4" a="1"/>
  <c r="F68" i="4" a="1"/>
  <c r="K93" i="4" a="1"/>
  <c r="E110" i="4" a="1"/>
  <c r="J44" i="4" a="1"/>
  <c r="C89" i="4" a="1"/>
  <c r="I88" i="4" a="1"/>
  <c r="C57" i="4" a="1"/>
  <c r="I96" i="4" a="1"/>
  <c r="C107" i="4" a="1"/>
  <c r="I85" i="4" a="1"/>
  <c r="C103" i="4" a="1"/>
  <c r="G38" i="4" a="1"/>
  <c r="L60" i="4" a="1"/>
  <c r="F34" i="4" a="1"/>
  <c r="K99" i="4" a="1"/>
  <c r="E78" i="4" a="1"/>
  <c r="J110" i="4" a="1"/>
  <c r="D97" i="4" a="1"/>
  <c r="J43" i="4" a="1"/>
  <c r="C112" i="4" a="1"/>
  <c r="I113" i="4" a="1"/>
  <c r="N87" i="4" a="1"/>
  <c r="H28" i="4" a="1"/>
  <c r="N101" i="4" a="1"/>
  <c r="H68" i="4" a="1"/>
  <c r="N74" i="4" a="1"/>
  <c r="G30" i="4" a="1"/>
  <c r="L76" i="4" a="1"/>
  <c r="F119" i="4" a="1"/>
  <c r="K37" i="4" a="1"/>
  <c r="D61" i="4" a="1"/>
  <c r="J36" i="4" a="1"/>
  <c r="C63" i="4" a="1"/>
  <c r="I102" i="4" a="1"/>
  <c r="C111" i="4" a="1"/>
  <c r="G47" i="4" a="1"/>
  <c r="M64" i="4" a="1"/>
  <c r="G118" i="4" a="1"/>
  <c r="N57" i="4" a="1"/>
  <c r="H57" i="4" a="1"/>
  <c r="N107" i="4" a="1"/>
  <c r="H79" i="4" a="1"/>
  <c r="N103" i="4" a="1"/>
  <c r="F91" i="4" a="1"/>
  <c r="L56" i="4" a="1"/>
  <c r="E122" i="4" a="1"/>
  <c r="M43" i="4" a="1"/>
  <c r="G78" i="4" a="1"/>
  <c r="L57" i="4" a="1"/>
  <c r="F96" i="4" a="1"/>
  <c r="L63" i="4" a="1"/>
  <c r="E56" i="4" a="1"/>
  <c r="J113" i="4" a="1"/>
  <c r="D43" i="4" a="1"/>
  <c r="J107" i="4" a="1"/>
  <c r="C52" i="4" a="1"/>
  <c r="H78" i="4" a="1"/>
  <c r="N58" i="4" a="1"/>
  <c r="H76" i="4" a="1"/>
  <c r="L69" i="4" a="1"/>
  <c r="F108" i="4" a="1"/>
  <c r="L112" i="4" a="1"/>
  <c r="F113" i="4" a="1"/>
  <c r="J58" i="4" a="1"/>
  <c r="D52" i="4" a="1"/>
  <c r="I32" i="4" a="1"/>
  <c r="C29" i="4" a="1"/>
  <c r="I47" i="4" a="1"/>
  <c r="N70" i="4" a="1"/>
  <c r="G66" i="4" a="1"/>
  <c r="M34" i="4" a="1"/>
  <c r="F50" i="4" a="1"/>
  <c r="K66" i="4" a="1"/>
  <c r="E63" i="4" a="1"/>
  <c r="K88" i="4" a="1"/>
  <c r="E111" i="4" a="1"/>
  <c r="I34" i="4" a="1"/>
  <c r="C43" i="4" a="1"/>
  <c r="I44" i="4" a="1"/>
  <c r="J35" i="4" a="1"/>
  <c r="N62" i="4" a="1"/>
  <c r="G40" i="4" a="1"/>
  <c r="M67" i="4" a="1"/>
  <c r="G85" i="4" a="1"/>
  <c r="K69" i="4" a="1"/>
  <c r="E105" i="4" a="1"/>
  <c r="J77" i="4" a="1"/>
  <c r="D98" i="4" a="1"/>
  <c r="J32" i="4" a="1"/>
  <c r="D90" i="4" a="1"/>
  <c r="J38" i="4" a="1"/>
  <c r="D94" i="4" a="1"/>
  <c r="J118" i="4" a="1"/>
  <c r="N92" i="4" a="1"/>
  <c r="H48" i="4" a="1"/>
  <c r="N44" i="4" a="1"/>
  <c r="H44" i="4" a="1"/>
  <c r="M39" i="4" a="1"/>
  <c r="G71" i="4" a="1"/>
  <c r="M40" i="4" a="1"/>
  <c r="G64" i="4" a="1"/>
  <c r="K45" i="4" a="1"/>
  <c r="E100" i="4" a="1"/>
  <c r="J117" i="4" a="1"/>
  <c r="E55" i="4" a="1"/>
  <c r="K115" i="4" a="1"/>
  <c r="D96" i="4" a="1"/>
  <c r="J105" i="4" a="1"/>
  <c r="D114" i="4" a="1"/>
  <c r="H110" i="4" a="1"/>
  <c r="N43" i="4" a="1"/>
  <c r="H100" i="4" a="1"/>
  <c r="M98" i="4" a="1"/>
  <c r="G68" i="4" a="1"/>
  <c r="L82" i="4" a="1"/>
  <c r="F24" i="4" a="1"/>
  <c r="L79" i="4" a="1"/>
  <c r="D51" i="4" a="1"/>
  <c r="J25" i="4" a="1"/>
  <c r="C98" i="4" a="1"/>
  <c r="I116" i="4" a="1"/>
  <c r="D55" i="4" a="1"/>
  <c r="I26" i="4" a="1"/>
  <c r="C58" i="4" a="1"/>
  <c r="I103" i="4" a="1"/>
  <c r="M69" i="4" a="1"/>
  <c r="G34" i="4" a="1"/>
  <c r="F98" i="4" a="1"/>
  <c r="E46" i="4" a="1"/>
  <c r="K105" i="4" a="1"/>
  <c r="E65" i="4" a="1"/>
  <c r="J53" i="4" a="1"/>
  <c r="D29" i="4" a="1"/>
  <c r="I48" i="4" a="1"/>
  <c r="N89" i="4" a="1"/>
  <c r="H54" i="4" a="1"/>
  <c r="D95" i="4" a="1"/>
  <c r="J91" i="4" a="1"/>
  <c r="C35" i="4" a="1"/>
  <c r="I114" i="4" a="1"/>
  <c r="C51" i="4" a="1"/>
  <c r="G121" i="4" a="1"/>
  <c r="M111" i="4" a="1"/>
  <c r="G50" i="4" a="1"/>
  <c r="C81" i="4" a="1"/>
  <c r="H113" i="4" a="1"/>
  <c r="N26" i="4" a="1"/>
  <c r="H107" i="4" a="1"/>
  <c r="N119" i="4" a="1"/>
  <c r="F102" i="4" a="1"/>
  <c r="L103" i="4" a="1"/>
  <c r="E84" i="4" a="1"/>
  <c r="K108" i="4" a="1"/>
  <c r="D116" i="4" a="1"/>
  <c r="I97" i="4" a="1"/>
  <c r="D65" i="4" a="1"/>
  <c r="I51" i="4" a="1"/>
  <c r="N106" i="4" a="1"/>
  <c r="H106" i="4" a="1"/>
  <c r="M99" i="4" a="1"/>
  <c r="G88" i="4" a="1"/>
  <c r="L28" i="4" a="1"/>
  <c r="E27" i="4" a="1"/>
  <c r="K28" i="4" a="1"/>
  <c r="E91" i="4" a="1"/>
  <c r="K62" i="4" a="1"/>
  <c r="C53" i="4" a="1"/>
  <c r="I118" i="4" a="1"/>
  <c r="C61" i="4" a="1"/>
  <c r="G116" i="4" a="1"/>
  <c r="M95" i="4" a="1"/>
  <c r="G79" i="4" a="1"/>
  <c r="M80" i="4" a="1"/>
  <c r="F32" i="4" a="1"/>
  <c r="K96" i="4" a="1"/>
  <c r="D53" i="4" a="1"/>
  <c r="J27" i="4" a="1"/>
  <c r="J97" i="4" a="1"/>
  <c r="C90" i="4" a="1"/>
  <c r="H77" i="4" a="1"/>
  <c r="N32" i="4" a="1"/>
  <c r="H58" i="4" a="1"/>
  <c r="M74" i="4" a="1"/>
  <c r="G48" i="4" a="1"/>
  <c r="L83" i="4" a="1"/>
  <c r="F31" i="4" a="1"/>
  <c r="L122" i="4" a="1"/>
  <c r="F81" i="4" a="1"/>
  <c r="L68" i="4" a="1"/>
  <c r="E30" i="4" a="1"/>
  <c r="K78" i="4" a="1"/>
  <c r="D38" i="4" a="1"/>
  <c r="I87" i="4" a="1"/>
  <c r="C59" i="4" a="1"/>
  <c r="I78" i="4" a="1"/>
  <c r="C24" i="4" a="1"/>
  <c r="H117" i="4" a="1"/>
  <c r="N29" i="4" a="1"/>
  <c r="H42" i="4" a="1"/>
  <c r="M102" i="4" a="1"/>
  <c r="F47" i="4" a="1"/>
  <c r="L34" i="4" a="1"/>
  <c r="F122" i="4" a="1"/>
  <c r="L95" i="4" a="1"/>
  <c r="F62" i="4" a="1"/>
  <c r="L80" i="4" a="1"/>
  <c r="E60" i="4" a="1"/>
  <c r="J61" i="4" a="1"/>
  <c r="C72" i="4" a="1"/>
  <c r="I59" i="4" a="1"/>
  <c r="N25" i="4" a="1"/>
  <c r="H25" i="4" a="1"/>
  <c r="M57" i="4" a="1"/>
  <c r="G33" i="4" a="1"/>
  <c r="M63" i="4" a="1"/>
  <c r="E109" i="4" a="1"/>
  <c r="K97" i="4" a="1"/>
  <c r="E28" i="4" a="1"/>
  <c r="K119" i="4" a="1"/>
  <c r="E90" i="4" a="1"/>
  <c r="J60" i="4" a="1"/>
  <c r="E53" i="4" a="1"/>
  <c r="J54" i="4" a="1"/>
  <c r="C106" i="4" a="1"/>
  <c r="I104" i="4" a="1"/>
  <c r="N120" i="4" a="1"/>
  <c r="H87" i="4" a="1"/>
  <c r="F40" i="4" a="1"/>
  <c r="D108" i="4" a="1"/>
  <c r="D104" i="4" a="1"/>
  <c r="K64" i="4" a="1"/>
  <c r="G99" i="4" a="1"/>
  <c r="N66" i="4" a="1"/>
  <c r="M112" i="4" a="1"/>
  <c r="G41" i="4" a="1"/>
  <c r="L39" i="4" a="1"/>
  <c r="F78" i="4" a="1"/>
  <c r="L40" i="4" a="1"/>
  <c r="F94" i="4" a="1"/>
  <c r="J59" i="4" a="1"/>
  <c r="D49" i="4" a="1"/>
  <c r="J80" i="4" a="1"/>
  <c r="E116" i="4" a="1"/>
  <c r="K34" i="4" a="1"/>
  <c r="E79" i="4" a="1"/>
  <c r="C113" i="4" a="1"/>
  <c r="E113" i="4" a="1"/>
  <c r="I115" i="4" a="1"/>
  <c r="N72" i="4" a="1"/>
  <c r="H66" i="4" a="1"/>
  <c r="D88" i="4" a="1"/>
  <c r="J102" i="4" a="1"/>
  <c r="C97" i="4" a="1"/>
  <c r="I30" i="4" a="1"/>
  <c r="C108" i="4" a="1"/>
  <c r="G109" i="4" a="1"/>
  <c r="M51" i="4" a="1"/>
  <c r="G28" i="4" a="1"/>
  <c r="L104" i="4" a="1"/>
  <c r="F44" i="4" a="1"/>
  <c r="K31" i="4" a="1"/>
  <c r="E37" i="4" a="1"/>
  <c r="K81" i="4" a="1"/>
  <c r="C47" i="4" a="1"/>
  <c r="I54" i="4" a="1"/>
  <c r="C118" i="4" a="1"/>
  <c r="H98" i="4" a="1"/>
  <c r="M84" i="4" a="1"/>
  <c r="G73" i="4" a="1"/>
  <c r="M62" i="4" a="1"/>
  <c r="F35" i="4" a="1"/>
  <c r="K27" i="4" a="1"/>
  <c r="E49" i="4" a="1"/>
  <c r="J90" i="4" a="1"/>
  <c r="D122" i="4" a="1"/>
  <c r="I62" i="4" a="1"/>
  <c r="N86" i="4" a="1"/>
  <c r="H27" i="4" a="1"/>
  <c r="N114" i="4" a="1"/>
  <c r="H102" i="4" a="1"/>
  <c r="M85" i="4" a="1"/>
  <c r="F38" i="4" a="1"/>
  <c r="L49" i="4" a="1"/>
  <c r="K47" i="4" a="1"/>
  <c r="E68" i="4" a="1"/>
  <c r="J64" i="4" a="1"/>
  <c r="D26" i="4" a="1"/>
  <c r="I53" i="4" a="1"/>
  <c r="N99" i="4" a="1"/>
  <c r="H99" i="4" a="1"/>
  <c r="M109" i="4" a="1"/>
  <c r="I55" i="4" a="1"/>
  <c r="N52" i="4" a="1"/>
  <c r="G75" i="4" a="1"/>
  <c r="M78" i="4" a="1"/>
  <c r="G36" i="4" a="1"/>
  <c r="L98" i="4" a="1"/>
  <c r="E34" i="4" a="1"/>
  <c r="J56" i="4" a="1"/>
  <c r="G56" i="4" a="1"/>
  <c r="K112" i="4" a="1"/>
  <c r="D101" i="4" a="1"/>
  <c r="J83" i="4" a="1"/>
  <c r="D37" i="4" a="1"/>
  <c r="J50" i="4" a="1"/>
  <c r="N53" i="4" a="1"/>
  <c r="H115" i="4" a="1"/>
  <c r="N61" i="4" a="1"/>
  <c r="H61" i="4" a="1"/>
  <c r="M45" i="4" a="1"/>
  <c r="G63" i="4" a="1"/>
  <c r="M75" i="4" a="1"/>
  <c r="G111" i="4" a="1"/>
  <c r="L85" i="4" a="1"/>
  <c r="E31" i="4" a="1"/>
  <c r="K85" i="4" a="1"/>
  <c r="C117" i="4" a="1"/>
  <c r="I86" i="4" a="1"/>
  <c r="C26" i="4" a="1"/>
  <c r="I36" i="4" a="1"/>
  <c r="C119" i="4" a="1"/>
  <c r="G83" i="4" a="1"/>
  <c r="M103" i="4" a="1"/>
  <c r="F92" i="4" a="1"/>
  <c r="M104" i="4" a="1"/>
  <c r="G62" i="4" a="1"/>
  <c r="L25" i="4" a="1"/>
  <c r="L107" i="4" a="1"/>
  <c r="J46" i="4" a="1"/>
  <c r="I57" i="4" a="1"/>
  <c r="K109" i="4" a="1"/>
  <c r="H120" i="4" a="1"/>
  <c r="H59" i="4" a="1"/>
  <c r="N24" i="4" a="1"/>
  <c r="H80" i="4" a="1"/>
  <c r="M86" i="4" a="1"/>
  <c r="G110" i="4" a="1"/>
  <c r="L102" i="4" a="1"/>
  <c r="E66" i="4" a="1"/>
  <c r="K102" i="4" a="1"/>
  <c r="G55" i="4" a="1"/>
  <c r="L45" i="4" a="1"/>
  <c r="F90" i="4" a="1"/>
  <c r="L75" i="4" a="1"/>
  <c r="F37" i="4" a="1"/>
  <c r="J39" i="4" a="1"/>
  <c r="D70" i="4" a="1"/>
  <c r="J73" i="4" a="1"/>
  <c r="E57" i="4" a="1"/>
  <c r="K92" i="4" a="1"/>
  <c r="E107" i="4" a="1"/>
  <c r="K44" i="4" a="1"/>
  <c r="E103" i="4" a="1"/>
  <c r="I49" i="4" a="1"/>
  <c r="C104" i="4" a="1"/>
  <c r="H89" i="4" a="1"/>
  <c r="M54" i="4" a="1"/>
  <c r="G90" i="4" a="1"/>
  <c r="M81" i="4" a="1"/>
  <c r="F86" i="4" a="1"/>
  <c r="L35" i="4" a="1"/>
  <c r="E112" i="4" a="1"/>
  <c r="K65" i="4" a="1"/>
  <c r="D54" i="4" a="1"/>
  <c r="J26" i="4" a="1"/>
  <c r="C67" i="4" a="1"/>
  <c r="H90" i="4" a="1"/>
  <c r="N69" i="4" a="1"/>
  <c r="H94" i="4" a="1"/>
  <c r="L33" i="4" a="1"/>
  <c r="F110" i="4" a="1"/>
  <c r="L106" i="4" a="1"/>
  <c r="F104" i="4" a="1"/>
  <c r="J69" i="4" a="1"/>
  <c r="D67" i="4" a="1"/>
  <c r="J112" i="4" a="1"/>
  <c r="D74" i="4" a="1"/>
  <c r="I121" i="4" a="1"/>
  <c r="N105" i="4" a="1"/>
  <c r="G89" i="4" a="1"/>
  <c r="M92" i="4" a="1"/>
  <c r="L43" i="4" a="1"/>
  <c r="F88" i="4" a="1"/>
  <c r="K116" i="4" a="1"/>
  <c r="E33" i="4" a="1"/>
  <c r="K82" i="4" a="1"/>
  <c r="D103" i="4" a="1"/>
  <c r="J81" i="4" a="1"/>
  <c r="C87" i="4" a="1"/>
  <c r="L93" i="4" a="1"/>
  <c r="C101" i="4" a="1"/>
  <c r="H56" i="4" a="1"/>
  <c r="C74" i="4" a="1"/>
  <c r="H69" i="4" a="1"/>
  <c r="M76" i="4" a="1"/>
  <c r="G115" i="4" a="1"/>
  <c r="L99" i="4" a="1"/>
  <c r="F43" i="4" a="1"/>
  <c r="L84" i="4" a="1"/>
  <c r="F41" i="4" a="1"/>
  <c r="L62" i="4" a="1"/>
  <c r="E42" i="4" a="1"/>
  <c r="K90" i="4" a="1"/>
  <c r="D83" i="4" a="1"/>
  <c r="I120" i="4" a="1"/>
  <c r="C39" i="4" a="1"/>
  <c r="I90" i="4" a="1"/>
  <c r="C40" i="4" a="1"/>
  <c r="I74" i="4" a="1"/>
  <c r="C85" i="4" a="1"/>
  <c r="H29" i="4" a="1"/>
  <c r="M114" i="4" a="1"/>
  <c r="F121" i="4" a="1"/>
  <c r="L92" i="4" a="1"/>
  <c r="E82" i="4" a="1"/>
  <c r="K49" i="4" a="1"/>
  <c r="D86" i="4" a="1"/>
  <c r="J34" i="4" a="1"/>
  <c r="D30" i="4" a="1"/>
  <c r="H60" i="4" a="1"/>
  <c r="N54" i="4" a="1"/>
  <c r="H31" i="4" a="1"/>
  <c r="N46" i="4" a="1"/>
  <c r="H46" i="4" a="1"/>
  <c r="N65" i="4" a="1"/>
  <c r="G32" i="4" a="1"/>
  <c r="M35" i="4" a="1"/>
  <c r="F85" i="4" a="1"/>
  <c r="L109" i="4" a="1"/>
  <c r="E87" i="4" a="1"/>
  <c r="M119" i="4" a="1"/>
  <c r="H43" i="4" a="1"/>
  <c r="J74" i="4" a="1"/>
  <c r="C96" i="4" a="1"/>
  <c r="I37" i="4" a="1"/>
  <c r="C102" i="4" a="1"/>
  <c r="I106" i="4" a="1"/>
  <c r="M29" i="4" a="1"/>
  <c r="G100" i="4" a="1"/>
  <c r="M115" i="4" a="1"/>
  <c r="H39" i="4" a="1"/>
  <c r="N40" i="4" a="1"/>
  <c r="H73" i="4" a="1"/>
  <c r="N85" i="4" a="1"/>
  <c r="G60" i="4" a="1"/>
  <c r="L114" i="4" a="1"/>
  <c r="E89" i="4" a="1"/>
  <c r="K114" i="4" a="1"/>
  <c r="G82" i="4" a="1"/>
  <c r="N56" i="4" a="1"/>
  <c r="F101" i="4" a="1"/>
  <c r="L27" i="4" a="1"/>
  <c r="F58" i="4" a="1"/>
  <c r="J45" i="4" a="1"/>
  <c r="D105" i="4" a="1"/>
  <c r="J24" i="4" a="1"/>
  <c r="C41" i="4" a="1"/>
  <c r="I80" i="4" a="1"/>
  <c r="N71" i="4" a="1"/>
  <c r="H26" i="4" a="1"/>
  <c r="N64" i="4" a="1"/>
  <c r="F114" i="4" a="1"/>
  <c r="L119" i="4" a="1"/>
  <c r="E117" i="4" a="1"/>
  <c r="K110" i="4" a="1"/>
  <c r="D57" i="4" a="1"/>
  <c r="J103" i="4" a="1"/>
  <c r="D79" i="4" a="1"/>
  <c r="I108" i="4" a="1"/>
  <c r="N38" i="4" a="1"/>
  <c r="H38" i="4" a="1"/>
  <c r="M47" i="4" a="1"/>
  <c r="G59" i="4" a="1"/>
  <c r="L87" i="4" a="1"/>
  <c r="E96" i="4" a="1"/>
  <c r="K87" i="4" a="1"/>
  <c r="E102" i="4" a="1"/>
  <c r="K52" i="4" a="1"/>
  <c r="D112" i="4" a="1"/>
  <c r="I50" i="4" a="1"/>
  <c r="C95" i="4" a="1"/>
  <c r="N81" i="4" a="1"/>
  <c r="H81" i="4" a="1"/>
  <c r="M82" i="4" a="1"/>
  <c r="G94" i="4" a="1"/>
  <c r="M79" i="4" a="1"/>
  <c r="E83" i="4" a="1"/>
  <c r="K26" i="4" a="1"/>
  <c r="D72" i="4" a="1"/>
  <c r="K38" i="4" a="1"/>
  <c r="E62" i="4" a="1"/>
  <c r="J111" i="4" a="1"/>
  <c r="D71" i="4" a="1"/>
  <c r="J104" i="4" a="1"/>
  <c r="N47" i="4" a="1"/>
  <c r="H47" i="4" a="1"/>
  <c r="N118" i="4" a="1"/>
  <c r="G93" i="4" a="1"/>
  <c r="N67" i="4" a="1"/>
  <c r="G27" i="4" a="1"/>
  <c r="M90" i="4" a="1"/>
  <c r="G91" i="4" a="1"/>
  <c r="K29" i="4" a="1"/>
  <c r="E92" i="4" a="1"/>
  <c r="K74" i="4" a="1"/>
  <c r="E44" i="4" a="1"/>
  <c r="K83" i="4" a="1"/>
  <c r="D77" i="4" a="1"/>
  <c r="J99" i="4" a="1"/>
  <c r="D58" i="4" a="1"/>
  <c r="J28" i="4" a="1"/>
  <c r="C48" i="4" a="1"/>
  <c r="H49" i="4" a="1"/>
  <c r="N95" i="4" a="1"/>
  <c r="F84" i="4" a="1"/>
  <c r="L88" i="4" a="1"/>
  <c r="F52" i="4" a="1"/>
  <c r="L73" i="4" a="1"/>
  <c r="F74" i="4" a="1"/>
  <c r="J95" i="4" a="1"/>
  <c r="D48" i="4" a="1"/>
  <c r="I39" i="4" a="1"/>
  <c r="D44" i="4" a="1"/>
  <c r="J85" i="4" a="1"/>
  <c r="C71" i="4" a="1"/>
  <c r="I91" i="4" a="1"/>
  <c r="C64" i="4" a="1"/>
  <c r="F53" i="4" a="1"/>
  <c r="C56" i="4" a="1"/>
  <c r="E73" i="4" a="1"/>
  <c r="J109" i="4" a="1"/>
  <c r="D32" i="4" a="1"/>
  <c r="J122" i="4" a="1"/>
  <c r="C70" i="4" a="1"/>
  <c r="H34" i="4" a="1"/>
  <c r="N39" i="4" a="1"/>
  <c r="J76" i="4" a="1"/>
  <c r="C86" i="4" a="1"/>
  <c r="I58" i="4" a="1"/>
  <c r="C114" i="4" a="1"/>
  <c r="I38" i="4" a="1"/>
  <c r="N48" i="4" a="1"/>
  <c r="G31" i="4" a="1"/>
  <c r="M49" i="4" a="1"/>
  <c r="H45" i="4" a="1"/>
  <c r="N75" i="4" a="1"/>
  <c r="H24" i="4" a="1"/>
  <c r="N36" i="4" a="1"/>
  <c r="H85" i="4" a="1"/>
  <c r="L30" i="4" a="1"/>
  <c r="E93" i="4" a="1"/>
  <c r="K42" i="4" a="1"/>
  <c r="D59" i="4" a="1"/>
  <c r="J114" i="4" a="1"/>
  <c r="D80" i="4" a="1"/>
  <c r="I42" i="4" a="1"/>
  <c r="C110" i="4" a="1"/>
  <c r="H103" i="4" a="1"/>
  <c r="M108" i="4" a="1"/>
  <c r="G87" i="4" a="1"/>
  <c r="L100" i="4" a="1"/>
  <c r="F61" i="4" a="1"/>
  <c r="K43" i="4" a="1"/>
  <c r="E58" i="4" a="1"/>
  <c r="K41" i="4" a="1"/>
  <c r="C121" i="4" a="1"/>
  <c r="I66" i="4" a="1"/>
  <c r="C50" i="4" a="1"/>
  <c r="I81" i="4" a="1"/>
  <c r="N68" i="4" a="1"/>
  <c r="G24" i="4" a="1"/>
  <c r="M52" i="4" a="1"/>
  <c r="F97" i="4" a="1"/>
  <c r="K86" i="4" a="1"/>
  <c r="E70" i="4" a="1"/>
  <c r="J101" i="4" a="1"/>
  <c r="D84" i="4" a="1"/>
  <c r="C25" i="4" a="1"/>
  <c r="I40" i="4" a="1"/>
  <c r="N97" i="4" a="1"/>
  <c r="H35" i="4" a="1"/>
  <c r="N108" i="4" a="1"/>
  <c r="F29" i="4" a="1"/>
  <c r="L51" i="4" a="1"/>
  <c r="F49" i="4" a="1"/>
  <c r="L54" i="4" a="1"/>
  <c r="F59" i="4" a="1"/>
  <c r="L81" i="4" a="1"/>
  <c r="E32" i="4" a="1"/>
  <c r="K25" i="4" a="1"/>
  <c r="D119" i="4" a="1"/>
  <c r="J41" i="4" a="1"/>
  <c r="C120" i="4" a="1"/>
  <c r="I82" i="4" a="1"/>
  <c r="C77" i="4" a="1"/>
  <c r="I65" i="4" a="1"/>
  <c r="C76" i="4" a="1"/>
  <c r="H33" i="4" a="1"/>
  <c r="M94" i="4" a="1"/>
  <c r="G49" i="4" a="1"/>
  <c r="L47" i="4" a="1"/>
  <c r="F54" i="4" a="1"/>
  <c r="M117" i="4" a="1"/>
  <c r="F55" i="4" a="1"/>
  <c r="L52" i="4" a="1"/>
  <c r="E29" i="4" a="1"/>
  <c r="K101" i="4" a="1"/>
  <c r="D99" i="4" a="1"/>
  <c r="I122" i="4" a="1"/>
  <c r="C45" i="4" a="1"/>
  <c r="H95" i="4" a="1"/>
  <c r="N80" i="4" a="1"/>
  <c r="G35" i="4" a="1"/>
  <c r="M27" i="4" a="1"/>
  <c r="G51" i="4" a="1"/>
  <c r="L36" i="4" a="1"/>
  <c r="E43" i="4" a="1"/>
  <c r="K36" i="4" a="1"/>
  <c r="E25" i="4" a="1"/>
  <c r="K70" i="4" a="1"/>
  <c r="D117" i="4" a="1"/>
  <c r="J92" i="4" a="1"/>
  <c r="D42" i="4" a="1"/>
  <c r="I98" i="4" a="1"/>
  <c r="M28" i="4" a="1"/>
  <c r="F46" i="4" a="1"/>
  <c r="L90" i="4" a="1"/>
  <c r="F107" i="4" a="1"/>
  <c r="J93" i="4" a="1"/>
  <c r="D109" i="4" a="1"/>
  <c r="J62" i="4" a="1"/>
  <c r="D50" i="4" a="1"/>
  <c r="K120" i="4" a="1"/>
  <c r="E24" i="4" a="1"/>
  <c r="M113" i="4" a="1"/>
  <c r="E98" i="4" a="1"/>
  <c r="J84" i="4" a="1"/>
  <c r="C105" i="4" a="1"/>
  <c r="H92" i="4" a="1"/>
  <c r="N45" i="4" a="1"/>
  <c r="J94" i="4" a="1"/>
  <c r="D68" i="4" a="1"/>
  <c r="I69" i="4" a="1"/>
  <c r="C30" i="4" a="1"/>
  <c r="I83" i="4" a="1"/>
  <c r="N115" i="4" a="1"/>
  <c r="G43" i="4" a="1"/>
  <c r="M70" i="4" a="1"/>
  <c r="F117" i="4" a="1"/>
  <c r="K53" i="4" a="1"/>
  <c r="E26" i="4" a="1"/>
  <c r="K61" i="4" a="1"/>
  <c r="E119" i="4" a="1"/>
  <c r="I70" i="4" a="1"/>
  <c r="C100" i="4" a="1"/>
  <c r="H72" i="4" a="1"/>
  <c r="M66" i="4" a="1"/>
  <c r="G101" i="4" a="1"/>
  <c r="M41" i="4" a="1"/>
  <c r="G74" i="4" a="1"/>
  <c r="L97" i="4" a="1"/>
  <c r="E106" i="4" a="1"/>
  <c r="K79" i="4" a="1"/>
  <c r="D66" i="4" a="1"/>
  <c r="J71" i="4" a="1"/>
  <c r="C78" i="4" a="1"/>
  <c r="H101" i="4" a="1"/>
  <c r="N33" i="4" a="1"/>
  <c r="H37" i="4" a="1"/>
  <c r="L32" i="4" a="1"/>
  <c r="F60" i="4" a="1"/>
  <c r="L38" i="4" a="1"/>
  <c r="F100" i="4" a="1"/>
  <c r="D93" i="4" a="1"/>
  <c r="J29" i="4" a="1"/>
  <c r="D40" i="4" a="1"/>
  <c r="J115" i="4" a="1"/>
  <c r="D36" i="4" a="1"/>
  <c r="H111" i="4" a="1"/>
  <c r="N104" i="4" a="1"/>
  <c r="G84" i="4" a="1"/>
  <c r="N41" i="4" a="1"/>
  <c r="H41" i="4" a="1"/>
  <c r="M25" i="4" a="1"/>
  <c r="G37" i="4" a="1"/>
  <c r="M107" i="4" a="1"/>
  <c r="E99" i="4" a="1"/>
  <c r="K71" i="4" a="1"/>
  <c r="F56" i="4" a="1"/>
  <c r="K106" i="4" a="1"/>
  <c r="E52" i="4" a="1"/>
  <c r="J51" i="4" a="1"/>
  <c r="D63" i="4" a="1"/>
  <c r="J100" i="4" a="1"/>
  <c r="N121" i="4" a="1"/>
  <c r="H121" i="4" a="1"/>
  <c r="N50" i="4" a="1"/>
  <c r="H118" i="4" a="1"/>
  <c r="N78" i="4" a="1"/>
  <c r="G96" i="4" a="1"/>
  <c r="M101" i="4" a="1"/>
  <c r="G102" i="4" a="1"/>
  <c r="K57" i="4" a="1"/>
  <c r="E72" i="4" a="1"/>
  <c r="K76" i="4" a="1"/>
  <c r="E61" i="4" a="1"/>
  <c r="I101" i="4" a="1"/>
  <c r="C75" i="4" a="1"/>
  <c r="I76" i="4" a="1"/>
  <c r="C36" i="4" a="1"/>
  <c r="I72" i="4" a="1"/>
  <c r="M30" i="4" a="1"/>
  <c r="F109" i="4" a="1"/>
  <c r="L113" i="4" a="1"/>
  <c r="G81" i="4" a="1"/>
  <c r="L59" i="4" a="1"/>
  <c r="F67" i="4" a="1"/>
  <c r="L24" i="4" a="1"/>
  <c r="F76" i="4" a="1"/>
  <c r="J88" i="4" a="1"/>
  <c r="D115" i="4" a="1"/>
  <c r="I45" i="4" a="1"/>
  <c r="J65" i="4" a="1"/>
  <c r="H88" i="4" a="1"/>
  <c r="M96" i="4" a="1"/>
  <c r="L91" i="4" a="1"/>
  <c r="K91" i="4" a="1"/>
  <c r="K54" i="4" a="1"/>
  <c r="D118" i="4" a="1"/>
  <c r="N117" i="4" l="1"/>
  <c r="M117" i="4"/>
  <c r="P117" i="4" s="1"/>
  <c r="L117" i="4"/>
  <c r="K117" i="4"/>
  <c r="J117" i="4"/>
  <c r="I117" i="4"/>
  <c r="H117" i="4"/>
  <c r="G117" i="4"/>
  <c r="F117" i="4"/>
  <c r="E117" i="4"/>
  <c r="D117" i="4"/>
  <c r="C117" i="4"/>
  <c r="N56" i="4"/>
  <c r="M56" i="4"/>
  <c r="P56" i="4" s="1"/>
  <c r="L56" i="4"/>
  <c r="K56" i="4"/>
  <c r="J56" i="4"/>
  <c r="I56" i="4"/>
  <c r="H56" i="4"/>
  <c r="G56" i="4"/>
  <c r="F56" i="4"/>
  <c r="E56" i="4"/>
  <c r="D56" i="4"/>
  <c r="C56" i="4"/>
  <c r="N113" i="4"/>
  <c r="M113" i="4"/>
  <c r="P113" i="4" s="1"/>
  <c r="L113" i="4"/>
  <c r="K113" i="4"/>
  <c r="J113" i="4"/>
  <c r="I113" i="4"/>
  <c r="H113" i="4"/>
  <c r="G113" i="4"/>
  <c r="F113" i="4"/>
  <c r="E113" i="4"/>
  <c r="D113" i="4"/>
  <c r="C113" i="4"/>
  <c r="N93" i="4"/>
  <c r="M93" i="4"/>
  <c r="P93" i="4" s="1"/>
  <c r="L93" i="4"/>
  <c r="K93" i="4"/>
  <c r="J93" i="4"/>
  <c r="I93" i="4"/>
  <c r="H93" i="4"/>
  <c r="G93" i="4"/>
  <c r="F93" i="4"/>
  <c r="E93" i="4"/>
  <c r="D93" i="4"/>
  <c r="C93" i="4"/>
  <c r="N98" i="4"/>
  <c r="M98" i="4"/>
  <c r="P98" i="4" s="1"/>
  <c r="L98" i="4"/>
  <c r="K98" i="4"/>
  <c r="J98" i="4"/>
  <c r="I98" i="4"/>
  <c r="H98" i="4"/>
  <c r="G98" i="4"/>
  <c r="F98" i="4"/>
  <c r="E98" i="4"/>
  <c r="D98" i="4"/>
  <c r="C98" i="4"/>
  <c r="N72" i="4"/>
  <c r="M72" i="4"/>
  <c r="P72" i="4" s="1"/>
  <c r="L72" i="4"/>
  <c r="K72" i="4"/>
  <c r="J72" i="4"/>
  <c r="I72" i="4"/>
  <c r="H72" i="4"/>
  <c r="G72" i="4"/>
  <c r="F72" i="4"/>
  <c r="E72" i="4"/>
  <c r="D72" i="4"/>
  <c r="C72" i="4"/>
  <c r="N53" i="4"/>
  <c r="M53" i="4"/>
  <c r="P53" i="4" s="1"/>
  <c r="L53" i="4"/>
  <c r="K53" i="4"/>
  <c r="J53" i="4"/>
  <c r="I53" i="4"/>
  <c r="H53" i="4"/>
  <c r="G53" i="4"/>
  <c r="F53" i="4"/>
  <c r="E53" i="4"/>
  <c r="D53" i="4"/>
  <c r="C53" i="4"/>
  <c r="N109" i="4"/>
  <c r="M109" i="4"/>
  <c r="P109" i="4" s="1"/>
  <c r="L109" i="4"/>
  <c r="K109" i="4"/>
  <c r="J109" i="4"/>
  <c r="I109" i="4"/>
  <c r="H109" i="4"/>
  <c r="G109" i="4"/>
  <c r="F109" i="4"/>
  <c r="E109" i="4"/>
  <c r="D109" i="4"/>
  <c r="C109" i="4"/>
  <c r="N60" i="4"/>
  <c r="M60" i="4"/>
  <c r="P60" i="4" s="1"/>
  <c r="L60" i="4"/>
  <c r="K60" i="4"/>
  <c r="J60" i="4"/>
  <c r="I60" i="4"/>
  <c r="H60" i="4"/>
  <c r="G60" i="4"/>
  <c r="F60" i="4"/>
  <c r="E60" i="4"/>
  <c r="D60" i="4"/>
  <c r="C60" i="4"/>
  <c r="N29" i="4"/>
  <c r="M29" i="4"/>
  <c r="P29" i="4" s="1"/>
  <c r="L29" i="4"/>
  <c r="K29" i="4"/>
  <c r="J29" i="4"/>
  <c r="I29" i="4"/>
  <c r="H29" i="4"/>
  <c r="G29" i="4"/>
  <c r="F29" i="4"/>
  <c r="E29" i="4"/>
  <c r="D29" i="4"/>
  <c r="C29" i="4"/>
  <c r="N32" i="4"/>
  <c r="M32" i="4"/>
  <c r="P32" i="4" s="1"/>
  <c r="L32" i="4"/>
  <c r="K32" i="4"/>
  <c r="J32" i="4"/>
  <c r="I32" i="4"/>
  <c r="H32" i="4"/>
  <c r="G32" i="4"/>
  <c r="F32" i="4"/>
  <c r="E32" i="4"/>
  <c r="D32" i="4"/>
  <c r="C32" i="4"/>
  <c r="N97" i="4"/>
  <c r="M97" i="4"/>
  <c r="P97" i="4" s="1"/>
  <c r="L97" i="4"/>
  <c r="K97" i="4"/>
  <c r="J97" i="4"/>
  <c r="I97" i="4"/>
  <c r="H97" i="4"/>
  <c r="G97" i="4"/>
  <c r="F97" i="4"/>
  <c r="E97" i="4"/>
  <c r="D97" i="4"/>
  <c r="C97" i="4"/>
  <c r="N86" i="4"/>
  <c r="M86" i="4"/>
  <c r="P86" i="4" s="1"/>
  <c r="L86" i="4"/>
  <c r="K86" i="4"/>
  <c r="J86" i="4"/>
  <c r="I86" i="4"/>
  <c r="H86" i="4"/>
  <c r="G86" i="4"/>
  <c r="F86" i="4"/>
  <c r="E86" i="4"/>
  <c r="D86" i="4"/>
  <c r="C86" i="4"/>
  <c r="N77" i="4"/>
  <c r="M77" i="4"/>
  <c r="P77" i="4" s="1"/>
  <c r="L77" i="4"/>
  <c r="K77" i="4"/>
  <c r="J77" i="4"/>
  <c r="I77" i="4"/>
  <c r="H77" i="4"/>
  <c r="G77" i="4"/>
  <c r="F77" i="4"/>
  <c r="E77" i="4"/>
  <c r="D77" i="4"/>
  <c r="C77" i="4"/>
  <c r="N57" i="4"/>
  <c r="M57" i="4"/>
  <c r="P57" i="4" s="1"/>
  <c r="L57" i="4"/>
  <c r="K57" i="4"/>
  <c r="J57" i="4"/>
  <c r="I57" i="4"/>
  <c r="H57" i="4"/>
  <c r="G57" i="4"/>
  <c r="F57" i="4"/>
  <c r="E57" i="4"/>
  <c r="D57" i="4"/>
  <c r="C57" i="4"/>
  <c r="N45" i="4"/>
  <c r="M45" i="4"/>
  <c r="P45" i="4" s="1"/>
  <c r="L45" i="4"/>
  <c r="K45" i="4"/>
  <c r="J45" i="4"/>
  <c r="I45" i="4"/>
  <c r="H45" i="4"/>
  <c r="G45" i="4"/>
  <c r="F45" i="4"/>
  <c r="E45" i="4"/>
  <c r="D45" i="4"/>
  <c r="C45" i="4"/>
  <c r="N84" i="4"/>
  <c r="M84" i="4"/>
  <c r="P84" i="4" s="1"/>
  <c r="L84" i="4"/>
  <c r="K84" i="4"/>
  <c r="J84" i="4"/>
  <c r="I84" i="4"/>
  <c r="H84" i="4"/>
  <c r="G84" i="4"/>
  <c r="F84" i="4"/>
  <c r="E84" i="4"/>
  <c r="D84" i="4"/>
  <c r="C84" i="4"/>
  <c r="N89" i="4"/>
  <c r="M89" i="4"/>
  <c r="P89" i="4" s="1"/>
  <c r="L89" i="4"/>
  <c r="K89" i="4"/>
  <c r="J89" i="4"/>
  <c r="I89" i="4"/>
  <c r="H89" i="4"/>
  <c r="G89" i="4"/>
  <c r="F89" i="4"/>
  <c r="E89" i="4"/>
  <c r="D89" i="4"/>
  <c r="C89" i="4"/>
  <c r="N92" i="4"/>
  <c r="M92" i="4"/>
  <c r="P92" i="4" s="1"/>
  <c r="L92" i="4"/>
  <c r="K92" i="4"/>
  <c r="J92" i="4"/>
  <c r="I92" i="4"/>
  <c r="H92" i="4"/>
  <c r="G92" i="4"/>
  <c r="F92" i="4"/>
  <c r="E92" i="4"/>
  <c r="D92" i="4"/>
  <c r="C92" i="4"/>
  <c r="N121" i="4"/>
  <c r="M121" i="4"/>
  <c r="P121" i="4" s="1"/>
  <c r="L121" i="4"/>
  <c r="K121" i="4"/>
  <c r="J121" i="4"/>
  <c r="I121" i="4"/>
  <c r="H121" i="4"/>
  <c r="G121" i="4"/>
  <c r="F121" i="4"/>
  <c r="E121" i="4"/>
  <c r="D121" i="4"/>
  <c r="C121" i="4"/>
  <c r="N110" i="4"/>
  <c r="M110" i="4"/>
  <c r="P110" i="4" s="1"/>
  <c r="L110" i="4"/>
  <c r="K110" i="4"/>
  <c r="J110" i="4"/>
  <c r="I110" i="4"/>
  <c r="H110" i="4"/>
  <c r="G110" i="4"/>
  <c r="F110" i="4"/>
  <c r="E110" i="4"/>
  <c r="D110" i="4"/>
  <c r="C110" i="4"/>
  <c r="N42" i="4"/>
  <c r="M42" i="4"/>
  <c r="P42" i="4" s="1"/>
  <c r="L42" i="4"/>
  <c r="K42" i="4"/>
  <c r="J42" i="4"/>
  <c r="I42" i="4"/>
  <c r="H42" i="4"/>
  <c r="G42" i="4"/>
  <c r="F42" i="4"/>
  <c r="E42" i="4"/>
  <c r="D42" i="4"/>
  <c r="C42" i="4"/>
  <c r="N33" i="4"/>
  <c r="M33" i="4"/>
  <c r="P33" i="4" s="1"/>
  <c r="L33" i="4"/>
  <c r="K33" i="4"/>
  <c r="J33" i="4"/>
  <c r="I33" i="4"/>
  <c r="H33" i="4"/>
  <c r="G33" i="4"/>
  <c r="F33" i="4"/>
  <c r="E33" i="4"/>
  <c r="D33" i="4"/>
  <c r="C33" i="4"/>
  <c r="N35" i="4"/>
  <c r="M35" i="4"/>
  <c r="P35" i="4" s="1"/>
  <c r="L35" i="4"/>
  <c r="K35" i="4"/>
  <c r="J35" i="4"/>
  <c r="I35" i="4"/>
  <c r="H35" i="4"/>
  <c r="G35" i="4"/>
  <c r="F35" i="4"/>
  <c r="E35" i="4"/>
  <c r="D35" i="4"/>
  <c r="C35" i="4"/>
  <c r="N96" i="4"/>
  <c r="M96" i="4"/>
  <c r="P96" i="4" s="1"/>
  <c r="L96" i="4"/>
  <c r="K96" i="4"/>
  <c r="J96" i="4"/>
  <c r="I96" i="4"/>
  <c r="H96" i="4"/>
  <c r="G96" i="4"/>
  <c r="F96" i="4"/>
  <c r="E96" i="4"/>
  <c r="D96" i="4"/>
  <c r="C96" i="4"/>
  <c r="N101" i="4"/>
  <c r="M101" i="4"/>
  <c r="P101" i="4" s="1"/>
  <c r="L101" i="4"/>
  <c r="K101" i="4"/>
  <c r="J101" i="4"/>
  <c r="I101" i="4"/>
  <c r="H101" i="4"/>
  <c r="G101" i="4"/>
  <c r="F101" i="4"/>
  <c r="E101" i="4"/>
  <c r="D101" i="4"/>
  <c r="C101" i="4"/>
  <c r="N116" i="4"/>
  <c r="M116" i="4"/>
  <c r="P116" i="4" s="1"/>
  <c r="L116" i="4"/>
  <c r="K116" i="4"/>
  <c r="J116" i="4"/>
  <c r="I116" i="4"/>
  <c r="H116" i="4"/>
  <c r="G116" i="4"/>
  <c r="F116" i="4"/>
  <c r="E116" i="4"/>
  <c r="D116" i="4"/>
  <c r="C116" i="4"/>
  <c r="N39" i="4"/>
  <c r="M39" i="4"/>
  <c r="P39" i="4" s="1"/>
  <c r="L39" i="4"/>
  <c r="K39" i="4"/>
  <c r="J39" i="4"/>
  <c r="I39" i="4"/>
  <c r="H39" i="4"/>
  <c r="G39" i="4"/>
  <c r="F39" i="4"/>
  <c r="E39" i="4"/>
  <c r="D39" i="4"/>
  <c r="C39" i="4"/>
  <c r="N122" i="4"/>
  <c r="M122" i="4"/>
  <c r="P122" i="4" s="1"/>
  <c r="L122" i="4"/>
  <c r="K122" i="4"/>
  <c r="J122" i="4"/>
  <c r="I122" i="4"/>
  <c r="H122" i="4"/>
  <c r="G122" i="4"/>
  <c r="F122" i="4"/>
  <c r="E122" i="4"/>
  <c r="D122" i="4"/>
  <c r="C122" i="4"/>
  <c r="N66" i="4"/>
  <c r="M66" i="4"/>
  <c r="P66" i="4" s="1"/>
  <c r="L66" i="4"/>
  <c r="K66" i="4"/>
  <c r="J66" i="4"/>
  <c r="I66" i="4"/>
  <c r="H66" i="4"/>
  <c r="G66" i="4"/>
  <c r="F66" i="4"/>
  <c r="E66" i="4"/>
  <c r="D66" i="4"/>
  <c r="C66" i="4"/>
  <c r="N34" i="4"/>
  <c r="M34" i="4"/>
  <c r="P34" i="4" s="1"/>
  <c r="L34" i="4"/>
  <c r="K34" i="4"/>
  <c r="J34" i="4"/>
  <c r="I34" i="4"/>
  <c r="H34" i="4"/>
  <c r="G34" i="4"/>
  <c r="F34" i="4"/>
  <c r="E34" i="4"/>
  <c r="D34" i="4"/>
  <c r="C34" i="4"/>
  <c r="N47" i="4"/>
  <c r="M47" i="4"/>
  <c r="P47" i="4" s="1"/>
  <c r="L47" i="4"/>
  <c r="K47" i="4"/>
  <c r="J47" i="4"/>
  <c r="I47" i="4"/>
  <c r="H47" i="4"/>
  <c r="G47" i="4"/>
  <c r="F47" i="4"/>
  <c r="E47" i="4"/>
  <c r="D47" i="4"/>
  <c r="C47" i="4"/>
  <c r="N108" i="4"/>
  <c r="M108" i="4"/>
  <c r="P108" i="4" s="1"/>
  <c r="L108" i="4"/>
  <c r="K108" i="4"/>
  <c r="J108" i="4"/>
  <c r="I108" i="4"/>
  <c r="H108" i="4"/>
  <c r="G108" i="4"/>
  <c r="F108" i="4"/>
  <c r="E108" i="4"/>
  <c r="D108" i="4"/>
  <c r="C108" i="4"/>
  <c r="N30" i="4"/>
  <c r="M30" i="4"/>
  <c r="P30" i="4" s="1"/>
  <c r="L30" i="4"/>
  <c r="K30" i="4"/>
  <c r="J30" i="4"/>
  <c r="I30" i="4"/>
  <c r="H30" i="4"/>
  <c r="G30" i="4"/>
  <c r="F30" i="4"/>
  <c r="E30" i="4"/>
  <c r="D30" i="4"/>
  <c r="C30" i="4"/>
  <c r="N69" i="4"/>
  <c r="M69" i="4"/>
  <c r="P69" i="4" s="1"/>
  <c r="L69" i="4"/>
  <c r="K69" i="4"/>
  <c r="J69" i="4"/>
  <c r="I69" i="4"/>
  <c r="H69" i="4"/>
  <c r="G69" i="4"/>
  <c r="F69" i="4"/>
  <c r="E69" i="4"/>
  <c r="D69" i="4"/>
  <c r="C69" i="4"/>
  <c r="N63" i="4"/>
  <c r="M63" i="4"/>
  <c r="P63" i="4" s="1"/>
  <c r="L63" i="4"/>
  <c r="K63" i="4"/>
  <c r="J63" i="4"/>
  <c r="I63" i="4"/>
  <c r="H63" i="4"/>
  <c r="G63" i="4"/>
  <c r="F63" i="4"/>
  <c r="E63" i="4"/>
  <c r="D63" i="4"/>
  <c r="C63" i="4"/>
  <c r="N27" i="4"/>
  <c r="M27" i="4"/>
  <c r="P27" i="4" s="1"/>
  <c r="L27" i="4"/>
  <c r="K27" i="4"/>
  <c r="J27" i="4"/>
  <c r="I27" i="4"/>
  <c r="H27" i="4"/>
  <c r="G27" i="4"/>
  <c r="F27" i="4"/>
  <c r="E27" i="4"/>
  <c r="D27" i="4"/>
  <c r="C27" i="4"/>
  <c r="N90" i="4"/>
  <c r="M90" i="4"/>
  <c r="P90" i="4" s="1"/>
  <c r="L90" i="4"/>
  <c r="K90" i="4"/>
  <c r="J90" i="4"/>
  <c r="I90" i="4"/>
  <c r="H90" i="4"/>
  <c r="G90" i="4"/>
  <c r="F90" i="4"/>
  <c r="E90" i="4"/>
  <c r="D90" i="4"/>
  <c r="C90" i="4"/>
  <c r="N46" i="4"/>
  <c r="M46" i="4"/>
  <c r="P46" i="4" s="1"/>
  <c r="L46" i="4"/>
  <c r="K46" i="4"/>
  <c r="J46" i="4"/>
  <c r="I46" i="4"/>
  <c r="H46" i="4"/>
  <c r="G46" i="4"/>
  <c r="F46" i="4"/>
  <c r="E46" i="4"/>
  <c r="D46" i="4"/>
  <c r="C46" i="4"/>
  <c r="N59" i="4"/>
  <c r="M59" i="4"/>
  <c r="P59" i="4" s="1"/>
  <c r="L59" i="4"/>
  <c r="K59" i="4"/>
  <c r="J59" i="4"/>
  <c r="I59" i="4"/>
  <c r="H59" i="4"/>
  <c r="G59" i="4"/>
  <c r="F59" i="4"/>
  <c r="E59" i="4"/>
  <c r="D59" i="4"/>
  <c r="C59" i="4"/>
  <c r="N120" i="4"/>
  <c r="M120" i="4"/>
  <c r="P120" i="4" s="1"/>
  <c r="L120" i="4"/>
  <c r="K120" i="4"/>
  <c r="J120" i="4"/>
  <c r="I120" i="4"/>
  <c r="H120" i="4"/>
  <c r="G120" i="4"/>
  <c r="F120" i="4"/>
  <c r="E120" i="4"/>
  <c r="D120" i="4"/>
  <c r="C120" i="4"/>
  <c r="N54" i="4"/>
  <c r="M54" i="4"/>
  <c r="P54" i="4" s="1"/>
  <c r="L54" i="4"/>
  <c r="K54" i="4"/>
  <c r="J54" i="4"/>
  <c r="I54" i="4"/>
  <c r="H54" i="4"/>
  <c r="G54" i="4"/>
  <c r="F54" i="4"/>
  <c r="E54" i="4"/>
  <c r="D54" i="4"/>
  <c r="C54" i="4"/>
  <c r="N105" i="4"/>
  <c r="M105" i="4"/>
  <c r="P105" i="4" s="1"/>
  <c r="L105" i="4"/>
  <c r="K105" i="4"/>
  <c r="J105" i="4"/>
  <c r="I105" i="4"/>
  <c r="H105" i="4"/>
  <c r="G105" i="4"/>
  <c r="F105" i="4"/>
  <c r="E105" i="4"/>
  <c r="D105" i="4"/>
  <c r="C105" i="4"/>
  <c r="N99" i="4"/>
  <c r="M99" i="4"/>
  <c r="P99" i="4" s="1"/>
  <c r="L99" i="4"/>
  <c r="K99" i="4"/>
  <c r="J99" i="4"/>
  <c r="I99" i="4"/>
  <c r="H99" i="4"/>
  <c r="G99" i="4"/>
  <c r="F99" i="4"/>
  <c r="E99" i="4"/>
  <c r="D99" i="4"/>
  <c r="C99" i="4"/>
  <c r="N51" i="4"/>
  <c r="M51" i="4"/>
  <c r="P51" i="4" s="1"/>
  <c r="L51" i="4"/>
  <c r="K51" i="4"/>
  <c r="J51" i="4"/>
  <c r="I51" i="4"/>
  <c r="H51" i="4"/>
  <c r="G51" i="4"/>
  <c r="F51" i="4"/>
  <c r="E51" i="4"/>
  <c r="D51" i="4"/>
  <c r="C51" i="4"/>
  <c r="N114" i="4"/>
  <c r="M114" i="4"/>
  <c r="P114" i="4" s="1"/>
  <c r="L114" i="4"/>
  <c r="K114" i="4"/>
  <c r="J114" i="4"/>
  <c r="I114" i="4"/>
  <c r="H114" i="4"/>
  <c r="G114" i="4"/>
  <c r="F114" i="4"/>
  <c r="E114" i="4"/>
  <c r="D114" i="4"/>
  <c r="C114" i="4"/>
  <c r="N58" i="4"/>
  <c r="M58" i="4"/>
  <c r="P58" i="4" s="1"/>
  <c r="L58" i="4"/>
  <c r="K58" i="4"/>
  <c r="J58" i="4"/>
  <c r="I58" i="4"/>
  <c r="H58" i="4"/>
  <c r="G58" i="4"/>
  <c r="F58" i="4"/>
  <c r="E58" i="4"/>
  <c r="D58" i="4"/>
  <c r="C58" i="4"/>
  <c r="N71" i="4"/>
  <c r="M71" i="4"/>
  <c r="P71" i="4" s="1"/>
  <c r="L71" i="4"/>
  <c r="K71" i="4"/>
  <c r="J71" i="4"/>
  <c r="I71" i="4"/>
  <c r="H71" i="4"/>
  <c r="G71" i="4"/>
  <c r="F71" i="4"/>
  <c r="E71" i="4"/>
  <c r="D71" i="4"/>
  <c r="C71" i="4"/>
  <c r="N75" i="4"/>
  <c r="M75" i="4"/>
  <c r="P75" i="4" s="1"/>
  <c r="L75" i="4"/>
  <c r="K75" i="4"/>
  <c r="J75" i="4"/>
  <c r="I75" i="4"/>
  <c r="H75" i="4"/>
  <c r="G75" i="4"/>
  <c r="F75" i="4"/>
  <c r="E75" i="4"/>
  <c r="D75" i="4"/>
  <c r="C75" i="4"/>
  <c r="N78" i="4"/>
  <c r="M78" i="4"/>
  <c r="P78" i="4" s="1"/>
  <c r="L78" i="4"/>
  <c r="K78" i="4"/>
  <c r="J78" i="4"/>
  <c r="I78" i="4"/>
  <c r="H78" i="4"/>
  <c r="G78" i="4"/>
  <c r="F78" i="4"/>
  <c r="E78" i="4"/>
  <c r="D78" i="4"/>
  <c r="C78" i="4"/>
  <c r="N25" i="4"/>
  <c r="M25" i="4"/>
  <c r="P25" i="4" s="1"/>
  <c r="L25" i="4"/>
  <c r="K25" i="4"/>
  <c r="J25" i="4"/>
  <c r="I25" i="4"/>
  <c r="H25" i="4"/>
  <c r="G25" i="4"/>
  <c r="F25" i="4"/>
  <c r="E25" i="4"/>
  <c r="D25" i="4"/>
  <c r="C25" i="4"/>
  <c r="N88" i="4"/>
  <c r="M88" i="4"/>
  <c r="P88" i="4" s="1"/>
  <c r="L88" i="4"/>
  <c r="K88" i="4"/>
  <c r="J88" i="4"/>
  <c r="I88" i="4"/>
  <c r="H88" i="4"/>
  <c r="G88" i="4"/>
  <c r="F88" i="4"/>
  <c r="E88" i="4"/>
  <c r="D88" i="4"/>
  <c r="C88" i="4"/>
  <c r="N87" i="4"/>
  <c r="M87" i="4"/>
  <c r="P87" i="4" s="1"/>
  <c r="L87" i="4"/>
  <c r="K87" i="4"/>
  <c r="J87" i="4"/>
  <c r="I87" i="4"/>
  <c r="H87" i="4"/>
  <c r="G87" i="4"/>
  <c r="F87" i="4"/>
  <c r="E87" i="4"/>
  <c r="D87" i="4"/>
  <c r="C87" i="4"/>
  <c r="N43" i="4"/>
  <c r="M43" i="4"/>
  <c r="P43" i="4" s="1"/>
  <c r="L43" i="4"/>
  <c r="K43" i="4"/>
  <c r="J43" i="4"/>
  <c r="I43" i="4"/>
  <c r="H43" i="4"/>
  <c r="G43" i="4"/>
  <c r="F43" i="4"/>
  <c r="E43" i="4"/>
  <c r="D43" i="4"/>
  <c r="C43" i="4"/>
  <c r="N70" i="4"/>
  <c r="M70" i="4"/>
  <c r="P70" i="4" s="1"/>
  <c r="L70" i="4"/>
  <c r="K70" i="4"/>
  <c r="J70" i="4"/>
  <c r="I70" i="4"/>
  <c r="H70" i="4"/>
  <c r="G70" i="4"/>
  <c r="F70" i="4"/>
  <c r="E70" i="4"/>
  <c r="D70" i="4"/>
  <c r="C70" i="4"/>
  <c r="N83" i="4"/>
  <c r="M83" i="4"/>
  <c r="P83" i="4" s="1"/>
  <c r="L83" i="4"/>
  <c r="K83" i="4"/>
  <c r="J83" i="4"/>
  <c r="I83" i="4"/>
  <c r="H83" i="4"/>
  <c r="G83" i="4"/>
  <c r="F83" i="4"/>
  <c r="E83" i="4"/>
  <c r="D83" i="4"/>
  <c r="C83" i="4"/>
  <c r="N111" i="4"/>
  <c r="M111" i="4"/>
  <c r="P111" i="4" s="1"/>
  <c r="L111" i="4"/>
  <c r="K111" i="4"/>
  <c r="J111" i="4"/>
  <c r="I111" i="4"/>
  <c r="H111" i="4"/>
  <c r="G111" i="4"/>
  <c r="F111" i="4"/>
  <c r="E111" i="4"/>
  <c r="D111" i="4"/>
  <c r="C111" i="4"/>
  <c r="N102" i="4"/>
  <c r="M102" i="4"/>
  <c r="P102" i="4" s="1"/>
  <c r="L102" i="4"/>
  <c r="K102" i="4"/>
  <c r="J102" i="4"/>
  <c r="I102" i="4"/>
  <c r="H102" i="4"/>
  <c r="G102" i="4"/>
  <c r="F102" i="4"/>
  <c r="E102" i="4"/>
  <c r="D102" i="4"/>
  <c r="C102" i="4"/>
  <c r="N37" i="4"/>
  <c r="M37" i="4"/>
  <c r="P37" i="4" s="1"/>
  <c r="L37" i="4"/>
  <c r="K37" i="4"/>
  <c r="J37" i="4"/>
  <c r="I37" i="4"/>
  <c r="H37" i="4"/>
  <c r="G37" i="4"/>
  <c r="F37" i="4"/>
  <c r="E37" i="4"/>
  <c r="D37" i="4"/>
  <c r="C37" i="4"/>
  <c r="N26" i="4"/>
  <c r="M26" i="4"/>
  <c r="P26" i="4" s="1"/>
  <c r="L26" i="4"/>
  <c r="K26" i="4"/>
  <c r="J26" i="4"/>
  <c r="I26" i="4"/>
  <c r="H26" i="4"/>
  <c r="G26" i="4"/>
  <c r="F26" i="4"/>
  <c r="E26" i="4"/>
  <c r="D26" i="4"/>
  <c r="C26" i="4"/>
  <c r="N40" i="4"/>
  <c r="M40" i="4"/>
  <c r="P40" i="4" s="1"/>
  <c r="L40" i="4"/>
  <c r="K40" i="4"/>
  <c r="J40" i="4"/>
  <c r="I40" i="4"/>
  <c r="H40" i="4"/>
  <c r="G40" i="4"/>
  <c r="F40" i="4"/>
  <c r="E40" i="4"/>
  <c r="D40" i="4"/>
  <c r="C40" i="4"/>
  <c r="N67" i="4"/>
  <c r="M67" i="4"/>
  <c r="P67" i="4" s="1"/>
  <c r="L67" i="4"/>
  <c r="K67" i="4"/>
  <c r="J67" i="4"/>
  <c r="I67" i="4"/>
  <c r="H67" i="4"/>
  <c r="G67" i="4"/>
  <c r="F67" i="4"/>
  <c r="E67" i="4"/>
  <c r="D67" i="4"/>
  <c r="C67" i="4"/>
  <c r="N82" i="4"/>
  <c r="M82" i="4"/>
  <c r="P82" i="4" s="1"/>
  <c r="L82" i="4"/>
  <c r="K82" i="4"/>
  <c r="J82" i="4"/>
  <c r="I82" i="4"/>
  <c r="H82" i="4"/>
  <c r="G82" i="4"/>
  <c r="F82" i="4"/>
  <c r="E82" i="4"/>
  <c r="D82" i="4"/>
  <c r="C82" i="4"/>
  <c r="N95" i="4"/>
  <c r="M95" i="4"/>
  <c r="P95" i="4" s="1"/>
  <c r="L95" i="4"/>
  <c r="K95" i="4"/>
  <c r="J95" i="4"/>
  <c r="I95" i="4"/>
  <c r="H95" i="4"/>
  <c r="G95" i="4"/>
  <c r="F95" i="4"/>
  <c r="E95" i="4"/>
  <c r="D95" i="4"/>
  <c r="C95" i="4"/>
  <c r="N28" i="4"/>
  <c r="M28" i="4"/>
  <c r="P28" i="4" s="1"/>
  <c r="L28" i="4"/>
  <c r="K28" i="4"/>
  <c r="J28" i="4"/>
  <c r="I28" i="4"/>
  <c r="H28" i="4"/>
  <c r="G28" i="4"/>
  <c r="F28" i="4"/>
  <c r="E28" i="4"/>
  <c r="D28" i="4"/>
  <c r="C28" i="4"/>
  <c r="N31" i="4"/>
  <c r="M31" i="4"/>
  <c r="P31" i="4" s="1"/>
  <c r="L31" i="4"/>
  <c r="K31" i="4"/>
  <c r="J31" i="4"/>
  <c r="I31" i="4"/>
  <c r="H31" i="4"/>
  <c r="G31" i="4"/>
  <c r="F31" i="4"/>
  <c r="E31" i="4"/>
  <c r="D31" i="4"/>
  <c r="C31" i="4"/>
  <c r="N49" i="4"/>
  <c r="M49" i="4"/>
  <c r="P49" i="4" s="1"/>
  <c r="L49" i="4"/>
  <c r="K49" i="4"/>
  <c r="J49" i="4"/>
  <c r="I49" i="4"/>
  <c r="H49" i="4"/>
  <c r="G49" i="4"/>
  <c r="F49" i="4"/>
  <c r="E49" i="4"/>
  <c r="D49" i="4"/>
  <c r="C49" i="4"/>
  <c r="N38" i="4"/>
  <c r="M38" i="4"/>
  <c r="P38" i="4" s="1"/>
  <c r="L38" i="4"/>
  <c r="K38" i="4"/>
  <c r="J38" i="4"/>
  <c r="I38" i="4"/>
  <c r="H38" i="4"/>
  <c r="G38" i="4"/>
  <c r="F38" i="4"/>
  <c r="E38" i="4"/>
  <c r="D38" i="4"/>
  <c r="C38" i="4"/>
  <c r="N64" i="4"/>
  <c r="M64" i="4"/>
  <c r="P64" i="4" s="1"/>
  <c r="L64" i="4"/>
  <c r="K64" i="4"/>
  <c r="J64" i="4"/>
  <c r="I64" i="4"/>
  <c r="H64" i="4"/>
  <c r="G64" i="4"/>
  <c r="F64" i="4"/>
  <c r="E64" i="4"/>
  <c r="D64" i="4"/>
  <c r="C64" i="4"/>
  <c r="N91" i="4"/>
  <c r="M91" i="4"/>
  <c r="P91" i="4" s="1"/>
  <c r="L91" i="4"/>
  <c r="K91" i="4"/>
  <c r="J91" i="4"/>
  <c r="I91" i="4"/>
  <c r="H91" i="4"/>
  <c r="G91" i="4"/>
  <c r="F91" i="4"/>
  <c r="E91" i="4"/>
  <c r="D91" i="4"/>
  <c r="C91" i="4"/>
  <c r="N94" i="4"/>
  <c r="M94" i="4"/>
  <c r="P94" i="4" s="1"/>
  <c r="L94" i="4"/>
  <c r="K94" i="4"/>
  <c r="J94" i="4"/>
  <c r="I94" i="4"/>
  <c r="H94" i="4"/>
  <c r="G94" i="4"/>
  <c r="F94" i="4"/>
  <c r="E94" i="4"/>
  <c r="D94" i="4"/>
  <c r="C94" i="4"/>
  <c r="N107" i="4"/>
  <c r="M107" i="4"/>
  <c r="P107" i="4" s="1"/>
  <c r="L107" i="4"/>
  <c r="K107" i="4"/>
  <c r="J107" i="4"/>
  <c r="I107" i="4"/>
  <c r="H107" i="4"/>
  <c r="G107" i="4"/>
  <c r="F107" i="4"/>
  <c r="E107" i="4"/>
  <c r="D107" i="4"/>
  <c r="C107" i="4"/>
  <c r="N24" i="4"/>
  <c r="M24" i="4"/>
  <c r="P24" i="4" s="1"/>
  <c r="L24" i="4"/>
  <c r="K24" i="4"/>
  <c r="J24" i="4"/>
  <c r="I24" i="4"/>
  <c r="H24" i="4"/>
  <c r="G24" i="4"/>
  <c r="F24" i="4"/>
  <c r="E24" i="4"/>
  <c r="D24" i="4"/>
  <c r="C24" i="4"/>
  <c r="N52" i="4"/>
  <c r="M52" i="4"/>
  <c r="P52" i="4" s="1"/>
  <c r="L52" i="4"/>
  <c r="K52" i="4"/>
  <c r="J52" i="4"/>
  <c r="I52" i="4"/>
  <c r="H52" i="4"/>
  <c r="G52" i="4"/>
  <c r="F52" i="4"/>
  <c r="E52" i="4"/>
  <c r="D52" i="4"/>
  <c r="C52" i="4"/>
  <c r="N55" i="4"/>
  <c r="M55" i="4"/>
  <c r="P55" i="4" s="1"/>
  <c r="L55" i="4"/>
  <c r="K55" i="4"/>
  <c r="J55" i="4"/>
  <c r="I55" i="4"/>
  <c r="H55" i="4"/>
  <c r="G55" i="4"/>
  <c r="F55" i="4"/>
  <c r="E55" i="4"/>
  <c r="D55" i="4"/>
  <c r="C55" i="4"/>
  <c r="N61" i="4"/>
  <c r="M61" i="4"/>
  <c r="P61" i="4" s="1"/>
  <c r="L61" i="4"/>
  <c r="K61" i="4"/>
  <c r="J61" i="4"/>
  <c r="I61" i="4"/>
  <c r="H61" i="4"/>
  <c r="G61" i="4"/>
  <c r="F61" i="4"/>
  <c r="E61" i="4"/>
  <c r="D61" i="4"/>
  <c r="C61" i="4"/>
  <c r="N50" i="4"/>
  <c r="M50" i="4"/>
  <c r="P50" i="4" s="1"/>
  <c r="L50" i="4"/>
  <c r="K50" i="4"/>
  <c r="J50" i="4"/>
  <c r="I50" i="4"/>
  <c r="H50" i="4"/>
  <c r="G50" i="4"/>
  <c r="F50" i="4"/>
  <c r="E50" i="4"/>
  <c r="D50" i="4"/>
  <c r="C50" i="4"/>
  <c r="N100" i="4"/>
  <c r="M100" i="4"/>
  <c r="P100" i="4" s="1"/>
  <c r="L100" i="4"/>
  <c r="K100" i="4"/>
  <c r="J100" i="4"/>
  <c r="I100" i="4"/>
  <c r="H100" i="4"/>
  <c r="G100" i="4"/>
  <c r="F100" i="4"/>
  <c r="E100" i="4"/>
  <c r="D100" i="4"/>
  <c r="C100" i="4"/>
  <c r="N115" i="4"/>
  <c r="M115" i="4"/>
  <c r="P115" i="4" s="1"/>
  <c r="L115" i="4"/>
  <c r="K115" i="4"/>
  <c r="J115" i="4"/>
  <c r="I115" i="4"/>
  <c r="H115" i="4"/>
  <c r="G115" i="4"/>
  <c r="F115" i="4"/>
  <c r="E115" i="4"/>
  <c r="D115" i="4"/>
  <c r="C115" i="4"/>
  <c r="N106" i="4"/>
  <c r="M106" i="4"/>
  <c r="P106" i="4" s="1"/>
  <c r="L106" i="4"/>
  <c r="K106" i="4"/>
  <c r="J106" i="4"/>
  <c r="I106" i="4"/>
  <c r="H106" i="4"/>
  <c r="G106" i="4"/>
  <c r="F106" i="4"/>
  <c r="E106" i="4"/>
  <c r="D106" i="4"/>
  <c r="C106" i="4"/>
  <c r="N119" i="4"/>
  <c r="M119" i="4"/>
  <c r="P119" i="4" s="1"/>
  <c r="L119" i="4"/>
  <c r="K119" i="4"/>
  <c r="J119" i="4"/>
  <c r="I119" i="4"/>
  <c r="H119" i="4"/>
  <c r="G119" i="4"/>
  <c r="F119" i="4"/>
  <c r="E119" i="4"/>
  <c r="D119" i="4"/>
  <c r="C119" i="4"/>
  <c r="N36" i="4"/>
  <c r="M36" i="4"/>
  <c r="P36" i="4" s="1"/>
  <c r="L36" i="4"/>
  <c r="K36" i="4"/>
  <c r="J36" i="4"/>
  <c r="I36" i="4"/>
  <c r="H36" i="4"/>
  <c r="G36" i="4"/>
  <c r="F36" i="4"/>
  <c r="E36" i="4"/>
  <c r="D36" i="4"/>
  <c r="C36" i="4"/>
  <c r="N76" i="4"/>
  <c r="M76" i="4"/>
  <c r="P76" i="4" s="1"/>
  <c r="L76" i="4"/>
  <c r="K76" i="4"/>
  <c r="J76" i="4"/>
  <c r="I76" i="4"/>
  <c r="H76" i="4"/>
  <c r="G76" i="4"/>
  <c r="F76" i="4"/>
  <c r="E76" i="4"/>
  <c r="D76" i="4"/>
  <c r="C76" i="4"/>
  <c r="N79" i="4"/>
  <c r="M79" i="4"/>
  <c r="P79" i="4" s="1"/>
  <c r="L79" i="4"/>
  <c r="K79" i="4"/>
  <c r="J79" i="4"/>
  <c r="I79" i="4"/>
  <c r="H79" i="4"/>
  <c r="G79" i="4"/>
  <c r="F79" i="4"/>
  <c r="E79" i="4"/>
  <c r="D79" i="4"/>
  <c r="C79" i="4"/>
  <c r="N73" i="4"/>
  <c r="M73" i="4"/>
  <c r="P73" i="4" s="1"/>
  <c r="L73" i="4"/>
  <c r="K73" i="4"/>
  <c r="J73" i="4"/>
  <c r="I73" i="4"/>
  <c r="H73" i="4"/>
  <c r="G73" i="4"/>
  <c r="F73" i="4"/>
  <c r="E73" i="4"/>
  <c r="D73" i="4"/>
  <c r="C73" i="4"/>
  <c r="N62" i="4"/>
  <c r="M62" i="4"/>
  <c r="P62" i="4" s="1"/>
  <c r="L62" i="4"/>
  <c r="K62" i="4"/>
  <c r="J62" i="4"/>
  <c r="I62" i="4"/>
  <c r="H62" i="4"/>
  <c r="G62" i="4"/>
  <c r="F62" i="4"/>
  <c r="E62" i="4"/>
  <c r="D62" i="4"/>
  <c r="C62" i="4"/>
  <c r="N41" i="4"/>
  <c r="M41" i="4"/>
  <c r="P41" i="4" s="1"/>
  <c r="L41" i="4"/>
  <c r="K41" i="4"/>
  <c r="J41" i="4"/>
  <c r="I41" i="4"/>
  <c r="H41" i="4"/>
  <c r="G41" i="4"/>
  <c r="F41" i="4"/>
  <c r="E41" i="4"/>
  <c r="D41" i="4"/>
  <c r="C41" i="4"/>
  <c r="N44" i="4"/>
  <c r="M44" i="4"/>
  <c r="P44" i="4" s="1"/>
  <c r="L44" i="4"/>
  <c r="K44" i="4"/>
  <c r="J44" i="4"/>
  <c r="I44" i="4"/>
  <c r="H44" i="4"/>
  <c r="G44" i="4"/>
  <c r="F44" i="4"/>
  <c r="E44" i="4"/>
  <c r="D44" i="4"/>
  <c r="C44" i="4"/>
  <c r="N118" i="4"/>
  <c r="M118" i="4"/>
  <c r="P118" i="4" s="1"/>
  <c r="L118" i="4"/>
  <c r="K118" i="4"/>
  <c r="J118" i="4"/>
  <c r="I118" i="4"/>
  <c r="H118" i="4"/>
  <c r="G118" i="4"/>
  <c r="F118" i="4"/>
  <c r="E118" i="4"/>
  <c r="D118" i="4"/>
  <c r="C118" i="4"/>
  <c r="N104" i="4"/>
  <c r="M104" i="4"/>
  <c r="P104" i="4" s="1"/>
  <c r="L104" i="4"/>
  <c r="K104" i="4"/>
  <c r="J104" i="4"/>
  <c r="I104" i="4"/>
  <c r="H104" i="4"/>
  <c r="G104" i="4"/>
  <c r="F104" i="4"/>
  <c r="E104" i="4"/>
  <c r="D104" i="4"/>
  <c r="C104" i="4"/>
  <c r="N48" i="4"/>
  <c r="M48" i="4"/>
  <c r="P48" i="4" s="1"/>
  <c r="L48" i="4"/>
  <c r="K48" i="4"/>
  <c r="J48" i="4"/>
  <c r="I48" i="4"/>
  <c r="H48" i="4"/>
  <c r="G48" i="4"/>
  <c r="F48" i="4"/>
  <c r="E48" i="4"/>
  <c r="D48" i="4"/>
  <c r="C48" i="4"/>
  <c r="N112" i="4"/>
  <c r="M112" i="4"/>
  <c r="P112" i="4" s="1"/>
  <c r="L112" i="4"/>
  <c r="K112" i="4"/>
  <c r="J112" i="4"/>
  <c r="I112" i="4"/>
  <c r="H112" i="4"/>
  <c r="G112" i="4"/>
  <c r="F112" i="4"/>
  <c r="E112" i="4"/>
  <c r="D112" i="4"/>
  <c r="C112" i="4"/>
  <c r="N103" i="4"/>
  <c r="M103" i="4"/>
  <c r="P103" i="4" s="1"/>
  <c r="L103" i="4"/>
  <c r="K103" i="4"/>
  <c r="J103" i="4"/>
  <c r="I103" i="4"/>
  <c r="H103" i="4"/>
  <c r="G103" i="4"/>
  <c r="F103" i="4"/>
  <c r="E103" i="4"/>
  <c r="D103" i="4"/>
  <c r="C103" i="4"/>
  <c r="N85" i="4"/>
  <c r="M85" i="4"/>
  <c r="P85" i="4" s="1"/>
  <c r="L85" i="4"/>
  <c r="K85" i="4"/>
  <c r="J85" i="4"/>
  <c r="I85" i="4"/>
  <c r="H85" i="4"/>
  <c r="G85" i="4"/>
  <c r="F85" i="4"/>
  <c r="E85" i="4"/>
  <c r="D85" i="4"/>
  <c r="C85" i="4"/>
  <c r="N74" i="4"/>
  <c r="M74" i="4"/>
  <c r="P74" i="4" s="1"/>
  <c r="L74" i="4"/>
  <c r="K74" i="4"/>
  <c r="J74" i="4"/>
  <c r="I74" i="4"/>
  <c r="H74" i="4"/>
  <c r="G74" i="4"/>
  <c r="F74" i="4"/>
  <c r="E74" i="4"/>
  <c r="D74" i="4"/>
  <c r="C74" i="4"/>
  <c r="N65" i="4"/>
  <c r="M65" i="4"/>
  <c r="P65" i="4" s="1"/>
  <c r="L65" i="4"/>
  <c r="K65" i="4"/>
  <c r="J65" i="4"/>
  <c r="I65" i="4"/>
  <c r="H65" i="4"/>
  <c r="G65" i="4"/>
  <c r="F65" i="4"/>
  <c r="E65" i="4"/>
  <c r="D65" i="4"/>
  <c r="C65" i="4"/>
  <c r="N80" i="4"/>
  <c r="M80" i="4"/>
  <c r="P80" i="4" s="1"/>
  <c r="L80" i="4"/>
  <c r="K80" i="4"/>
  <c r="J80" i="4"/>
  <c r="I80" i="4"/>
  <c r="H80" i="4"/>
  <c r="G80" i="4"/>
  <c r="F80" i="4"/>
  <c r="E80" i="4"/>
  <c r="D80" i="4"/>
  <c r="C80" i="4"/>
  <c r="N68" i="4"/>
  <c r="M68" i="4"/>
  <c r="P68" i="4" s="1"/>
  <c r="L68" i="4"/>
  <c r="K68" i="4"/>
  <c r="J68" i="4"/>
  <c r="I68" i="4"/>
  <c r="H68" i="4"/>
  <c r="G68" i="4"/>
  <c r="F68" i="4"/>
  <c r="E68" i="4"/>
  <c r="D68" i="4"/>
  <c r="C68" i="4"/>
  <c r="N81" i="4"/>
  <c r="M81" i="4"/>
  <c r="P81" i="4" s="1"/>
  <c r="L81" i="4"/>
  <c r="K81" i="4"/>
  <c r="J81" i="4"/>
  <c r="I81" i="4"/>
  <c r="H81" i="4"/>
  <c r="G81" i="4"/>
  <c r="F81" i="4"/>
  <c r="E81" i="4"/>
  <c r="D81" i="4"/>
  <c r="C8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<sst xmlns="http://schemas.openxmlformats.org/spreadsheetml/2006/main" count="391" uniqueCount="115">
  <si>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</si>
  <si>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</si>
  <si>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</si>
  <si>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</si>
  <si>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</si>
  <si>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</si>
  <si>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</si>
  <si>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</si>
  <si>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</si>
  <si>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</si>
  <si>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</si>
  <si>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</si>
  <si>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</si>
  <si>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</si>
  <si>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</si>
  <si>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</si>
  <si>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</si>
  <si>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</si>
  <si>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</si>
  <si>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</si>
  <si>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</si>
  <si>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</si>
  <si>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</si>
  <si>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</si>
  <si>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</si>
  <si>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</si>
  <si>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</si>
  <si>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</si>
  <si>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</si>
  <si>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</si>
  <si>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</si>
  <si>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</si>
  <si>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</si>
  <si>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</si>
  <si>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</si>
  <si>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</si>
  <si>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</si>
  <si>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</si>
  <si>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</si>
  <si>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</si>
  <si>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</si>
  <si>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</si>
  <si>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</si>
  <si>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</si>
  <si>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</si>
  <si>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</si>
  <si>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</si>
  <si>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</si>
  <si>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</si>
  <si>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</si>
  <si>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</si>
  <si>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</si>
  <si>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</si>
  <si>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</si>
  <si>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</si>
  <si>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</si>
  <si>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</si>
  <si>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</si>
  <si>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</si>
  <si>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</si>
  <si>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</si>
  <si>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</si>
  <si>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</si>
  <si>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</si>
  <si>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</si>
  <si>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</si>
  <si>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</si>
  <si>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</si>
  <si>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</si>
  <si>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</si>
  <si>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</si>
  <si>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</si>
  <si>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</si>
  <si>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</si>
  <si>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</si>
  <si>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</si>
  <si>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</si>
  <si>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</si>
  <si>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</si>
  <si>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</si>
  <si>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</si>
  <si>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St_REFPROP</t>
  </si>
  <si>
    <t>Ht_REFPROP</t>
  </si>
  <si>
    <t>Delta S</t>
  </si>
  <si>
    <t>H at Triple Point</t>
  </si>
  <si>
    <t>Delta H</t>
  </si>
  <si>
    <t>Sublimation Enthalpy</t>
  </si>
  <si>
    <t>Year</t>
  </si>
  <si>
    <t>Author</t>
  </si>
  <si>
    <t>Temperature</t>
  </si>
  <si>
    <t>Cell Volume</t>
  </si>
  <si>
    <t>Kogan, Lazarev</t>
  </si>
  <si>
    <t>Bolz, Mauer</t>
  </si>
  <si>
    <t>Clusius</t>
  </si>
  <si>
    <t>Batchelder</t>
  </si>
  <si>
    <t>Crawford</t>
  </si>
  <si>
    <t>Holste</t>
  </si>
  <si>
    <t xml:space="preserve">Anderson </t>
  </si>
  <si>
    <t>Peek</t>
  </si>
  <si>
    <t>Barrett</t>
  </si>
  <si>
    <t>Leake</t>
  </si>
  <si>
    <t>Fugate</t>
  </si>
  <si>
    <t>Thermal Expansion Coefficient</t>
  </si>
  <si>
    <t>Korpiun</t>
  </si>
  <si>
    <t>Heat Capacity</t>
  </si>
  <si>
    <t>Fenichel</t>
  </si>
  <si>
    <t>Beta T</t>
  </si>
  <si>
    <t>Schoknecht</t>
  </si>
  <si>
    <t>Anderson</t>
  </si>
  <si>
    <t>Beta S</t>
  </si>
  <si>
    <t>Balzer</t>
  </si>
  <si>
    <t>Rand</t>
  </si>
  <si>
    <t>McLaren</t>
  </si>
  <si>
    <t>Gewurtz</t>
  </si>
  <si>
    <t>Skalyo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</si>
</sst>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3" fillId="3" borderId="1" xfId="2" applyBorder="1"/>
    <xf numFmtId="11" fontId="0" fillId="0" borderId="0" xfId="0" applyNumberFormat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Sublimation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Sweep!$A$23:$A$124</c:f>
              <c:numCache>
                <c:formatCode>General</c:formatCode>
                <c:ptCount val="102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Sweep!$C$23:$C$124</c:f>
              <c:numCache>
                <c:formatCode>General</c:formatCode>
                <c:ptCount val="102"/>
                <c:pt idx="0">
                  <c:v>0</c:v>
                </c:pt>
                <c:pt idx="1">
                  <c:v>13.391005192172884</c:v>
                </c:pt>
                <c:pt idx="2">
                  <c:v>13.39106896677899</c:v>
                </c:pt>
                <c:pt idx="3">
                  <c:v>13.391327564863797</c:v>
                </c:pt>
                <c:pt idx="4">
                  <c:v>13.39200285800878</c:v>
                </c:pt>
                <c:pt idx="5">
                  <c:v>13.393403369591725</c:v>
                </c:pt>
                <c:pt idx="6">
                  <c:v>13.395922318477961</c:v>
                </c:pt>
                <c:pt idx="7">
                  <c:v>13.400022432960299</c:v>
                </c:pt>
                <c:pt idx="8">
                  <c:v>13.406202711323166</c:v>
                </c:pt>
                <c:pt idx="9">
                  <c:v>13.414958049678388</c:v>
                </c:pt>
                <c:pt idx="10">
                  <c:v>13.426747162915559</c:v>
                </c:pt>
                <c:pt idx="11">
                  <c:v>13.441976152727415</c:v>
                </c:pt>
                <c:pt idx="12">
                  <c:v>13.460996453123178</c:v>
                </c:pt>
                <c:pt idx="13">
                  <c:v>13.484112183138867</c:v>
                </c:pt>
                <c:pt idx="14">
                  <c:v>13.511591989749343</c:v>
                </c:pt>
                <c:pt idx="15">
                  <c:v>13.543681896883115</c:v>
                </c:pt>
                <c:pt idx="16">
                  <c:v>13.580617100983821</c:v>
                </c:pt>
                <c:pt idx="17">
                  <c:v>13.622631614169268</c:v>
                </c:pt>
                <c:pt idx="18">
                  <c:v>13.669965140597029</c:v>
                </c:pt>
                <c:pt idx="19">
                  <c:v>13.722866693008848</c:v>
                </c:pt>
                <c:pt idx="20">
                  <c:v>13.781594321924379</c:v>
                </c:pt>
                <c:pt idx="21">
                  <c:v>13.84641000377321</c:v>
                </c:pt>
                <c:pt idx="22">
                  <c:v>13.917568215714917</c:v>
                </c:pt>
                <c:pt idx="23">
                  <c:v>13.995295813512131</c:v>
                </c:pt>
                <c:pt idx="24">
                  <c:v>14.079757957585345</c:v>
                </c:pt>
                <c:pt idx="25">
                  <c:v>13.883813741932698</c:v>
                </c:pt>
                <c:pt idx="26">
                  <c:v>13.854682500963769</c:v>
                </c:pt>
                <c:pt idx="27">
                  <c:v>13.831279630811434</c:v>
                </c:pt>
                <c:pt idx="28">
                  <c:v>13.803944936734016</c:v>
                </c:pt>
                <c:pt idx="29">
                  <c:v>13.771266750885944</c:v>
                </c:pt>
                <c:pt idx="30">
                  <c:v>13.733070124972839</c:v>
                </c:pt>
                <c:pt idx="31">
                  <c:v>13.689518379017882</c:v>
                </c:pt>
                <c:pt idx="32">
                  <c:v>13.64090721423522</c:v>
                </c:pt>
                <c:pt idx="33">
                  <c:v>13.5876055410509</c:v>
                </c:pt>
                <c:pt idx="34">
                  <c:v>13.530035404473201</c:v>
                </c:pt>
                <c:pt idx="35">
                  <c:v>13.468662046379833</c:v>
                </c:pt>
                <c:pt idx="36">
                  <c:v>13.403984881223383</c:v>
                </c:pt>
                <c:pt idx="37">
                  <c:v>13.336526502689679</c:v>
                </c:pt>
                <c:pt idx="38">
                  <c:v>13.266819406945999</c:v>
                </c:pt>
                <c:pt idx="39">
                  <c:v>13.195391339263503</c:v>
                </c:pt>
                <c:pt idx="40">
                  <c:v>13.122750700154729</c:v>
                </c:pt>
                <c:pt idx="41">
                  <c:v>13.049373490272949</c:v>
                </c:pt>
                <c:pt idx="42">
                  <c:v>12.975692963742194</c:v>
                </c:pt>
                <c:pt idx="43">
                  <c:v>12.902092651553774</c:v>
                </c:pt>
                <c:pt idx="44">
                  <c:v>12.828902872517828</c:v>
                </c:pt>
                <c:pt idx="45">
                  <c:v>12.756400398808008</c:v>
                </c:pt>
                <c:pt idx="46">
                  <c:v>12.684810655939419</c:v>
                </c:pt>
                <c:pt idx="47">
                  <c:v>12.614311721304507</c:v>
                </c:pt>
                <c:pt idx="48">
                  <c:v>12.545039407096667</c:v>
                </c:pt>
                <c:pt idx="49">
                  <c:v>12.477092821231572</c:v>
                </c:pt>
                <c:pt idx="50">
                  <c:v>12.410539944881261</c:v>
                </c:pt>
                <c:pt idx="51">
                  <c:v>12.345422911476721</c:v>
                </c:pt>
                <c:pt idx="52">
                  <c:v>12.281762798537102</c:v>
                </c:pt>
                <c:pt idx="53">
                  <c:v>12.21956384187858</c:v>
                </c:pt>
                <c:pt idx="54">
                  <c:v>12.158817051303558</c:v>
                </c:pt>
                <c:pt idx="55">
                  <c:v>12.099503251741096</c:v>
                </c:pt>
                <c:pt idx="56">
                  <c:v>12.041595599564198</c:v>
                </c:pt>
                <c:pt idx="57">
                  <c:v>11.9850616358944</c:v>
                </c:pt>
                <c:pt idx="58">
                  <c:v>11.929864941743322</c:v>
                </c:pt>
                <c:pt idx="59">
                  <c:v>11.875966457354044</c:v>
                </c:pt>
                <c:pt idx="60">
                  <c:v>11.82332552260371</c:v>
                </c:pt>
                <c:pt idx="61">
                  <c:v>11.771900688498663</c:v>
                </c:pt>
                <c:pt idx="62">
                  <c:v>11.721650342679576</c:v>
                </c:pt>
                <c:pt idx="63">
                  <c:v>11.672533185073728</c:v>
                </c:pt>
                <c:pt idx="64">
                  <c:v>11.62450858368973</c:v>
                </c:pt>
                <c:pt idx="65">
                  <c:v>11.577536835186674</c:v>
                </c:pt>
                <c:pt idx="66">
                  <c:v>11.531579350268292</c:v>
                </c:pt>
                <c:pt idx="67">
                  <c:v>11.486598780111299</c:v>
                </c:pt>
                <c:pt idx="68">
                  <c:v>11.442559096857215</c:v>
                </c:pt>
                <c:pt idx="69">
                  <c:v>11.399425638589818</c:v>
                </c:pt>
                <c:pt idx="70">
                  <c:v>11.357165127100025</c:v>
                </c:pt>
                <c:pt idx="71">
                  <c:v>11.315745665025007</c:v>
                </c:pt>
                <c:pt idx="72">
                  <c:v>11.275136717568161</c:v>
                </c:pt>
                <c:pt idx="73">
                  <c:v>11.235309082899963</c:v>
                </c:pt>
                <c:pt idx="74">
                  <c:v>11.196234854455215</c:v>
                </c:pt>
                <c:pt idx="75">
                  <c:v>11.157887377637</c:v>
                </c:pt>
                <c:pt idx="76">
                  <c:v>11.120241202877098</c:v>
                </c:pt>
                <c:pt idx="77">
                  <c:v>11.083272036557403</c:v>
                </c:pt>
                <c:pt idx="78">
                  <c:v>11.046956690944643</c:v>
                </c:pt>
                <c:pt idx="79">
                  <c:v>11.011273034012277</c:v>
                </c:pt>
                <c:pt idx="80">
                  <c:v>10.976199939803937</c:v>
                </c:pt>
                <c:pt idx="81">
                  <c:v>10.941717239820328</c:v>
                </c:pt>
                <c:pt idx="82">
                  <c:v>10.9078056757763</c:v>
                </c:pt>
                <c:pt idx="83">
                  <c:v>10.874446853969317</c:v>
                </c:pt>
                <c:pt idx="84">
                  <c:v>10.841623201418537</c:v>
                </c:pt>
                <c:pt idx="85">
                  <c:v>10.809317923870433</c:v>
                </c:pt>
                <c:pt idx="86">
                  <c:v>10.77751496571832</c:v>
                </c:pt>
                <c:pt idx="87">
                  <c:v>10.746198971846182</c:v>
                </c:pt>
                <c:pt idx="88">
                  <c:v>10.715355251379618</c:v>
                </c:pt>
                <c:pt idx="89">
                  <c:v>10.684969743306178</c:v>
                </c:pt>
                <c:pt idx="90">
                  <c:v>10.65502898391261</c:v>
                </c:pt>
                <c:pt idx="91">
                  <c:v>27.711521731263371</c:v>
                </c:pt>
                <c:pt idx="92">
                  <c:v>27.675549995505392</c:v>
                </c:pt>
                <c:pt idx="93">
                  <c:v>27.640007846347761</c:v>
                </c:pt>
                <c:pt idx="94">
                  <c:v>27.604888003035388</c:v>
                </c:pt>
                <c:pt idx="95">
                  <c:v>27.570183379226091</c:v>
                </c:pt>
                <c:pt idx="96">
                  <c:v>27.535887074444446</c:v>
                </c:pt>
                <c:pt idx="97">
                  <c:v>27.501992366007265</c:v>
                </c:pt>
                <c:pt idx="98">
                  <c:v>27.468492701392197</c:v>
                </c:pt>
                <c:pt idx="99">
                  <c:v>27.435381691023114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Experimental!$C$2:$C$107</c:f>
              <c:numCache>
                <c:formatCode>General</c:formatCode>
                <c:ptCount val="10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3.5</c:v>
                </c:pt>
                <c:pt idx="9">
                  <c:v>3.5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4.25</c:v>
                </c:pt>
                <c:pt idx="19">
                  <c:v>4.5</c:v>
                </c:pt>
                <c:pt idx="20">
                  <c:v>4.5</c:v>
                </c:pt>
                <c:pt idx="21">
                  <c:v>4.7</c:v>
                </c:pt>
                <c:pt idx="22">
                  <c:v>4.7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5.5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6.5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8.5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9.4</c:v>
                </c:pt>
                <c:pt idx="43">
                  <c:v>9.5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11.4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13.5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17.8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19.899999999999999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21</c:v>
                </c:pt>
                <c:pt idx="83">
                  <c:v>21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23</c:v>
                </c:pt>
                <c:pt idx="88">
                  <c:v>23</c:v>
                </c:pt>
                <c:pt idx="89">
                  <c:v>23</c:v>
                </c:pt>
                <c:pt idx="90">
                  <c:v>23.5</c:v>
                </c:pt>
                <c:pt idx="91">
                  <c:v>23.5</c:v>
                </c:pt>
                <c:pt idx="92">
                  <c:v>24.553000000000001</c:v>
                </c:pt>
                <c:pt idx="93">
                  <c:v>24.553000000000001</c:v>
                </c:pt>
                <c:pt idx="94">
                  <c:v>24.57</c:v>
                </c:pt>
                <c:pt idx="95">
                  <c:v>25</c:v>
                </c:pt>
                <c:pt idx="96">
                  <c:v>30</c:v>
                </c:pt>
                <c:pt idx="97">
                  <c:v>31.75</c:v>
                </c:pt>
                <c:pt idx="98">
                  <c:v>35</c:v>
                </c:pt>
                <c:pt idx="99">
                  <c:v>36.200000000000003</c:v>
                </c:pt>
                <c:pt idx="100">
                  <c:v>40</c:v>
                </c:pt>
                <c:pt idx="101">
                  <c:v>41.8</c:v>
                </c:pt>
                <c:pt idx="102">
                  <c:v>45</c:v>
                </c:pt>
                <c:pt idx="103">
                  <c:v>46.8</c:v>
                </c:pt>
                <c:pt idx="104">
                  <c:v>50</c:v>
                </c:pt>
                <c:pt idx="105">
                  <c:v>51.1</c:v>
                </c:pt>
              </c:numCache>
            </c:numRef>
          </c:xVal>
          <c:yVal>
            <c:numRef>
              <c:f>Experimental!$D$2:$D$107</c:f>
              <c:numCache>
                <c:formatCode>General</c:formatCode>
                <c:ptCount val="106"/>
                <c:pt idx="0">
                  <c:v>13.391</c:v>
                </c:pt>
                <c:pt idx="1">
                  <c:v>13.391</c:v>
                </c:pt>
                <c:pt idx="2">
                  <c:v>13.391</c:v>
                </c:pt>
                <c:pt idx="3">
                  <c:v>13.391</c:v>
                </c:pt>
                <c:pt idx="4">
                  <c:v>13.391</c:v>
                </c:pt>
                <c:pt idx="5">
                  <c:v>13.3888667728237</c:v>
                </c:pt>
                <c:pt idx="6">
                  <c:v>13.389200000000001</c:v>
                </c:pt>
                <c:pt idx="7">
                  <c:v>13.391</c:v>
                </c:pt>
                <c:pt idx="8">
                  <c:v>13.3894</c:v>
                </c:pt>
                <c:pt idx="9">
                  <c:v>13.391</c:v>
                </c:pt>
                <c:pt idx="10">
                  <c:v>13.3888667728237</c:v>
                </c:pt>
                <c:pt idx="11">
                  <c:v>13.389699999999999</c:v>
                </c:pt>
                <c:pt idx="12">
                  <c:v>13.391999999999999</c:v>
                </c:pt>
                <c:pt idx="13">
                  <c:v>13.392555932965401</c:v>
                </c:pt>
                <c:pt idx="14">
                  <c:v>13.376361792117001</c:v>
                </c:pt>
                <c:pt idx="15">
                  <c:v>13.3781604960759</c:v>
                </c:pt>
                <c:pt idx="16">
                  <c:v>13.302753667575899</c:v>
                </c:pt>
                <c:pt idx="17">
                  <c:v>13.394</c:v>
                </c:pt>
                <c:pt idx="18">
                  <c:v>13.3083096995116</c:v>
                </c:pt>
                <c:pt idx="19">
                  <c:v>13.3902</c:v>
                </c:pt>
                <c:pt idx="20">
                  <c:v>13.391999999999999</c:v>
                </c:pt>
                <c:pt idx="21">
                  <c:v>13.39</c:v>
                </c:pt>
                <c:pt idx="22">
                  <c:v>13.3745632493901</c:v>
                </c:pt>
                <c:pt idx="23">
                  <c:v>13.390643662906401</c:v>
                </c:pt>
                <c:pt idx="24">
                  <c:v>13.391</c:v>
                </c:pt>
                <c:pt idx="25">
                  <c:v>13.393000000000001</c:v>
                </c:pt>
                <c:pt idx="26">
                  <c:v>13.394</c:v>
                </c:pt>
                <c:pt idx="27">
                  <c:v>13.392421024688</c:v>
                </c:pt>
                <c:pt idx="28">
                  <c:v>13.3935</c:v>
                </c:pt>
                <c:pt idx="29">
                  <c:v>13.395</c:v>
                </c:pt>
                <c:pt idx="30">
                  <c:v>13.397</c:v>
                </c:pt>
                <c:pt idx="31">
                  <c:v>13.3968664940582</c:v>
                </c:pt>
                <c:pt idx="32">
                  <c:v>13.3977</c:v>
                </c:pt>
                <c:pt idx="33">
                  <c:v>13.3995</c:v>
                </c:pt>
                <c:pt idx="34">
                  <c:v>13.401999999999999</c:v>
                </c:pt>
                <c:pt idx="35">
                  <c:v>13.403095111583401</c:v>
                </c:pt>
                <c:pt idx="36">
                  <c:v>13.404199999999999</c:v>
                </c:pt>
                <c:pt idx="37">
                  <c:v>13.406000000000001</c:v>
                </c:pt>
                <c:pt idx="38">
                  <c:v>13.41</c:v>
                </c:pt>
                <c:pt idx="39">
                  <c:v>13.4128946493851</c:v>
                </c:pt>
                <c:pt idx="40">
                  <c:v>13.413399999999999</c:v>
                </c:pt>
                <c:pt idx="41">
                  <c:v>13.414999999999999</c:v>
                </c:pt>
                <c:pt idx="42">
                  <c:v>13.42</c:v>
                </c:pt>
                <c:pt idx="43">
                  <c:v>13.42</c:v>
                </c:pt>
                <c:pt idx="44">
                  <c:v>13.4244944119212</c:v>
                </c:pt>
                <c:pt idx="45">
                  <c:v>13.4254</c:v>
                </c:pt>
                <c:pt idx="46">
                  <c:v>13.427</c:v>
                </c:pt>
                <c:pt idx="47">
                  <c:v>13.4396936396936</c:v>
                </c:pt>
                <c:pt idx="48">
                  <c:v>13.440799999999999</c:v>
                </c:pt>
                <c:pt idx="49">
                  <c:v>13.442</c:v>
                </c:pt>
                <c:pt idx="50">
                  <c:v>13.45</c:v>
                </c:pt>
                <c:pt idx="51">
                  <c:v>13.4585167400293</c:v>
                </c:pt>
                <c:pt idx="52">
                  <c:v>13.4597</c:v>
                </c:pt>
                <c:pt idx="53">
                  <c:v>13.461</c:v>
                </c:pt>
                <c:pt idx="54">
                  <c:v>13.4818947087119</c:v>
                </c:pt>
                <c:pt idx="55">
                  <c:v>13.4823</c:v>
                </c:pt>
                <c:pt idx="56">
                  <c:v>13.484</c:v>
                </c:pt>
                <c:pt idx="57">
                  <c:v>13.49</c:v>
                </c:pt>
                <c:pt idx="58">
                  <c:v>13.508066135618099</c:v>
                </c:pt>
                <c:pt idx="59">
                  <c:v>13.508699999999999</c:v>
                </c:pt>
                <c:pt idx="60">
                  <c:v>13.51</c:v>
                </c:pt>
                <c:pt idx="61">
                  <c:v>13.538879570613799</c:v>
                </c:pt>
                <c:pt idx="62">
                  <c:v>13.5395</c:v>
                </c:pt>
                <c:pt idx="63">
                  <c:v>13.541</c:v>
                </c:pt>
                <c:pt idx="64">
                  <c:v>13.5734848994417</c:v>
                </c:pt>
                <c:pt idx="65">
                  <c:v>13.5741</c:v>
                </c:pt>
                <c:pt idx="66">
                  <c:v>13.576000000000001</c:v>
                </c:pt>
                <c:pt idx="67">
                  <c:v>13.5370786778644</c:v>
                </c:pt>
                <c:pt idx="68">
                  <c:v>13.611939291736901</c:v>
                </c:pt>
                <c:pt idx="69">
                  <c:v>13.612500000000001</c:v>
                </c:pt>
                <c:pt idx="70">
                  <c:v>13.614000000000001</c:v>
                </c:pt>
                <c:pt idx="71">
                  <c:v>13.65</c:v>
                </c:pt>
                <c:pt idx="72">
                  <c:v>13.654306786656701</c:v>
                </c:pt>
                <c:pt idx="73">
                  <c:v>13.655099999999999</c:v>
                </c:pt>
                <c:pt idx="74">
                  <c:v>13.656000000000001</c:v>
                </c:pt>
                <c:pt idx="75">
                  <c:v>13.701588810429101</c:v>
                </c:pt>
                <c:pt idx="76">
                  <c:v>13.7027</c:v>
                </c:pt>
                <c:pt idx="77">
                  <c:v>13.704000000000001</c:v>
                </c:pt>
                <c:pt idx="78">
                  <c:v>13.759</c:v>
                </c:pt>
                <c:pt idx="79">
                  <c:v>13.754822438824799</c:v>
                </c:pt>
                <c:pt idx="80">
                  <c:v>13.7552</c:v>
                </c:pt>
                <c:pt idx="81">
                  <c:v>13.757</c:v>
                </c:pt>
                <c:pt idx="82">
                  <c:v>13.8131</c:v>
                </c:pt>
                <c:pt idx="83">
                  <c:v>13.811</c:v>
                </c:pt>
                <c:pt idx="84">
                  <c:v>13.8758853056453</c:v>
                </c:pt>
                <c:pt idx="85">
                  <c:v>13.8765</c:v>
                </c:pt>
                <c:pt idx="86">
                  <c:v>13.878</c:v>
                </c:pt>
                <c:pt idx="87">
                  <c:v>13.945888044229401</c:v>
                </c:pt>
                <c:pt idx="88">
                  <c:v>13.945499999999999</c:v>
                </c:pt>
                <c:pt idx="89">
                  <c:v>13.948</c:v>
                </c:pt>
                <c:pt idx="90">
                  <c:v>13.9826080931263</c:v>
                </c:pt>
                <c:pt idx="91">
                  <c:v>13.982100000000001</c:v>
                </c:pt>
                <c:pt idx="92">
                  <c:v>14.065</c:v>
                </c:pt>
                <c:pt idx="93">
                  <c:v>14.07</c:v>
                </c:pt>
                <c:pt idx="94">
                  <c:v>14.03</c:v>
                </c:pt>
                <c:pt idx="95">
                  <c:v>14.04</c:v>
                </c:pt>
                <c:pt idx="96">
                  <c:v>13.71</c:v>
                </c:pt>
                <c:pt idx="97">
                  <c:v>13.6</c:v>
                </c:pt>
                <c:pt idx="98">
                  <c:v>13.38</c:v>
                </c:pt>
                <c:pt idx="99">
                  <c:v>13.3</c:v>
                </c:pt>
                <c:pt idx="100">
                  <c:v>13.07</c:v>
                </c:pt>
                <c:pt idx="101">
                  <c:v>12.95</c:v>
                </c:pt>
                <c:pt idx="102">
                  <c:v>12.78</c:v>
                </c:pt>
                <c:pt idx="103">
                  <c:v>12.67</c:v>
                </c:pt>
                <c:pt idx="104">
                  <c:v>12.52</c:v>
                </c:pt>
                <c:pt idx="105">
                  <c:v>12.48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5D-4AE6-AEDA-046665EA7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ax val="15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Sweep!$G$23:$G$122</c:f>
              <c:numCache>
                <c:formatCode>General</c:formatCode>
                <c:ptCount val="100"/>
                <c:pt idx="0">
                  <c:v>0</c:v>
                </c:pt>
                <c:pt idx="1">
                  <c:v>6.2932534175431645E-3</c:v>
                </c:pt>
                <c:pt idx="2">
                  <c:v>4.3789282454864444E-2</c:v>
                </c:pt>
                <c:pt idx="3">
                  <c:v>0.14091591262580141</c:v>
                </c:pt>
                <c:pt idx="4">
                  <c:v>0.32632540621115547</c:v>
                </c:pt>
                <c:pt idx="5">
                  <c:v>0.62880664595332469</c:v>
                </c:pt>
                <c:pt idx="6">
                  <c:v>1.0746739025747711</c:v>
                </c:pt>
                <c:pt idx="7">
                  <c:v>1.6815295311617411</c:v>
                </c:pt>
                <c:pt idx="8">
                  <c:v>2.4531356111141038</c:v>
                </c:pt>
                <c:pt idx="9">
                  <c:v>3.3797400236241728</c:v>
                </c:pt>
                <c:pt idx="10">
                  <c:v>4.4426888927084534</c:v>
                </c:pt>
                <c:pt idx="11">
                  <c:v>5.6199528248023922</c:v>
                </c:pt>
                <c:pt idx="12">
                  <c:v>6.8904161371822603</c:v>
                </c:pt>
                <c:pt idx="13">
                  <c:v>8.2364147825102343</c:v>
                </c:pt>
                <c:pt idx="14">
                  <c:v>9.6448516712946439</c:v>
                </c:pt>
                <c:pt idx="15">
                  <c:v>11.107406558301959</c:v>
                </c:pt>
                <c:pt idx="16">
                  <c:v>12.620262030989887</c:v>
                </c:pt>
                <c:pt idx="17">
                  <c:v>14.183611427556434</c:v>
                </c:pt>
                <c:pt idx="18">
                  <c:v>15.80108258994156</c:v>
                </c:pt>
                <c:pt idx="19">
                  <c:v>17.479117783928398</c:v>
                </c:pt>
                <c:pt idx="20">
                  <c:v>19.226286323253639</c:v>
                </c:pt>
                <c:pt idx="21">
                  <c:v>21.052462336440065</c:v>
                </c:pt>
                <c:pt idx="22">
                  <c:v>22.967769920640922</c:v>
                </c:pt>
                <c:pt idx="23">
                  <c:v>24.981183909127584</c:v>
                </c:pt>
                <c:pt idx="24">
                  <c:v>27.098677660485606</c:v>
                </c:pt>
                <c:pt idx="25">
                  <c:v>26.847667481726308</c:v>
                </c:pt>
                <c:pt idx="26">
                  <c:v>27.957897795177455</c:v>
                </c:pt>
                <c:pt idx="27">
                  <c:v>29.10083360585476</c:v>
                </c:pt>
                <c:pt idx="28">
                  <c:v>30.1862777557069</c:v>
                </c:pt>
                <c:pt idx="29">
                  <c:v>31.193056685874545</c:v>
                </c:pt>
                <c:pt idx="30">
                  <c:v>32.110003915415376</c:v>
                </c:pt>
                <c:pt idx="31">
                  <c:v>32.928633280398422</c:v>
                </c:pt>
                <c:pt idx="32">
                  <c:v>33.6418181307194</c:v>
                </c:pt>
                <c:pt idx="33">
                  <c:v>34.243850927807443</c:v>
                </c:pt>
                <c:pt idx="34">
                  <c:v>34.730913090243433</c:v>
                </c:pt>
                <c:pt idx="35">
                  <c:v>35.101618465792939</c:v>
                </c:pt>
                <c:pt idx="36">
                  <c:v>35.357445300546296</c:v>
                </c:pt>
                <c:pt idx="37">
                  <c:v>35.502932685955713</c:v>
                </c:pt>
                <c:pt idx="38">
                  <c:v>35.545573492817027</c:v>
                </c:pt>
                <c:pt idx="39">
                  <c:v>35.495401271917515</c:v>
                </c:pt>
                <c:pt idx="40">
                  <c:v>35.364332039287994</c:v>
                </c:pt>
                <c:pt idx="41">
                  <c:v>35.165367816274021</c:v>
                </c:pt>
                <c:pt idx="42">
                  <c:v>34.911784051756669</c:v>
                </c:pt>
                <c:pt idx="43">
                  <c:v>34.616408148168389</c:v>
                </c:pt>
                <c:pt idx="44">
                  <c:v>34.291060439942022</c:v>
                </c:pt>
                <c:pt idx="45">
                  <c:v>33.946186785626558</c:v>
                </c:pt>
                <c:pt idx="46">
                  <c:v>33.590675165505601</c:v>
                </c:pt>
                <c:pt idx="47">
                  <c:v>33.231825177862078</c:v>
                </c:pt>
                <c:pt idx="48">
                  <c:v>32.875428863676582</c:v>
                </c:pt>
                <c:pt idx="49">
                  <c:v>32.525921152233778</c:v>
                </c:pt>
                <c:pt idx="50">
                  <c:v>32.186565134740832</c:v>
                </c:pt>
                <c:pt idx="51">
                  <c:v>31.859645922288955</c:v>
                </c:pt>
                <c:pt idx="52">
                  <c:v>31.546655834276191</c:v>
                </c:pt>
                <c:pt idx="53">
                  <c:v>31.248461106303683</c:v>
                </c:pt>
                <c:pt idx="54">
                  <c:v>30.965445504175463</c:v>
                </c:pt>
                <c:pt idx="55">
                  <c:v>30.697630231695808</c:v>
                </c:pt>
                <c:pt idx="56">
                  <c:v>30.444771370480073</c:v>
                </c:pt>
                <c:pt idx="57">
                  <c:v>30.206437403658445</c:v>
                </c:pt>
                <c:pt idx="58">
                  <c:v>29.982069770406735</c:v>
                </c:pt>
                <c:pt idx="59">
                  <c:v>29.771029339496792</c:v>
                </c:pt>
                <c:pt idx="60">
                  <c:v>29.572631489337578</c:v>
                </c:pt>
                <c:pt idx="61">
                  <c:v>29.386172127781261</c:v>
                </c:pt>
                <c:pt idx="62">
                  <c:v>29.210946623297701</c:v>
                </c:pt>
                <c:pt idx="63">
                  <c:v>29.046263241561434</c:v>
                </c:pt>
                <c:pt idx="64">
                  <c:v>28.891452385939278</c:v>
                </c:pt>
                <c:pt idx="65">
                  <c:v>28.745872678059754</c:v>
                </c:pt>
                <c:pt idx="66">
                  <c:v>28.608914681672967</c:v>
                </c:pt>
                <c:pt idx="67">
                  <c:v>28.480002824779916</c:v>
                </c:pt>
                <c:pt idx="68">
                  <c:v>28.358596160638481</c:v>
                </c:pt>
                <c:pt idx="69">
                  <c:v>28.244188111086284</c:v>
                </c:pt>
                <c:pt idx="70">
                  <c:v>28.136305676425263</c:v>
                </c:pt>
                <c:pt idx="71">
                  <c:v>28.03450814133533</c:v>
                </c:pt>
                <c:pt idx="72">
                  <c:v>27.938385594356845</c:v>
                </c:pt>
                <c:pt idx="73">
                  <c:v>27.847557226371226</c:v>
                </c:pt>
                <c:pt idx="74">
                  <c:v>27.761669613413883</c:v>
                </c:pt>
                <c:pt idx="75">
                  <c:v>27.680394904963908</c:v>
                </c:pt>
                <c:pt idx="76">
                  <c:v>27.603429135469671</c:v>
                </c:pt>
                <c:pt idx="77">
                  <c:v>27.5304905148868</c:v>
                </c:pt>
                <c:pt idx="78">
                  <c:v>27.461317832212035</c:v>
                </c:pt>
                <c:pt idx="79">
                  <c:v>27.395668926773585</c:v>
                </c:pt>
                <c:pt idx="80">
                  <c:v>27.333319257410935</c:v>
                </c:pt>
                <c:pt idx="81">
                  <c:v>27.274060553529551</c:v>
                </c:pt>
                <c:pt idx="82">
                  <c:v>27.217699589013638</c:v>
                </c:pt>
                <c:pt idx="83">
                  <c:v>27.164056984892706</c:v>
                </c:pt>
                <c:pt idx="84">
                  <c:v>27.112966165584389</c:v>
                </c:pt>
                <c:pt idx="85">
                  <c:v>27.064272370693171</c:v>
                </c:pt>
                <c:pt idx="86">
                  <c:v>27.01783171109334</c:v>
                </c:pt>
                <c:pt idx="87">
                  <c:v>26.973510355552296</c:v>
                </c:pt>
                <c:pt idx="88">
                  <c:v>26.931183729843294</c:v>
                </c:pt>
                <c:pt idx="89">
                  <c:v>26.890735840047437</c:v>
                </c:pt>
                <c:pt idx="90">
                  <c:v>26.852058575931594</c:v>
                </c:pt>
                <c:pt idx="91">
                  <c:v>-136.43605770449807</c:v>
                </c:pt>
                <c:pt idx="92">
                  <c:v>-135.6689803379397</c:v>
                </c:pt>
                <c:pt idx="93">
                  <c:v>-134.92219126597121</c:v>
                </c:pt>
                <c:pt idx="94">
                  <c:v>-134.19494017628747</c:v>
                </c:pt>
                <c:pt idx="95">
                  <c:v>-133.48650986923448</c:v>
                </c:pt>
                <c:pt idx="96">
                  <c:v>-132.79621457129488</c:v>
                </c:pt>
                <c:pt idx="97">
                  <c:v>-132.12339832593779</c:v>
                </c:pt>
                <c:pt idx="98">
                  <c:v>-131.46743349536638</c:v>
                </c:pt>
                <c:pt idx="99">
                  <c:v>-130.82771936235866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Experimental!$M$2:$M$38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12.3</c:v>
                </c:pt>
                <c:pt idx="13">
                  <c:v>13</c:v>
                </c:pt>
                <c:pt idx="14">
                  <c:v>13.1</c:v>
                </c:pt>
                <c:pt idx="15">
                  <c:v>14</c:v>
                </c:pt>
                <c:pt idx="16">
                  <c:v>14.71</c:v>
                </c:pt>
                <c:pt idx="17">
                  <c:v>15</c:v>
                </c:pt>
                <c:pt idx="18">
                  <c:v>16</c:v>
                </c:pt>
                <c:pt idx="19">
                  <c:v>16.63</c:v>
                </c:pt>
                <c:pt idx="20">
                  <c:v>17</c:v>
                </c:pt>
                <c:pt idx="21">
                  <c:v>18</c:v>
                </c:pt>
                <c:pt idx="22">
                  <c:v>18.54</c:v>
                </c:pt>
                <c:pt idx="23">
                  <c:v>18.850000000000001</c:v>
                </c:pt>
                <c:pt idx="24">
                  <c:v>19</c:v>
                </c:pt>
                <c:pt idx="25">
                  <c:v>20</c:v>
                </c:pt>
                <c:pt idx="26">
                  <c:v>20</c:v>
                </c:pt>
                <c:pt idx="27">
                  <c:v>20.85</c:v>
                </c:pt>
                <c:pt idx="28">
                  <c:v>20.9</c:v>
                </c:pt>
                <c:pt idx="29">
                  <c:v>21</c:v>
                </c:pt>
                <c:pt idx="30">
                  <c:v>22</c:v>
                </c:pt>
                <c:pt idx="31">
                  <c:v>22.1</c:v>
                </c:pt>
                <c:pt idx="32">
                  <c:v>22.7</c:v>
                </c:pt>
                <c:pt idx="33">
                  <c:v>22.85</c:v>
                </c:pt>
                <c:pt idx="34">
                  <c:v>23</c:v>
                </c:pt>
                <c:pt idx="35">
                  <c:v>23.5</c:v>
                </c:pt>
                <c:pt idx="36">
                  <c:v>24</c:v>
                </c:pt>
              </c:numCache>
            </c:numRef>
          </c:xVal>
          <c:yVal>
            <c:numRef>
              <c:f>Experimental!$N$2:$N$38</c:f>
              <c:numCache>
                <c:formatCode>General</c:formatCode>
                <c:ptCount val="37"/>
                <c:pt idx="12">
                  <c:v>8.7027199999999993</c:v>
                </c:pt>
                <c:pt idx="13">
                  <c:v>9.74</c:v>
                </c:pt>
                <c:pt idx="14">
                  <c:v>9.7487200000000005</c:v>
                </c:pt>
                <c:pt idx="15">
                  <c:v>11.09</c:v>
                </c:pt>
                <c:pt idx="16">
                  <c:v>11.673360000000001</c:v>
                </c:pt>
                <c:pt idx="17">
                  <c:v>12.42</c:v>
                </c:pt>
                <c:pt idx="18">
                  <c:v>13.71</c:v>
                </c:pt>
                <c:pt idx="19">
                  <c:v>14.016400000000001</c:v>
                </c:pt>
                <c:pt idx="20">
                  <c:v>15.01</c:v>
                </c:pt>
                <c:pt idx="21">
                  <c:v>16.350000000000001</c:v>
                </c:pt>
                <c:pt idx="22">
                  <c:v>16.066559999999999</c:v>
                </c:pt>
                <c:pt idx="23">
                  <c:v>16.610479999999999</c:v>
                </c:pt>
                <c:pt idx="24">
                  <c:v>17.73</c:v>
                </c:pt>
                <c:pt idx="25">
                  <c:v>19.14</c:v>
                </c:pt>
                <c:pt idx="26">
                  <c:v>17.865679999999902</c:v>
                </c:pt>
                <c:pt idx="27">
                  <c:v>19.204560000000001</c:v>
                </c:pt>
                <c:pt idx="28">
                  <c:v>19.204560000000001</c:v>
                </c:pt>
                <c:pt idx="29">
                  <c:v>20.84</c:v>
                </c:pt>
                <c:pt idx="30">
                  <c:v>22.72</c:v>
                </c:pt>
                <c:pt idx="31">
                  <c:v>21.04552</c:v>
                </c:pt>
                <c:pt idx="32">
                  <c:v>22.1752</c:v>
                </c:pt>
                <c:pt idx="33">
                  <c:v>22.635439999999999</c:v>
                </c:pt>
                <c:pt idx="34">
                  <c:v>24.63</c:v>
                </c:pt>
                <c:pt idx="35">
                  <c:v>24.35088</c:v>
                </c:pt>
                <c:pt idx="36">
                  <c:v>26.48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F5-4045-90A5-A59168013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Sweep!$F$23:$F$122</c:f>
              <c:numCache>
                <c:formatCode>General</c:formatCode>
                <c:ptCount val="100"/>
                <c:pt idx="0">
                  <c:v>0</c:v>
                </c:pt>
                <c:pt idx="1">
                  <c:v>1.4098855814655494E-6</c:v>
                </c:pt>
                <c:pt idx="2">
                  <c:v>9.8102808623691058E-6</c:v>
                </c:pt>
                <c:pt idx="3">
                  <c:v>3.1571394814972531E-5</c:v>
                </c:pt>
                <c:pt idx="4">
                  <c:v>7.3120154788395471E-5</c:v>
                </c:pt>
                <c:pt idx="5">
                  <c:v>1.4093275052104364E-4</c:v>
                </c:pt>
                <c:pt idx="6">
                  <c:v>2.4097164683256828E-4</c:v>
                </c:pt>
                <c:pt idx="7">
                  <c:v>3.7731827295506889E-4</c:v>
                </c:pt>
                <c:pt idx="8">
                  <c:v>5.5105220671880441E-4</c:v>
                </c:pt>
                <c:pt idx="9">
                  <c:v>7.6033633551990767E-4</c:v>
                </c:pt>
                <c:pt idx="10">
                  <c:v>1.001437746491898E-3</c:v>
                </c:pt>
                <c:pt idx="11">
                  <c:v>1.2699300414292741E-3</c:v>
                </c:pt>
                <c:pt idx="12">
                  <c:v>1.5616029023796576E-3</c:v>
                </c:pt>
                <c:pt idx="13">
                  <c:v>1.8729719445323236E-3</c:v>
                </c:pt>
                <c:pt idx="14">
                  <c:v>2.2014675877086386E-3</c:v>
                </c:pt>
                <c:pt idx="15">
                  <c:v>2.5454198493190397E-3</c:v>
                </c:pt>
                <c:pt idx="16">
                  <c:v>2.9039312649584924E-3</c:v>
                </c:pt>
                <c:pt idx="17">
                  <c:v>3.2766932675371203E-3</c:v>
                </c:pt>
                <c:pt idx="18">
                  <c:v>3.6637710976117309E-3</c:v>
                </c:pt>
                <c:pt idx="19">
                  <c:v>4.0653619899756787E-3</c:v>
                </c:pt>
                <c:pt idx="20">
                  <c:v>4.481519465554082E-3</c:v>
                </c:pt>
                <c:pt idx="21">
                  <c:v>4.9118316930690104E-3</c:v>
                </c:pt>
                <c:pt idx="22">
                  <c:v>5.3550441403817589E-3</c:v>
                </c:pt>
                <c:pt idx="23">
                  <c:v>5.8086281599429145E-3</c:v>
                </c:pt>
                <c:pt idx="24">
                  <c:v>6.2683188790788888E-3</c:v>
                </c:pt>
                <c:pt idx="25">
                  <c:v>6.0756697303871636E-3</c:v>
                </c:pt>
                <c:pt idx="26">
                  <c:v>6.2522349453091397E-3</c:v>
                </c:pt>
                <c:pt idx="27">
                  <c:v>6.4337751975316023E-3</c:v>
                </c:pt>
                <c:pt idx="28">
                  <c:v>6.5943965705565384E-3</c:v>
                </c:pt>
                <c:pt idx="29">
                  <c:v>6.7284240664221336E-3</c:v>
                </c:pt>
                <c:pt idx="30">
                  <c:v>6.8330986190340195E-3</c:v>
                </c:pt>
                <c:pt idx="31">
                  <c:v>6.9064446989967965E-3</c:v>
                </c:pt>
                <c:pt idx="32">
                  <c:v>6.9469166525029441E-3</c:v>
                </c:pt>
                <c:pt idx="33">
                  <c:v>6.9534506413686473E-3</c:v>
                </c:pt>
                <c:pt idx="34">
                  <c:v>6.9256293939782242E-3</c:v>
                </c:pt>
                <c:pt idx="35">
                  <c:v>6.8638548764382683E-3</c:v>
                </c:pt>
                <c:pt idx="36">
                  <c:v>6.7694701143064164E-3</c:v>
                </c:pt>
                <c:pt idx="37">
                  <c:v>6.6447922025090157E-3</c:v>
                </c:pt>
                <c:pt idx="38">
                  <c:v>6.4930388585624239E-3</c:v>
                </c:pt>
                <c:pt idx="39">
                  <c:v>6.3181538835458172E-3</c:v>
                </c:pt>
                <c:pt idx="40">
                  <c:v>6.1245580632044655E-3</c:v>
                </c:pt>
                <c:pt idx="41">
                  <c:v>5.9168658070250972E-3</c:v>
                </c:pt>
                <c:pt idx="42">
                  <c:v>5.699610412489408E-3</c:v>
                </c:pt>
                <c:pt idx="43">
                  <c:v>5.4770130951771285E-3</c:v>
                </c:pt>
                <c:pt idx="44">
                  <c:v>5.2528167786749904E-3</c:v>
                </c:pt>
                <c:pt idx="45">
                  <c:v>5.0301903950692962E-3</c:v>
                </c:pt>
                <c:pt idx="46">
                  <c:v>4.8116971474539139E-3</c:v>
                </c:pt>
                <c:pt idx="47">
                  <c:v>4.5993129670753672E-3</c:v>
                </c:pt>
                <c:pt idx="48">
                  <c:v>4.3944789644350278E-3</c:v>
                </c:pt>
                <c:pt idx="49">
                  <c:v>4.1981727590163064E-3</c:v>
                </c:pt>
                <c:pt idx="50">
                  <c:v>4.0109866562725131E-3</c:v>
                </c:pt>
                <c:pt idx="51">
                  <c:v>3.8332042017101718E-3</c:v>
                </c:pt>
                <c:pt idx="52">
                  <c:v>3.6648699253522062E-3</c:v>
                </c:pt>
                <c:pt idx="53">
                  <c:v>3.5058497226131947E-3</c:v>
                </c:pt>
                <c:pt idx="54">
                  <c:v>3.3558810964420213E-3</c:v>
                </c:pt>
                <c:pt idx="55">
                  <c:v>3.2146136742125567E-3</c:v>
                </c:pt>
                <c:pt idx="56">
                  <c:v>3.0816409920677423E-3</c:v>
                </c:pt>
                <c:pt idx="57">
                  <c:v>2.9565248232266803E-3</c:v>
                </c:pt>
                <c:pt idx="58">
                  <c:v>2.838813357034588E-3</c:v>
                </c:pt>
                <c:pt idx="59">
                  <c:v>2.7280544381855444E-3</c:v>
                </c:pt>
                <c:pt idx="60">
                  <c:v>2.6238049277213221E-3</c:v>
                </c:pt>
                <c:pt idx="61">
                  <c:v>2.5256370760558824E-3</c:v>
                </c:pt>
                <c:pt idx="62">
                  <c:v>2.4331426350044957E-3</c:v>
                </c:pt>
                <c:pt idx="63">
                  <c:v>2.3459352823906299E-3</c:v>
                </c:pt>
                <c:pt idx="64">
                  <c:v>2.2636518179307047E-3</c:v>
                </c:pt>
                <c:pt idx="65">
                  <c:v>2.1859524733052367E-3</c:v>
                </c:pt>
                <c:pt idx="66">
                  <c:v>2.1125206057428202E-3</c:v>
                </c:pt>
                <c:pt idx="67">
                  <c:v>2.0430619680567612E-3</c:v>
                </c:pt>
                <c:pt idx="68">
                  <c:v>1.9773037155885959E-3</c:v>
                </c:pt>
                <c:pt idx="69">
                  <c:v>1.9149932421750097E-3</c:v>
                </c:pt>
                <c:pt idx="70">
                  <c:v>1.8558969390329468E-3</c:v>
                </c:pt>
                <c:pt idx="71">
                  <c:v>1.7997989197691951E-3</c:v>
                </c:pt>
                <c:pt idx="72">
                  <c:v>1.7464997616532729E-3</c:v>
                </c:pt>
                <c:pt idx="73">
                  <c:v>1.695815279421398E-3</c:v>
                </c:pt>
                <c:pt idx="74">
                  <c:v>1.6475753566720468E-3</c:v>
                </c:pt>
                <c:pt idx="75">
                  <c:v>1.6016228364894999E-3</c:v>
                </c:pt>
                <c:pt idx="76">
                  <c:v>1.5578124874892785E-3</c:v>
                </c:pt>
                <c:pt idx="77">
                  <c:v>1.5160100367748771E-3</c:v>
                </c:pt>
                <c:pt idx="78">
                  <c:v>1.4760912763633657E-3</c:v>
                </c:pt>
                <c:pt idx="79">
                  <c:v>1.4379412381700996E-3</c:v>
                </c:pt>
                <c:pt idx="80">
                  <c:v>1.4014534336069689E-3</c:v>
                </c:pt>
                <c:pt idx="81">
                  <c:v>1.3665291581513995E-3</c:v>
                </c:pt>
                <c:pt idx="82">
                  <c:v>1.3330768530448475E-3</c:v>
                </c:pt>
                <c:pt idx="83">
                  <c:v>1.3010115193886559E-3</c:v>
                </c:pt>
                <c:pt idx="84">
                  <c:v>1.2702541855352234E-3</c:v>
                </c:pt>
                <c:pt idx="85">
                  <c:v>1.2407314192063633E-3</c:v>
                </c:pt>
                <c:pt idx="86">
                  <c:v>1.2123748804353442E-3</c:v>
                </c:pt>
                <c:pt idx="87">
                  <c:v>1.1851209159600854E-3</c:v>
                </c:pt>
                <c:pt idx="88">
                  <c:v>1.1589101864507062E-3</c:v>
                </c:pt>
                <c:pt idx="89">
                  <c:v>1.1336873287234638E-3</c:v>
                </c:pt>
                <c:pt idx="90">
                  <c:v>1.1094006439246887E-3</c:v>
                </c:pt>
                <c:pt idx="91">
                  <c:v>-1.6532340393158823E-3</c:v>
                </c:pt>
                <c:pt idx="92">
                  <c:v>-1.6426211950854933E-3</c:v>
                </c:pt>
                <c:pt idx="93">
                  <c:v>-1.6321747432159457E-3</c:v>
                </c:pt>
                <c:pt idx="94">
                  <c:v>-1.6218886923940838E-3</c:v>
                </c:pt>
                <c:pt idx="95">
                  <c:v>-1.6117573261089735E-3</c:v>
                </c:pt>
                <c:pt idx="96">
                  <c:v>-1.6017751894754062E-3</c:v>
                </c:pt>
                <c:pt idx="97">
                  <c:v>-1.591937076478917E-3</c:v>
                </c:pt>
                <c:pt idx="98">
                  <c:v>-1.5822380180873863E-3</c:v>
                </c:pt>
                <c:pt idx="99">
                  <c:v>-1.5726732711336658E-3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Experimental!$H$2:$H$67</c:f>
              <c:numCache>
                <c:formatCode>General</c:formatCode>
                <c:ptCount val="6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2.5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3.5</c:v>
                </c:pt>
                <c:pt idx="11">
                  <c:v>3.5</c:v>
                </c:pt>
                <c:pt idx="12">
                  <c:v>3.7480000000000002</c:v>
                </c:pt>
                <c:pt idx="13">
                  <c:v>3.7496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4.2497999999999996</c:v>
                </c:pt>
                <c:pt idx="18">
                  <c:v>4.4980000000000002</c:v>
                </c:pt>
                <c:pt idx="19">
                  <c:v>4.5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6.0004</c:v>
                </c:pt>
                <c:pt idx="27">
                  <c:v>6.9999000000000002</c:v>
                </c:pt>
                <c:pt idx="28">
                  <c:v>7</c:v>
                </c:pt>
                <c:pt idx="29">
                  <c:v>7</c:v>
                </c:pt>
                <c:pt idx="30">
                  <c:v>7.0011000000000001</c:v>
                </c:pt>
                <c:pt idx="31">
                  <c:v>8</c:v>
                </c:pt>
                <c:pt idx="32">
                  <c:v>8</c:v>
                </c:pt>
                <c:pt idx="33">
                  <c:v>8.0000999999999998</c:v>
                </c:pt>
                <c:pt idx="34">
                  <c:v>8.0000999999999998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10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13</c:v>
                </c:pt>
                <c:pt idx="46">
                  <c:v>14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16</c:v>
                </c:pt>
                <c:pt idx="51">
                  <c:v>16</c:v>
                </c:pt>
                <c:pt idx="52">
                  <c:v>17</c:v>
                </c:pt>
                <c:pt idx="53">
                  <c:v>17</c:v>
                </c:pt>
                <c:pt idx="54">
                  <c:v>18</c:v>
                </c:pt>
                <c:pt idx="55">
                  <c:v>18</c:v>
                </c:pt>
                <c:pt idx="56">
                  <c:v>19</c:v>
                </c:pt>
                <c:pt idx="57">
                  <c:v>19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22</c:v>
                </c:pt>
                <c:pt idx="63">
                  <c:v>22</c:v>
                </c:pt>
                <c:pt idx="64">
                  <c:v>23</c:v>
                </c:pt>
                <c:pt idx="65">
                  <c:v>23</c:v>
                </c:pt>
              </c:numCache>
            </c:numRef>
          </c:xVal>
          <c:yVal>
            <c:numRef>
              <c:f>Experimental!$I$2:$I$67</c:f>
              <c:numCache>
                <c:formatCode>0.00E+00</c:formatCode>
                <c:ptCount val="66"/>
                <c:pt idx="0">
                  <c:v>1.0050000000000001E-7</c:v>
                </c:pt>
                <c:pt idx="1">
                  <c:v>8.0689999999999995E-7</c:v>
                </c:pt>
                <c:pt idx="2">
                  <c:v>2.734E-6</c:v>
                </c:pt>
                <c:pt idx="3">
                  <c:v>6.5369999999999901E-6</c:v>
                </c:pt>
                <c:pt idx="4">
                  <c:v>4.3239999999999996E-6</c:v>
                </c:pt>
                <c:pt idx="5">
                  <c:v>1.3019999999999901E-5</c:v>
                </c:pt>
                <c:pt idx="6">
                  <c:v>7.7309999999999993E-6</c:v>
                </c:pt>
                <c:pt idx="7">
                  <c:v>1.8E-5</c:v>
                </c:pt>
                <c:pt idx="8">
                  <c:v>2.319E-5</c:v>
                </c:pt>
                <c:pt idx="9">
                  <c:v>1.7999999999999999E-6</c:v>
                </c:pt>
                <c:pt idx="10">
                  <c:v>1.279E-5</c:v>
                </c:pt>
                <c:pt idx="11">
                  <c:v>3.8349999999999997E-5</c:v>
                </c:pt>
                <c:pt idx="12">
                  <c:v>1.6079999999999999E-5</c:v>
                </c:pt>
                <c:pt idx="13">
                  <c:v>1.6759999999999999E-5</c:v>
                </c:pt>
                <c:pt idx="14">
                  <c:v>6.0000000000000002E-5</c:v>
                </c:pt>
                <c:pt idx="15">
                  <c:v>5.9969999999999997E-5</c:v>
                </c:pt>
                <c:pt idx="16">
                  <c:v>6.0000000000000002E-5</c:v>
                </c:pt>
                <c:pt idx="17">
                  <c:v>2.5550000000000001E-5</c:v>
                </c:pt>
                <c:pt idx="18">
                  <c:v>2.9859999999999999E-5</c:v>
                </c:pt>
                <c:pt idx="19">
                  <c:v>8.9549999999999995E-5</c:v>
                </c:pt>
                <c:pt idx="20">
                  <c:v>4.4549999999999999E-5</c:v>
                </c:pt>
                <c:pt idx="21" formatCode="General">
                  <c:v>1.3799999999999999E-4</c:v>
                </c:pt>
                <c:pt idx="22" formatCode="General">
                  <c:v>1.283E-4</c:v>
                </c:pt>
                <c:pt idx="23" formatCode="General">
                  <c:v>1.3799999999999999E-4</c:v>
                </c:pt>
                <c:pt idx="24" formatCode="General">
                  <c:v>2.4600000000000002E-4</c:v>
                </c:pt>
                <c:pt idx="25" formatCode="General">
                  <c:v>2.4600000000000002E-4</c:v>
                </c:pt>
                <c:pt idx="26">
                  <c:v>8.1769999999999998E-5</c:v>
                </c:pt>
                <c:pt idx="27" formatCode="General">
                  <c:v>1.3229999999999999E-4</c:v>
                </c:pt>
                <c:pt idx="28" formatCode="General">
                  <c:v>3.9300000000000001E-4</c:v>
                </c:pt>
                <c:pt idx="29" formatCode="General">
                  <c:v>3.9300000000000001E-4</c:v>
                </c:pt>
                <c:pt idx="30" formatCode="General">
                  <c:v>1.325E-4</c:v>
                </c:pt>
                <c:pt idx="31" formatCode="General">
                  <c:v>5.7300000000000005E-4</c:v>
                </c:pt>
                <c:pt idx="32" formatCode="General">
                  <c:v>5.7300000000000005E-4</c:v>
                </c:pt>
                <c:pt idx="33" formatCode="General">
                  <c:v>1.972E-4</c:v>
                </c:pt>
                <c:pt idx="34" formatCode="General">
                  <c:v>1.952E-4</c:v>
                </c:pt>
                <c:pt idx="35" formatCode="General">
                  <c:v>1.972E-4</c:v>
                </c:pt>
                <c:pt idx="36" formatCode="General">
                  <c:v>7.8600000000000002E-4</c:v>
                </c:pt>
                <c:pt idx="37" formatCode="General">
                  <c:v>7.8600000000000002E-4</c:v>
                </c:pt>
                <c:pt idx="38" formatCode="General">
                  <c:v>1.0200000000000001E-3</c:v>
                </c:pt>
                <c:pt idx="39" formatCode="General">
                  <c:v>1.0169999999999999E-3</c:v>
                </c:pt>
                <c:pt idx="40" formatCode="General">
                  <c:v>1.2700000000000001E-3</c:v>
                </c:pt>
                <c:pt idx="41" formatCode="General">
                  <c:v>1.2689999999999999E-3</c:v>
                </c:pt>
                <c:pt idx="42" formatCode="General">
                  <c:v>1.5399999999999999E-3</c:v>
                </c:pt>
                <c:pt idx="43" formatCode="General">
                  <c:v>1.539E-3</c:v>
                </c:pt>
                <c:pt idx="44" formatCode="General">
                  <c:v>1.82E-3</c:v>
                </c:pt>
                <c:pt idx="45" formatCode="General">
                  <c:v>1.818E-3</c:v>
                </c:pt>
                <c:pt idx="46" formatCode="General">
                  <c:v>2.1099999999999999E-3</c:v>
                </c:pt>
                <c:pt idx="47" formatCode="General">
                  <c:v>2.1090000000000002E-3</c:v>
                </c:pt>
                <c:pt idx="48" formatCode="General">
                  <c:v>2.4099999999999998E-3</c:v>
                </c:pt>
                <c:pt idx="49" formatCode="General">
                  <c:v>2.4090000000000001E-3</c:v>
                </c:pt>
                <c:pt idx="50" formatCode="General">
                  <c:v>2.7000000000000001E-3</c:v>
                </c:pt>
                <c:pt idx="51" formatCode="General">
                  <c:v>2.7000000000000001E-3</c:v>
                </c:pt>
                <c:pt idx="52" formatCode="General">
                  <c:v>3.0000000000000001E-3</c:v>
                </c:pt>
                <c:pt idx="53" formatCode="General">
                  <c:v>2.9970000000000001E-3</c:v>
                </c:pt>
                <c:pt idx="54" formatCode="General">
                  <c:v>3.31E-3</c:v>
                </c:pt>
                <c:pt idx="55" formatCode="General">
                  <c:v>3.3119999999999998E-3</c:v>
                </c:pt>
                <c:pt idx="56" formatCode="General">
                  <c:v>3.65E-3</c:v>
                </c:pt>
                <c:pt idx="57" formatCode="General">
                  <c:v>3.6540000000000001E-3</c:v>
                </c:pt>
                <c:pt idx="58" formatCode="General">
                  <c:v>4.0099999999999997E-3</c:v>
                </c:pt>
                <c:pt idx="59" formatCode="General">
                  <c:v>4.0109999999999998E-3</c:v>
                </c:pt>
                <c:pt idx="60" formatCode="General">
                  <c:v>4.3899999999999998E-3</c:v>
                </c:pt>
                <c:pt idx="61" formatCode="General">
                  <c:v>4.3860000000000001E-3</c:v>
                </c:pt>
                <c:pt idx="62" formatCode="General">
                  <c:v>4.7600000000000003E-3</c:v>
                </c:pt>
                <c:pt idx="63" formatCode="General">
                  <c:v>4.764E-3</c:v>
                </c:pt>
                <c:pt idx="64" formatCode="General">
                  <c:v>5.1500000000000001E-3</c:v>
                </c:pt>
                <c:pt idx="65" formatCode="General">
                  <c:v>5.1539999999999997E-3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0B-48E5-8AD8-BFAFF0EAD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  <c:max val="5.00000000000000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Sweep!$D$23:$D$122</c:f>
              <c:numCache>
                <c:formatCode>General</c:formatCode>
                <c:ptCount val="100"/>
                <c:pt idx="0">
                  <c:v>0</c:v>
                </c:pt>
                <c:pt idx="1">
                  <c:v>1.0000051954537101E-3</c:v>
                </c:pt>
                <c:pt idx="2">
                  <c:v>1.0000690152519754E-3</c:v>
                </c:pt>
                <c:pt idx="3">
                  <c:v>1.000327863674312E-3</c:v>
                </c:pt>
                <c:pt idx="4">
                  <c:v>1.001004257401855E-3</c:v>
                </c:pt>
                <c:pt idx="5">
                  <c:v>1.0024077260847302E-3</c:v>
                </c:pt>
                <c:pt idx="6">
                  <c:v>1.00492516856745E-3</c:v>
                </c:pt>
                <c:pt idx="7">
                  <c:v>1.0089825786115667E-3</c:v>
                </c:pt>
                <c:pt idx="8">
                  <c:v>1.0149860366519079E-3</c:v>
                </c:pt>
                <c:pt idx="9">
                  <c:v>1.0232740703351203E-3</c:v>
                </c:pt>
                <c:pt idx="10">
                  <c:v>1.0340997734667424E-3</c:v>
                </c:pt>
                <c:pt idx="11">
                  <c:v>1.0476378425955588E-3</c:v>
                </c:pt>
                <c:pt idx="12">
                  <c:v>1.0640030448782639E-3</c:v>
                </c:pt>
                <c:pt idx="13">
                  <c:v>1.0832693381563154E-3</c:v>
                </c:pt>
                <c:pt idx="14">
                  <c:v>1.1054840711113793E-3</c:v>
                </c:pt>
                <c:pt idx="15">
                  <c:v>1.1306753222400949E-3</c:v>
                </c:pt>
                <c:pt idx="16">
                  <c:v>1.1588520778340031E-3</c:v>
                </c:pt>
                <c:pt idx="17">
                  <c:v>1.1899973130733604E-3</c:v>
                </c:pt>
                <c:pt idx="18">
                  <c:v>1.2240538205182676E-3</c:v>
                </c:pt>
                <c:pt idx="19">
                  <c:v>1.2609022850171205E-3</c:v>
                </c:pt>
                <c:pt idx="20">
                  <c:v>1.3003309460347849E-3</c:v>
                </c:pt>
                <c:pt idx="21">
                  <c:v>1.3419965327780552E-3</c:v>
                </c:pt>
                <c:pt idx="22">
                  <c:v>1.385377398914774E-3</c:v>
                </c:pt>
                <c:pt idx="23">
                  <c:v>1.4297224332370767E-3</c:v>
                </c:pt>
                <c:pt idx="24">
                  <c:v>1.4740037734399312E-3</c:v>
                </c:pt>
                <c:pt idx="25">
                  <c:v>1.453421559768484E-3</c:v>
                </c:pt>
                <c:pt idx="26">
                  <c:v>1.4703991518410519E-3</c:v>
                </c:pt>
                <c:pt idx="27">
                  <c:v>1.4885992862955053E-3</c:v>
                </c:pt>
                <c:pt idx="28">
                  <c:v>1.5047394152858579E-3</c:v>
                </c:pt>
                <c:pt idx="29">
                  <c:v>1.5178531452282292E-3</c:v>
                </c:pt>
                <c:pt idx="30">
                  <c:v>1.5272963211806288E-3</c:v>
                </c:pt>
                <c:pt idx="31">
                  <c:v>1.5325074057536711E-3</c:v>
                </c:pt>
                <c:pt idx="32">
                  <c:v>1.5329799117843998E-3</c:v>
                </c:pt>
                <c:pt idx="33">
                  <c:v>1.528286000506865E-3</c:v>
                </c:pt>
                <c:pt idx="34">
                  <c:v>1.5181155907107527E-3</c:v>
                </c:pt>
                <c:pt idx="35">
                  <c:v>1.5023163608866988E-3</c:v>
                </c:pt>
                <c:pt idx="36">
                  <c:v>1.4809247252839926E-3</c:v>
                </c:pt>
                <c:pt idx="37">
                  <c:v>1.4541802527374185E-3</c:v>
                </c:pt>
                <c:pt idx="38">
                  <c:v>1.4225191780651454E-3</c:v>
                </c:pt>
                <c:pt idx="39">
                  <c:v>1.3865468819468103E-3</c:v>
                </c:pt>
                <c:pt idx="40">
                  <c:v>1.3469935232081312E-3</c:v>
                </c:pt>
                <c:pt idx="41">
                  <c:v>1.304660157190497E-3</c:v>
                </c:pt>
                <c:pt idx="42">
                  <c:v>1.2603637648770938E-3</c:v>
                </c:pt>
                <c:pt idx="43">
                  <c:v>1.2148885968417224E-3</c:v>
                </c:pt>
                <c:pt idx="44">
                  <c:v>1.1689487547132855E-3</c:v>
                </c:pt>
                <c:pt idx="45">
                  <c:v>1.1231639944288294E-3</c:v>
                </c:pt>
                <c:pt idx="46">
                  <c:v>1.078048195557954E-3</c:v>
                </c:pt>
                <c:pt idx="47">
                  <c:v>1.0340082903587636E-3</c:v>
                </c:pt>
                <c:pt idx="48">
                  <c:v>9.913507310615403E-4</c:v>
                </c:pt>
                <c:pt idx="49">
                  <c:v>9.5029259583833574E-4</c:v>
                </c:pt>
                <c:pt idx="50">
                  <c:v>9.1097489950182518E-4</c:v>
                </c:pt>
                <c:pt idx="51">
                  <c:v>8.734763124855589E-4</c:v>
                </c:pt>
                <c:pt idx="52">
                  <c:v>8.3782610870030544E-4</c:v>
                </c:pt>
                <c:pt idx="53">
                  <c:v>8.0401568751619224E-4</c:v>
                </c:pt>
                <c:pt idx="54">
                  <c:v>7.7200838943046869E-4</c:v>
                </c:pt>
                <c:pt idx="55">
                  <c:v>7.4174758092632469E-4</c:v>
                </c:pt>
                <c:pt idx="56">
                  <c:v>7.1316312895585473E-4</c:v>
                </c:pt>
                <c:pt idx="57">
                  <c:v>6.8617646120137086E-4</c:v>
                </c:pt>
                <c:pt idx="58">
                  <c:v>6.6070443257195658E-4</c:v>
                </c:pt>
                <c:pt idx="59">
                  <c:v>6.3666221336522574E-4</c:v>
                </c:pt>
                <c:pt idx="60">
                  <c:v>6.1396539451407978E-4</c:v>
                </c:pt>
                <c:pt idx="61">
                  <c:v>5.9253147833652087E-4</c:v>
                </c:pt>
                <c:pt idx="62">
                  <c:v>5.7228089532731282E-4</c:v>
                </c:pt>
                <c:pt idx="63">
                  <c:v>5.53137660090072E-4</c:v>
                </c:pt>
                <c:pt idx="64">
                  <c:v>5.3502975872744493E-4</c:v>
                </c:pt>
                <c:pt idx="65">
                  <c:v>5.1788933723565791E-4</c:v>
                </c:pt>
                <c:pt idx="66">
                  <c:v>5.0165274702372456E-4</c:v>
                </c:pt>
                <c:pt idx="67">
                  <c:v>4.8626048901485787E-4</c:v>
                </c:pt>
                <c:pt idx="68">
                  <c:v>4.7165708892939082E-4</c:v>
                </c:pt>
                <c:pt idx="69">
                  <c:v>4.5779092665246133E-4</c:v>
                </c:pt>
                <c:pt idx="70">
                  <c:v>4.4461403818629822E-4</c:v>
                </c:pt>
                <c:pt idx="71">
                  <c:v>4.3208190237390798E-4</c:v>
                </c:pt>
                <c:pt idx="72">
                  <c:v>4.2015322227195831E-4</c:v>
                </c:pt>
                <c:pt idx="73">
                  <c:v>4.0878970718181702E-4</c:v>
                </c:pt>
                <c:pt idx="74">
                  <c:v>3.9795586026056316E-4</c:v>
                </c:pt>
                <c:pt idx="75">
                  <c:v>3.8761877425562609E-4</c:v>
                </c:pt>
                <c:pt idx="76">
                  <c:v>3.7774793776902736E-4</c:v>
                </c:pt>
                <c:pt idx="77">
                  <c:v>3.6831505257850982E-4</c:v>
                </c:pt>
                <c:pt idx="78">
                  <c:v>3.5929386282818396E-4</c:v>
                </c:pt>
                <c:pt idx="79">
                  <c:v>3.5065999608668088E-4</c:v>
                </c:pt>
                <c:pt idx="80">
                  <c:v>3.4239081555030598E-4</c:v>
                </c:pt>
                <c:pt idx="81">
                  <c:v>3.3446528414455244E-4</c:v>
                </c:pt>
                <c:pt idx="82">
                  <c:v>3.2686383862452274E-4</c:v>
                </c:pt>
                <c:pt idx="83">
                  <c:v>3.1956827383722292E-4</c:v>
                </c:pt>
                <c:pt idx="84">
                  <c:v>3.1256163642861363E-4</c:v>
                </c:pt>
                <c:pt idx="85">
                  <c:v>3.0582812717892962E-4</c:v>
                </c:pt>
                <c:pt idx="86">
                  <c:v>2.9935301132261367E-4</c:v>
                </c:pt>
                <c:pt idx="87">
                  <c:v>2.9312253640815058E-4</c:v>
                </c:pt>
                <c:pt idx="88">
                  <c:v>2.8712385687988684E-4</c:v>
                </c:pt>
                <c:pt idx="89">
                  <c:v>2.8134496504201206E-4</c:v>
                </c:pt>
                <c:pt idx="90">
                  <c:v>2.7577462762772611E-4</c:v>
                </c:pt>
                <c:pt idx="91">
                  <c:v>-2.4436319014628497E-5</c:v>
                </c:pt>
                <c:pt idx="92">
                  <c:v>-2.4543635509002483E-5</c:v>
                </c:pt>
                <c:pt idx="93">
                  <c:v>-2.4647931865276725E-5</c:v>
                </c:pt>
                <c:pt idx="94">
                  <c:v>-2.4749201587235209E-5</c:v>
                </c:pt>
                <c:pt idx="95">
                  <c:v>-2.4847439806746653E-5</c:v>
                </c:pt>
                <c:pt idx="96">
                  <c:v>-2.4942643285843467E-5</c:v>
                </c:pt>
                <c:pt idx="97">
                  <c:v>-2.5034810405596357E-5</c:v>
                </c:pt>
                <c:pt idx="98">
                  <c:v>-2.5123941157413457E-5</c:v>
                </c:pt>
                <c:pt idx="99">
                  <c:v>-2.5210037135612979E-5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Experimental!$R$2:$R$35</c:f>
              <c:numCache>
                <c:formatCode>General</c:formatCode>
                <c:ptCount val="3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4.2</c:v>
                </c:pt>
                <c:pt idx="5">
                  <c:v>4.7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12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</c:numCache>
            </c:numRef>
          </c:xVal>
          <c:yVal>
            <c:numRef>
              <c:f>Experimental!$S$2:$S$35</c:f>
              <c:numCache>
                <c:formatCode>General</c:formatCode>
                <c:ptCount val="34"/>
                <c:pt idx="0">
                  <c:v>8.8500000000000004E-4</c:v>
                </c:pt>
                <c:pt idx="1">
                  <c:v>8.8599999999999996E-4</c:v>
                </c:pt>
                <c:pt idx="2">
                  <c:v>8.9999999999999998E-4</c:v>
                </c:pt>
                <c:pt idx="3">
                  <c:v>8.8800000000000001E-4</c:v>
                </c:pt>
                <c:pt idx="4">
                  <c:v>9.1100000000000003E-4</c:v>
                </c:pt>
                <c:pt idx="5">
                  <c:v>8.8999999999999995E-4</c:v>
                </c:pt>
                <c:pt idx="6">
                  <c:v>8.9099999999999997E-4</c:v>
                </c:pt>
                <c:pt idx="7">
                  <c:v>9.1E-4</c:v>
                </c:pt>
                <c:pt idx="8">
                  <c:v>8.9599999999999999E-4</c:v>
                </c:pt>
                <c:pt idx="9">
                  <c:v>9.0300000000000005E-4</c:v>
                </c:pt>
                <c:pt idx="10">
                  <c:v>9.2000000000000003E-4</c:v>
                </c:pt>
                <c:pt idx="11">
                  <c:v>9.1299999999999997E-4</c:v>
                </c:pt>
                <c:pt idx="12">
                  <c:v>9.2599999999999996E-4</c:v>
                </c:pt>
                <c:pt idx="13">
                  <c:v>9.3999999999999997E-4</c:v>
                </c:pt>
                <c:pt idx="14">
                  <c:v>9.4200000000000002E-4</c:v>
                </c:pt>
                <c:pt idx="15">
                  <c:v>9.6199999999999996E-4</c:v>
                </c:pt>
                <c:pt idx="16">
                  <c:v>9.6000000000000002E-4</c:v>
                </c:pt>
                <c:pt idx="17">
                  <c:v>9.8700000000000003E-4</c:v>
                </c:pt>
                <c:pt idx="18">
                  <c:v>1.0200000000000001E-3</c:v>
                </c:pt>
                <c:pt idx="19">
                  <c:v>9.7400000000000004E-4</c:v>
                </c:pt>
                <c:pt idx="20">
                  <c:v>1E-3</c:v>
                </c:pt>
                <c:pt idx="21">
                  <c:v>1.0499999999999999E-3</c:v>
                </c:pt>
                <c:pt idx="22">
                  <c:v>1.1000000000000001E-3</c:v>
                </c:pt>
                <c:pt idx="23">
                  <c:v>1.07E-3</c:v>
                </c:pt>
                <c:pt idx="24">
                  <c:v>1.15E-3</c:v>
                </c:pt>
                <c:pt idx="25">
                  <c:v>1.1999999999999999E-3</c:v>
                </c:pt>
                <c:pt idx="26">
                  <c:v>1.24E-3</c:v>
                </c:pt>
                <c:pt idx="27">
                  <c:v>1.2600000000000001E-3</c:v>
                </c:pt>
                <c:pt idx="28">
                  <c:v>1.32E-3</c:v>
                </c:pt>
                <c:pt idx="29">
                  <c:v>1.39E-3</c:v>
                </c:pt>
                <c:pt idx="30">
                  <c:v>1.4599999999999999E-3</c:v>
                </c:pt>
                <c:pt idx="31">
                  <c:v>1.5399999999999999E-3</c:v>
                </c:pt>
                <c:pt idx="32">
                  <c:v>1.6199999999999999E-3</c:v>
                </c:pt>
                <c:pt idx="33">
                  <c:v>1.7099999999999999E-3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BA-424F-BEDC-CFB98448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Sweep!$E$23:$E$122</c:f>
              <c:numCache>
                <c:formatCode>General</c:formatCode>
                <c:ptCount val="100"/>
                <c:pt idx="0">
                  <c:v>0</c:v>
                </c:pt>
                <c:pt idx="1">
                  <c:v>1.0000005428251577E-3</c:v>
                </c:pt>
                <c:pt idx="2">
                  <c:v>1.000007209400343E-3</c:v>
                </c:pt>
                <c:pt idx="3">
                  <c:v>1.0000342252883261E-3</c:v>
                </c:pt>
                <c:pt idx="4">
                  <c:v>1.0001046506487035E-3</c:v>
                </c:pt>
                <c:pt idx="5">
                  <c:v>1.0002501413661762E-3</c:v>
                </c:pt>
                <c:pt idx="6">
                  <c:v>1.0005098947263539E-3</c:v>
                </c:pt>
                <c:pt idx="7">
                  <c:v>1.0009274022909566E-3</c:v>
                </c:pt>
                <c:pt idx="8">
                  <c:v>1.0015443200224138E-3</c:v>
                </c:pt>
                <c:pt idx="9">
                  <c:v>1.0023927042562854E-3</c:v>
                </c:pt>
                <c:pt idx="10">
                  <c:v>1.0034875978280724E-3</c:v>
                </c:pt>
                <c:pt idx="11">
                  <c:v>1.0048211592255964E-3</c:v>
                </c:pt>
                <c:pt idx="12">
                  <c:v>1.0063584828544723E-3</c:v>
                </c:pt>
                <c:pt idx="13">
                  <c:v>1.0080346738586461E-3</c:v>
                </c:pt>
                <c:pt idx="14">
                  <c:v>1.0097526130862511E-3</c:v>
                </c:pt>
                <c:pt idx="15">
                  <c:v>1.0113809718393508E-3</c:v>
                </c:pt>
                <c:pt idx="16">
                  <c:v>1.0127522602598874E-3</c:v>
                </c:pt>
                <c:pt idx="17">
                  <c:v>1.0136609514601565E-3</c:v>
                </c:pt>
                <c:pt idx="18">
                  <c:v>1.0138620039785999E-3</c:v>
                </c:pt>
                <c:pt idx="19">
                  <c:v>1.0130704186237297E-3</c:v>
                </c:pt>
                <c:pt idx="20">
                  <c:v>1.0109628226554579E-3</c:v>
                </c:pt>
                <c:pt idx="21">
                  <c:v>1.0071824648087175E-3</c:v>
                </c:pt>
                <c:pt idx="22">
                  <c:v>1.001349378773932E-3</c:v>
                </c:pt>
                <c:pt idx="23">
                  <c:v>9.9307772867283386E-4</c:v>
                </c:pt>
                <c:pt idx="24">
                  <c:v>9.8200242198069219E-4</c:v>
                </c:pt>
                <c:pt idx="25">
                  <c:v>9.7427954395431149E-4</c:v>
                </c:pt>
                <c:pt idx="26">
                  <c:v>9.648037085551401E-4</c:v>
                </c:pt>
                <c:pt idx="27">
                  <c:v>9.5543876106129251E-4</c:v>
                </c:pt>
                <c:pt idx="28">
                  <c:v>9.4594752285315209E-4</c:v>
                </c:pt>
                <c:pt idx="29">
                  <c:v>9.3623806786250104E-4</c:v>
                </c:pt>
                <c:pt idx="30">
                  <c:v>9.2622064695192091E-4</c:v>
                </c:pt>
                <c:pt idx="31">
                  <c:v>9.1579323154799522E-4</c:v>
                </c:pt>
                <c:pt idx="32">
                  <c:v>9.0484489430924246E-4</c:v>
                </c:pt>
                <c:pt idx="33">
                  <c:v>8.9326355106160297E-4</c:v>
                </c:pt>
                <c:pt idx="34">
                  <c:v>8.80945170140274E-4</c:v>
                </c:pt>
                <c:pt idx="35">
                  <c:v>8.6780322700698396E-4</c:v>
                </c:pt>
                <c:pt idx="36">
                  <c:v>8.5377735785699188E-4</c:v>
                </c:pt>
                <c:pt idx="37">
                  <c:v>8.3884014787305233E-4</c:v>
                </c:pt>
                <c:pt idx="38">
                  <c:v>8.2300111655552192E-4</c:v>
                </c:pt>
                <c:pt idx="39">
                  <c:v>8.0630731477533213E-4</c:v>
                </c:pt>
                <c:pt idx="40">
                  <c:v>7.8884047096158783E-4</c:v>
                </c:pt>
                <c:pt idx="41">
                  <c:v>7.707111807258981E-4</c:v>
                </c:pt>
                <c:pt idx="42">
                  <c:v>7.5205106993674173E-4</c:v>
                </c:pt>
                <c:pt idx="43">
                  <c:v>7.3300406914372719E-4</c:v>
                </c:pt>
                <c:pt idx="44">
                  <c:v>7.1371789369842006E-4</c:v>
                </c:pt>
                <c:pt idx="45">
                  <c:v>6.9433658641450944E-4</c:v>
                </c:pt>
                <c:pt idx="46">
                  <c:v>6.7499464573046427E-4</c:v>
                </c:pt>
                <c:pt idx="47">
                  <c:v>6.5581292959155681E-4</c:v>
                </c:pt>
                <c:pt idx="48">
                  <c:v>6.368962597804468E-4</c:v>
                </c:pt>
                <c:pt idx="49">
                  <c:v>6.1833248131358109E-4</c:v>
                </c:pt>
                <c:pt idx="50">
                  <c:v>6.0019265093504885E-4</c:v>
                </c:pt>
                <c:pt idx="51">
                  <c:v>5.8253202249556712E-4</c:v>
                </c:pt>
                <c:pt idx="52">
                  <c:v>5.6539152886956603E-4</c:v>
                </c:pt>
                <c:pt idx="53">
                  <c:v>5.4879951939881138E-4</c:v>
                </c:pt>
                <c:pt idx="54">
                  <c:v>5.3277357189797923E-4</c:v>
                </c:pt>
                <c:pt idx="55">
                  <c:v>5.1732225504034699E-4</c:v>
                </c:pt>
                <c:pt idx="56">
                  <c:v>5.0244676330811185E-4</c:v>
                </c:pt>
                <c:pt idx="57">
                  <c:v>4.8814238233836513E-4</c:v>
                </c:pt>
                <c:pt idx="58">
                  <c:v>4.7439976786099069E-4</c:v>
                </c:pt>
                <c:pt idx="59">
                  <c:v>4.6120603841671455E-4</c:v>
                </c:pt>
                <c:pt idx="60">
                  <c:v>4.4854569251693687E-4</c:v>
                </c:pt>
                <c:pt idx="61">
                  <c:v>4.3640136665600612E-4</c:v>
                </c:pt>
                <c:pt idx="62">
                  <c:v>4.2475445318235737E-4</c:v>
                </c:pt>
                <c:pt idx="63">
                  <c:v>4.1358559691918726E-4</c:v>
                </c:pt>
                <c:pt idx="64">
                  <c:v>4.0287508970601401E-4</c:v>
                </c:pt>
                <c:pt idx="65">
                  <c:v>3.926031787848489E-4</c:v>
                </c:pt>
                <c:pt idx="66">
                  <c:v>3.8275030444540699E-4</c:v>
                </c:pt>
                <c:pt idx="67">
                  <c:v>3.732972796148272E-4</c:v>
                </c:pt>
                <c:pt idx="68">
                  <c:v>3.6422542239093845E-4</c:v>
                </c:pt>
                <c:pt idx="69">
                  <c:v>3.5551665074302669E-4</c:v>
                </c:pt>
                <c:pt idx="70">
                  <c:v>3.4715354705349625E-4</c:v>
                </c:pt>
                <c:pt idx="71">
                  <c:v>3.3911939882790715E-4</c:v>
                </c:pt>
                <c:pt idx="72">
                  <c:v>3.3139822075201855E-4</c:v>
                </c:pt>
                <c:pt idx="73">
                  <c:v>3.2397476230629072E-4</c:v>
                </c:pt>
                <c:pt idx="74">
                  <c:v>3.1683450434058925E-4</c:v>
                </c:pt>
                <c:pt idx="75">
                  <c:v>3.099636473435168E-4</c:v>
                </c:pt>
                <c:pt idx="76">
                  <c:v>3.0334909359141929E-4</c:v>
                </c:pt>
                <c:pt idx="77">
                  <c:v>2.9697842491312616E-4</c:v>
                </c:pt>
                <c:pt idx="78">
                  <c:v>2.9083987744127219E-4</c:v>
                </c:pt>
                <c:pt idx="79">
                  <c:v>2.8492231449376443E-4</c:v>
                </c:pt>
                <c:pt idx="80">
                  <c:v>2.7921519807445639E-4</c:v>
                </c:pt>
                <c:pt idx="81">
                  <c:v>2.7370856039733872E-4</c:v>
                </c:pt>
                <c:pt idx="82">
                  <c:v>2.6839297502419284E-4</c:v>
                </c:pt>
                <c:pt idx="83">
                  <c:v>2.6325952859522912E-4</c:v>
                </c:pt>
                <c:pt idx="84">
                  <c:v>2.5829979320190138E-4</c:v>
                </c:pt>
                <c:pt idx="85">
                  <c:v>2.5350579963111372E-4</c:v>
                </c:pt>
                <c:pt idx="86">
                  <c:v>2.4887001161541717E-4</c:v>
                </c:pt>
                <c:pt idx="87">
                  <c:v>2.4438530117652866E-4</c:v>
                </c:pt>
                <c:pt idx="88">
                  <c:v>2.4004492511280141E-4</c:v>
                </c:pt>
                <c:pt idx="89">
                  <c:v>2.3584250265302502E-4</c:v>
                </c:pt>
                <c:pt idx="90">
                  <c:v>2.3177199427744342E-4</c:v>
                </c:pt>
                <c:pt idx="91">
                  <c:v>2.6136628620360018E-5</c:v>
                </c:pt>
                <c:pt idx="92">
                  <c:v>2.6149619048600568E-5</c:v>
                </c:pt>
                <c:pt idx="93">
                  <c:v>2.6160730725690481E-5</c:v>
                </c:pt>
                <c:pt idx="94">
                  <c:v>2.616999747813097E-5</c:v>
                </c:pt>
                <c:pt idx="95">
                  <c:v>2.6177452810208176E-5</c:v>
                </c:pt>
                <c:pt idx="96">
                  <c:v>2.6183129905198448E-5</c:v>
                </c:pt>
                <c:pt idx="97">
                  <c:v>2.6187061626265724E-5</c:v>
                </c:pt>
                <c:pt idx="98">
                  <c:v>2.6189280517085749E-5</c:v>
                </c:pt>
                <c:pt idx="99">
                  <c:v>2.618981880222542E-5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Experimental!$W$2:$W$40</c:f>
              <c:numCache>
                <c:formatCode>General</c:formatCode>
                <c:ptCount val="39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17</c:v>
                </c:pt>
                <c:pt idx="29">
                  <c:v>18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22</c:v>
                </c:pt>
                <c:pt idx="34">
                  <c:v>23</c:v>
                </c:pt>
                <c:pt idx="35">
                  <c:v>23.7</c:v>
                </c:pt>
                <c:pt idx="36">
                  <c:v>24.3</c:v>
                </c:pt>
                <c:pt idx="37">
                  <c:v>24.3</c:v>
                </c:pt>
                <c:pt idx="38">
                  <c:v>24.3</c:v>
                </c:pt>
              </c:numCache>
            </c:numRef>
          </c:xVal>
          <c:yVal>
            <c:numRef>
              <c:f>Experimental!$X$2:$X$40</c:f>
              <c:numCache>
                <c:formatCode>General</c:formatCode>
                <c:ptCount val="39"/>
                <c:pt idx="0">
                  <c:v>8.8500000000000004E-4</c:v>
                </c:pt>
                <c:pt idx="1">
                  <c:v>8.8500000000000004E-4</c:v>
                </c:pt>
                <c:pt idx="2">
                  <c:v>8.8500000000000004E-4</c:v>
                </c:pt>
                <c:pt idx="3">
                  <c:v>8.8500000000000004E-4</c:v>
                </c:pt>
                <c:pt idx="4">
                  <c:v>8.8500000000000004E-4</c:v>
                </c:pt>
                <c:pt idx="5">
                  <c:v>8.8599999999999996E-4</c:v>
                </c:pt>
                <c:pt idx="6">
                  <c:v>8.8699999999999998E-4</c:v>
                </c:pt>
                <c:pt idx="7">
                  <c:v>8.8699999999999998E-4</c:v>
                </c:pt>
                <c:pt idx="8">
                  <c:v>8.8800000000000001E-4</c:v>
                </c:pt>
                <c:pt idx="9">
                  <c:v>8.8900000000000003E-4</c:v>
                </c:pt>
                <c:pt idx="10">
                  <c:v>8.8999999999999995E-4</c:v>
                </c:pt>
                <c:pt idx="11">
                  <c:v>8.9800000000000004E-4</c:v>
                </c:pt>
                <c:pt idx="12">
                  <c:v>8.8999999999999995E-4</c:v>
                </c:pt>
                <c:pt idx="13">
                  <c:v>8.9099999999999997E-4</c:v>
                </c:pt>
                <c:pt idx="14">
                  <c:v>8.9300000000000002E-4</c:v>
                </c:pt>
                <c:pt idx="15">
                  <c:v>8.9400000000000005E-4</c:v>
                </c:pt>
                <c:pt idx="16">
                  <c:v>8.9800000000000004E-4</c:v>
                </c:pt>
                <c:pt idx="17">
                  <c:v>8.9999999999999998E-4</c:v>
                </c:pt>
                <c:pt idx="18">
                  <c:v>9.0300000000000005E-4</c:v>
                </c:pt>
                <c:pt idx="19">
                  <c:v>9.0700000000000004E-4</c:v>
                </c:pt>
                <c:pt idx="20">
                  <c:v>9.1200000000000005E-4</c:v>
                </c:pt>
                <c:pt idx="21">
                  <c:v>9.1699999999999995E-4</c:v>
                </c:pt>
                <c:pt idx="22">
                  <c:v>9.2800000000000001E-4</c:v>
                </c:pt>
                <c:pt idx="23">
                  <c:v>9.4200000000000002E-4</c:v>
                </c:pt>
                <c:pt idx="24">
                  <c:v>9.59E-4</c:v>
                </c:pt>
                <c:pt idx="25">
                  <c:v>9.7999999999999997E-4</c:v>
                </c:pt>
                <c:pt idx="26">
                  <c:v>1E-3</c:v>
                </c:pt>
                <c:pt idx="27">
                  <c:v>1.0300000000000001E-3</c:v>
                </c:pt>
                <c:pt idx="28">
                  <c:v>1.06E-3</c:v>
                </c:pt>
                <c:pt idx="29">
                  <c:v>1.09E-3</c:v>
                </c:pt>
                <c:pt idx="30">
                  <c:v>1.1299999999999999E-3</c:v>
                </c:pt>
                <c:pt idx="31">
                  <c:v>1.16E-3</c:v>
                </c:pt>
                <c:pt idx="32">
                  <c:v>1.1999999999999999E-3</c:v>
                </c:pt>
                <c:pt idx="33">
                  <c:v>1.24E-3</c:v>
                </c:pt>
                <c:pt idx="34">
                  <c:v>1.2800000000000001E-3</c:v>
                </c:pt>
                <c:pt idx="35">
                  <c:v>1.1199999999999999E-3</c:v>
                </c:pt>
                <c:pt idx="36">
                  <c:v>1.14E-3</c:v>
                </c:pt>
                <c:pt idx="37">
                  <c:v>1.14E-3</c:v>
                </c:pt>
                <c:pt idx="38">
                  <c:v>1.1299999999999999E-3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A-424C-ABFF-CBE37AE23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Sweep!$M$23:$M$122</c:f>
              <c:numCache>
                <c:formatCode>General</c:formatCode>
                <c:ptCount val="100"/>
                <c:pt idx="0">
                  <c:v>0</c:v>
                </c:pt>
                <c:pt idx="1">
                  <c:v>1.730723153531763E-3</c:v>
                </c:pt>
                <c:pt idx="2">
                  <c:v>2.2988725061495217E-2</c:v>
                </c:pt>
                <c:pt idx="3">
                  <c:v>0.10918374830376268</c:v>
                </c:pt>
                <c:pt idx="4">
                  <c:v>0.33424347039814334</c:v>
                </c:pt>
                <c:pt idx="5">
                  <c:v>0.80087913366094376</c:v>
                </c:pt>
                <c:pt idx="6">
                  <c:v>1.6397506712257255</c:v>
                </c:pt>
                <c:pt idx="7">
                  <c:v>3.0040522693769378</c:v>
                </c:pt>
                <c:pt idx="8">
                  <c:v>5.0578827407857005</c:v>
                </c:pt>
                <c:pt idx="9">
                  <c:v>7.9620893530638046</c:v>
                </c:pt>
                <c:pt idx="10">
                  <c:v>11.862846626092296</c:v>
                </c:pt>
                <c:pt idx="11">
                  <c:v>16.885561010129582</c:v>
                </c:pt>
                <c:pt idx="12">
                  <c:v>23.133787132996162</c:v>
                </c:pt>
                <c:pt idx="13">
                  <c:v>30.691558798520688</c:v>
                </c:pt>
                <c:pt idx="14">
                  <c:v>39.627518654062314</c:v>
                </c:pt>
                <c:pt idx="15">
                  <c:v>49.999695521273054</c:v>
                </c:pt>
                <c:pt idx="16">
                  <c:v>61.860264304769387</c:v>
                </c:pt>
                <c:pt idx="17">
                  <c:v>75.259973048042497</c:v>
                </c:pt>
                <c:pt idx="18">
                  <c:v>90.25212724246218</c:v>
                </c:pt>
                <c:pt idx="19">
                  <c:v>106.8961205856894</c:v>
                </c:pt>
                <c:pt idx="20">
                  <c:v>125.26053571495693</c:v>
                </c:pt>
                <c:pt idx="21">
                  <c:v>145.42584809822657</c:v>
                </c:pt>
                <c:pt idx="22">
                  <c:v>167.48681098891331</c:v>
                </c:pt>
                <c:pt idx="23">
                  <c:v>191.55484906879587</c:v>
                </c:pt>
                <c:pt idx="24">
                  <c:v>217.76215732943388</c:v>
                </c:pt>
                <c:pt idx="25">
                  <c:v>408.10199764608831</c:v>
                </c:pt>
                <c:pt idx="26">
                  <c:v>501.53950015595797</c:v>
                </c:pt>
                <c:pt idx="27">
                  <c:v>592.55470500341903</c:v>
                </c:pt>
                <c:pt idx="28">
                  <c:v>686.50695565211083</c:v>
                </c:pt>
                <c:pt idx="29">
                  <c:v>783.8950901312196</c:v>
                </c:pt>
                <c:pt idx="30">
                  <c:v>884.55149636610736</c:v>
                </c:pt>
                <c:pt idx="31">
                  <c:v>988.17938749380858</c:v>
                </c:pt>
                <c:pt idx="32">
                  <c:v>1094.4749327750303</c:v>
                </c:pt>
                <c:pt idx="33">
                  <c:v>1203.1613000461487</c:v>
                </c:pt>
                <c:pt idx="34">
                  <c:v>1313.998156785485</c:v>
                </c:pt>
                <c:pt idx="35">
                  <c:v>1426.7830668582435</c:v>
                </c:pt>
                <c:pt idx="36">
                  <c:v>1541.3497399230721</c:v>
                </c:pt>
                <c:pt idx="37">
                  <c:v>1657.5647852880813</c:v>
                </c:pt>
                <c:pt idx="38">
                  <c:v>1775.3236180104386</c:v>
                </c:pt>
                <c:pt idx="39">
                  <c:v>1894.5458887482614</c:v>
                </c:pt>
                <c:pt idx="40">
                  <c:v>2015.1707559378226</c:v>
                </c:pt>
                <c:pt idx="41">
                  <c:v>2137.1523055643734</c:v>
                </c:pt>
                <c:pt idx="42">
                  <c:v>2260.4553850907496</c:v>
                </c:pt>
                <c:pt idx="43">
                  <c:v>2385.0520443758774</c:v>
                </c:pt>
                <c:pt idx="44">
                  <c:v>2510.9186828887705</c:v>
                </c:pt>
                <c:pt idx="45">
                  <c:v>2638.0339118823726</c:v>
                </c:pt>
                <c:pt idx="46">
                  <c:v>2766.3770694582686</c:v>
                </c:pt>
                <c:pt idx="47">
                  <c:v>2895.9272834754702</c:v>
                </c:pt>
                <c:pt idx="48">
                  <c:v>3026.6629608004773</c:v>
                </c:pt>
                <c:pt idx="49">
                  <c:v>3158.5615850785407</c:v>
                </c:pt>
                <c:pt idx="50">
                  <c:v>3291.5997208708532</c:v>
                </c:pt>
                <c:pt idx="51">
                  <c:v>3425.7531431231314</c:v>
                </c:pt>
                <c:pt idx="52">
                  <c:v>3560.9970317910625</c:v>
                </c:pt>
                <c:pt idx="53">
                  <c:v>3697.3061902225613</c:v>
                </c:pt>
                <c:pt idx="54">
                  <c:v>3834.6552606555092</c:v>
                </c:pt>
                <c:pt idx="55">
                  <c:v>3973.0189212911596</c:v>
                </c:pt>
                <c:pt idx="56">
                  <c:v>4112.3720571691929</c:v>
                </c:pt>
                <c:pt idx="57">
                  <c:v>4252.6899021864774</c:v>
                </c:pt>
                <c:pt idx="58">
                  <c:v>4393.9481527615853</c:v>
                </c:pt>
                <c:pt idx="59">
                  <c:v>4536.1230554212616</c:v>
                </c:pt>
                <c:pt idx="60">
                  <c:v>4679.1914714328859</c:v>
                </c:pt>
                <c:pt idx="61">
                  <c:v>4823.1309218726292</c:v>
                </c:pt>
                <c:pt idx="62">
                  <c:v>4967.9196163979586</c:v>
                </c:pt>
                <c:pt idx="63">
                  <c:v>5113.5364688896034</c:v>
                </c:pt>
                <c:pt idx="64">
                  <c:v>5259.9611023728003</c:v>
                </c:pt>
                <c:pt idx="65">
                  <c:v>5407.1738457865986</c:v>
                </c:pt>
                <c:pt idx="66">
                  <c:v>5555.155724342555</c:v>
                </c:pt>
                <c:pt idx="67">
                  <c:v>5703.8884451186177</c:v>
                </c:pt>
                <c:pt idx="68">
                  <c:v>5853.354379168507</c:v>
                </c:pt>
                <c:pt idx="69">
                  <c:v>6003.536541183671</c:v>
                </c:pt>
                <c:pt idx="70">
                  <c:v>6154.4185675328335</c:v>
                </c:pt>
                <c:pt idx="71">
                  <c:v>6305.9846933283616</c:v>
                </c:pt>
                <c:pt idx="72">
                  <c:v>6458.2197290247259</c:v>
                </c:pt>
                <c:pt idx="73">
                  <c:v>6611.1090369373605</c:v>
                </c:pt>
                <c:pt idx="74">
                  <c:v>6764.638507976234</c:v>
                </c:pt>
                <c:pt idx="75">
                  <c:v>6918.7945388130811</c:v>
                </c:pt>
                <c:pt idx="76">
                  <c:v>7073.5640096416073</c:v>
                </c:pt>
                <c:pt idx="77">
                  <c:v>7228.9342626428388</c:v>
                </c:pt>
                <c:pt idx="78">
                  <c:v>7384.8930812309427</c:v>
                </c:pt>
                <c:pt idx="79">
                  <c:v>7541.4286700324601</c:v>
                </c:pt>
                <c:pt idx="80">
                  <c:v>7698.5296360886168</c:v>
                </c:pt>
                <c:pt idx="81">
                  <c:v>7856.1849702834807</c:v>
                </c:pt>
                <c:pt idx="82">
                  <c:v>8014.3840301747632</c:v>
                </c:pt>
                <c:pt idx="83">
                  <c:v>8173.1165234171694</c:v>
                </c:pt>
                <c:pt idx="84">
                  <c:v>8332.3724920450786</c:v>
                </c:pt>
                <c:pt idx="85">
                  <c:v>8492.1422975438891</c:v>
                </c:pt>
                <c:pt idx="86">
                  <c:v>8652.4166066801226</c:v>
                </c:pt>
                <c:pt idx="87">
                  <c:v>8813.1863780584317</c:v>
                </c:pt>
                <c:pt idx="88">
                  <c:v>8974.4428493724809</c:v>
                </c:pt>
                <c:pt idx="89">
                  <c:v>9136.1775253164487</c:v>
                </c:pt>
                <c:pt idx="90">
                  <c:v>9298.3821661239781</c:v>
                </c:pt>
                <c:pt idx="91">
                  <c:v>37684.741151395006</c:v>
                </c:pt>
                <c:pt idx="92">
                  <c:v>38002.898258805792</c:v>
                </c:pt>
                <c:pt idx="93">
                  <c:v>38323.842742883571</c:v>
                </c:pt>
                <c:pt idx="94">
                  <c:v>38647.533751654038</c:v>
                </c:pt>
                <c:pt idx="95">
                  <c:v>38973.931652102176</c:v>
                </c:pt>
                <c:pt idx="96">
                  <c:v>39302.997978288324</c:v>
                </c:pt>
                <c:pt idx="97">
                  <c:v>39634.695382176906</c:v>
                </c:pt>
                <c:pt idx="98">
                  <c:v>39968.987587010219</c:v>
                </c:pt>
                <c:pt idx="99">
                  <c:v>40305.839343073218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9-4FD6-8ECB-46049FA37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242496"/>
        <c:axId val="1274254496"/>
      </c:scatterChart>
      <c:valAx>
        <c:axId val="1274242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54496"/>
        <c:crosses val="autoZero"/>
        <c:crossBetween val="midCat"/>
      </c:valAx>
      <c:valAx>
        <c:axId val="1274254496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6803</xdr:colOff>
      <xdr:row>20</xdr:row>
      <xdr:rowOff>179613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591909</xdr:colOff>
      <xdr:row>86</xdr:row>
      <xdr:rowOff>2721</xdr:rowOff>
    </xdr:from>
    <xdr:to>
      <xdr:col>47</xdr:col>
      <xdr:colOff>108856</xdr:colOff>
      <xdr:row>124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58654F-B1A5-A1F7-7BF3-D3888679A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30D451-F738-4D21-9C87-23CD59DBE3A3}" name="Table1" displayName="Table1" ref="A1:D107" totalsRowShown="0">
  <autoFilter ref="A1:D107" xr:uid="{C130D451-F738-4D21-9C87-23CD59DBE3A3}"/>
  <sortState xmlns:xlrd2="http://schemas.microsoft.com/office/spreadsheetml/2017/richdata2" ref="A2:D107">
    <sortCondition ref="C1:C107"/>
  </sortState>
  <tableColumns count="4">
    <tableColumn id="1" xr3:uid="{993D495A-486A-4DCD-B210-F13B495A6ABF}" name="Year"/>
    <tableColumn id="2" xr3:uid="{F99371CD-B035-4FEA-B333-A89E49177A0D}" name="Author"/>
    <tableColumn id="3" xr3:uid="{7D562E2B-780D-4001-A220-2191A2289DA6}" name="Temperature"/>
    <tableColumn id="4" xr3:uid="{381916DB-0FF3-4C83-899D-EECFFB96953F}" name="Cell Volum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C91848-53A8-4864-9737-1F967EFDB94D}" name="Table2" displayName="Table2" ref="F1:I67" totalsRowShown="0">
  <autoFilter ref="F1:I67" xr:uid="{01C91848-53A8-4864-9737-1F967EFDB94D}"/>
  <sortState xmlns:xlrd2="http://schemas.microsoft.com/office/spreadsheetml/2017/richdata2" ref="F2:I67">
    <sortCondition ref="H1:H67"/>
  </sortState>
  <tableColumns count="4">
    <tableColumn id="1" xr3:uid="{FF901649-4251-4F65-B008-4F2D37DC5E6E}" name="Year"/>
    <tableColumn id="2" xr3:uid="{E38A22A4-88DC-4601-A378-1B72B32BCA2B}" name="Author"/>
    <tableColumn id="3" xr3:uid="{2138A35C-0A7B-4D00-A3C9-7A3ABEE3F1C9}" name="Temperature"/>
    <tableColumn id="4" xr3:uid="{B84240CC-C53E-4CE3-883E-CCC823AC3CB1}" name="Thermal Expansion Coeffici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799D94-3E71-43A2-9654-17791D7DF54D}" name="Table3" displayName="Table3" ref="K1:N38" totalsRowShown="0">
  <autoFilter ref="K1:N38" xr:uid="{A9799D94-3E71-43A2-9654-17791D7DF54D}"/>
  <sortState xmlns:xlrd2="http://schemas.microsoft.com/office/spreadsheetml/2017/richdata2" ref="K2:N38">
    <sortCondition ref="M1:M38"/>
  </sortState>
  <tableColumns count="4">
    <tableColumn id="1" xr3:uid="{CB844DF4-88BD-46CF-A12D-E6EB2296D442}" name="Year"/>
    <tableColumn id="2" xr3:uid="{99C12204-507A-474C-A22A-91E21C5B677F}" name="Author"/>
    <tableColumn id="3" xr3:uid="{F16EB74E-043F-470E-BE11-1ED5333DE04A}" name="Temperature"/>
    <tableColumn id="4" xr3:uid="{858E9E94-D905-4ED9-8630-AA8B04C71BEB}" name="Heat Capacity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60B245-D697-43FD-8269-889A150127DE}" name="Table4" displayName="Table4" ref="P1:S35" totalsRowShown="0">
  <autoFilter ref="P1:S35" xr:uid="{4860B245-D697-43FD-8269-889A150127DE}"/>
  <sortState xmlns:xlrd2="http://schemas.microsoft.com/office/spreadsheetml/2017/richdata2" ref="P2:S35">
    <sortCondition ref="R1:R35"/>
  </sortState>
  <tableColumns count="4">
    <tableColumn id="1" xr3:uid="{9A41E871-E92E-41FE-9B6B-CBA83B4F18FB}" name="Year"/>
    <tableColumn id="2" xr3:uid="{719719B6-4617-47EA-BEB0-AD45C1282F85}" name="Author"/>
    <tableColumn id="3" xr3:uid="{1C338D1D-4B75-4509-BDB5-3F90B26B635E}" name="Temperature"/>
    <tableColumn id="4" xr3:uid="{D827D9C0-660C-43EF-9090-3EFC6E65F789}" name="Beta 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E3E63C-FC48-4E81-91FD-554C08E355CE}" name="Table5" displayName="Table5" ref="U1:X40" totalsRowShown="0">
  <autoFilter ref="U1:X40" xr:uid="{EAE3E63C-FC48-4E81-91FD-554C08E355CE}"/>
  <sortState xmlns:xlrd2="http://schemas.microsoft.com/office/spreadsheetml/2017/richdata2" ref="U2:X40">
    <sortCondition ref="W1:W40"/>
  </sortState>
  <tableColumns count="4">
    <tableColumn id="1" xr3:uid="{F76E3ADF-A9F7-4402-AFA3-F2C75746382B}" name="Year"/>
    <tableColumn id="2" xr3:uid="{319F6360-8AF1-4DCC-9DAB-57B0DD81A2A4}" name="Author"/>
    <tableColumn id="3" xr3:uid="{B051B53C-B8F3-4E9D-9D29-5457EE27E99A}" name="Temperature"/>
    <tableColumn id="4" xr3:uid="{DDC27246-7DB0-4F07-AA6D-FC25905DA7EB}" name="Beta 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220" zoomScaleNormal="220" workbookViewId="0">
      <selection activeCell="B12" sqref="B1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13.391</v>
      </c>
      <c r="D2" s="3">
        <v>13.38</v>
      </c>
    </row>
    <row r="3" spans="1:4" x14ac:dyDescent="0.25">
      <c r="A3" s="2" t="s">
        <v>11</v>
      </c>
      <c r="B3" s="3">
        <v>1000</v>
      </c>
      <c r="D3" s="3">
        <v>997.79</v>
      </c>
    </row>
    <row r="4" spans="1:4" x14ac:dyDescent="0.25">
      <c r="A4" s="2" t="s">
        <v>12</v>
      </c>
      <c r="B4" s="3">
        <v>700</v>
      </c>
      <c r="D4" s="3">
        <v>469.13</v>
      </c>
    </row>
    <row r="5" spans="1:4" x14ac:dyDescent="0.25">
      <c r="A5" s="2" t="s">
        <v>13</v>
      </c>
      <c r="B5" s="3">
        <v>10000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74.36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3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2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100</v>
      </c>
      <c r="D30" s="3">
        <v>0</v>
      </c>
    </row>
    <row r="31" spans="1:4" x14ac:dyDescent="0.25">
      <c r="A31" s="2" t="s">
        <v>39</v>
      </c>
      <c r="B31" s="3">
        <v>0</v>
      </c>
      <c r="D31" s="3">
        <v>0</v>
      </c>
    </row>
    <row r="32" spans="1:4" x14ac:dyDescent="0.25">
      <c r="A32" s="2" t="s">
        <v>40</v>
      </c>
      <c r="B32" s="3">
        <v>69.25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13.424033336596814</v>
      </c>
    </row>
    <row r="3" spans="1:2" x14ac:dyDescent="0.25">
      <c r="A3" t="s">
        <v>43</v>
      </c>
      <c r="B3">
        <f>INDEX(ComputeThermoProps(T_in,p_in,ParametersRange),1,2)</f>
        <v>1.0325163736357517E-3</v>
      </c>
    </row>
    <row r="4" spans="1:2" x14ac:dyDescent="0.25">
      <c r="A4" t="s">
        <v>44</v>
      </c>
      <c r="B4">
        <f>INDEX(ComputeThermoProps(T_in,p_in,ParametersRange),1,3)</f>
        <v>1.0030376388083298E-3</v>
      </c>
    </row>
    <row r="5" spans="1:2" x14ac:dyDescent="0.25">
      <c r="A5" t="s">
        <v>45</v>
      </c>
      <c r="B5">
        <f>INDEX(ComputeThermoProps(T_in,p_in,ParametersRange),1,4)</f>
        <v>9.7483324517477223E-4</v>
      </c>
    </row>
    <row r="6" spans="1:2" x14ac:dyDescent="0.25">
      <c r="A6" t="s">
        <v>46</v>
      </c>
      <c r="B6">
        <f>INDEX(ComputeThermoProps(T_in,p_in,ParametersRange),1,5)</f>
        <v>4.3274777632148833</v>
      </c>
    </row>
    <row r="7" spans="1:2" x14ac:dyDescent="0.25">
      <c r="A7" t="s">
        <v>47</v>
      </c>
      <c r="B7">
        <f>INDEX(ComputeThermoProps(T_in,p_in,ParametersRange),1,6)</f>
        <v>4.2039266286172063</v>
      </c>
    </row>
    <row r="8" spans="1:2" x14ac:dyDescent="0.25">
      <c r="A8" t="s">
        <v>48</v>
      </c>
      <c r="B8">
        <f>INDEX(ComputeThermoProps(T_in,p_in,ParametersRange),1,7)</f>
        <v>3.0148192429674356</v>
      </c>
    </row>
    <row r="9" spans="1:2" x14ac:dyDescent="0.25">
      <c r="A9" t="s">
        <v>49</v>
      </c>
      <c r="B9">
        <f>INDEX(ComputeThermoProps(T_in,p_in,ParametersRange),1,8)</f>
        <v>11.411151971769184</v>
      </c>
    </row>
    <row r="10" spans="1:2" x14ac:dyDescent="0.25">
      <c r="A10" t="s">
        <v>50</v>
      </c>
      <c r="B10">
        <f>INDEX(ComputeThermoProps(T_in,p_in,ParametersRange),1,9)</f>
        <v>1.5316163152698883</v>
      </c>
    </row>
    <row r="11" spans="1:2" x14ac:dyDescent="0.25">
      <c r="A11" t="s">
        <v>51</v>
      </c>
      <c r="B11">
        <f>INDEX(ComputeThermoProps(T_in,p_in,ParametersRange),1,10)</f>
        <v>-3.9050111809296983</v>
      </c>
    </row>
    <row r="12" spans="1:2" x14ac:dyDescent="0.25">
      <c r="A12" t="s">
        <v>52</v>
      </c>
      <c r="B12">
        <f>INDEX(ComputeThermoProps(T_in,p_in,ParametersRange),1,11)</f>
        <v>12.753555305428867</v>
      </c>
    </row>
    <row r="13" spans="1:2" x14ac:dyDescent="0.25">
      <c r="A13" t="s">
        <v>53</v>
      </c>
      <c r="B13">
        <f>INDEX(ComputeThermoProps(T_in,p_in,ParametersRange),1,12)</f>
        <v>-2.5626078472700162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13.424033336596814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P123"/>
  <sheetViews>
    <sheetView tabSelected="1" topLeftCell="R1" zoomScale="85" zoomScaleNormal="85" workbookViewId="0">
      <selection activeCell="AN6" sqref="AN6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100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24.556100000000001</v>
      </c>
    </row>
    <row r="6" spans="1:2" x14ac:dyDescent="0.25">
      <c r="A6" s="2" t="s">
        <v>71</v>
      </c>
      <c r="B6" s="3">
        <v>4.3332000000000002E-2</v>
      </c>
    </row>
    <row r="7" spans="1:2" x14ac:dyDescent="0.25">
      <c r="A7" s="2" t="s">
        <v>81</v>
      </c>
      <c r="B7" s="3">
        <v>69.25</v>
      </c>
    </row>
    <row r="8" spans="1:2" x14ac:dyDescent="0.25">
      <c r="A8" s="2" t="s">
        <v>82</v>
      </c>
      <c r="B8" s="3">
        <v>1.6950000000000001</v>
      </c>
    </row>
    <row r="9" spans="1:2" x14ac:dyDescent="0.25">
      <c r="A9" s="2" t="s">
        <v>83</v>
      </c>
      <c r="B9" s="4">
        <f>Parameters!B32-B7</f>
        <v>0</v>
      </c>
    </row>
    <row r="10" spans="1:2" x14ac:dyDescent="0.25">
      <c r="A10" s="2" t="s">
        <v>84</v>
      </c>
      <c r="B10" s="4">
        <f>INDEX( ComputeThermoProps($B5, $B6, ParametersRange), 1, 12 )</f>
        <v>-100.42722652641471</v>
      </c>
    </row>
    <row r="11" spans="1:2" x14ac:dyDescent="0.25">
      <c r="A11" s="2" t="s">
        <v>85</v>
      </c>
      <c r="B11" s="4">
        <f>(B10+B5*Parameters!B32)-B8</f>
        <v>1598.3876984735855</v>
      </c>
    </row>
    <row r="13" spans="1:2" x14ac:dyDescent="0.25">
      <c r="A13" s="2" t="s">
        <v>72</v>
      </c>
      <c r="B13" s="3">
        <v>-14.883845098313699</v>
      </c>
    </row>
    <row r="14" spans="1:2" x14ac:dyDescent="0.25">
      <c r="A14" s="2" t="s">
        <v>73</v>
      </c>
      <c r="B14" s="3">
        <v>5.8217591179742998</v>
      </c>
    </row>
    <row r="15" spans="1:2" x14ac:dyDescent="0.25">
      <c r="A15" s="2" t="s">
        <v>74</v>
      </c>
      <c r="B15" s="3">
        <v>-0.39834285015300502</v>
      </c>
    </row>
    <row r="17" spans="1:16" x14ac:dyDescent="0.25">
      <c r="A17" s="2" t="s">
        <v>75</v>
      </c>
      <c r="B17" s="3">
        <v>4151.2700000000004</v>
      </c>
    </row>
    <row r="18" spans="1:16" x14ac:dyDescent="0.25">
      <c r="A18" s="2" t="s">
        <v>76</v>
      </c>
      <c r="B18" s="3">
        <v>1.355</v>
      </c>
    </row>
    <row r="19" spans="1:16" x14ac:dyDescent="0.25">
      <c r="A19" s="2" t="s">
        <v>77</v>
      </c>
      <c r="B19" s="3">
        <v>558.6</v>
      </c>
    </row>
    <row r="20" spans="1:16" x14ac:dyDescent="0.25">
      <c r="A20" s="2" t="s">
        <v>78</v>
      </c>
      <c r="B20" s="3">
        <v>0.16850999999999999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P22" t="s">
        <v>86</v>
      </c>
    </row>
    <row r="23" spans="1:16" x14ac:dyDescent="0.25">
      <c r="A23" s="2" cm="1">
        <f t="array" ref="A23:A12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P23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2.6448036454247749E-90</v>
      </c>
      <c r="C24" s="2" cm="1">
        <f t="array" ref="C24">INDEX( ComputeThermoProps($A24, $B24, ParametersRange), 1, COLUMN()-2 )</f>
        <v>13.391005192172884</v>
      </c>
      <c r="D24" s="2" cm="1">
        <f t="array" ref="D24">INDEX( ComputeThermoProps($A24, $B24, ParametersRange), 1, COLUMN()-2 )</f>
        <v>1.0000051954537101E-3</v>
      </c>
      <c r="E24" s="2" cm="1">
        <f t="array" ref="E24">INDEX( ComputeThermoProps($A24, $B24, ParametersRange), 1, COLUMN()-2 )</f>
        <v>1.0000005428251577E-3</v>
      </c>
      <c r="F24" s="2" cm="1">
        <f t="array" ref="F24">INDEX( ComputeThermoProps($A24, $B24, ParametersRange), 1, COLUMN()-2 )</f>
        <v>1.4098855814655494E-6</v>
      </c>
      <c r="G24" s="2" cm="1">
        <f t="array" ref="G24">INDEX( ComputeThermoProps($A24, $B24, ParametersRange), 1, COLUMN()-2 )</f>
        <v>6.2932534175431645E-3</v>
      </c>
      <c r="H24" s="2" cm="1">
        <f t="array" ref="H24">INDEX( ComputeThermoProps($A24, $B24, ParametersRange), 1, COLUMN()-2 )</f>
        <v>6.2932241375247494E-3</v>
      </c>
      <c r="I24" s="2" cm="1">
        <f t="array" ref="I24">INDEX( ComputeThermoProps($A24, $B24, ParametersRange), 1, COLUMN()-2 )</f>
        <v>3.0000023264164986</v>
      </c>
      <c r="J24" s="2" cm="1">
        <f t="array" ref="J24">INDEX( ComputeThermoProps($A24, $B24, ParametersRange), 1, COLUMN()-2 )</f>
        <v>1.730723153531763E-3</v>
      </c>
      <c r="K24" s="2" cm="1">
        <f t="array" ref="K24">INDEX( ComputeThermoProps($A24, $B24, ParametersRange), 1, COLUMN()-2 )</f>
        <v>2.0978450265892639E-3</v>
      </c>
      <c r="L24" s="2" cm="1">
        <f t="array" ref="L24">INDEX( ComputeThermoProps($A24, $B24, ParametersRange), 1, COLUMN()-2 )</f>
        <v>-5.7690637571642745E-4</v>
      </c>
      <c r="M24" s="2" cm="1">
        <f t="array" ref="M24">INDEX( ComputeThermoProps($A24, $B24, ParametersRange), 1, COLUMN()-2 )</f>
        <v>1.730723153531763E-3</v>
      </c>
      <c r="N24" s="2" cm="1">
        <f t="array" ref="N24">INDEX( ComputeThermoProps($A24, $B24, ParametersRange), 1, COLUMN()-2 )</f>
        <v>-5.7690637571642745E-4</v>
      </c>
      <c r="P24">
        <f t="shared" ref="P24:P87" si="1">M24-$B$11</f>
        <v>-1598.385967750432</v>
      </c>
    </row>
    <row r="25" spans="1:16" x14ac:dyDescent="0.25">
      <c r="A25" s="2">
        <v>2.1</v>
      </c>
      <c r="B25" s="2">
        <f t="shared" si="0"/>
        <v>1.1915736706224596E-46</v>
      </c>
      <c r="C25" s="2" cm="1">
        <f t="array" ref="C25">INDEX( ComputeThermoProps($A25, $B25, ParametersRange), 1, COLUMN()-2 )</f>
        <v>13.39106896677899</v>
      </c>
      <c r="D25" s="2" cm="1">
        <f t="array" ref="D25">INDEX( ComputeThermoProps($A25, $B25, ParametersRange), 1, COLUMN()-2 )</f>
        <v>1.0000690152519754E-3</v>
      </c>
      <c r="E25" s="2" cm="1">
        <f t="array" ref="E25">INDEX( ComputeThermoProps($A25, $B25, ParametersRange), 1, COLUMN()-2 )</f>
        <v>1.000007209400343E-3</v>
      </c>
      <c r="F25" s="2" cm="1">
        <f t="array" ref="F25">INDEX( ComputeThermoProps($A25, $B25, ParametersRange), 1, COLUMN()-2 )</f>
        <v>9.8102808623691058E-6</v>
      </c>
      <c r="G25" s="2" cm="1">
        <f t="array" ref="G25">INDEX( ComputeThermoProps($A25, $B25, ParametersRange), 1, COLUMN()-2 )</f>
        <v>4.3789282454864444E-2</v>
      </c>
      <c r="H25" s="2" cm="1">
        <f t="array" ref="H25">INDEX( ComputeThermoProps($A25, $B25, ParametersRange), 1, COLUMN()-2 )</f>
        <v>4.3786576207742275E-2</v>
      </c>
      <c r="I25" s="2" cm="1">
        <f t="array" ref="I25">INDEX( ComputeThermoProps($A25, $B25, ParametersRange), 1, COLUMN()-2 )</f>
        <v>3.0000309014815567</v>
      </c>
      <c r="J25" s="2" cm="1">
        <f t="array" ref="J25">INDEX( ComputeThermoProps($A25, $B25, ParametersRange), 1, COLUMN()-2 )</f>
        <v>2.2988725061495217E-2</v>
      </c>
      <c r="K25" s="2" cm="1">
        <f t="array" ref="K25">INDEX( ComputeThermoProps($A25, $B25, ParametersRange), 1, COLUMN()-2 )</f>
        <v>1.4595903152597295E-2</v>
      </c>
      <c r="L25" s="2" cm="1">
        <f t="array" ref="L25">INDEX( ComputeThermoProps($A25, $B25, ParametersRange), 1, COLUMN()-2 )</f>
        <v>-7.6626715589591032E-3</v>
      </c>
      <c r="M25" s="2" cm="1">
        <f t="array" ref="M25">INDEX( ComputeThermoProps($A25, $B25, ParametersRange), 1, COLUMN()-2 )</f>
        <v>2.2988725061495217E-2</v>
      </c>
      <c r="N25" s="2" cm="1">
        <f t="array" ref="N25">INDEX( ComputeThermoProps($A25, $B25, ParametersRange), 1, COLUMN()-2 )</f>
        <v>-7.6626715589591032E-3</v>
      </c>
      <c r="P25">
        <f t="shared" si="1"/>
        <v>-1598.3647097485241</v>
      </c>
    </row>
    <row r="26" spans="1:16" x14ac:dyDescent="0.25">
      <c r="A26" s="2">
        <v>3.1</v>
      </c>
      <c r="B26" s="2">
        <f t="shared" si="0"/>
        <v>3.6092035634128807E-31</v>
      </c>
      <c r="C26" s="2" cm="1">
        <f t="array" ref="C26">INDEX( ComputeThermoProps($A26, $B26, ParametersRange), 1, COLUMN()-2 )</f>
        <v>13.391327564863797</v>
      </c>
      <c r="D26" s="2" cm="1">
        <f t="array" ref="D26">INDEX( ComputeThermoProps($A26, $B26, ParametersRange), 1, COLUMN()-2 )</f>
        <v>1.000327863674312E-3</v>
      </c>
      <c r="E26" s="2" cm="1">
        <f t="array" ref="E26">INDEX( ComputeThermoProps($A26, $B26, ParametersRange), 1, COLUMN()-2 )</f>
        <v>1.0000342252883261E-3</v>
      </c>
      <c r="F26" s="2" cm="1">
        <f t="array" ref="F26">INDEX( ComputeThermoProps($A26, $B26, ParametersRange), 1, COLUMN()-2 )</f>
        <v>3.1571394814972531E-5</v>
      </c>
      <c r="G26" s="2" cm="1">
        <f t="array" ref="G26">INDEX( ComputeThermoProps($A26, $B26, ParametersRange), 1, COLUMN()-2 )</f>
        <v>0.14091591262580141</v>
      </c>
      <c r="H26" s="2" cm="1">
        <f t="array" ref="H26">INDEX( ComputeThermoProps($A26, $B26, ParametersRange), 1, COLUMN()-2 )</f>
        <v>0.14087454786666015</v>
      </c>
      <c r="I26" s="2" cm="1">
        <f t="array" ref="I26">INDEX( ComputeThermoProps($A26, $B26, ParametersRange), 1, COLUMN()-2 )</f>
        <v>3.0001467712061105</v>
      </c>
      <c r="J26" s="2" cm="1">
        <f t="array" ref="J26">INDEX( ComputeThermoProps($A26, $B26, ParametersRange), 1, COLUMN()-2 )</f>
        <v>0.10918374830376268</v>
      </c>
      <c r="K26" s="2" cm="1">
        <f t="array" ref="K26">INDEX( ComputeThermoProps($A26, $B26, ParametersRange), 1, COLUMN()-2 )</f>
        <v>4.6959029803866029E-2</v>
      </c>
      <c r="L26" s="2" cm="1">
        <f t="array" ref="L26">INDEX( ComputeThermoProps($A26, $B26, ParametersRange), 1, COLUMN()-2 )</f>
        <v>-3.6389244088222014E-2</v>
      </c>
      <c r="M26" s="2" cm="1">
        <f t="array" ref="M26">INDEX( ComputeThermoProps($A26, $B26, ParametersRange), 1, COLUMN()-2 )</f>
        <v>0.10918374830376268</v>
      </c>
      <c r="N26" s="2" cm="1">
        <f t="array" ref="N26">INDEX( ComputeThermoProps($A26, $B26, ParametersRange), 1, COLUMN()-2 )</f>
        <v>-3.6389244088222014E-2</v>
      </c>
      <c r="P26">
        <f t="shared" si="1"/>
        <v>-1598.2785147252816</v>
      </c>
    </row>
    <row r="27" spans="1:16" x14ac:dyDescent="0.25">
      <c r="A27" s="2">
        <v>4.0999999999999996</v>
      </c>
      <c r="B27" s="2">
        <f t="shared" si="0"/>
        <v>3.0482837930433757E-23</v>
      </c>
      <c r="C27" s="2" cm="1">
        <f t="array" ref="C27">INDEX( ComputeThermoProps($A27, $B27, ParametersRange), 1, COLUMN()-2 )</f>
        <v>13.39200285800878</v>
      </c>
      <c r="D27" s="2" cm="1">
        <f t="array" ref="D27">INDEX( ComputeThermoProps($A27, $B27, ParametersRange), 1, COLUMN()-2 )</f>
        <v>1.001004257401855E-3</v>
      </c>
      <c r="E27" s="2" cm="1">
        <f t="array" ref="E27">INDEX( ComputeThermoProps($A27, $B27, ParametersRange), 1, COLUMN()-2 )</f>
        <v>1.0001046506487035E-3</v>
      </c>
      <c r="F27" s="2" cm="1">
        <f t="array" ref="F27">INDEX( ComputeThermoProps($A27, $B27, ParametersRange), 1, COLUMN()-2 )</f>
        <v>7.3120154788395471E-5</v>
      </c>
      <c r="G27" s="2" cm="1">
        <f t="array" ref="G27">INDEX( ComputeThermoProps($A27, $B27, ParametersRange), 1, COLUMN()-2 )</f>
        <v>0.32632540621115547</v>
      </c>
      <c r="H27" s="2" cm="1">
        <f t="array" ref="H27">INDEX( ComputeThermoProps($A27, $B27, ParametersRange), 1, COLUMN()-2 )</f>
        <v>0.3260321361905919</v>
      </c>
      <c r="I27" s="2" cm="1">
        <f t="array" ref="I27">INDEX( ComputeThermoProps($A27, $B27, ParametersRange), 1, COLUMN()-2 )</f>
        <v>3.0004493595225248</v>
      </c>
      <c r="J27" s="2" cm="1">
        <f t="array" ref="J27">INDEX( ComputeThermoProps($A27, $B27, ParametersRange), 1, COLUMN()-2 )</f>
        <v>0.33424347039814334</v>
      </c>
      <c r="K27" s="2" cm="1">
        <f t="array" ref="K27">INDEX( ComputeThermoProps($A27, $B27, ParametersRange), 1, COLUMN()-2 )</f>
        <v>0.10868518551598272</v>
      </c>
      <c r="L27" s="2" cm="1">
        <f t="array" ref="L27">INDEX( ComputeThermoProps($A27, $B27, ParametersRange), 1, COLUMN()-2 )</f>
        <v>-0.11136579021738577</v>
      </c>
      <c r="M27" s="2" cm="1">
        <f t="array" ref="M27">INDEX( ComputeThermoProps($A27, $B27, ParametersRange), 1, COLUMN()-2 )</f>
        <v>0.33424347039814334</v>
      </c>
      <c r="N27" s="2" cm="1">
        <f t="array" ref="N27">INDEX( ComputeThermoProps($A27, $B27, ParametersRange), 1, COLUMN()-2 )</f>
        <v>-0.11136579021738577</v>
      </c>
      <c r="P27">
        <f t="shared" si="1"/>
        <v>-1598.0534550031873</v>
      </c>
    </row>
    <row r="28" spans="1:16" x14ac:dyDescent="0.25">
      <c r="A28" s="2">
        <v>5.0999999999999996</v>
      </c>
      <c r="B28" s="2">
        <f t="shared" si="0"/>
        <v>2.0082309765629534E-18</v>
      </c>
      <c r="C28" s="2" cm="1">
        <f t="array" ref="C28">INDEX( ComputeThermoProps($A28, $B28, ParametersRange), 1, COLUMN()-2 )</f>
        <v>13.393403369591725</v>
      </c>
      <c r="D28" s="2" cm="1">
        <f t="array" ref="D28">INDEX( ComputeThermoProps($A28, $B28, ParametersRange), 1, COLUMN()-2 )</f>
        <v>1.0024077260847302E-3</v>
      </c>
      <c r="E28" s="2" cm="1">
        <f t="array" ref="E28">INDEX( ComputeThermoProps($A28, $B28, ParametersRange), 1, COLUMN()-2 )</f>
        <v>1.0002501413661762E-3</v>
      </c>
      <c r="F28" s="2" cm="1">
        <f t="array" ref="F28">INDEX( ComputeThermoProps($A28, $B28, ParametersRange), 1, COLUMN()-2 )</f>
        <v>1.4093275052104364E-4</v>
      </c>
      <c r="G28" s="2" cm="1">
        <f t="array" ref="G28">INDEX( ComputeThermoProps($A28, $B28, ParametersRange), 1, COLUMN()-2 )</f>
        <v>0.62880664595332469</v>
      </c>
      <c r="H28" s="2" cm="1">
        <f t="array" ref="H28">INDEX( ComputeThermoProps($A28, $B28, ParametersRange), 1, COLUMN()-2 )</f>
        <v>0.62745320106764613</v>
      </c>
      <c r="I28" s="2" cm="1">
        <f t="array" ref="I28">INDEX( ComputeThermoProps($A28, $B28, ParametersRange), 1, COLUMN()-2 )</f>
        <v>3.0010769555369508</v>
      </c>
      <c r="J28" s="2" cm="1">
        <f t="array" ref="J28">INDEX( ComputeThermoProps($A28, $B28, ParametersRange), 1, COLUMN()-2 )</f>
        <v>0.80087913366094376</v>
      </c>
      <c r="K28" s="2" cm="1">
        <f t="array" ref="K28">INDEX( ComputeThermoProps($A28, $B28, ParametersRange), 1, COLUMN()-2 )</f>
        <v>0.20933549501411655</v>
      </c>
      <c r="L28" s="2" cm="1">
        <f t="array" ref="L28">INDEX( ComputeThermoProps($A28, $B28, ParametersRange), 1, COLUMN()-2 )</f>
        <v>-0.2667318909110506</v>
      </c>
      <c r="M28" s="2" cm="1">
        <f t="array" ref="M28">INDEX( ComputeThermoProps($A28, $B28, ParametersRange), 1, COLUMN()-2 )</f>
        <v>0.80087913366094376</v>
      </c>
      <c r="N28" s="2" cm="1">
        <f t="array" ref="N28">INDEX( ComputeThermoProps($A28, $B28, ParametersRange), 1, COLUMN()-2 )</f>
        <v>-0.2667318909110506</v>
      </c>
      <c r="P28">
        <f t="shared" si="1"/>
        <v>-1597.5868193399244</v>
      </c>
    </row>
    <row r="29" spans="1:16" x14ac:dyDescent="0.25">
      <c r="A29" s="2">
        <v>6.1</v>
      </c>
      <c r="B29" s="2">
        <f t="shared" si="0"/>
        <v>3.5024480627789821E-15</v>
      </c>
      <c r="C29" s="2" cm="1">
        <f t="array" ref="C29">INDEX( ComputeThermoProps($A29, $B29, ParametersRange), 1, COLUMN()-2 )</f>
        <v>13.395922318477961</v>
      </c>
      <c r="D29" s="2" cm="1">
        <f t="array" ref="D29">INDEX( ComputeThermoProps($A29, $B29, ParametersRange), 1, COLUMN()-2 )</f>
        <v>1.00492516856745E-3</v>
      </c>
      <c r="E29" s="2" cm="1">
        <f t="array" ref="E29">INDEX( ComputeThermoProps($A29, $B29, ParametersRange), 1, COLUMN()-2 )</f>
        <v>1.0005098947263539E-3</v>
      </c>
      <c r="F29" s="2" cm="1">
        <f t="array" ref="F29">INDEX( ComputeThermoProps($A29, $B29, ParametersRange), 1, COLUMN()-2 )</f>
        <v>2.4097164683256828E-4</v>
      </c>
      <c r="G29" s="2" cm="1">
        <f t="array" ref="G29">INDEX( ComputeThermoProps($A29, $B29, ParametersRange), 1, COLUMN()-2 )</f>
        <v>1.0746739025747711</v>
      </c>
      <c r="H29" s="2" cm="1">
        <f t="array" ref="H29">INDEX( ComputeThermoProps($A29, $B29, ParametersRange), 1, COLUMN()-2 )</f>
        <v>1.0699521782930406</v>
      </c>
      <c r="I29" s="2" cm="1">
        <f t="array" ref="I29">INDEX( ComputeThermoProps($A29, $B29, ParametersRange), 1, COLUMN()-2 )</f>
        <v>3.0022059098622624</v>
      </c>
      <c r="J29" s="2" cm="1">
        <f t="array" ref="J29">INDEX( ComputeThermoProps($A29, $B29, ParametersRange), 1, COLUMN()-2 )</f>
        <v>1.6397506712256786</v>
      </c>
      <c r="K29" s="2" cm="1">
        <f t="array" ref="K29">INDEX( ComputeThermoProps($A29, $B29, ParametersRange), 1, COLUMN()-2 )</f>
        <v>0.35834624102496793</v>
      </c>
      <c r="L29" s="2" cm="1">
        <f t="array" ref="L29">INDEX( ComputeThermoProps($A29, $B29, ParametersRange), 1, COLUMN()-2 )</f>
        <v>-0.54616139902662564</v>
      </c>
      <c r="M29" s="2" cm="1">
        <f t="array" ref="M29">INDEX( ComputeThermoProps($A29, $B29, ParametersRange), 1, COLUMN()-2 )</f>
        <v>1.6397506712257255</v>
      </c>
      <c r="N29" s="2" cm="1">
        <f t="array" ref="N29">INDEX( ComputeThermoProps($A29, $B29, ParametersRange), 1, COLUMN()-2 )</f>
        <v>-0.54616139902657879</v>
      </c>
      <c r="P29">
        <f t="shared" si="1"/>
        <v>-1596.7479478023597</v>
      </c>
    </row>
    <row r="30" spans="1:16" x14ac:dyDescent="0.25">
      <c r="A30" s="2">
        <v>7.1</v>
      </c>
      <c r="B30" s="2">
        <f t="shared" si="0"/>
        <v>7.5322523292031271E-13</v>
      </c>
      <c r="C30" s="2" cm="1">
        <f t="array" ref="C30">INDEX( ComputeThermoProps($A30, $B30, ParametersRange), 1, COLUMN()-2 )</f>
        <v>13.400022432960299</v>
      </c>
      <c r="D30" s="2" cm="1">
        <f t="array" ref="D30">INDEX( ComputeThermoProps($A30, $B30, ParametersRange), 1, COLUMN()-2 )</f>
        <v>1.0089825786115667E-3</v>
      </c>
      <c r="E30" s="2" cm="1">
        <f t="array" ref="E30">INDEX( ComputeThermoProps($A30, $B30, ParametersRange), 1, COLUMN()-2 )</f>
        <v>1.0009274022909566E-3</v>
      </c>
      <c r="F30" s="2" cm="1">
        <f t="array" ref="F30">INDEX( ComputeThermoProps($A30, $B30, ParametersRange), 1, COLUMN()-2 )</f>
        <v>3.7731827295506889E-4</v>
      </c>
      <c r="G30" s="2" cm="1">
        <f t="array" ref="G30">INDEX( ComputeThermoProps($A30, $B30, ParametersRange), 1, COLUMN()-2 )</f>
        <v>1.6815295311617411</v>
      </c>
      <c r="H30" s="2" cm="1">
        <f t="array" ref="H30">INDEX( ComputeThermoProps($A30, $B30, ParametersRange), 1, COLUMN()-2 )</f>
        <v>1.668105100305403</v>
      </c>
      <c r="I30" s="2" cm="1">
        <f t="array" ref="I30">INDEX( ComputeThermoProps($A30, $B30, ParametersRange), 1, COLUMN()-2 )</f>
        <v>3.0040439724332093</v>
      </c>
      <c r="J30" s="2" cm="1">
        <f t="array" ref="J30">INDEX( ComputeThermoProps($A30, $B30, ParametersRange), 1, COLUMN()-2 )</f>
        <v>3.0040522693668446</v>
      </c>
      <c r="K30" s="2" cm="1">
        <f t="array" ref="K30">INDEX( ComputeThermoProps($A30, $B30, ParametersRange), 1, COLUMN()-2 )</f>
        <v>0.56429161185066745</v>
      </c>
      <c r="L30" s="2" cm="1">
        <f t="array" ref="L30">INDEX( ComputeThermoProps($A30, $B30, ParametersRange), 1, COLUMN()-2 )</f>
        <v>-1.0024181747728942</v>
      </c>
      <c r="M30" s="2" cm="1">
        <f t="array" ref="M30">INDEX( ComputeThermoProps($A30, $B30, ParametersRange), 1, COLUMN()-2 )</f>
        <v>3.0040522693769378</v>
      </c>
      <c r="N30" s="2" cm="1">
        <f t="array" ref="N30">INDEX( ComputeThermoProps($A30, $B30, ParametersRange), 1, COLUMN()-2 )</f>
        <v>-1.0024181747628009</v>
      </c>
      <c r="P30">
        <f t="shared" si="1"/>
        <v>-1595.3836462042086</v>
      </c>
    </row>
    <row r="31" spans="1:16" x14ac:dyDescent="0.25">
      <c r="A31" s="2">
        <v>8.1</v>
      </c>
      <c r="B31" s="2">
        <f t="shared" si="0"/>
        <v>4.3510060810813322E-11</v>
      </c>
      <c r="C31" s="2" cm="1">
        <f t="array" ref="C31">INDEX( ComputeThermoProps($A31, $B31, ParametersRange), 1, COLUMN()-2 )</f>
        <v>13.406202711323166</v>
      </c>
      <c r="D31" s="2" cm="1">
        <f t="array" ref="D31">INDEX( ComputeThermoProps($A31, $B31, ParametersRange), 1, COLUMN()-2 )</f>
        <v>1.0149860366519079E-3</v>
      </c>
      <c r="E31" s="2" cm="1">
        <f t="array" ref="E31">INDEX( ComputeThermoProps($A31, $B31, ParametersRange), 1, COLUMN()-2 )</f>
        <v>1.0015443200224138E-3</v>
      </c>
      <c r="F31" s="2" cm="1">
        <f t="array" ref="F31">INDEX( ComputeThermoProps($A31, $B31, ParametersRange), 1, COLUMN()-2 )</f>
        <v>5.5105220671880441E-4</v>
      </c>
      <c r="G31" s="2" cm="1">
        <f t="array" ref="G31">INDEX( ComputeThermoProps($A31, $B31, ParametersRange), 1, COLUMN()-2 )</f>
        <v>2.4531356111141038</v>
      </c>
      <c r="H31" s="2" cm="1">
        <f t="array" ref="H31">INDEX( ComputeThermoProps($A31, $B31, ParametersRange), 1, COLUMN()-2 )</f>
        <v>2.4206481161658107</v>
      </c>
      <c r="I31" s="2" cm="1">
        <f t="array" ref="I31">INDEX( ComputeThermoProps($A31, $B31, ParametersRange), 1, COLUMN()-2 )</f>
        <v>3.0068156259087182</v>
      </c>
      <c r="J31" s="2" cm="1">
        <f t="array" ref="J31">INDEX( ComputeThermoProps($A31, $B31, ParametersRange), 1, COLUMN()-2 )</f>
        <v>5.0578827402023956</v>
      </c>
      <c r="K31" s="2" cm="1">
        <f t="array" ref="K31">INDEX( ComputeThermoProps($A31, $B31, ParametersRange), 1, COLUMN()-2 )</f>
        <v>0.83380735326173816</v>
      </c>
      <c r="L31" s="2" cm="1">
        <f t="array" ref="L31">INDEX( ComputeThermoProps($A31, $B31, ParametersRange), 1, COLUMN()-2 )</f>
        <v>-1.6959568212176832</v>
      </c>
      <c r="M31" s="2" cm="1">
        <f t="array" ref="M31">INDEX( ComputeThermoProps($A31, $B31, ParametersRange), 1, COLUMN()-2 )</f>
        <v>5.0578827407857005</v>
      </c>
      <c r="N31" s="2" cm="1">
        <f t="array" ref="N31">INDEX( ComputeThermoProps($A31, $B31, ParametersRange), 1, COLUMN()-2 )</f>
        <v>-1.6959568206343782</v>
      </c>
      <c r="P31">
        <f t="shared" si="1"/>
        <v>-1593.3298157327997</v>
      </c>
    </row>
    <row r="32" spans="1:16" x14ac:dyDescent="0.25">
      <c r="A32" s="2">
        <v>9.1</v>
      </c>
      <c r="B32" s="2">
        <f t="shared" si="0"/>
        <v>1.0441802197839621E-9</v>
      </c>
      <c r="C32" s="2" cm="1">
        <f t="array" ref="C32">INDEX( ComputeThermoProps($A32, $B32, ParametersRange), 1, COLUMN()-2 )</f>
        <v>13.414958049678388</v>
      </c>
      <c r="D32" s="2" cm="1">
        <f t="array" ref="D32">INDEX( ComputeThermoProps($A32, $B32, ParametersRange), 1, COLUMN()-2 )</f>
        <v>1.0232740703351203E-3</v>
      </c>
      <c r="E32" s="2" cm="1">
        <f t="array" ref="E32">INDEX( ComputeThermoProps($A32, $B32, ParametersRange), 1, COLUMN()-2 )</f>
        <v>1.0023927042562854E-3</v>
      </c>
      <c r="F32" s="2" cm="1">
        <f t="array" ref="F32">INDEX( ComputeThermoProps($A32, $B32, ParametersRange), 1, COLUMN()-2 )</f>
        <v>7.6033633551990767E-4</v>
      </c>
      <c r="G32" s="2" cm="1">
        <f t="array" ref="G32">INDEX( ComputeThermoProps($A32, $B32, ParametersRange), 1, COLUMN()-2 )</f>
        <v>3.3797400236241728</v>
      </c>
      <c r="H32" s="2" cm="1">
        <f t="array" ref="H32">INDEX( ComputeThermoProps($A32, $B32, ParametersRange), 1, COLUMN()-2 )</f>
        <v>3.3107716106344118</v>
      </c>
      <c r="I32" s="2" cm="1">
        <f t="array" ref="I32">INDEX( ComputeThermoProps($A32, $B32, ParametersRange), 1, COLUMN()-2 )</f>
        <v>3.0107442976063004</v>
      </c>
      <c r="J32" s="2" cm="1">
        <f t="array" ref="J32">INDEX( ComputeThermoProps($A32, $B32, ParametersRange), 1, COLUMN()-2 )</f>
        <v>7.9620893390561704</v>
      </c>
      <c r="K32" s="2" cm="1">
        <f t="array" ref="K32">INDEX( ComputeThermoProps($A32, $B32, ParametersRange), 1, COLUMN()-2 )</f>
        <v>1.1708404296304042</v>
      </c>
      <c r="L32" s="2" cm="1">
        <f t="array" ref="L32">INDEX( ComputeThermoProps($A32, $B32, ParametersRange), 1, COLUMN()-2 )</f>
        <v>-2.6925585705805077</v>
      </c>
      <c r="M32" s="2" cm="1">
        <f t="array" ref="M32">INDEX( ComputeThermoProps($A32, $B32, ParametersRange), 1, COLUMN()-2 )</f>
        <v>7.9620893530638046</v>
      </c>
      <c r="N32" s="2" cm="1">
        <f t="array" ref="N32">INDEX( ComputeThermoProps($A32, $B32, ParametersRange), 1, COLUMN()-2 )</f>
        <v>-2.6925585565728736</v>
      </c>
      <c r="P32">
        <f t="shared" si="1"/>
        <v>-1590.4256091205216</v>
      </c>
    </row>
    <row r="33" spans="1:16" x14ac:dyDescent="0.25">
      <c r="A33" s="2">
        <v>10.1</v>
      </c>
      <c r="B33" s="2">
        <f t="shared" si="0"/>
        <v>1.354599329384741E-8</v>
      </c>
      <c r="C33" s="2" cm="1">
        <f t="array" ref="C33">INDEX( ComputeThermoProps($A33, $B33, ParametersRange), 1, COLUMN()-2 )</f>
        <v>13.426747162915559</v>
      </c>
      <c r="D33" s="2" cm="1">
        <f t="array" ref="D33">INDEX( ComputeThermoProps($A33, $B33, ParametersRange), 1, COLUMN()-2 )</f>
        <v>1.0340997734667424E-3</v>
      </c>
      <c r="E33" s="2" cm="1">
        <f t="array" ref="E33">INDEX( ComputeThermoProps($A33, $B33, ParametersRange), 1, COLUMN()-2 )</f>
        <v>1.0034875978280724E-3</v>
      </c>
      <c r="F33" s="2" cm="1">
        <f t="array" ref="F33">INDEX( ComputeThermoProps($A33, $B33, ParametersRange), 1, COLUMN()-2 )</f>
        <v>1.001437746491898E-3</v>
      </c>
      <c r="G33" s="2" cm="1">
        <f t="array" ref="G33">INDEX( ComputeThermoProps($A33, $B33, ParametersRange), 1, COLUMN()-2 )</f>
        <v>4.4426888927084534</v>
      </c>
      <c r="H33" s="2" cm="1">
        <f t="array" ref="H33">INDEX( ComputeThermoProps($A33, $B33, ParametersRange), 1, COLUMN()-2 )</f>
        <v>4.3111731761585617</v>
      </c>
      <c r="I33" s="2" cm="1">
        <f t="array" ref="I33">INDEX( ComputeThermoProps($A33, $B33, ParametersRange), 1, COLUMN()-2 )</f>
        <v>3.0160383285605219</v>
      </c>
      <c r="J33" s="2" cm="1">
        <f t="array" ref="J33">INDEX( ComputeThermoProps($A33, $B33, ParametersRange), 1, COLUMN()-2 )</f>
        <v>11.862846444213668</v>
      </c>
      <c r="K33" s="2" cm="1">
        <f t="array" ref="K33">INDEX( ComputeThermoProps($A33, $B33, ParametersRange), 1, COLUMN()-2 )</f>
        <v>1.576573795482566</v>
      </c>
      <c r="L33" s="2" cm="1">
        <f t="array" ref="L33">INDEX( ComputeThermoProps($A33, $B33, ParametersRange), 1, COLUMN()-2 )</f>
        <v>-4.0605488901602484</v>
      </c>
      <c r="M33" s="2" cm="1">
        <f t="array" ref="M33">INDEX( ComputeThermoProps($A33, $B33, ParametersRange), 1, COLUMN()-2 )</f>
        <v>11.862846626092296</v>
      </c>
      <c r="N33" s="2" cm="1">
        <f t="array" ref="N33">INDEX( ComputeThermoProps($A33, $B33, ParametersRange), 1, COLUMN()-2 )</f>
        <v>-4.0605487082816207</v>
      </c>
      <c r="P33">
        <f t="shared" si="1"/>
        <v>-1586.5248518474932</v>
      </c>
    </row>
    <row r="34" spans="1:16" x14ac:dyDescent="0.25">
      <c r="A34" s="2">
        <v>11.1</v>
      </c>
      <c r="B34" s="2">
        <f t="shared" si="0"/>
        <v>1.1240179060268277E-7</v>
      </c>
      <c r="C34" s="2" cm="1">
        <f t="array" ref="C34">INDEX( ComputeThermoProps($A34, $B34, ParametersRange), 1, COLUMN()-2 )</f>
        <v>13.441976152727415</v>
      </c>
      <c r="D34" s="2" cm="1">
        <f t="array" ref="D34">INDEX( ComputeThermoProps($A34, $B34, ParametersRange), 1, COLUMN()-2 )</f>
        <v>1.0476378425955588E-3</v>
      </c>
      <c r="E34" s="2" cm="1">
        <f t="array" ref="E34">INDEX( ComputeThermoProps($A34, $B34, ParametersRange), 1, COLUMN()-2 )</f>
        <v>1.0048211592255964E-3</v>
      </c>
      <c r="F34" s="2" cm="1">
        <f t="array" ref="F34">INDEX( ComputeThermoProps($A34, $B34, ParametersRange), 1, COLUMN()-2 )</f>
        <v>1.2699300414292741E-3</v>
      </c>
      <c r="G34" s="2" cm="1">
        <f t="array" ref="G34">INDEX( ComputeThermoProps($A34, $B34, ParametersRange), 1, COLUMN()-2 )</f>
        <v>5.6199528248023922</v>
      </c>
      <c r="H34" s="2" cm="1">
        <f t="array" ref="H34">INDEX( ComputeThermoProps($A34, $B34, ParametersRange), 1, COLUMN()-2 )</f>
        <v>5.3902668294420808</v>
      </c>
      <c r="I34" s="2" cm="1">
        <f t="array" ref="I34">INDEX( ComputeThermoProps($A34, $B34, ParametersRange), 1, COLUMN()-2 )</f>
        <v>3.0228839576100057</v>
      </c>
      <c r="J34" s="2" cm="1">
        <f t="array" ref="J34">INDEX( ComputeThermoProps($A34, $B34, ParametersRange), 1, COLUMN()-2 )</f>
        <v>16.885559499227394</v>
      </c>
      <c r="K34" s="2" cm="1">
        <f t="array" ref="K34">INDEX( ComputeThermoProps($A34, $B34, ParametersRange), 1, COLUMN()-2 )</f>
        <v>2.0498912661649249</v>
      </c>
      <c r="L34" s="2" cm="1">
        <f t="array" ref="L34">INDEX( ComputeThermoProps($A34, $B34, ParametersRange), 1, COLUMN()-2 )</f>
        <v>-5.8682335552032709</v>
      </c>
      <c r="M34" s="2" cm="1">
        <f t="array" ref="M34">INDEX( ComputeThermoProps($A34, $B34, ParametersRange), 1, COLUMN()-2 )</f>
        <v>16.885561010129582</v>
      </c>
      <c r="N34" s="2" cm="1">
        <f t="array" ref="N34">INDEX( ComputeThermoProps($A34, $B34, ParametersRange), 1, COLUMN()-2 )</f>
        <v>-5.8682320443010836</v>
      </c>
      <c r="P34">
        <f t="shared" si="1"/>
        <v>-1581.5021374634559</v>
      </c>
    </row>
    <row r="35" spans="1:16" x14ac:dyDescent="0.25">
      <c r="A35" s="2">
        <v>12.1</v>
      </c>
      <c r="B35" s="2">
        <f t="shared" si="0"/>
        <v>6.6764251838809963E-7</v>
      </c>
      <c r="C35" s="2" cm="1">
        <f t="array" ref="C35">INDEX( ComputeThermoProps($A35, $B35, ParametersRange), 1, COLUMN()-2 )</f>
        <v>13.460996453123178</v>
      </c>
      <c r="D35" s="2" cm="1">
        <f t="array" ref="D35">INDEX( ComputeThermoProps($A35, $B35, ParametersRange), 1, COLUMN()-2 )</f>
        <v>1.0640030448782639E-3</v>
      </c>
      <c r="E35" s="2" cm="1">
        <f t="array" ref="E35">INDEX( ComputeThermoProps($A35, $B35, ParametersRange), 1, COLUMN()-2 )</f>
        <v>1.0063584828544723E-3</v>
      </c>
      <c r="F35" s="2" cm="1">
        <f t="array" ref="F35">INDEX( ComputeThermoProps($A35, $B35, ParametersRange), 1, COLUMN()-2 )</f>
        <v>1.5616029023796576E-3</v>
      </c>
      <c r="G35" s="2" cm="1">
        <f t="array" ref="G35">INDEX( ComputeThermoProps($A35, $B35, ParametersRange), 1, COLUMN()-2 )</f>
        <v>6.8904161371822603</v>
      </c>
      <c r="H35" s="2" cm="1">
        <f t="array" ref="H35">INDEX( ComputeThermoProps($A35, $B35, ParametersRange), 1, COLUMN()-2 )</f>
        <v>6.5171136148807554</v>
      </c>
      <c r="I35" s="2" cm="1">
        <f t="array" ref="I35">INDEX( ComputeThermoProps($A35, $B35, ParametersRange), 1, COLUMN()-2 )</f>
        <v>3.0314447285279695</v>
      </c>
      <c r="J35" s="2" cm="1">
        <f t="array" ref="J35">INDEX( ComputeThermoProps($A35, $B35, ParametersRange), 1, COLUMN()-2 )</f>
        <v>23.133778145862589</v>
      </c>
      <c r="K35" s="2" cm="1">
        <f t="array" ref="K35">INDEX( ComputeThermoProps($A35, $B35, ParametersRange), 1, COLUMN()-2 )</f>
        <v>2.5880759727331344</v>
      </c>
      <c r="L35" s="2" cm="1">
        <f t="array" ref="L35">INDEX( ComputeThermoProps($A35, $B35, ParametersRange), 1, COLUMN()-2 )</f>
        <v>-8.1819411242083362</v>
      </c>
      <c r="M35" s="2" cm="1">
        <f t="array" ref="M35">INDEX( ComputeThermoProps($A35, $B35, ParametersRange), 1, COLUMN()-2 )</f>
        <v>23.133787132996162</v>
      </c>
      <c r="N35" s="2" cm="1">
        <f t="array" ref="N35">INDEX( ComputeThermoProps($A35, $B35, ParametersRange), 1, COLUMN()-2 )</f>
        <v>-8.1819321370747637</v>
      </c>
      <c r="P35">
        <f t="shared" si="1"/>
        <v>-1575.2539113405894</v>
      </c>
    </row>
    <row r="36" spans="1:16" x14ac:dyDescent="0.25">
      <c r="A36" s="2">
        <v>13.1</v>
      </c>
      <c r="B36" s="2">
        <f t="shared" si="0"/>
        <v>3.0694002160721521E-6</v>
      </c>
      <c r="C36" s="2" cm="1">
        <f t="array" ref="C36">INDEX( ComputeThermoProps($A36, $B36, ParametersRange), 1, COLUMN()-2 )</f>
        <v>13.484112183138867</v>
      </c>
      <c r="D36" s="2" cm="1">
        <f t="array" ref="D36">INDEX( ComputeThermoProps($A36, $B36, ParametersRange), 1, COLUMN()-2 )</f>
        <v>1.0832693381563154E-3</v>
      </c>
      <c r="E36" s="2" cm="1">
        <f t="array" ref="E36">INDEX( ComputeThermoProps($A36, $B36, ParametersRange), 1, COLUMN()-2 )</f>
        <v>1.0080346738586461E-3</v>
      </c>
      <c r="F36" s="2" cm="1">
        <f t="array" ref="F36">INDEX( ComputeThermoProps($A36, $B36, ParametersRange), 1, COLUMN()-2 )</f>
        <v>1.8729719445323236E-3</v>
      </c>
      <c r="G36" s="2" cm="1">
        <f t="array" ref="G36">INDEX( ComputeThermoProps($A36, $B36, ParametersRange), 1, COLUMN()-2 )</f>
        <v>8.2364147825102343</v>
      </c>
      <c r="H36" s="2" cm="1">
        <f t="array" ref="H36">INDEX( ComputeThermoProps($A36, $B36, ParametersRange), 1, COLUMN()-2 )</f>
        <v>7.6643835439697199</v>
      </c>
      <c r="I36" s="2" cm="1">
        <f t="array" ref="I36">INDEX( ComputeThermoProps($A36, $B36, ParametersRange), 1, COLUMN()-2 )</f>
        <v>3.0418650900594364</v>
      </c>
      <c r="J36" s="2" cm="1">
        <f t="array" ref="J36">INDEX( ComputeThermoProps($A36, $B36, ParametersRange), 1, COLUMN()-2 )</f>
        <v>30.691517410383838</v>
      </c>
      <c r="K36" s="2" cm="1">
        <f t="array" ref="K36">INDEX( ComputeThermoProps($A36, $B36, ParametersRange), 1, COLUMN()-2 )</f>
        <v>3.1875032991747636</v>
      </c>
      <c r="L36" s="2" cm="1">
        <f t="array" ref="L36">INDEX( ComputeThermoProps($A36, $B36, ParametersRange), 1, COLUMN()-2 )</f>
        <v>-11.064775808805564</v>
      </c>
      <c r="M36" s="2" cm="1">
        <f t="array" ref="M36">INDEX( ComputeThermoProps($A36, $B36, ParametersRange), 1, COLUMN()-2 )</f>
        <v>30.691558798520688</v>
      </c>
      <c r="N36" s="2" cm="1">
        <f t="array" ref="N36">INDEX( ComputeThermoProps($A36, $B36, ParametersRange), 1, COLUMN()-2 )</f>
        <v>-11.064734420668714</v>
      </c>
      <c r="P36">
        <f t="shared" si="1"/>
        <v>-1567.6961396750648</v>
      </c>
    </row>
    <row r="37" spans="1:16" x14ac:dyDescent="0.25">
      <c r="A37" s="2">
        <v>14.1</v>
      </c>
      <c r="B37" s="2">
        <f t="shared" si="0"/>
        <v>1.155031065365764E-5</v>
      </c>
      <c r="C37" s="2" cm="1">
        <f t="array" ref="C37">INDEX( ComputeThermoProps($A37, $B37, ParametersRange), 1, COLUMN()-2 )</f>
        <v>13.511591989749343</v>
      </c>
      <c r="D37" s="2" cm="1">
        <f t="array" ref="D37">INDEX( ComputeThermoProps($A37, $B37, ParametersRange), 1, COLUMN()-2 )</f>
        <v>1.1054840711113793E-3</v>
      </c>
      <c r="E37" s="2" cm="1">
        <f t="array" ref="E37">INDEX( ComputeThermoProps($A37, $B37, ParametersRange), 1, COLUMN()-2 )</f>
        <v>1.0097526130862511E-3</v>
      </c>
      <c r="F37" s="2" cm="1">
        <f t="array" ref="F37">INDEX( ComputeThermoProps($A37, $B37, ParametersRange), 1, COLUMN()-2 )</f>
        <v>2.2014675877086386E-3</v>
      </c>
      <c r="G37" s="2" cm="1">
        <f t="array" ref="G37">INDEX( ComputeThermoProps($A37, $B37, ParametersRange), 1, COLUMN()-2 )</f>
        <v>9.6448516712946439</v>
      </c>
      <c r="H37" s="2" cm="1">
        <f t="array" ref="H37">INDEX( ComputeThermoProps($A37, $B37, ParametersRange), 1, COLUMN()-2 )</f>
        <v>8.8096377256057732</v>
      </c>
      <c r="I37" s="2" cm="1">
        <f t="array" ref="I37">INDEX( ComputeThermoProps($A37, $B37, ParametersRange), 1, COLUMN()-2 )</f>
        <v>3.0542759983672645</v>
      </c>
      <c r="J37" s="2" cm="1">
        <f t="array" ref="J37">INDEX( ComputeThermoProps($A37, $B37, ParametersRange), 1, COLUMN()-2 )</f>
        <v>39.627362590977405</v>
      </c>
      <c r="K37" s="2" cm="1">
        <f t="array" ref="K37">INDEX( ComputeThermoProps($A37, $B37, ParametersRange), 1, COLUMN()-2 )</f>
        <v>3.8442106180724513</v>
      </c>
      <c r="L37" s="2" cm="1">
        <f t="array" ref="L37">INDEX( ComputeThermoProps($A37, $B37, ParametersRange), 1, COLUMN()-2 )</f>
        <v>-14.576007123844157</v>
      </c>
      <c r="M37" s="2" cm="1">
        <f t="array" ref="M37">INDEX( ComputeThermoProps($A37, $B37, ParametersRange), 1, COLUMN()-2 )</f>
        <v>39.627518654062314</v>
      </c>
      <c r="N37" s="2" cm="1">
        <f t="array" ref="N37">INDEX( ComputeThermoProps($A37, $B37, ParametersRange), 1, COLUMN()-2 )</f>
        <v>-14.575851060759248</v>
      </c>
      <c r="P37">
        <f t="shared" si="1"/>
        <v>-1558.7601798195233</v>
      </c>
    </row>
    <row r="38" spans="1:16" x14ac:dyDescent="0.25">
      <c r="A38" s="2">
        <v>15.1</v>
      </c>
      <c r="B38" s="2">
        <f t="shared" si="0"/>
        <v>3.7069889444936479E-5</v>
      </c>
      <c r="C38" s="2" cm="1">
        <f t="array" ref="C38">INDEX( ComputeThermoProps($A38, $B38, ParametersRange), 1, COLUMN()-2 )</f>
        <v>13.543681896883115</v>
      </c>
      <c r="D38" s="2" cm="1">
        <f t="array" ref="D38">INDEX( ComputeThermoProps($A38, $B38, ParametersRange), 1, COLUMN()-2 )</f>
        <v>1.1306753222400949E-3</v>
      </c>
      <c r="E38" s="2" cm="1">
        <f t="array" ref="E38">INDEX( ComputeThermoProps($A38, $B38, ParametersRange), 1, COLUMN()-2 )</f>
        <v>1.0113809718393508E-3</v>
      </c>
      <c r="F38" s="2" cm="1">
        <f t="array" ref="F38">INDEX( ComputeThermoProps($A38, $B38, ParametersRange), 1, COLUMN()-2 )</f>
        <v>2.5454198493190397E-3</v>
      </c>
      <c r="G38" s="2" cm="1">
        <f t="array" ref="G38">INDEX( ComputeThermoProps($A38, $B38, ParametersRange), 1, COLUMN()-2 )</f>
        <v>11.107406558301959</v>
      </c>
      <c r="H38" s="2" cm="1">
        <f t="array" ref="H38">INDEX( ComputeThermoProps($A38, $B38, ParametersRange), 1, COLUMN()-2 )</f>
        <v>9.9354955561369831</v>
      </c>
      <c r="I38" s="2" cm="1">
        <f t="array" ref="I38">INDEX( ComputeThermoProps($A38, $B38, ParametersRange), 1, COLUMN()-2 )</f>
        <v>3.0688009812635313</v>
      </c>
      <c r="J38" s="2" cm="1">
        <f t="array" ref="J38">INDEX( ComputeThermoProps($A38, $B38, ParametersRange), 1, COLUMN()-2 )</f>
        <v>49.999193458482459</v>
      </c>
      <c r="K38" s="2" cm="1">
        <f t="array" ref="K38">INDEX( ComputeThermoProps($A38, $B38, ParametersRange), 1, COLUMN()-2 )</f>
        <v>4.5543143411278502</v>
      </c>
      <c r="L38" s="2" cm="1">
        <f t="array" ref="L38">INDEX( ComputeThermoProps($A38, $B38, ParametersRange), 1, COLUMN()-2 )</f>
        <v>-18.770953092548076</v>
      </c>
      <c r="M38" s="2" cm="1">
        <f t="array" ref="M38">INDEX( ComputeThermoProps($A38, $B38, ParametersRange), 1, COLUMN()-2 )</f>
        <v>49.999695521273054</v>
      </c>
      <c r="N38" s="2" cm="1">
        <f t="array" ref="N38">INDEX( ComputeThermoProps($A38, $B38, ParametersRange), 1, COLUMN()-2 )</f>
        <v>-18.770451029757481</v>
      </c>
      <c r="P38">
        <f t="shared" si="1"/>
        <v>-1548.3880029523125</v>
      </c>
    </row>
    <row r="39" spans="1:16" x14ac:dyDescent="0.25">
      <c r="A39" s="2">
        <v>16.100000000000001</v>
      </c>
      <c r="B39" s="2">
        <f t="shared" si="0"/>
        <v>1.0465760776566444E-4</v>
      </c>
      <c r="C39" s="2" cm="1">
        <f t="array" ref="C39">INDEX( ComputeThermoProps($A39, $B39, ParametersRange), 1, COLUMN()-2 )</f>
        <v>13.580617100983821</v>
      </c>
      <c r="D39" s="2" cm="1">
        <f t="array" ref="D39">INDEX( ComputeThermoProps($A39, $B39, ParametersRange), 1, COLUMN()-2 )</f>
        <v>1.1588520778340031E-3</v>
      </c>
      <c r="E39" s="2" cm="1">
        <f t="array" ref="E39">INDEX( ComputeThermoProps($A39, $B39, ParametersRange), 1, COLUMN()-2 )</f>
        <v>1.0127522602598874E-3</v>
      </c>
      <c r="F39" s="2" cm="1">
        <f t="array" ref="F39">INDEX( ComputeThermoProps($A39, $B39, ParametersRange), 1, COLUMN()-2 )</f>
        <v>2.9039312649584924E-3</v>
      </c>
      <c r="G39" s="2" cm="1">
        <f t="array" ref="G39">INDEX( ComputeThermoProps($A39, $B39, ParametersRange), 1, COLUMN()-2 )</f>
        <v>12.620262030989887</v>
      </c>
      <c r="H39" s="2" cm="1">
        <f t="array" ref="H39">INDEX( ComputeThermoProps($A39, $B39, ParametersRange), 1, COLUMN()-2 )</f>
        <v>11.029189265334223</v>
      </c>
      <c r="I39" s="2" cm="1">
        <f t="array" ref="I39">INDEX( ComputeThermoProps($A39, $B39, ParametersRange), 1, COLUMN()-2 )</f>
        <v>3.0855617626266736</v>
      </c>
      <c r="J39" s="2" cm="1">
        <f t="array" ref="J39">INDEX( ComputeThermoProps($A39, $B39, ParametersRange), 1, COLUMN()-2 )</f>
        <v>61.858842989871619</v>
      </c>
      <c r="K39" s="2" cm="1">
        <f t="array" ref="K39">INDEX( ComputeThermoProps($A39, $B39, ParametersRange), 1, COLUMN()-2 )</f>
        <v>5.3142889853205881</v>
      </c>
      <c r="L39" s="2" cm="1">
        <f t="array" ref="L39">INDEX( ComputeThermoProps($A39, $B39, ParametersRange), 1, COLUMN()-2 )</f>
        <v>-23.701209673789858</v>
      </c>
      <c r="M39" s="2" cm="1">
        <f t="array" ref="M39">INDEX( ComputeThermoProps($A39, $B39, ParametersRange), 1, COLUMN()-2 )</f>
        <v>61.860264304769387</v>
      </c>
      <c r="N39" s="2" cm="1">
        <f t="array" ref="N39">INDEX( ComputeThermoProps($A39, $B39, ParametersRange), 1, COLUMN()-2 )</f>
        <v>-23.699788358892089</v>
      </c>
      <c r="P39">
        <f t="shared" si="1"/>
        <v>-1536.5274341688162</v>
      </c>
    </row>
    <row r="40" spans="1:16" x14ac:dyDescent="0.25">
      <c r="A40" s="2">
        <v>17.100000000000001</v>
      </c>
      <c r="B40" s="2">
        <f t="shared" si="0"/>
        <v>2.6617333259291922E-4</v>
      </c>
      <c r="C40" s="2" cm="1">
        <f t="array" ref="C40">INDEX( ComputeThermoProps($A40, $B40, ParametersRange), 1, COLUMN()-2 )</f>
        <v>13.622631614169268</v>
      </c>
      <c r="D40" s="2" cm="1">
        <f t="array" ref="D40">INDEX( ComputeThermoProps($A40, $B40, ParametersRange), 1, COLUMN()-2 )</f>
        <v>1.1899973130733604E-3</v>
      </c>
      <c r="E40" s="2" cm="1">
        <f t="array" ref="E40">INDEX( ComputeThermoProps($A40, $B40, ParametersRange), 1, COLUMN()-2 )</f>
        <v>1.0136609514601565E-3</v>
      </c>
      <c r="F40" s="2" cm="1">
        <f t="array" ref="F40">INDEX( ComputeThermoProps($A40, $B40, ParametersRange), 1, COLUMN()-2 )</f>
        <v>3.2766932675371203E-3</v>
      </c>
      <c r="G40" s="2" cm="1">
        <f t="array" ref="G40">INDEX( ComputeThermoProps($A40, $B40, ParametersRange), 1, COLUMN()-2 )</f>
        <v>14.183611427556434</v>
      </c>
      <c r="H40" s="2" cm="1">
        <f t="array" ref="H40">INDEX( ComputeThermoProps($A40, $B40, ParametersRange), 1, COLUMN()-2 )</f>
        <v>12.081853376345963</v>
      </c>
      <c r="I40" s="2" cm="1">
        <f t="array" ref="I40">INDEX( ComputeThermoProps($A40, $B40, ParametersRange), 1, COLUMN()-2 )</f>
        <v>3.1046829713714983</v>
      </c>
      <c r="J40" s="2" cm="1">
        <f t="array" ref="J40">INDEX( ComputeThermoProps($A40, $B40, ParametersRange), 1, COLUMN()-2 )</f>
        <v>75.256347066787072</v>
      </c>
      <c r="K40" s="2" cm="1">
        <f t="array" ref="K40">INDEX( ComputeThermoProps($A40, $B40, ParametersRange), 1, COLUMN()-2 )</f>
        <v>6.1211374300376589</v>
      </c>
      <c r="L40" s="2" cm="1">
        <f t="array" ref="L40">INDEX( ComputeThermoProps($A40, $B40, ParametersRange), 1, COLUMN()-2 )</f>
        <v>-29.415102986856905</v>
      </c>
      <c r="M40" s="2" cm="1">
        <f t="array" ref="M40">INDEX( ComputeThermoProps($A40, $B40, ParametersRange), 1, COLUMN()-2 )</f>
        <v>75.259973048042497</v>
      </c>
      <c r="N40" s="2" cm="1">
        <f t="array" ref="N40">INDEX( ComputeThermoProps($A40, $B40, ParametersRange), 1, COLUMN()-2 )</f>
        <v>-29.41147700560148</v>
      </c>
      <c r="P40">
        <f t="shared" si="1"/>
        <v>-1523.1277254255431</v>
      </c>
    </row>
    <row r="41" spans="1:16" x14ac:dyDescent="0.25">
      <c r="A41" s="2">
        <v>18.100000000000001</v>
      </c>
      <c r="B41" s="2">
        <f t="shared" si="0"/>
        <v>6.2129069033045018E-4</v>
      </c>
      <c r="C41" s="2" cm="1">
        <f t="array" ref="C41">INDEX( ComputeThermoProps($A41, $B41, ParametersRange), 1, COLUMN()-2 )</f>
        <v>13.669965140597029</v>
      </c>
      <c r="D41" s="2" cm="1">
        <f t="array" ref="D41">INDEX( ComputeThermoProps($A41, $B41, ParametersRange), 1, COLUMN()-2 )</f>
        <v>1.2240538205182676E-3</v>
      </c>
      <c r="E41" s="2" cm="1">
        <f t="array" ref="E41">INDEX( ComputeThermoProps($A41, $B41, ParametersRange), 1, COLUMN()-2 )</f>
        <v>1.0138620039785999E-3</v>
      </c>
      <c r="F41" s="2" cm="1">
        <f t="array" ref="F41">INDEX( ComputeThermoProps($A41, $B41, ParametersRange), 1, COLUMN()-2 )</f>
        <v>3.6637710976117309E-3</v>
      </c>
      <c r="G41" s="2" cm="1">
        <f t="array" ref="G41">INDEX( ComputeThermoProps($A41, $B41, ParametersRange), 1, COLUMN()-2 )</f>
        <v>15.80108258994156</v>
      </c>
      <c r="H41" s="2" cm="1">
        <f t="array" ref="H41">INDEX( ComputeThermoProps($A41, $B41, ParametersRange), 1, COLUMN()-2 )</f>
        <v>13.087755612646635</v>
      </c>
      <c r="I41" s="2" cm="1">
        <f t="array" ref="I41">INDEX( ComputeThermoProps($A41, $B41, ParametersRange), 1, COLUMN()-2 )</f>
        <v>3.1262956678578315</v>
      </c>
      <c r="J41" s="2" cm="1">
        <f t="array" ref="J41">INDEX( ComputeThermoProps($A41, $B41, ParametersRange), 1, COLUMN()-2 )</f>
        <v>90.243634220383186</v>
      </c>
      <c r="K41" s="2" cm="1">
        <f t="array" ref="K41">INDEX( ComputeThermoProps($A41, $B41, ParametersRange), 1, COLUMN()-2 )</f>
        <v>6.9724809449611502</v>
      </c>
      <c r="L41" s="2" cm="1">
        <f t="array" ref="L41">INDEX( ComputeThermoProps($A41, $B41, ParametersRange), 1, COLUMN()-2 )</f>
        <v>-35.958270883413647</v>
      </c>
      <c r="M41" s="2" cm="1">
        <f t="array" ref="M41">INDEX( ComputeThermoProps($A41, $B41, ParametersRange), 1, COLUMN()-2 )</f>
        <v>90.25212724246218</v>
      </c>
      <c r="N41" s="2" cm="1">
        <f t="array" ref="N41">INDEX( ComputeThermoProps($A41, $B41, ParametersRange), 1, COLUMN()-2 )</f>
        <v>-35.949777861334653</v>
      </c>
      <c r="P41">
        <f t="shared" si="1"/>
        <v>-1508.1355712311233</v>
      </c>
    </row>
    <row r="42" spans="1:16" x14ac:dyDescent="0.25">
      <c r="A42" s="2">
        <v>19.100000000000001</v>
      </c>
      <c r="B42" s="2">
        <f t="shared" si="0"/>
        <v>1.3509482334256285E-3</v>
      </c>
      <c r="C42" s="2" cm="1">
        <f t="array" ref="C42">INDEX( ComputeThermoProps($A42, $B42, ParametersRange), 1, COLUMN()-2 )</f>
        <v>13.722866693008848</v>
      </c>
      <c r="D42" s="2" cm="1">
        <f t="array" ref="D42">INDEX( ComputeThermoProps($A42, $B42, ParametersRange), 1, COLUMN()-2 )</f>
        <v>1.2609022850171205E-3</v>
      </c>
      <c r="E42" s="2" cm="1">
        <f t="array" ref="E42">INDEX( ComputeThermoProps($A42, $B42, ParametersRange), 1, COLUMN()-2 )</f>
        <v>1.0130704186237297E-3</v>
      </c>
      <c r="F42" s="2" cm="1">
        <f t="array" ref="F42">INDEX( ComputeThermoProps($A42, $B42, ParametersRange), 1, COLUMN()-2 )</f>
        <v>4.0653619899756787E-3</v>
      </c>
      <c r="G42" s="2" cm="1">
        <f t="array" ref="G42">INDEX( ComputeThermoProps($A42, $B42, ParametersRange), 1, COLUMN()-2 )</f>
        <v>17.479117783928398</v>
      </c>
      <c r="H42" s="2" cm="1">
        <f t="array" ref="H42">INDEX( ComputeThermoProps($A42, $B42, ParametersRange), 1, COLUMN()-2 )</f>
        <v>14.043576081153178</v>
      </c>
      <c r="I42" s="2" cm="1">
        <f t="array" ref="I42">INDEX( ComputeThermoProps($A42, $B42, ParametersRange), 1, COLUMN()-2 )</f>
        <v>3.1505394617216842</v>
      </c>
      <c r="J42" s="2" cm="1">
        <f t="array" ref="J42">INDEX( ComputeThermoProps($A42, $B42, ParametersRange), 1, COLUMN()-2 )</f>
        <v>106.87758170317295</v>
      </c>
      <c r="K42" s="2" cm="1">
        <f t="array" ref="K42">INDEX( ComputeThermoProps($A42, $B42, ParametersRange), 1, COLUMN()-2 )</f>
        <v>7.8665910037292228</v>
      </c>
      <c r="L42" s="2" cm="1">
        <f t="array" ref="L42">INDEX( ComputeThermoProps($A42, $B42, ParametersRange), 1, COLUMN()-2 )</f>
        <v>-43.374306468055217</v>
      </c>
      <c r="M42" s="2" cm="1">
        <f t="array" ref="M42">INDEX( ComputeThermoProps($A42, $B42, ParametersRange), 1, COLUMN()-2 )</f>
        <v>106.8961205856894</v>
      </c>
      <c r="N42" s="2" cm="1">
        <f t="array" ref="N42">INDEX( ComputeThermoProps($A42, $B42, ParametersRange), 1, COLUMN()-2 )</f>
        <v>-43.355767585538764</v>
      </c>
      <c r="P42">
        <f t="shared" si="1"/>
        <v>-1491.491577887896</v>
      </c>
    </row>
    <row r="43" spans="1:16" x14ac:dyDescent="0.25">
      <c r="A43" s="2">
        <v>20.100000000000001</v>
      </c>
      <c r="B43" s="2">
        <f t="shared" si="0"/>
        <v>2.770164685567214E-3</v>
      </c>
      <c r="C43" s="2" cm="1">
        <f t="array" ref="C43">INDEX( ComputeThermoProps($A43, $B43, ParametersRange), 1, COLUMN()-2 )</f>
        <v>13.781594321924379</v>
      </c>
      <c r="D43" s="2" cm="1">
        <f t="array" ref="D43">INDEX( ComputeThermoProps($A43, $B43, ParametersRange), 1, COLUMN()-2 )</f>
        <v>1.3003309460347849E-3</v>
      </c>
      <c r="E43" s="2" cm="1">
        <f t="array" ref="E43">INDEX( ComputeThermoProps($A43, $B43, ParametersRange), 1, COLUMN()-2 )</f>
        <v>1.0109628226554579E-3</v>
      </c>
      <c r="F43" s="2" cm="1">
        <f t="array" ref="F43">INDEX( ComputeThermoProps($A43, $B43, ParametersRange), 1, COLUMN()-2 )</f>
        <v>4.481519465554082E-3</v>
      </c>
      <c r="G43" s="2" cm="1">
        <f t="array" ref="G43">INDEX( ComputeThermoProps($A43, $B43, ParametersRange), 1, COLUMN()-2 )</f>
        <v>19.226286323253639</v>
      </c>
      <c r="H43" s="2" cm="1">
        <f t="array" ref="H43">INDEX( ComputeThermoProps($A43, $B43, ParametersRange), 1, COLUMN()-2 )</f>
        <v>14.947779832364741</v>
      </c>
      <c r="I43" s="2" cm="1">
        <f t="array" ref="I43">INDEX( ComputeThermoProps($A43, $B43, ParametersRange), 1, COLUMN()-2 )</f>
        <v>3.1775629146508839</v>
      </c>
      <c r="J43" s="2" cm="1">
        <f t="array" ref="J43">INDEX( ComputeThermoProps($A43, $B43, ParametersRange), 1, COLUMN()-2 )</f>
        <v>125.22235842905552</v>
      </c>
      <c r="K43" s="2" cm="1">
        <f t="array" ref="K43">INDEX( ComputeThermoProps($A43, $B43, ParametersRange), 1, COLUMN()-2 )</f>
        <v>8.8023767872691803</v>
      </c>
      <c r="L43" s="2" cm="1">
        <f t="array" ref="L43">INDEX( ComputeThermoProps($A43, $B43, ParametersRange), 1, COLUMN()-2 )</f>
        <v>-51.705414995055015</v>
      </c>
      <c r="M43" s="2" cm="1">
        <f t="array" ref="M43">INDEX( ComputeThermoProps($A43, $B43, ParametersRange), 1, COLUMN()-2 )</f>
        <v>125.26053571495693</v>
      </c>
      <c r="N43" s="2" cm="1">
        <f t="array" ref="N43">INDEX( ComputeThermoProps($A43, $B43, ParametersRange), 1, COLUMN()-2 )</f>
        <v>-51.667237709153603</v>
      </c>
      <c r="P43">
        <f t="shared" si="1"/>
        <v>-1473.1271627586286</v>
      </c>
    </row>
    <row r="44" spans="1:16" x14ac:dyDescent="0.25">
      <c r="A44" s="2">
        <v>21.1</v>
      </c>
      <c r="B44" s="2">
        <f t="shared" si="0"/>
        <v>5.4123951021896833E-3</v>
      </c>
      <c r="C44" s="2" cm="1">
        <f t="array" ref="C44">INDEX( ComputeThermoProps($A44, $B44, ParametersRange), 1, COLUMN()-2 )</f>
        <v>13.84641000377321</v>
      </c>
      <c r="D44" s="2" cm="1">
        <f t="array" ref="D44">INDEX( ComputeThermoProps($A44, $B44, ParametersRange), 1, COLUMN()-2 )</f>
        <v>1.3419965327780552E-3</v>
      </c>
      <c r="E44" s="2" cm="1">
        <f t="array" ref="E44">INDEX( ComputeThermoProps($A44, $B44, ParametersRange), 1, COLUMN()-2 )</f>
        <v>1.0071824648087175E-3</v>
      </c>
      <c r="F44" s="2" cm="1">
        <f t="array" ref="F44">INDEX( ComputeThermoProps($A44, $B44, ParametersRange), 1, COLUMN()-2 )</f>
        <v>4.9118316930690104E-3</v>
      </c>
      <c r="G44" s="2" cm="1">
        <f t="array" ref="G44">INDEX( ComputeThermoProps($A44, $B44, ParametersRange), 1, COLUMN()-2 )</f>
        <v>21.052462336440065</v>
      </c>
      <c r="H44" s="2" cm="1">
        <f t="array" ref="H44">INDEX( ComputeThermoProps($A44, $B44, ParametersRange), 1, COLUMN()-2 )</f>
        <v>15.800093657779325</v>
      </c>
      <c r="I44" s="2" cm="1">
        <f t="array" ref="I44">INDEX( ComputeThermoProps($A44, $B44, ParametersRange), 1, COLUMN()-2 )</f>
        <v>3.2075217443375212</v>
      </c>
      <c r="J44" s="2" cm="1">
        <f t="array" ref="J44">INDEX( ComputeThermoProps($A44, $B44, ParametersRange), 1, COLUMN()-2 )</f>
        <v>145.35090585653924</v>
      </c>
      <c r="K44" s="2" cm="1">
        <f t="array" ref="K44">INDEX( ComputeThermoProps($A44, $B44, ParametersRange), 1, COLUMN()-2 )</f>
        <v>9.779334250781309</v>
      </c>
      <c r="L44" s="2" cm="1">
        <f t="array" ref="L44">INDEX( ComputeThermoProps($A44, $B44, ParametersRange), 1, COLUMN()-2 )</f>
        <v>-60.993046834946391</v>
      </c>
      <c r="M44" s="2" cm="1">
        <f t="array" ref="M44">INDEX( ComputeThermoProps($A44, $B44, ParametersRange), 1, COLUMN()-2 )</f>
        <v>145.42584809822657</v>
      </c>
      <c r="N44" s="2" cm="1">
        <f t="array" ref="N44">INDEX( ComputeThermoProps($A44, $B44, ParametersRange), 1, COLUMN()-2 )</f>
        <v>-60.918104593259066</v>
      </c>
      <c r="P44">
        <f t="shared" si="1"/>
        <v>-1452.9618503753588</v>
      </c>
    </row>
    <row r="45" spans="1:16" x14ac:dyDescent="0.25">
      <c r="A45" s="2">
        <v>22.1</v>
      </c>
      <c r="B45" s="2">
        <f t="shared" si="0"/>
        <v>1.0169380105608659E-2</v>
      </c>
      <c r="C45" s="2" cm="1">
        <f t="array" ref="C45">INDEX( ComputeThermoProps($A45, $B45, ParametersRange), 1, COLUMN()-2 )</f>
        <v>13.917568215714917</v>
      </c>
      <c r="D45" s="2" cm="1">
        <f t="array" ref="D45">INDEX( ComputeThermoProps($A45, $B45, ParametersRange), 1, COLUMN()-2 )</f>
        <v>1.385377398914774E-3</v>
      </c>
      <c r="E45" s="2" cm="1">
        <f t="array" ref="E45">INDEX( ComputeThermoProps($A45, $B45, ParametersRange), 1, COLUMN()-2 )</f>
        <v>1.001349378773932E-3</v>
      </c>
      <c r="F45" s="2" cm="1">
        <f t="array" ref="F45">INDEX( ComputeThermoProps($A45, $B45, ParametersRange), 1, COLUMN()-2 )</f>
        <v>5.3550441403817589E-3</v>
      </c>
      <c r="G45" s="2" cm="1">
        <f t="array" ref="G45">INDEX( ComputeThermoProps($A45, $B45, ParametersRange), 1, COLUMN()-2 )</f>
        <v>22.967769920640922</v>
      </c>
      <c r="H45" s="2" cm="1">
        <f t="array" ref="H45">INDEX( ComputeThermoProps($A45, $B45, ParametersRange), 1, COLUMN()-2 )</f>
        <v>16.601080802871707</v>
      </c>
      <c r="I45" s="2" cm="1">
        <f t="array" ref="I45">INDEX( ComputeThermoProps($A45, $B45, ParametersRange), 1, COLUMN()-2 )</f>
        <v>3.2405740649097301</v>
      </c>
      <c r="J45" s="2" cm="1">
        <f t="array" ref="J45">INDEX( ComputeThermoProps($A45, $B45, ParametersRange), 1, COLUMN()-2 )</f>
        <v>167.34527794758196</v>
      </c>
      <c r="K45" s="2" cm="1">
        <f t="array" ref="K45">INDEX( ComputeThermoProps($A45, $B45, ParametersRange), 1, COLUMN()-2 )</f>
        <v>10.797454824964515</v>
      </c>
      <c r="L45" s="2" cm="1">
        <f t="array" ref="L45">INDEX( ComputeThermoProps($A45, $B45, ParametersRange), 1, COLUMN()-2 )</f>
        <v>-71.278473684133829</v>
      </c>
      <c r="M45" s="2" cm="1">
        <f t="array" ref="M45">INDEX( ComputeThermoProps($A45, $B45, ParametersRange), 1, COLUMN()-2 )</f>
        <v>167.48681098891331</v>
      </c>
      <c r="N45" s="2" cm="1">
        <f t="array" ref="N45">INDEX( ComputeThermoProps($A45, $B45, ParametersRange), 1, COLUMN()-2 )</f>
        <v>-71.136940642802486</v>
      </c>
      <c r="P45">
        <f t="shared" si="1"/>
        <v>-1430.9008874846722</v>
      </c>
    </row>
    <row r="46" spans="1:16" x14ac:dyDescent="0.25">
      <c r="A46" s="2">
        <v>23.1</v>
      </c>
      <c r="B46" s="2">
        <f t="shared" si="0"/>
        <v>1.8542300916479761E-2</v>
      </c>
      <c r="C46" s="2" cm="1">
        <f t="array" ref="C46">INDEX( ComputeThermoProps($A46, $B46, ParametersRange), 1, COLUMN()-2 )</f>
        <v>13.995295813512131</v>
      </c>
      <c r="D46" s="2" cm="1">
        <f t="array" ref="D46">INDEX( ComputeThermoProps($A46, $B46, ParametersRange), 1, COLUMN()-2 )</f>
        <v>1.4297224332370767E-3</v>
      </c>
      <c r="E46" s="2" cm="1">
        <f t="array" ref="E46">INDEX( ComputeThermoProps($A46, $B46, ParametersRange), 1, COLUMN()-2 )</f>
        <v>9.9307772867283386E-4</v>
      </c>
      <c r="F46" s="2" cm="1">
        <f t="array" ref="F46">INDEX( ComputeThermoProps($A46, $B46, ParametersRange), 1, COLUMN()-2 )</f>
        <v>5.8086281599429145E-3</v>
      </c>
      <c r="G46" s="2" cm="1">
        <f t="array" ref="G46">INDEX( ComputeThermoProps($A46, $B46, ParametersRange), 1, COLUMN()-2 )</f>
        <v>24.981183909127584</v>
      </c>
      <c r="H46" s="2" cm="1">
        <f t="array" ref="H46">INDEX( ComputeThermoProps($A46, $B46, ParametersRange), 1, COLUMN()-2 )</f>
        <v>17.35179976148633</v>
      </c>
      <c r="I46" s="2" cm="1">
        <f t="array" ref="I46">INDEX( ComputeThermoProps($A46, $B46, ParametersRange), 1, COLUMN()-2 )</f>
        <v>3.2768714116787883</v>
      </c>
      <c r="J46" s="2" cm="1">
        <f t="array" ref="J46">INDEX( ComputeThermoProps($A46, $B46, ParametersRange), 1, COLUMN()-2 )</f>
        <v>191.29534408240659</v>
      </c>
      <c r="K46" s="2" cm="1">
        <f t="array" ref="K46">INDEX( ComputeThermoProps($A46, $B46, ParametersRange), 1, COLUMN()-2 )</f>
        <v>11.857083033148397</v>
      </c>
      <c r="L46" s="2" cm="1">
        <f t="array" ref="L46">INDEX( ComputeThermoProps($A46, $B46, ParametersRange), 1, COLUMN()-2 )</f>
        <v>-82.603273983321401</v>
      </c>
      <c r="M46" s="2" cm="1">
        <f t="array" ref="M46">INDEX( ComputeThermoProps($A46, $B46, ParametersRange), 1, COLUMN()-2 )</f>
        <v>191.55484906879587</v>
      </c>
      <c r="N46" s="2" cm="1">
        <f t="array" ref="N46">INDEX( ComputeThermoProps($A46, $B46, ParametersRange), 1, COLUMN()-2 )</f>
        <v>-82.343768996932113</v>
      </c>
      <c r="P46">
        <f t="shared" si="1"/>
        <v>-1406.8328494047896</v>
      </c>
    </row>
    <row r="47" spans="1:16" x14ac:dyDescent="0.25">
      <c r="A47" s="2">
        <v>24.1</v>
      </c>
      <c r="B47" s="2">
        <f t="shared" si="0"/>
        <v>3.3189241114309674E-2</v>
      </c>
      <c r="C47" s="2" cm="1">
        <f t="array" ref="C47">INDEX( ComputeThermoProps($A47, $B47, ParametersRange), 1, COLUMN()-2 )</f>
        <v>14.079757957585345</v>
      </c>
      <c r="D47" s="2" cm="1">
        <f t="array" ref="D47">INDEX( ComputeThermoProps($A47, $B47, ParametersRange), 1, COLUMN()-2 )</f>
        <v>1.4740037734399312E-3</v>
      </c>
      <c r="E47" s="2" cm="1">
        <f t="array" ref="E47">INDEX( ComputeThermoProps($A47, $B47, ParametersRange), 1, COLUMN()-2 )</f>
        <v>9.8200242198069219E-4</v>
      </c>
      <c r="F47" s="2" cm="1">
        <f t="array" ref="F47">INDEX( ComputeThermoProps($A47, $B47, ParametersRange), 1, COLUMN()-2 )</f>
        <v>6.2683188790788888E-3</v>
      </c>
      <c r="G47" s="2" cm="1">
        <f t="array" ref="G47">INDEX( ComputeThermoProps($A47, $B47, ParametersRange), 1, COLUMN()-2 )</f>
        <v>27.098677660485606</v>
      </c>
      <c r="H47" s="2" cm="1">
        <f t="array" ref="H47">INDEX( ComputeThermoProps($A47, $B47, ParametersRange), 1, COLUMN()-2 )</f>
        <v>18.053527117483593</v>
      </c>
      <c r="I47" s="2" cm="1">
        <f t="array" ref="I47">INDEX( ComputeThermoProps($A47, $B47, ParametersRange), 1, COLUMN()-2 )</f>
        <v>3.3165428487843598</v>
      </c>
      <c r="J47" s="2" cm="1">
        <f t="array" ref="J47">INDEX( ComputeThermoProps($A47, $B47, ParametersRange), 1, COLUMN()-2 )</f>
        <v>217.29486084774845</v>
      </c>
      <c r="K47" s="2" cm="1">
        <f t="array" ref="K47">INDEX( ComputeThermoProps($A47, $B47, ParametersRange), 1, COLUMN()-2 )</f>
        <v>12.958694966702769</v>
      </c>
      <c r="L47" s="2" cm="1">
        <f t="array" ref="L47">INDEX( ComputeThermoProps($A47, $B47, ParametersRange), 1, COLUMN()-2 )</f>
        <v>-95.009687849788293</v>
      </c>
      <c r="M47" s="2" cm="1">
        <f t="array" ref="M47">INDEX( ComputeThermoProps($A47, $B47, ParametersRange), 1, COLUMN()-2 )</f>
        <v>217.76215732943388</v>
      </c>
      <c r="N47" s="2" cm="1">
        <f t="array" ref="N47">INDEX( ComputeThermoProps($A47, $B47, ParametersRange), 1, COLUMN()-2 )</f>
        <v>-94.542391368102869</v>
      </c>
      <c r="P47">
        <f t="shared" si="1"/>
        <v>-1380.6255411441516</v>
      </c>
    </row>
    <row r="48" spans="1:16" x14ac:dyDescent="0.25">
      <c r="A48" s="2">
        <v>25.1</v>
      </c>
      <c r="B48" s="2">
        <f t="shared" si="0"/>
        <v>13.81116381471697</v>
      </c>
      <c r="C48" s="2" cm="1">
        <f t="array" ref="C48">INDEX( ComputeThermoProps($A48, $B48, ParametersRange), 1, COLUMN()-2 )</f>
        <v>13.883813741932698</v>
      </c>
      <c r="D48" s="2" cm="1">
        <f t="array" ref="D48">INDEX( ComputeThermoProps($A48, $B48, ParametersRange), 1, COLUMN()-2 )</f>
        <v>1.453421559768484E-3</v>
      </c>
      <c r="E48" s="2" cm="1">
        <f t="array" ref="E48">INDEX( ComputeThermoProps($A48, $B48, ParametersRange), 1, COLUMN()-2 )</f>
        <v>9.7427954395431149E-4</v>
      </c>
      <c r="F48" s="2" cm="1">
        <f t="array" ref="F48">INDEX( ComputeThermoProps($A48, $B48, ParametersRange), 1, COLUMN()-2 )</f>
        <v>6.0756697303871636E-3</v>
      </c>
      <c r="G48" s="2" cm="1">
        <f t="array" ref="G48">INDEX( ComputeThermoProps($A48, $B48, ParametersRange), 1, COLUMN()-2 )</f>
        <v>26.847667481726308</v>
      </c>
      <c r="H48" s="2" cm="1">
        <f t="array" ref="H48">INDEX( ComputeThermoProps($A48, $B48, ParametersRange), 1, COLUMN()-2 )</f>
        <v>17.996934925404492</v>
      </c>
      <c r="I48" s="2" cm="1">
        <f t="array" ref="I48">INDEX( ComputeThermoProps($A48, $B48, ParametersRange), 1, COLUMN()-2 )</f>
        <v>3.224874306805638</v>
      </c>
      <c r="J48" s="2" cm="1">
        <f t="array" ref="J48">INDEX( ComputeThermoProps($A48, $B48, ParametersRange), 1, COLUMN()-2 )</f>
        <v>216.3503716832372</v>
      </c>
      <c r="K48" s="2" cm="1">
        <f t="array" ref="K48">INDEX( ComputeThermoProps($A48, $B48, ParametersRange), 1, COLUMN()-2 )</f>
        <v>12.865355746288794</v>
      </c>
      <c r="L48" s="2" cm="1">
        <f t="array" ref="L48">INDEX( ComputeThermoProps($A48, $B48, ParametersRange), 1, COLUMN()-2 )</f>
        <v>-106.57005754861153</v>
      </c>
      <c r="M48" s="2" cm="1">
        <f t="array" ref="M48">INDEX( ComputeThermoProps($A48, $B48, ParametersRange), 1, COLUMN()-2 )</f>
        <v>408.10199764608831</v>
      </c>
      <c r="N48" s="2" cm="1">
        <f t="array" ref="N48">INDEX( ComputeThermoProps($A48, $B48, ParametersRange), 1, COLUMN()-2 )</f>
        <v>85.181568414239578</v>
      </c>
      <c r="P48">
        <f t="shared" si="1"/>
        <v>-1190.2857008274973</v>
      </c>
    </row>
    <row r="49" spans="1:16" x14ac:dyDescent="0.25">
      <c r="A49" s="2">
        <v>26.1</v>
      </c>
      <c r="B49" s="2">
        <f t="shared" si="0"/>
        <v>19.464628332074657</v>
      </c>
      <c r="C49" s="2" cm="1">
        <f t="array" ref="C49">INDEX( ComputeThermoProps($A49, $B49, ParametersRange), 1, COLUMN()-2 )</f>
        <v>13.854682500963769</v>
      </c>
      <c r="D49" s="2" cm="1">
        <f t="array" ref="D49">INDEX( ComputeThermoProps($A49, $B49, ParametersRange), 1, COLUMN()-2 )</f>
        <v>1.4703991518410519E-3</v>
      </c>
      <c r="E49" s="2" cm="1">
        <f t="array" ref="E49">INDEX( ComputeThermoProps($A49, $B49, ParametersRange), 1, COLUMN()-2 )</f>
        <v>9.648037085551401E-4</v>
      </c>
      <c r="F49" s="2" cm="1">
        <f t="array" ref="F49">INDEX( ComputeThermoProps($A49, $B49, ParametersRange), 1, COLUMN()-2 )</f>
        <v>6.2522349453091397E-3</v>
      </c>
      <c r="G49" s="2" cm="1">
        <f t="array" ref="G49">INDEX( ComputeThermoProps($A49, $B49, ParametersRange), 1, COLUMN()-2 )</f>
        <v>27.957897795177455</v>
      </c>
      <c r="H49" s="2" cm="1">
        <f t="array" ref="H49">INDEX( ComputeThermoProps($A49, $B49, ParametersRange), 1, COLUMN()-2 )</f>
        <v>18.344599452753645</v>
      </c>
      <c r="I49" s="2" cm="1">
        <f t="array" ref="I49">INDEX( ComputeThermoProps($A49, $B49, ParametersRange), 1, COLUMN()-2 )</f>
        <v>3.2113555382243026</v>
      </c>
      <c r="J49" s="2" cm="1">
        <f t="array" ref="J49">INDEX( ComputeThermoProps($A49, $B49, ParametersRange), 1, COLUMN()-2 )</f>
        <v>231.8632546157996</v>
      </c>
      <c r="K49" s="2" cm="1">
        <f t="array" ref="K49">INDEX( ComputeThermoProps($A49, $B49, ParametersRange), 1, COLUMN()-2 )</f>
        <v>13.452450961071923</v>
      </c>
      <c r="L49" s="2" cm="1">
        <f t="array" ref="L49">INDEX( ComputeThermoProps($A49, $B49, ParametersRange), 1, COLUMN()-2 )</f>
        <v>-119.24571546817761</v>
      </c>
      <c r="M49" s="2" cm="1">
        <f t="array" ref="M49">INDEX( ComputeThermoProps($A49, $B49, ParametersRange), 1, COLUMN()-2 )</f>
        <v>501.53950015595797</v>
      </c>
      <c r="N49" s="2" cm="1">
        <f t="array" ref="N49">INDEX( ComputeThermoProps($A49, $B49, ParametersRange), 1, COLUMN()-2 )</f>
        <v>150.43053007198074</v>
      </c>
      <c r="P49">
        <f t="shared" si="1"/>
        <v>-1096.8481983176275</v>
      </c>
    </row>
    <row r="50" spans="1:16" x14ac:dyDescent="0.25">
      <c r="A50" s="2">
        <v>27.1</v>
      </c>
      <c r="B50" s="2">
        <f t="shared" si="0"/>
        <v>24.894887153870684</v>
      </c>
      <c r="C50" s="2" cm="1">
        <f t="array" ref="C50">INDEX( ComputeThermoProps($A50, $B50, ParametersRange), 1, COLUMN()-2 )</f>
        <v>13.831279630811434</v>
      </c>
      <c r="D50" s="2" cm="1">
        <f t="array" ref="D50">INDEX( ComputeThermoProps($A50, $B50, ParametersRange), 1, COLUMN()-2 )</f>
        <v>1.4885992862955053E-3</v>
      </c>
      <c r="E50" s="2" cm="1">
        <f t="array" ref="E50">INDEX( ComputeThermoProps($A50, $B50, ParametersRange), 1, COLUMN()-2 )</f>
        <v>9.5543876106129251E-4</v>
      </c>
      <c r="F50" s="2" cm="1">
        <f t="array" ref="F50">INDEX( ComputeThermoProps($A50, $B50, ParametersRange), 1, COLUMN()-2 )</f>
        <v>6.4337751975316023E-3</v>
      </c>
      <c r="G50" s="2" cm="1">
        <f t="array" ref="G50">INDEX( ComputeThermoProps($A50, $B50, ParametersRange), 1, COLUMN()-2 )</f>
        <v>29.10083360585476</v>
      </c>
      <c r="H50" s="2" cm="1">
        <f t="array" ref="H50">INDEX( ComputeThermoProps($A50, $B50, ParametersRange), 1, COLUMN()-2 )</f>
        <v>18.67800465995202</v>
      </c>
      <c r="I50" s="2" cm="1">
        <f t="array" ref="I50">INDEX( ComputeThermoProps($A50, $B50, ParametersRange), 1, COLUMN()-2 )</f>
        <v>3.2005156706119418</v>
      </c>
      <c r="J50" s="2" cm="1">
        <f t="array" ref="J50">INDEX( ComputeThermoProps($A50, $B50, ParametersRange), 1, COLUMN()-2 )</f>
        <v>248.22655940073824</v>
      </c>
      <c r="K50" s="2" cm="1">
        <f t="array" ref="K50">INDEX( ComputeThermoProps($A50, $B50, ParametersRange), 1, COLUMN()-2 )</f>
        <v>14.04814857393098</v>
      </c>
      <c r="L50" s="2" cm="1">
        <f t="array" ref="L50">INDEX( ComputeThermoProps($A50, $B50, ParametersRange), 1, COLUMN()-2 )</f>
        <v>-132.47826695279136</v>
      </c>
      <c r="M50" s="2" cm="1">
        <f t="array" ref="M50">INDEX( ComputeThermoProps($A50, $B50, ParametersRange), 1, COLUMN()-2 )</f>
        <v>592.55470500341903</v>
      </c>
      <c r="N50" s="2" cm="1">
        <f t="array" ref="N50">INDEX( ComputeThermoProps($A50, $B50, ParametersRange), 1, COLUMN()-2 )</f>
        <v>211.84987864988943</v>
      </c>
      <c r="P50">
        <f t="shared" si="1"/>
        <v>-1005.8329934701665</v>
      </c>
    </row>
    <row r="51" spans="1:16" x14ac:dyDescent="0.25">
      <c r="A51" s="2">
        <v>28.1</v>
      </c>
      <c r="B51" s="2">
        <f t="shared" si="0"/>
        <v>30.569319726806857</v>
      </c>
      <c r="C51" s="2" cm="1">
        <f t="array" ref="C51">INDEX( ComputeThermoProps($A51, $B51, ParametersRange), 1, COLUMN()-2 )</f>
        <v>13.803944936734016</v>
      </c>
      <c r="D51" s="2" cm="1">
        <f t="array" ref="D51">INDEX( ComputeThermoProps($A51, $B51, ParametersRange), 1, COLUMN()-2 )</f>
        <v>1.5047394152858579E-3</v>
      </c>
      <c r="E51" s="2" cm="1">
        <f t="array" ref="E51">INDEX( ComputeThermoProps($A51, $B51, ParametersRange), 1, COLUMN()-2 )</f>
        <v>9.4594752285315209E-4</v>
      </c>
      <c r="F51" s="2" cm="1">
        <f t="array" ref="F51">INDEX( ComputeThermoProps($A51, $B51, ParametersRange), 1, COLUMN()-2 )</f>
        <v>6.5943965705565384E-3</v>
      </c>
      <c r="G51" s="2" cm="1">
        <f t="array" ref="G51">INDEX( ComputeThermoProps($A51, $B51, ParametersRange), 1, COLUMN()-2 )</f>
        <v>30.1862777557069</v>
      </c>
      <c r="H51" s="2" cm="1">
        <f t="array" ref="H51">INDEX( ComputeThermoProps($A51, $B51, ParametersRange), 1, COLUMN()-2 )</f>
        <v>18.976464879630722</v>
      </c>
      <c r="I51" s="2" cm="1">
        <f t="array" ref="I51">INDEX( ComputeThermoProps($A51, $B51, ParametersRange), 1, COLUMN()-2 )</f>
        <v>3.1878778423179761</v>
      </c>
      <c r="J51" s="2" cm="1">
        <f t="array" ref="J51">INDEX( ComputeThermoProps($A51, $B51, ParametersRange), 1, COLUMN()-2 )</f>
        <v>264.52974938985204</v>
      </c>
      <c r="K51" s="2" cm="1">
        <f t="array" ref="K51">INDEX( ComputeThermoProps($A51, $B51, ParametersRange), 1, COLUMN()-2 )</f>
        <v>14.611426961822069</v>
      </c>
      <c r="L51" s="2" cm="1">
        <f t="array" ref="L51">INDEX( ComputeThermoProps($A51, $B51, ParametersRange), 1, COLUMN()-2 )</f>
        <v>-146.05134823734812</v>
      </c>
      <c r="M51" s="2" cm="1">
        <f t="array" ref="M51">INDEX( ComputeThermoProps($A51, $B51, ParametersRange), 1, COLUMN()-2 )</f>
        <v>686.50695565211083</v>
      </c>
      <c r="N51" s="2" cm="1">
        <f t="array" ref="N51">INDEX( ComputeThermoProps($A51, $B51, ParametersRange), 1, COLUMN()-2 )</f>
        <v>275.92585802491067</v>
      </c>
      <c r="P51">
        <f t="shared" si="1"/>
        <v>-911.88074282147466</v>
      </c>
    </row>
    <row r="52" spans="1:16" x14ac:dyDescent="0.25">
      <c r="A52" s="2">
        <v>29.1</v>
      </c>
      <c r="B52" s="2">
        <f t="shared" si="0"/>
        <v>36.545553895931427</v>
      </c>
      <c r="C52" s="2" cm="1">
        <f t="array" ref="C52">INDEX( ComputeThermoProps($A52, $B52, ParametersRange), 1, COLUMN()-2 )</f>
        <v>13.771266750885944</v>
      </c>
      <c r="D52" s="2" cm="1">
        <f t="array" ref="D52">INDEX( ComputeThermoProps($A52, $B52, ParametersRange), 1, COLUMN()-2 )</f>
        <v>1.5178531452282292E-3</v>
      </c>
      <c r="E52" s="2" cm="1">
        <f t="array" ref="E52">INDEX( ComputeThermoProps($A52, $B52, ParametersRange), 1, COLUMN()-2 )</f>
        <v>9.3623806786250104E-4</v>
      </c>
      <c r="F52" s="2" cm="1">
        <f t="array" ref="F52">INDEX( ComputeThermoProps($A52, $B52, ParametersRange), 1, COLUMN()-2 )</f>
        <v>6.7284240664221336E-3</v>
      </c>
      <c r="G52" s="2" cm="1">
        <f t="array" ref="G52">INDEX( ComputeThermoProps($A52, $B52, ParametersRange), 1, COLUMN()-2 )</f>
        <v>31.193056685874545</v>
      </c>
      <c r="H52" s="2" cm="1">
        <f t="array" ref="H52">INDEX( ComputeThermoProps($A52, $B52, ParametersRange), 1, COLUMN()-2 )</f>
        <v>19.240416778210406</v>
      </c>
      <c r="I52" s="2" cm="1">
        <f t="array" ref="I52">INDEX( ComputeThermoProps($A52, $B52, ParametersRange), 1, COLUMN()-2 )</f>
        <v>3.1728023317977878</v>
      </c>
      <c r="J52" s="2" cm="1">
        <f t="array" ref="J52">INDEX( ComputeThermoProps($A52, $B52, ParametersRange), 1, COLUMN()-2 )</f>
        <v>280.61651887146888</v>
      </c>
      <c r="K52" s="2" cm="1">
        <f t="array" ref="K52">INDEX( ComputeThermoProps($A52, $B52, ParametersRange), 1, COLUMN()-2 )</f>
        <v>15.135606448500116</v>
      </c>
      <c r="L52" s="2" cm="1">
        <f t="array" ref="L52">INDEX( ComputeThermoProps($A52, $B52, ParametersRange), 1, COLUMN()-2 )</f>
        <v>-159.82962877988453</v>
      </c>
      <c r="M52" s="2" cm="1">
        <f t="array" ref="M52">INDEX( ComputeThermoProps($A52, $B52, ParametersRange), 1, COLUMN()-2 )</f>
        <v>783.8950901312196</v>
      </c>
      <c r="N52" s="2" cm="1">
        <f t="array" ref="N52">INDEX( ComputeThermoProps($A52, $B52, ParametersRange), 1, COLUMN()-2 )</f>
        <v>343.44894247986622</v>
      </c>
      <c r="P52">
        <f t="shared" si="1"/>
        <v>-814.49260834236588</v>
      </c>
    </row>
    <row r="53" spans="1:16" x14ac:dyDescent="0.25">
      <c r="A53" s="2">
        <v>30.1</v>
      </c>
      <c r="B53" s="2">
        <f t="shared" si="0"/>
        <v>42.823401186547635</v>
      </c>
      <c r="C53" s="2" cm="1">
        <f t="array" ref="C53">INDEX( ComputeThermoProps($A53, $B53, ParametersRange), 1, COLUMN()-2 )</f>
        <v>13.733070124972839</v>
      </c>
      <c r="D53" s="2" cm="1">
        <f t="array" ref="D53">INDEX( ComputeThermoProps($A53, $B53, ParametersRange), 1, COLUMN()-2 )</f>
        <v>1.5272963211806288E-3</v>
      </c>
      <c r="E53" s="2" cm="1">
        <f t="array" ref="E53">INDEX( ComputeThermoProps($A53, $B53, ParametersRange), 1, COLUMN()-2 )</f>
        <v>9.2622064695192091E-4</v>
      </c>
      <c r="F53" s="2" cm="1">
        <f t="array" ref="F53">INDEX( ComputeThermoProps($A53, $B53, ParametersRange), 1, COLUMN()-2 )</f>
        <v>6.8330986190340195E-3</v>
      </c>
      <c r="G53" s="2" cm="1">
        <f t="array" ref="G53">INDEX( ComputeThermoProps($A53, $B53, ParametersRange), 1, COLUMN()-2 )</f>
        <v>32.110003915415376</v>
      </c>
      <c r="H53" s="2" cm="1">
        <f t="array" ref="H53">INDEX( ComputeThermoProps($A53, $B53, ParametersRange), 1, COLUMN()-2 )</f>
        <v>19.472939329268094</v>
      </c>
      <c r="I53" s="2" cm="1">
        <f t="array" ref="I53">INDEX( ComputeThermoProps($A53, $B53, ParametersRange), 1, COLUMN()-2 )</f>
        <v>3.1552262763242682</v>
      </c>
      <c r="J53" s="2" cm="1">
        <f t="array" ref="J53">INDEX( ComputeThermoProps($A53, $B53, ParametersRange), 1, COLUMN()-2 )</f>
        <v>296.45472488140359</v>
      </c>
      <c r="K53" s="2" cm="1">
        <f t="array" ref="K53">INDEX( ComputeThermoProps($A53, $B53, ParametersRange), 1, COLUMN()-2 )</f>
        <v>15.619517128793907</v>
      </c>
      <c r="L53" s="2" cm="1">
        <f t="array" ref="L53">INDEX( ComputeThermoProps($A53, $B53, ParametersRange), 1, COLUMN()-2 )</f>
        <v>-173.69274069529303</v>
      </c>
      <c r="M53" s="2" cm="1">
        <f t="array" ref="M53">INDEX( ComputeThermoProps($A53, $B53, ParametersRange), 1, COLUMN()-2 )</f>
        <v>884.55149636610736</v>
      </c>
      <c r="N53" s="2" cm="1">
        <f t="array" ref="N53">INDEX( ComputeThermoProps($A53, $B53, ParametersRange), 1, COLUMN()-2 )</f>
        <v>414.40403078941074</v>
      </c>
      <c r="P53">
        <f t="shared" si="1"/>
        <v>-713.83620210747813</v>
      </c>
    </row>
    <row r="54" spans="1:16" x14ac:dyDescent="0.25">
      <c r="A54" s="2">
        <v>31.1</v>
      </c>
      <c r="B54" s="2">
        <f t="shared" si="0"/>
        <v>49.389975184962736</v>
      </c>
      <c r="C54" s="2" cm="1">
        <f t="array" ref="C54">INDEX( ComputeThermoProps($A54, $B54, ParametersRange), 1, COLUMN()-2 )</f>
        <v>13.689518379017882</v>
      </c>
      <c r="D54" s="2" cm="1">
        <f t="array" ref="D54">INDEX( ComputeThermoProps($A54, $B54, ParametersRange), 1, COLUMN()-2 )</f>
        <v>1.5325074057536711E-3</v>
      </c>
      <c r="E54" s="2" cm="1">
        <f t="array" ref="E54">INDEX( ComputeThermoProps($A54, $B54, ParametersRange), 1, COLUMN()-2 )</f>
        <v>9.1579323154799522E-4</v>
      </c>
      <c r="F54" s="2" cm="1">
        <f t="array" ref="F54">INDEX( ComputeThermoProps($A54, $B54, ParametersRange), 1, COLUMN()-2 )</f>
        <v>6.9064446989967965E-3</v>
      </c>
      <c r="G54" s="2" cm="1">
        <f t="array" ref="G54">INDEX( ComputeThermoProps($A54, $B54, ParametersRange), 1, COLUMN()-2 )</f>
        <v>32.928633280398422</v>
      </c>
      <c r="H54" s="2" cm="1">
        <f t="array" ref="H54">INDEX( ComputeThermoProps($A54, $B54, ParametersRange), 1, COLUMN()-2 )</f>
        <v>19.677438013739721</v>
      </c>
      <c r="I54" s="2" cm="1">
        <f t="array" ref="I54">INDEX( ComputeThermoProps($A54, $B54, ParametersRange), 1, COLUMN()-2 )</f>
        <v>3.1352456429192483</v>
      </c>
      <c r="J54" s="2" cm="1">
        <f t="array" ref="J54">INDEX( ComputeThermoProps($A54, $B54, ParametersRange), 1, COLUMN()-2 )</f>
        <v>312.05441446002408</v>
      </c>
      <c r="K54" s="2" cm="1">
        <f t="array" ref="K54">INDEX( ComputeThermoProps($A54, $B54, ParametersRange), 1, COLUMN()-2 )</f>
        <v>16.063733441245382</v>
      </c>
      <c r="L54" s="2" cm="1">
        <f t="array" ref="L54">INDEX( ComputeThermoProps($A54, $B54, ParametersRange), 1, COLUMN()-2 )</f>
        <v>-187.52769556270735</v>
      </c>
      <c r="M54" s="2" cm="1">
        <f t="array" ref="M54">INDEX( ComputeThermoProps($A54, $B54, ParametersRange), 1, COLUMN()-2 )</f>
        <v>988.17938749380858</v>
      </c>
      <c r="N54" s="2" cm="1">
        <f t="array" ref="N54">INDEX( ComputeThermoProps($A54, $B54, ParametersRange), 1, COLUMN()-2 )</f>
        <v>488.59727747107718</v>
      </c>
      <c r="P54">
        <f t="shared" si="1"/>
        <v>-610.20831097977691</v>
      </c>
    </row>
    <row r="55" spans="1:16" x14ac:dyDescent="0.25">
      <c r="A55" s="2">
        <v>32.1</v>
      </c>
      <c r="B55" s="2">
        <f t="shared" si="0"/>
        <v>56.229948618360389</v>
      </c>
      <c r="C55" s="2" cm="1">
        <f t="array" ref="C55">INDEX( ComputeThermoProps($A55, $B55, ParametersRange), 1, COLUMN()-2 )</f>
        <v>13.64090721423522</v>
      </c>
      <c r="D55" s="2" cm="1">
        <f t="array" ref="D55">INDEX( ComputeThermoProps($A55, $B55, ParametersRange), 1, COLUMN()-2 )</f>
        <v>1.5329799117843998E-3</v>
      </c>
      <c r="E55" s="2" cm="1">
        <f t="array" ref="E55">INDEX( ComputeThermoProps($A55, $B55, ParametersRange), 1, COLUMN()-2 )</f>
        <v>9.0484489430924246E-4</v>
      </c>
      <c r="F55" s="2" cm="1">
        <f t="array" ref="F55">INDEX( ComputeThermoProps($A55, $B55, ParametersRange), 1, COLUMN()-2 )</f>
        <v>6.9469166525029441E-3</v>
      </c>
      <c r="G55" s="2" cm="1">
        <f t="array" ref="G55">INDEX( ComputeThermoProps($A55, $B55, ParametersRange), 1, COLUMN()-2 )</f>
        <v>33.6418181307194</v>
      </c>
      <c r="H55" s="2" cm="1">
        <f t="array" ref="H55">INDEX( ComputeThermoProps($A55, $B55, ParametersRange), 1, COLUMN()-2 )</f>
        <v>19.857159990719278</v>
      </c>
      <c r="I55" s="2" cm="1">
        <f t="array" ref="I55">INDEX( ComputeThermoProps($A55, $B55, ParametersRange), 1, COLUMN()-2 )</f>
        <v>3.1130188063248241</v>
      </c>
      <c r="J55" s="2" cm="1">
        <f t="array" ref="J55">INDEX( ComputeThermoProps($A55, $B55, ParametersRange), 1, COLUMN()-2 )</f>
        <v>327.4474210107623</v>
      </c>
      <c r="K55" s="2" cm="1">
        <f t="array" ref="K55">INDEX( ComputeThermoProps($A55, $B55, ParametersRange), 1, COLUMN()-2 )</f>
        <v>16.469657463112117</v>
      </c>
      <c r="L55" s="2" cm="1">
        <f t="array" ref="L55">INDEX( ComputeThermoProps($A55, $B55, ParametersRange), 1, COLUMN()-2 )</f>
        <v>-201.22858355513668</v>
      </c>
      <c r="M55" s="2" cm="1">
        <f t="array" ref="M55">INDEX( ComputeThermoProps($A55, $B55, ParametersRange), 1, COLUMN()-2 )</f>
        <v>1094.4749327750303</v>
      </c>
      <c r="N55" s="2" cm="1">
        <f t="array" ref="N55">INDEX( ComputeThermoProps($A55, $B55, ParametersRange), 1, COLUMN()-2 )</f>
        <v>565.7989282091313</v>
      </c>
      <c r="P55">
        <f t="shared" si="1"/>
        <v>-503.91276569855518</v>
      </c>
    </row>
    <row r="56" spans="1:16" x14ac:dyDescent="0.25">
      <c r="A56" s="2">
        <v>33.1</v>
      </c>
      <c r="B56" s="2">
        <f t="shared" si="0"/>
        <v>63.328395862429993</v>
      </c>
      <c r="C56" s="2" cm="1">
        <f t="array" ref="C56">INDEX( ComputeThermoProps($A56, $B56, ParametersRange), 1, COLUMN()-2 )</f>
        <v>13.5876055410509</v>
      </c>
      <c r="D56" s="2" cm="1">
        <f t="array" ref="D56">INDEX( ComputeThermoProps($A56, $B56, ParametersRange), 1, COLUMN()-2 )</f>
        <v>1.528286000506865E-3</v>
      </c>
      <c r="E56" s="2" cm="1">
        <f t="array" ref="E56">INDEX( ComputeThermoProps($A56, $B56, ParametersRange), 1, COLUMN()-2 )</f>
        <v>8.9326355106160297E-4</v>
      </c>
      <c r="F56" s="2" cm="1">
        <f t="array" ref="F56">INDEX( ComputeThermoProps($A56, $B56, ParametersRange), 1, COLUMN()-2 )</f>
        <v>6.9534506413686473E-3</v>
      </c>
      <c r="G56" s="2" cm="1">
        <f t="array" ref="G56">INDEX( ComputeThermoProps($A56, $B56, ParametersRange), 1, COLUMN()-2 )</f>
        <v>34.243850927807443</v>
      </c>
      <c r="H56" s="2" cm="1">
        <f t="array" ref="H56">INDEX( ComputeThermoProps($A56, $B56, ParametersRange), 1, COLUMN()-2 )</f>
        <v>20.015091332154121</v>
      </c>
      <c r="I56" s="2" cm="1">
        <f t="array" ref="I56">INDEX( ComputeThermoProps($A56, $B56, ParametersRange), 1, COLUMN()-2 )</f>
        <v>3.0887381737430726</v>
      </c>
      <c r="J56" s="2" cm="1">
        <f t="array" ref="J56">INDEX( ComputeThermoProps($A56, $B56, ParametersRange), 1, COLUMN()-2 )</f>
        <v>342.68003751993007</v>
      </c>
      <c r="K56" s="2" cm="1">
        <f t="array" ref="K56">INDEX( ComputeThermoProps($A56, $B56, ParametersRange), 1, COLUMN()-2 )</f>
        <v>16.839216556555712</v>
      </c>
      <c r="L56" s="2" cm="1">
        <f t="array" ref="L56">INDEX( ComputeThermoProps($A56, $B56, ParametersRange), 1, COLUMN()-2 )</f>
        <v>-214.69803050206403</v>
      </c>
      <c r="M56" s="2" cm="1">
        <f t="array" ref="M56">INDEX( ComputeThermoProps($A56, $B56, ParametersRange), 1, COLUMN()-2 )</f>
        <v>1203.1613000461487</v>
      </c>
      <c r="N56" s="2" cm="1">
        <f t="array" ref="N56">INDEX( ComputeThermoProps($A56, $B56, ParametersRange), 1, COLUMN()-2 )</f>
        <v>645.78323202415459</v>
      </c>
      <c r="P56">
        <f t="shared" si="1"/>
        <v>-395.22639842743683</v>
      </c>
    </row>
    <row r="57" spans="1:16" x14ac:dyDescent="0.25">
      <c r="A57" s="2">
        <v>34.1</v>
      </c>
      <c r="B57" s="2">
        <f t="shared" si="0"/>
        <v>70.671580782986652</v>
      </c>
      <c r="C57" s="2" cm="1">
        <f t="array" ref="C57">INDEX( ComputeThermoProps($A57, $B57, ParametersRange), 1, COLUMN()-2 )</f>
        <v>13.530035404473201</v>
      </c>
      <c r="D57" s="2" cm="1">
        <f t="array" ref="D57">INDEX( ComputeThermoProps($A57, $B57, ParametersRange), 1, COLUMN()-2 )</f>
        <v>1.5181155907107527E-3</v>
      </c>
      <c r="E57" s="2" cm="1">
        <f t="array" ref="E57">INDEX( ComputeThermoProps($A57, $B57, ParametersRange), 1, COLUMN()-2 )</f>
        <v>8.80945170140274E-4</v>
      </c>
      <c r="F57" s="2" cm="1">
        <f t="array" ref="F57">INDEX( ComputeThermoProps($A57, $B57, ParametersRange), 1, COLUMN()-2 )</f>
        <v>6.9256293939782242E-3</v>
      </c>
      <c r="G57" s="2" cm="1">
        <f t="array" ref="G57">INDEX( ComputeThermoProps($A57, $B57, ParametersRange), 1, COLUMN()-2 )</f>
        <v>34.730913090243433</v>
      </c>
      <c r="H57" s="2" cm="1">
        <f t="array" ref="H57">INDEX( ComputeThermoProps($A57, $B57, ParametersRange), 1, COLUMN()-2 )</f>
        <v>20.153952919413136</v>
      </c>
      <c r="I57" s="2" cm="1">
        <f t="array" ref="I57">INDEX( ComputeThermoProps($A57, $B57, ParametersRange), 1, COLUMN()-2 )</f>
        <v>3.0626199041410196</v>
      </c>
      <c r="J57" s="2" cm="1">
        <f t="array" ref="J57">INDEX( ComputeThermoProps($A57, $B57, ParametersRange), 1, COLUMN()-2 )</f>
        <v>357.80916670158769</v>
      </c>
      <c r="K57" s="2" cm="1">
        <f t="array" ref="K57">INDEX( ComputeThermoProps($A57, $B57, ParametersRange), 1, COLUMN()-2 )</f>
        <v>17.174730638948645</v>
      </c>
      <c r="L57" s="2" cm="1">
        <f t="array" ref="L57">INDEX( ComputeThermoProps($A57, $B57, ParametersRange), 1, COLUMN()-2 )</f>
        <v>-227.84914808656114</v>
      </c>
      <c r="M57" s="2" cm="1">
        <f t="array" ref="M57">INDEX( ComputeThermoProps($A57, $B57, ParametersRange), 1, COLUMN()-2 )</f>
        <v>1313.998156785485</v>
      </c>
      <c r="N57" s="2" cm="1">
        <f t="array" ref="N57">INDEX( ComputeThermoProps($A57, $B57, ParametersRange), 1, COLUMN()-2 )</f>
        <v>728.33984199733618</v>
      </c>
      <c r="P57">
        <f t="shared" si="1"/>
        <v>-284.38954168810051</v>
      </c>
    </row>
    <row r="58" spans="1:16" x14ac:dyDescent="0.25">
      <c r="A58" s="2">
        <v>35.1</v>
      </c>
      <c r="B58" s="2">
        <f t="shared" si="0"/>
        <v>78.247096922875286</v>
      </c>
      <c r="C58" s="2" cm="1">
        <f t="array" ref="C58">INDEX( ComputeThermoProps($A58, $B58, ParametersRange), 1, COLUMN()-2 )</f>
        <v>13.468662046379833</v>
      </c>
      <c r="D58" s="2" cm="1">
        <f t="array" ref="D58">INDEX( ComputeThermoProps($A58, $B58, ParametersRange), 1, COLUMN()-2 )</f>
        <v>1.5023163608866988E-3</v>
      </c>
      <c r="E58" s="2" cm="1">
        <f t="array" ref="E58">INDEX( ComputeThermoProps($A58, $B58, ParametersRange), 1, COLUMN()-2 )</f>
        <v>8.6780322700698396E-4</v>
      </c>
      <c r="F58" s="2" cm="1">
        <f t="array" ref="F58">INDEX( ComputeThermoProps($A58, $B58, ParametersRange), 1, COLUMN()-2 )</f>
        <v>6.8638548764382683E-3</v>
      </c>
      <c r="G58" s="2" cm="1">
        <f t="array" ref="G58">INDEX( ComputeThermoProps($A58, $B58, ParametersRange), 1, COLUMN()-2 )</f>
        <v>35.101618465792939</v>
      </c>
      <c r="H58" s="2" cm="1">
        <f t="array" ref="H58">INDEX( ComputeThermoProps($A58, $B58, ParametersRange), 1, COLUMN()-2 )</f>
        <v>20.276220489141281</v>
      </c>
      <c r="I58" s="2" cm="1">
        <f t="array" ref="I58">INDEX( ComputeThermoProps($A58, $B58, ParametersRange), 1, COLUMN()-2 )</f>
        <v>3.0348983270689613</v>
      </c>
      <c r="J58" s="2" cm="1">
        <f t="array" ref="J58">INDEX( ComputeThermoProps($A58, $B58, ParametersRange), 1, COLUMN()-2 )</f>
        <v>372.89936229370892</v>
      </c>
      <c r="K58" s="2" cm="1">
        <f t="array" ref="K58">INDEX( ComputeThermoProps($A58, $B58, ParametersRange), 1, COLUMN()-2 )</f>
        <v>17.478826995452486</v>
      </c>
      <c r="L58" s="2" cm="1">
        <f t="array" ref="L58">INDEX( ComputeThermoProps($A58, $B58, ParametersRange), 1, COLUMN()-2 )</f>
        <v>-240.60746524667337</v>
      </c>
      <c r="M58" s="2" cm="1">
        <f t="array" ref="M58">INDEX( ComputeThermoProps($A58, $B58, ParametersRange), 1, COLUMN()-2 )</f>
        <v>1426.7830668582435</v>
      </c>
      <c r="N58" s="2" cm="1">
        <f t="array" ref="N58">INDEX( ComputeThermoProps($A58, $B58, ParametersRange), 1, COLUMN()-2 )</f>
        <v>813.27623931786115</v>
      </c>
      <c r="P58">
        <f t="shared" si="1"/>
        <v>-171.60463161534199</v>
      </c>
    </row>
    <row r="59" spans="1:16" x14ac:dyDescent="0.25">
      <c r="A59" s="2">
        <v>36.1</v>
      </c>
      <c r="B59" s="2">
        <f t="shared" si="0"/>
        <v>86.043797153300162</v>
      </c>
      <c r="C59" s="2" cm="1">
        <f t="array" ref="C59">INDEX( ComputeThermoProps($A59, $B59, ParametersRange), 1, COLUMN()-2 )</f>
        <v>13.403984881223383</v>
      </c>
      <c r="D59" s="2" cm="1">
        <f t="array" ref="D59">INDEX( ComputeThermoProps($A59, $B59, ParametersRange), 1, COLUMN()-2 )</f>
        <v>1.4809247252839926E-3</v>
      </c>
      <c r="E59" s="2" cm="1">
        <f t="array" ref="E59">INDEX( ComputeThermoProps($A59, $B59, ParametersRange), 1, COLUMN()-2 )</f>
        <v>8.5377735785699188E-4</v>
      </c>
      <c r="F59" s="2" cm="1">
        <f t="array" ref="F59">INDEX( ComputeThermoProps($A59, $B59, ParametersRange), 1, COLUMN()-2 )</f>
        <v>6.7694701143064164E-3</v>
      </c>
      <c r="G59" s="2" cm="1">
        <f t="array" ref="G59">INDEX( ComputeThermoProps($A59, $B59, ParametersRange), 1, COLUMN()-2 )</f>
        <v>35.357445300546296</v>
      </c>
      <c r="H59" s="2" cm="1">
        <f t="array" ref="H59">INDEX( ComputeThermoProps($A59, $B59, ParametersRange), 1, COLUMN()-2 )</f>
        <v>20.384146279605524</v>
      </c>
      <c r="I59" s="2" cm="1">
        <f t="array" ref="I59">INDEX( ComputeThermoProps($A59, $B59, ParametersRange), 1, COLUMN()-2 )</f>
        <v>3.0058208543429887</v>
      </c>
      <c r="J59" s="2" cm="1">
        <f t="array" ref="J59">INDEX( ComputeThermoProps($A59, $B59, ParametersRange), 1, COLUMN()-2 )</f>
        <v>388.01998375718512</v>
      </c>
      <c r="K59" s="2" cm="1">
        <f t="array" ref="K59">INDEX( ComputeThermoProps($A59, $B59, ParametersRange), 1, COLUMN()-2 )</f>
        <v>17.75436281579163</v>
      </c>
      <c r="L59" s="2" cm="1">
        <f t="array" ref="L59">INDEX( ComputeThermoProps($A59, $B59, ParametersRange), 1, COLUMN()-2 )</f>
        <v>-252.91251389289275</v>
      </c>
      <c r="M59" s="2" cm="1">
        <f t="array" ref="M59">INDEX( ComputeThermoProps($A59, $B59, ParametersRange), 1, COLUMN()-2 )</f>
        <v>1541.3497399230721</v>
      </c>
      <c r="N59" s="2" cm="1">
        <f t="array" ref="N59">INDEX( ComputeThermoProps($A59, $B59, ParametersRange), 1, COLUMN()-2 )</f>
        <v>900.41724227299426</v>
      </c>
      <c r="P59">
        <f t="shared" si="1"/>
        <v>-57.037958550513395</v>
      </c>
    </row>
    <row r="60" spans="1:16" x14ac:dyDescent="0.25">
      <c r="A60" s="2">
        <v>37.1</v>
      </c>
      <c r="B60" s="2">
        <f t="shared" si="0"/>
        <v>94.051662389014894</v>
      </c>
      <c r="C60" s="2" cm="1">
        <f t="array" ref="C60">INDEX( ComputeThermoProps($A60, $B60, ParametersRange), 1, COLUMN()-2 )</f>
        <v>13.336526502689679</v>
      </c>
      <c r="D60" s="2" cm="1">
        <f t="array" ref="D60">INDEX( ComputeThermoProps($A60, $B60, ParametersRange), 1, COLUMN()-2 )</f>
        <v>1.4541802527374185E-3</v>
      </c>
      <c r="E60" s="2" cm="1">
        <f t="array" ref="E60">INDEX( ComputeThermoProps($A60, $B60, ParametersRange), 1, COLUMN()-2 )</f>
        <v>8.3884014787305233E-4</v>
      </c>
      <c r="F60" s="2" cm="1">
        <f t="array" ref="F60">INDEX( ComputeThermoProps($A60, $B60, ParametersRange), 1, COLUMN()-2 )</f>
        <v>6.6447922025090157E-3</v>
      </c>
      <c r="G60" s="2" cm="1">
        <f t="array" ref="G60">INDEX( ComputeThermoProps($A60, $B60, ParametersRange), 1, COLUMN()-2 )</f>
        <v>35.502932685955713</v>
      </c>
      <c r="H60" s="2" cm="1">
        <f t="array" ref="H60">INDEX( ComputeThermoProps($A60, $B60, ParametersRange), 1, COLUMN()-2 )</f>
        <v>20.479775631770821</v>
      </c>
      <c r="I60" s="2" cm="1">
        <f t="array" ref="I60">INDEX( ComputeThermoProps($A60, $B60, ParametersRange), 1, COLUMN()-2 )</f>
        <v>2.9756421325807425</v>
      </c>
      <c r="J60" s="2" cm="1">
        <f t="array" ref="J60">INDEX( ComputeThermoProps($A60, $B60, ParametersRange), 1, COLUMN()-2 )</f>
        <v>403.24229721496204</v>
      </c>
      <c r="K60" s="2" cm="1">
        <f t="array" ref="K60">INDEX( ComputeThermoProps($A60, $B60, ParametersRange), 1, COLUMN()-2 )</f>
        <v>18.004342956172781</v>
      </c>
      <c r="L60" s="2" cm="1">
        <f t="array" ref="L60">INDEX( ComputeThermoProps($A60, $B60, ParametersRange), 1, COLUMN()-2 )</f>
        <v>-264.71882645904816</v>
      </c>
      <c r="M60" s="2" cm="1">
        <f t="array" ref="M60">INDEX( ComputeThermoProps($A60, $B60, ParametersRange), 1, COLUMN()-2 )</f>
        <v>1657.5647852880813</v>
      </c>
      <c r="N60" s="2" cm="1">
        <f t="array" ref="N60">INDEX( ComputeThermoProps($A60, $B60, ParametersRange), 1, COLUMN()-2 )</f>
        <v>989.60366161407114</v>
      </c>
      <c r="P60">
        <f t="shared" si="1"/>
        <v>59.177086814495851</v>
      </c>
    </row>
    <row r="61" spans="1:16" x14ac:dyDescent="0.25">
      <c r="A61" s="2">
        <v>38.1</v>
      </c>
      <c r="B61" s="2">
        <f t="shared" si="0"/>
        <v>102.2616626143449</v>
      </c>
      <c r="C61" s="2" cm="1">
        <f t="array" ref="C61">INDEX( ComputeThermoProps($A61, $B61, ParametersRange), 1, COLUMN()-2 )</f>
        <v>13.266819406945999</v>
      </c>
      <c r="D61" s="2" cm="1">
        <f t="array" ref="D61">INDEX( ComputeThermoProps($A61, $B61, ParametersRange), 1, COLUMN()-2 )</f>
        <v>1.4225191780651454E-3</v>
      </c>
      <c r="E61" s="2" cm="1">
        <f t="array" ref="E61">INDEX( ComputeThermoProps($A61, $B61, ParametersRange), 1, COLUMN()-2 )</f>
        <v>8.2300111655552192E-4</v>
      </c>
      <c r="F61" s="2" cm="1">
        <f t="array" ref="F61">INDEX( ComputeThermoProps($A61, $B61, ParametersRange), 1, COLUMN()-2 )</f>
        <v>6.4930388585624239E-3</v>
      </c>
      <c r="G61" s="2" cm="1">
        <f t="array" ref="G61">INDEX( ComputeThermoProps($A61, $B61, ParametersRange), 1, COLUMN()-2 )</f>
        <v>35.545573492817027</v>
      </c>
      <c r="H61" s="2" cm="1">
        <f t="array" ref="H61">INDEX( ComputeThermoProps($A61, $B61, ParametersRange), 1, COLUMN()-2 )</f>
        <v>20.564957664040058</v>
      </c>
      <c r="I61" s="2" cm="1">
        <f t="array" ref="I61">INDEX( ComputeThermoProps($A61, $B61, ParametersRange), 1, COLUMN()-2 )</f>
        <v>2.9446173687061759</v>
      </c>
      <c r="J61" s="2" cm="1">
        <f t="array" ref="J61">INDEX( ComputeThermoProps($A61, $B61, ParametersRange), 1, COLUMN()-2 )</f>
        <v>418.63660785188364</v>
      </c>
      <c r="K61" s="2" cm="1">
        <f t="array" ref="K61">INDEX( ComputeThermoProps($A61, $B61, ParametersRange), 1, COLUMN()-2 )</f>
        <v>18.23183195248799</v>
      </c>
      <c r="L61" s="2" cm="1">
        <f t="array" ref="L61">INDEX( ComputeThermoProps($A61, $B61, ParametersRange), 1, COLUMN()-2 )</f>
        <v>-275.99618953790883</v>
      </c>
      <c r="M61" s="2" cm="1">
        <f t="array" ref="M61">INDEX( ComputeThermoProps($A61, $B61, ParametersRange), 1, COLUMN()-2 )</f>
        <v>1775.3236180104386</v>
      </c>
      <c r="N61" s="2" cm="1">
        <f t="array" ref="N61">INDEX( ComputeThermoProps($A61, $B61, ParametersRange), 1, COLUMN()-2 )</f>
        <v>1080.6908206206463</v>
      </c>
      <c r="P61">
        <f t="shared" si="1"/>
        <v>176.93591953685313</v>
      </c>
    </row>
    <row r="62" spans="1:16" x14ac:dyDescent="0.25">
      <c r="A62" s="2">
        <v>39.1</v>
      </c>
      <c r="B62" s="2">
        <f t="shared" si="0"/>
        <v>110.66562854929161</v>
      </c>
      <c r="C62" s="2" cm="1">
        <f t="array" ref="C62">INDEX( ComputeThermoProps($A62, $B62, ParametersRange), 1, COLUMN()-2 )</f>
        <v>13.195391339263503</v>
      </c>
      <c r="D62" s="2" cm="1">
        <f t="array" ref="D62">INDEX( ComputeThermoProps($A62, $B62, ParametersRange), 1, COLUMN()-2 )</f>
        <v>1.3865468819468103E-3</v>
      </c>
      <c r="E62" s="2" cm="1">
        <f t="array" ref="E62">INDEX( ComputeThermoProps($A62, $B62, ParametersRange), 1, COLUMN()-2 )</f>
        <v>8.0630731477533213E-4</v>
      </c>
      <c r="F62" s="2" cm="1">
        <f t="array" ref="F62">INDEX( ComputeThermoProps($A62, $B62, ParametersRange), 1, COLUMN()-2 )</f>
        <v>6.3181538835458172E-3</v>
      </c>
      <c r="G62" s="2" cm="1">
        <f t="array" ref="G62">INDEX( ComputeThermoProps($A62, $B62, ParametersRange), 1, COLUMN()-2 )</f>
        <v>35.495401271917515</v>
      </c>
      <c r="H62" s="2" cm="1">
        <f t="array" ref="H62">INDEX( ComputeThermoProps($A62, $B62, ParametersRange), 1, COLUMN()-2 )</f>
        <v>20.64135159010846</v>
      </c>
      <c r="I62" s="2" cm="1">
        <f t="array" ref="I62">INDEX( ComputeThermoProps($A62, $B62, ParametersRange), 1, COLUMN()-2 )</f>
        <v>2.9129953013083054</v>
      </c>
      <c r="J62" s="2" cm="1">
        <f t="array" ref="J62">INDEX( ComputeThermoProps($A62, $B62, ParametersRange), 1, COLUMN()-2 )</f>
        <v>434.26961223478708</v>
      </c>
      <c r="K62" s="2" cm="1">
        <f t="array" ref="K62">INDEX( ComputeThermoProps($A62, $B62, ParametersRange), 1, COLUMN()-2 )</f>
        <v>18.439864875658493</v>
      </c>
      <c r="L62" s="2" cm="1">
        <f t="array" ref="L62">INDEX( ComputeThermoProps($A62, $B62, ParametersRange), 1, COLUMN()-2 )</f>
        <v>-286.72910440346004</v>
      </c>
      <c r="M62" s="2" cm="1">
        <f t="array" ref="M62">INDEX( ComputeThermoProps($A62, $B62, ParametersRange), 1, COLUMN()-2 )</f>
        <v>1894.5458887482614</v>
      </c>
      <c r="N62" s="2" cm="1">
        <f t="array" ref="N62">INDEX( ComputeThermoProps($A62, $B62, ParametersRange), 1, COLUMN()-2 )</f>
        <v>1173.5471721100143</v>
      </c>
      <c r="P62">
        <f t="shared" si="1"/>
        <v>296.15819027467592</v>
      </c>
    </row>
    <row r="63" spans="1:16" x14ac:dyDescent="0.25">
      <c r="A63" s="2">
        <v>40.1</v>
      </c>
      <c r="B63" s="2">
        <f t="shared" si="0"/>
        <v>119.25613910377641</v>
      </c>
      <c r="C63" s="2" cm="1">
        <f t="array" ref="C63">INDEX( ComputeThermoProps($A63, $B63, ParametersRange), 1, COLUMN()-2 )</f>
        <v>13.122750700154729</v>
      </c>
      <c r="D63" s="2" cm="1">
        <f t="array" ref="D63">INDEX( ComputeThermoProps($A63, $B63, ParametersRange), 1, COLUMN()-2 )</f>
        <v>1.3469935232081312E-3</v>
      </c>
      <c r="E63" s="2" cm="1">
        <f t="array" ref="E63">INDEX( ComputeThermoProps($A63, $B63, ParametersRange), 1, COLUMN()-2 )</f>
        <v>7.8884047096158783E-4</v>
      </c>
      <c r="F63" s="2" cm="1">
        <f t="array" ref="F63">INDEX( ComputeThermoProps($A63, $B63, ParametersRange), 1, COLUMN()-2 )</f>
        <v>6.1245580632044655E-3</v>
      </c>
      <c r="G63" s="2" cm="1">
        <f t="array" ref="G63">INDEX( ComputeThermoProps($A63, $B63, ParametersRange), 1, COLUMN()-2 )</f>
        <v>35.364332039287994</v>
      </c>
      <c r="H63" s="2" cm="1">
        <f t="array" ref="H63">INDEX( ComputeThermoProps($A63, $B63, ParametersRange), 1, COLUMN()-2 )</f>
        <v>20.71043094154761</v>
      </c>
      <c r="I63" s="2" cm="1">
        <f t="array" ref="I63">INDEX( ComputeThermoProps($A63, $B63, ParametersRange), 1, COLUMN()-2 )</f>
        <v>2.8810114971293355</v>
      </c>
      <c r="J63" s="2" cm="1">
        <f t="array" ref="J63">INDEX( ComputeThermoProps($A63, $B63, ParametersRange), 1, COLUMN()-2 )</f>
        <v>450.20217301599115</v>
      </c>
      <c r="K63" s="2" cm="1">
        <f t="array" ref="K63">INDEX( ComputeThermoProps($A63, $B63, ParametersRange), 1, COLUMN()-2 )</f>
        <v>18.631363871799937</v>
      </c>
      <c r="L63" s="2" cm="1">
        <f t="array" ref="L63">INDEX( ComputeThermoProps($A63, $B63, ParametersRange), 1, COLUMN()-2 )</f>
        <v>-296.91551824318634</v>
      </c>
      <c r="M63" s="2" cm="1">
        <f t="array" ref="M63">INDEX( ComputeThermoProps($A63, $B63, ParametersRange), 1, COLUMN()-2 )</f>
        <v>2015.1707559378226</v>
      </c>
      <c r="N63" s="2" cm="1">
        <f t="array" ref="N63">INDEX( ComputeThermoProps($A63, $B63, ParametersRange), 1, COLUMN()-2 )</f>
        <v>1268.0530646786451</v>
      </c>
      <c r="P63">
        <f t="shared" si="1"/>
        <v>416.78305746423712</v>
      </c>
    </row>
    <row r="64" spans="1:16" x14ac:dyDescent="0.25">
      <c r="A64" s="2">
        <v>41.1</v>
      </c>
      <c r="B64" s="2">
        <f t="shared" si="0"/>
        <v>128.02642480325255</v>
      </c>
      <c r="C64" s="2" cm="1">
        <f t="array" ref="C64">INDEX( ComputeThermoProps($A64, $B64, ParametersRange), 1, COLUMN()-2 )</f>
        <v>13.049373490272949</v>
      </c>
      <c r="D64" s="2" cm="1">
        <f t="array" ref="D64">INDEX( ComputeThermoProps($A64, $B64, ParametersRange), 1, COLUMN()-2 )</f>
        <v>1.304660157190497E-3</v>
      </c>
      <c r="E64" s="2" cm="1">
        <f t="array" ref="E64">INDEX( ComputeThermoProps($A64, $B64, ParametersRange), 1, COLUMN()-2 )</f>
        <v>7.707111807258981E-4</v>
      </c>
      <c r="F64" s="2" cm="1">
        <f t="array" ref="F64">INDEX( ComputeThermoProps($A64, $B64, ParametersRange), 1, COLUMN()-2 )</f>
        <v>5.9168658070250972E-3</v>
      </c>
      <c r="G64" s="2" cm="1">
        <f t="array" ref="G64">INDEX( ComputeThermoProps($A64, $B64, ParametersRange), 1, COLUMN()-2 )</f>
        <v>35.165367816274021</v>
      </c>
      <c r="H64" s="2" cm="1">
        <f t="array" ref="H64">INDEX( ComputeThermoProps($A64, $B64, ParametersRange), 1, COLUMN()-2 )</f>
        <v>20.773488023658377</v>
      </c>
      <c r="I64" s="2" cm="1">
        <f t="array" ref="I64">INDEX( ComputeThermoProps($A64, $B64, ParametersRange), 1, COLUMN()-2 )</f>
        <v>2.8488826308586828</v>
      </c>
      <c r="J64" s="2" cm="1">
        <f t="array" ref="J64">INDEX( ComputeThermoProps($A64, $B64, ParametersRange), 1, COLUMN()-2 )</f>
        <v>466.48767168238658</v>
      </c>
      <c r="K64" s="2" cm="1">
        <f t="array" ref="K64">INDEX( ComputeThermoProps($A64, $B64, ParametersRange), 1, COLUMN()-2 )</f>
        <v>18.809067100958206</v>
      </c>
      <c r="L64" s="2" cm="1">
        <f t="array" ref="L64">INDEX( ComputeThermoProps($A64, $B64, ParametersRange), 1, COLUMN()-2 )</f>
        <v>-306.56498616699571</v>
      </c>
      <c r="M64" s="2" cm="1">
        <f t="array" ref="M64">INDEX( ComputeThermoProps($A64, $B64, ParametersRange), 1, COLUMN()-2 )</f>
        <v>2137.1523055643734</v>
      </c>
      <c r="N64" s="2" cm="1">
        <f t="array" ref="N64">INDEX( ComputeThermoProps($A64, $B64, ParametersRange), 1, COLUMN()-2 )</f>
        <v>1364.0996477149911</v>
      </c>
      <c r="P64">
        <f t="shared" si="1"/>
        <v>538.76460709078788</v>
      </c>
    </row>
    <row r="65" spans="1:16" x14ac:dyDescent="0.25">
      <c r="A65" s="2">
        <v>42.1</v>
      </c>
      <c r="B65" s="2">
        <f t="shared" si="0"/>
        <v>136.97028563658151</v>
      </c>
      <c r="C65" s="2" cm="1">
        <f t="array" ref="C65">INDEX( ComputeThermoProps($A65, $B65, ParametersRange), 1, COLUMN()-2 )</f>
        <v>12.975692963742194</v>
      </c>
      <c r="D65" s="2" cm="1">
        <f t="array" ref="D65">INDEX( ComputeThermoProps($A65, $B65, ParametersRange), 1, COLUMN()-2 )</f>
        <v>1.2603637648770938E-3</v>
      </c>
      <c r="E65" s="2" cm="1">
        <f t="array" ref="E65">INDEX( ComputeThermoProps($A65, $B65, ParametersRange), 1, COLUMN()-2 )</f>
        <v>7.5205106993674173E-4</v>
      </c>
      <c r="F65" s="2" cm="1">
        <f t="array" ref="F65">INDEX( ComputeThermoProps($A65, $B65, ParametersRange), 1, COLUMN()-2 )</f>
        <v>5.699610412489408E-3</v>
      </c>
      <c r="G65" s="2" cm="1">
        <f t="array" ref="G65">INDEX( ComputeThermoProps($A65, $B65, ParametersRange), 1, COLUMN()-2 )</f>
        <v>34.911784051756669</v>
      </c>
      <c r="H65" s="2" cm="1">
        <f t="array" ref="H65">INDEX( ComputeThermoProps($A65, $B65, ParametersRange), 1, COLUMN()-2 )</f>
        <v>20.831640262273343</v>
      </c>
      <c r="I65" s="2" cm="1">
        <f t="array" ref="I65">INDEX( ComputeThermoProps($A65, $B65, ParametersRange), 1, COLUMN()-2 )</f>
        <v>2.8168022288067154</v>
      </c>
      <c r="J65" s="2" cm="1">
        <f t="array" ref="J65">INDEX( ComputeThermoProps($A65, $B65, ParametersRange), 1, COLUMN()-2 )</f>
        <v>483.17101351440056</v>
      </c>
      <c r="K65" s="2" cm="1">
        <f t="array" ref="K65">INDEX( ComputeThermoProps($A65, $B65, ParametersRange), 1, COLUMN()-2 )</f>
        <v>18.975474972054485</v>
      </c>
      <c r="L65" s="2" cm="1">
        <f t="array" ref="L65">INDEX( ComputeThermoProps($A65, $B65, ParametersRange), 1, COLUMN()-2 )</f>
        <v>-315.69648280909331</v>
      </c>
      <c r="M65" s="2" cm="1">
        <f t="array" ref="M65">INDEX( ComputeThermoProps($A65, $B65, ParametersRange), 1, COLUMN()-2 )</f>
        <v>2260.4553850907496</v>
      </c>
      <c r="N65" s="2" cm="1">
        <f t="array" ref="N65">INDEX( ComputeThermoProps($A65, $B65, ParametersRange), 1, COLUMN()-2 )</f>
        <v>1461.5878887672557</v>
      </c>
      <c r="P65">
        <f t="shared" si="1"/>
        <v>662.0676866171641</v>
      </c>
    </row>
    <row r="66" spans="1:16" x14ac:dyDescent="0.25">
      <c r="A66" s="2">
        <v>43.1</v>
      </c>
      <c r="B66" s="2">
        <f t="shared" si="0"/>
        <v>146.0820213313919</v>
      </c>
      <c r="C66" s="2" cm="1">
        <f t="array" ref="C66">INDEX( ComputeThermoProps($A66, $B66, ParametersRange), 1, COLUMN()-2 )</f>
        <v>12.902092651553774</v>
      </c>
      <c r="D66" s="2" cm="1">
        <f t="array" ref="D66">INDEX( ComputeThermoProps($A66, $B66, ParametersRange), 1, COLUMN()-2 )</f>
        <v>1.2148885968417224E-3</v>
      </c>
      <c r="E66" s="2" cm="1">
        <f t="array" ref="E66">INDEX( ComputeThermoProps($A66, $B66, ParametersRange), 1, COLUMN()-2 )</f>
        <v>7.3300406914372719E-4</v>
      </c>
      <c r="F66" s="2" cm="1">
        <f t="array" ref="F66">INDEX( ComputeThermoProps($A66, $B66, ParametersRange), 1, COLUMN()-2 )</f>
        <v>5.4770130951771285E-3</v>
      </c>
      <c r="G66" s="2" cm="1">
        <f t="array" ref="G66">INDEX( ComputeThermoProps($A66, $B66, ParametersRange), 1, COLUMN()-2 )</f>
        <v>34.616408148168389</v>
      </c>
      <c r="H66" s="2" cm="1">
        <f t="array" ref="H66">INDEX( ComputeThermoProps($A66, $B66, ParametersRange), 1, COLUMN()-2 )</f>
        <v>20.885839325277054</v>
      </c>
      <c r="I66" s="2" cm="1">
        <f t="array" ref="I66">INDEX( ComputeThermoProps($A66, $B66, ParametersRange), 1, COLUMN()-2 )</f>
        <v>2.7849381034662684</v>
      </c>
      <c r="J66" s="2" cm="1">
        <f t="array" ref="J66">INDEX( ComputeThermoProps($A66, $B66, ParametersRange), 1, COLUMN()-2 )</f>
        <v>500.2882704320042</v>
      </c>
      <c r="K66" s="2" cm="1">
        <f t="array" ref="K66">INDEX( ComputeThermoProps($A66, $B66, ParametersRange), 1, COLUMN()-2 )</f>
        <v>19.132815914041061</v>
      </c>
      <c r="L66" s="2" cm="1">
        <f t="array" ref="L66">INDEX( ComputeThermoProps($A66, $B66, ParametersRange), 1, COLUMN()-2 )</f>
        <v>-324.33609546316552</v>
      </c>
      <c r="M66" s="2" cm="1">
        <f t="array" ref="M66">INDEX( ComputeThermoProps($A66, $B66, ParametersRange), 1, COLUMN()-2 )</f>
        <v>2385.0520443758774</v>
      </c>
      <c r="N66" s="2" cm="1">
        <f t="array" ref="N66">INDEX( ComputeThermoProps($A66, $B66, ParametersRange), 1, COLUMN()-2 )</f>
        <v>1560.4276784807075</v>
      </c>
      <c r="P66">
        <f t="shared" si="1"/>
        <v>786.66434590229187</v>
      </c>
    </row>
    <row r="67" spans="1:16" x14ac:dyDescent="0.25">
      <c r="A67" s="2">
        <v>44.1</v>
      </c>
      <c r="B67" s="2">
        <f t="shared" si="0"/>
        <v>155.35637211373628</v>
      </c>
      <c r="C67" s="2" cm="1">
        <f t="array" ref="C67">INDEX( ComputeThermoProps($A67, $B67, ParametersRange), 1, COLUMN()-2 )</f>
        <v>12.828902872517828</v>
      </c>
      <c r="D67" s="2" cm="1">
        <f t="array" ref="D67">INDEX( ComputeThermoProps($A67, $B67, ParametersRange), 1, COLUMN()-2 )</f>
        <v>1.1689487547132855E-3</v>
      </c>
      <c r="E67" s="2" cm="1">
        <f t="array" ref="E67">INDEX( ComputeThermoProps($A67, $B67, ParametersRange), 1, COLUMN()-2 )</f>
        <v>7.1371789369842006E-4</v>
      </c>
      <c r="F67" s="2" cm="1">
        <f t="array" ref="F67">INDEX( ComputeThermoProps($A67, $B67, ParametersRange), 1, COLUMN()-2 )</f>
        <v>5.2528167786749904E-3</v>
      </c>
      <c r="G67" s="2" cm="1">
        <f t="array" ref="G67">INDEX( ComputeThermoProps($A67, $B67, ParametersRange), 1, COLUMN()-2 )</f>
        <v>34.291060439942022</v>
      </c>
      <c r="H67" s="2" cm="1">
        <f t="array" ref="H67">INDEX( ComputeThermoProps($A67, $B67, ParametersRange), 1, COLUMN()-2 )</f>
        <v>20.936883102188297</v>
      </c>
      <c r="I67" s="2" cm="1">
        <f t="array" ref="I67">INDEX( ComputeThermoProps($A67, $B67, ParametersRange), 1, COLUMN()-2 )</f>
        <v>2.7534314511893858</v>
      </c>
      <c r="J67" s="2" cm="1">
        <f t="array" ref="J67">INDEX( ComputeThermoProps($A67, $B67, ParametersRange), 1, COLUMN()-2 )</f>
        <v>517.86687441491051</v>
      </c>
      <c r="K67" s="2" cm="1">
        <f t="array" ref="K67">INDEX( ComputeThermoProps($A67, $B67, ParametersRange), 1, COLUMN()-2 )</f>
        <v>19.283031227776803</v>
      </c>
      <c r="L67" s="2" cm="1">
        <f t="array" ref="L67">INDEX( ComputeThermoProps($A67, $B67, ParametersRange), 1, COLUMN()-2 )</f>
        <v>-332.51480273004654</v>
      </c>
      <c r="M67" s="2" cm="1">
        <f t="array" ref="M67">INDEX( ComputeThermoProps($A67, $B67, ParametersRange), 1, COLUMN()-2 )</f>
        <v>2510.9186828887705</v>
      </c>
      <c r="N67" s="2" cm="1">
        <f t="array" ref="N67">INDEX( ComputeThermoProps($A67, $B67, ParametersRange), 1, COLUMN()-2 )</f>
        <v>1660.5370057438136</v>
      </c>
      <c r="P67">
        <f t="shared" si="1"/>
        <v>912.530984415185</v>
      </c>
    </row>
    <row r="68" spans="1:16" x14ac:dyDescent="0.25">
      <c r="A68" s="2">
        <v>45.1</v>
      </c>
      <c r="B68" s="2">
        <f t="shared" si="0"/>
        <v>164.78846823158216</v>
      </c>
      <c r="C68" s="2" cm="1">
        <f t="array" ref="C68">INDEX( ComputeThermoProps($A68, $B68, ParametersRange), 1, COLUMN()-2 )</f>
        <v>12.756400398808008</v>
      </c>
      <c r="D68" s="2" cm="1">
        <f t="array" ref="D68">INDEX( ComputeThermoProps($A68, $B68, ParametersRange), 1, COLUMN()-2 )</f>
        <v>1.1231639944288294E-3</v>
      </c>
      <c r="E68" s="2" cm="1">
        <f t="array" ref="E68">INDEX( ComputeThermoProps($A68, $B68, ParametersRange), 1, COLUMN()-2 )</f>
        <v>6.9433658641450944E-4</v>
      </c>
      <c r="F68" s="2" cm="1">
        <f t="array" ref="F68">INDEX( ComputeThermoProps($A68, $B68, ParametersRange), 1, COLUMN()-2 )</f>
        <v>5.0301903950692962E-3</v>
      </c>
      <c r="G68" s="2" cm="1">
        <f t="array" ref="G68">INDEX( ComputeThermoProps($A68, $B68, ParametersRange), 1, COLUMN()-2 )</f>
        <v>33.946186785626558</v>
      </c>
      <c r="H68" s="2" cm="1">
        <f t="array" ref="H68">INDEX( ComputeThermoProps($A68, $B68, ParametersRange), 1, COLUMN()-2 )</f>
        <v>20.985430063138317</v>
      </c>
      <c r="I68" s="2" cm="1">
        <f t="array" ref="I68">INDEX( ComputeThermoProps($A68, $B68, ParametersRange), 1, COLUMN()-2 )</f>
        <v>2.7223973888400907</v>
      </c>
      <c r="J68" s="2" cm="1">
        <f t="array" ref="J68">INDEX( ComputeThermoProps($A68, $B68, ParametersRange), 1, COLUMN()-2 )</f>
        <v>535.92623001405707</v>
      </c>
      <c r="K68" s="2" cm="1">
        <f t="array" ref="K68">INDEX( ComputeThermoProps($A68, $B68, ParametersRange), 1, COLUMN()-2 )</f>
        <v>19.427776475492827</v>
      </c>
      <c r="L68" s="2" cm="1">
        <f t="array" ref="L68">INDEX( ComputeThermoProps($A68, $B68, ParametersRange), 1, COLUMN()-2 )</f>
        <v>-340.26648903066945</v>
      </c>
      <c r="M68" s="2" cm="1">
        <f t="array" ref="M68">INDEX( ComputeThermoProps($A68, $B68, ParametersRange), 1, COLUMN()-2 )</f>
        <v>2638.0339118823726</v>
      </c>
      <c r="N68" s="2" cm="1">
        <f t="array" ref="N68">INDEX( ComputeThermoProps($A68, $B68, ParametersRange), 1, COLUMN()-2 )</f>
        <v>1761.8411928376461</v>
      </c>
      <c r="P68">
        <f t="shared" si="1"/>
        <v>1039.6462134087872</v>
      </c>
    </row>
    <row r="69" spans="1:16" x14ac:dyDescent="0.25">
      <c r="A69" s="2">
        <v>46.1</v>
      </c>
      <c r="B69" s="2">
        <f t="shared" si="0"/>
        <v>174.37378678181665</v>
      </c>
      <c r="C69" s="2" cm="1">
        <f t="array" ref="C69">INDEX( ComputeThermoProps($A69, $B69, ParametersRange), 1, COLUMN()-2 )</f>
        <v>12.684810655939419</v>
      </c>
      <c r="D69" s="2" cm="1">
        <f t="array" ref="D69">INDEX( ComputeThermoProps($A69, $B69, ParametersRange), 1, COLUMN()-2 )</f>
        <v>1.078048195557954E-3</v>
      </c>
      <c r="E69" s="2" cm="1">
        <f t="array" ref="E69">INDEX( ComputeThermoProps($A69, $B69, ParametersRange), 1, COLUMN()-2 )</f>
        <v>6.7499464573046427E-4</v>
      </c>
      <c r="F69" s="2" cm="1">
        <f t="array" ref="F69">INDEX( ComputeThermoProps($A69, $B69, ParametersRange), 1, COLUMN()-2 )</f>
        <v>4.8116971474539139E-3</v>
      </c>
      <c r="G69" s="2" cm="1">
        <f t="array" ref="G69">INDEX( ComputeThermoProps($A69, $B69, ParametersRange), 1, COLUMN()-2 )</f>
        <v>33.590675165505601</v>
      </c>
      <c r="H69" s="2" cm="1">
        <f t="array" ref="H69">INDEX( ComputeThermoProps($A69, $B69, ParametersRange), 1, COLUMN()-2 )</f>
        <v>21.032015058893226</v>
      </c>
      <c r="I69" s="2" cm="1">
        <f t="array" ref="I69">INDEX( ComputeThermoProps($A69, $B69, ParametersRange), 1, COLUMN()-2 )</f>
        <v>2.6919265915511876</v>
      </c>
      <c r="J69" s="2" cm="1">
        <f t="array" ref="J69">INDEX( ComputeThermoProps($A69, $B69, ParametersRange), 1, COLUMN()-2 )</f>
        <v>554.47860077177256</v>
      </c>
      <c r="K69" s="2" cm="1">
        <f t="array" ref="K69">INDEX( ComputeThermoProps($A69, $B69, ParametersRange), 1, COLUMN()-2 )</f>
        <v>19.56843565323269</v>
      </c>
      <c r="L69" s="2" cm="1">
        <f t="array" ref="L69">INDEX( ComputeThermoProps($A69, $B69, ParametersRange), 1, COLUMN()-2 )</f>
        <v>-347.62628284225451</v>
      </c>
      <c r="M69" s="2" cm="1">
        <f t="array" ref="M69">INDEX( ComputeThermoProps($A69, $B69, ParametersRange), 1, COLUMN()-2 )</f>
        <v>2766.3770694582686</v>
      </c>
      <c r="N69" s="2" cm="1">
        <f t="array" ref="N69">INDEX( ComputeThermoProps($A69, $B69, ParametersRange), 1, COLUMN()-2 )</f>
        <v>1864.2721858442414</v>
      </c>
      <c r="P69">
        <f t="shared" si="1"/>
        <v>1167.9893709846831</v>
      </c>
    </row>
    <row r="70" spans="1:16" x14ac:dyDescent="0.25">
      <c r="A70" s="2">
        <v>47.1</v>
      </c>
      <c r="B70" s="2">
        <f t="shared" si="0"/>
        <v>184.1081146259485</v>
      </c>
      <c r="C70" s="2" cm="1">
        <f t="array" ref="C70">INDEX( ComputeThermoProps($A70, $B70, ParametersRange), 1, COLUMN()-2 )</f>
        <v>12.614311721304507</v>
      </c>
      <c r="D70" s="2" cm="1">
        <f t="array" ref="D70">INDEX( ComputeThermoProps($A70, $B70, ParametersRange), 1, COLUMN()-2 )</f>
        <v>1.0340082903587636E-3</v>
      </c>
      <c r="E70" s="2" cm="1">
        <f t="array" ref="E70">INDEX( ComputeThermoProps($A70, $B70, ParametersRange), 1, COLUMN()-2 )</f>
        <v>6.5581292959155681E-4</v>
      </c>
      <c r="F70" s="2" cm="1">
        <f t="array" ref="F70">INDEX( ComputeThermoProps($A70, $B70, ParametersRange), 1, COLUMN()-2 )</f>
        <v>4.5993129670753672E-3</v>
      </c>
      <c r="G70" s="2" cm="1">
        <f t="array" ref="G70">INDEX( ComputeThermoProps($A70, $B70, ParametersRange), 1, COLUMN()-2 )</f>
        <v>33.231825177862078</v>
      </c>
      <c r="H70" s="2" cm="1">
        <f t="array" ref="H70">INDEX( ComputeThermoProps($A70, $B70, ParametersRange), 1, COLUMN()-2 )</f>
        <v>21.077065656800976</v>
      </c>
      <c r="I70" s="2" cm="1">
        <f t="array" ref="I70">INDEX( ComputeThermoProps($A70, $B70, ParametersRange), 1, COLUMN()-2 )</f>
        <v>2.6620876616262223</v>
      </c>
      <c r="J70" s="2" cm="1">
        <f t="array" ref="J70">INDEX( ComputeThermoProps($A70, $B70, ParametersRange), 1, COLUMN()-2 )</f>
        <v>573.53013516209433</v>
      </c>
      <c r="K70" s="2" cm="1">
        <f t="array" ref="K70">INDEX( ComputeThermoProps($A70, $B70, ParametersRange), 1, COLUMN()-2 )</f>
        <v>19.706144051479974</v>
      </c>
      <c r="L70" s="2" cm="1">
        <f t="array" ref="L70">INDEX( ComputeThermoProps($A70, $B70, ParametersRange), 1, COLUMN()-2 )</f>
        <v>-354.62924966261249</v>
      </c>
      <c r="M70" s="2" cm="1">
        <f t="array" ref="M70">INDEX( ComputeThermoProps($A70, $B70, ParametersRange), 1, COLUMN()-2 )</f>
        <v>2895.9272834754702</v>
      </c>
      <c r="N70" s="2" cm="1">
        <f t="array" ref="N70">INDEX( ComputeThermoProps($A70, $B70, ParametersRange), 1, COLUMN()-2 )</f>
        <v>1967.7678986507633</v>
      </c>
      <c r="P70">
        <f t="shared" si="1"/>
        <v>1297.5395850018847</v>
      </c>
    </row>
    <row r="71" spans="1:16" x14ac:dyDescent="0.25">
      <c r="A71" s="2">
        <v>48.1</v>
      </c>
      <c r="B71" s="2">
        <f t="shared" si="0"/>
        <v>193.98751639330558</v>
      </c>
      <c r="C71" s="2" cm="1">
        <f t="array" ref="C71">INDEX( ComputeThermoProps($A71, $B71, ParametersRange), 1, COLUMN()-2 )</f>
        <v>12.545039407096667</v>
      </c>
      <c r="D71" s="2" cm="1">
        <f t="array" ref="D71">INDEX( ComputeThermoProps($A71, $B71, ParametersRange), 1, COLUMN()-2 )</f>
        <v>9.913507310615403E-4</v>
      </c>
      <c r="E71" s="2" cm="1">
        <f t="array" ref="E71">INDEX( ComputeThermoProps($A71, $B71, ParametersRange), 1, COLUMN()-2 )</f>
        <v>6.368962597804468E-4</v>
      </c>
      <c r="F71" s="2" cm="1">
        <f t="array" ref="F71">INDEX( ComputeThermoProps($A71, $B71, ParametersRange), 1, COLUMN()-2 )</f>
        <v>4.3944789644350278E-3</v>
      </c>
      <c r="G71" s="2" cm="1">
        <f t="array" ref="G71">INDEX( ComputeThermoProps($A71, $B71, ParametersRange), 1, COLUMN()-2 )</f>
        <v>32.875428863676582</v>
      </c>
      <c r="H71" s="2" cm="1">
        <f t="array" ref="H71">INDEX( ComputeThermoProps($A71, $B71, ParametersRange), 1, COLUMN()-2 )</f>
        <v>21.120918183550494</v>
      </c>
      <c r="I71" s="2" cm="1">
        <f t="array" ref="I71">INDEX( ComputeThermoProps($A71, $B71, ParametersRange), 1, COLUMN()-2 )</f>
        <v>2.6329298874092566</v>
      </c>
      <c r="J71" s="2" cm="1">
        <f t="array" ref="J71">INDEX( ComputeThermoProps($A71, $B71, ParametersRange), 1, COLUMN()-2 )</f>
        <v>593.08192316164821</v>
      </c>
      <c r="K71" s="2" cm="1">
        <f t="array" ref="K71">INDEX( ComputeThermoProps($A71, $B71, ParametersRange), 1, COLUMN()-2 )</f>
        <v>19.841816021726082</v>
      </c>
      <c r="L71" s="2" cm="1">
        <f t="array" ref="L71">INDEX( ComputeThermoProps($A71, $B71, ParametersRange), 1, COLUMN()-2 )</f>
        <v>-361.30942748337634</v>
      </c>
      <c r="M71" s="2" cm="1">
        <f t="array" ref="M71">INDEX( ComputeThermoProps($A71, $B71, ParametersRange), 1, COLUMN()-2 )</f>
        <v>3026.6629608004773</v>
      </c>
      <c r="N71" s="2" cm="1">
        <f t="array" ref="N71">INDEX( ComputeThermoProps($A71, $B71, ParametersRange), 1, COLUMN()-2 )</f>
        <v>2072.2716101554529</v>
      </c>
      <c r="P71">
        <f t="shared" si="1"/>
        <v>1428.2752623268918</v>
      </c>
    </row>
    <row r="72" spans="1:16" x14ac:dyDescent="0.25">
      <c r="A72" s="2">
        <v>49.1</v>
      </c>
      <c r="B72" s="2">
        <f t="shared" si="0"/>
        <v>204.00830674947045</v>
      </c>
      <c r="C72" s="2" cm="1">
        <f t="array" ref="C72">INDEX( ComputeThermoProps($A72, $B72, ParametersRange), 1, COLUMN()-2 )</f>
        <v>12.477092821231572</v>
      </c>
      <c r="D72" s="2" cm="1">
        <f t="array" ref="D72">INDEX( ComputeThermoProps($A72, $B72, ParametersRange), 1, COLUMN()-2 )</f>
        <v>9.5029259583833574E-4</v>
      </c>
      <c r="E72" s="2" cm="1">
        <f t="array" ref="E72">INDEX( ComputeThermoProps($A72, $B72, ParametersRange), 1, COLUMN()-2 )</f>
        <v>6.1833248131358109E-4</v>
      </c>
      <c r="F72" s="2" cm="1">
        <f t="array" ref="F72">INDEX( ComputeThermoProps($A72, $B72, ParametersRange), 1, COLUMN()-2 )</f>
        <v>4.1981727590163064E-3</v>
      </c>
      <c r="G72" s="2" cm="1">
        <f t="array" ref="G72">INDEX( ComputeThermoProps($A72, $B72, ParametersRange), 1, COLUMN()-2 )</f>
        <v>32.525921152233778</v>
      </c>
      <c r="H72" s="2" cm="1">
        <f t="array" ref="H72">INDEX( ComputeThermoProps($A72, $B72, ParametersRange), 1, COLUMN()-2 )</f>
        <v>21.163832719677465</v>
      </c>
      <c r="I72" s="2" cm="1">
        <f t="array" ref="I72">INDEX( ComputeThermoProps($A72, $B72, ParametersRange), 1, COLUMN()-2 )</f>
        <v>2.6044861154842183</v>
      </c>
      <c r="J72" s="2" cm="1">
        <f t="array" ref="J72">INDEX( ComputeThermoProps($A72, $B72, ParametersRange), 1, COLUMN()-2 )</f>
        <v>613.13100546311432</v>
      </c>
      <c r="K72" s="2" cm="1">
        <f t="array" ref="K72">INDEX( ComputeThermoProps($A72, $B72, ParametersRange), 1, COLUMN()-2 )</f>
        <v>19.976174564584909</v>
      </c>
      <c r="L72" s="2" cm="1">
        <f t="array" ref="L72">INDEX( ComputeThermoProps($A72, $B72, ParametersRange), 1, COLUMN()-2 )</f>
        <v>-367.69916565800474</v>
      </c>
      <c r="M72" s="2" cm="1">
        <f t="array" ref="M72">INDEX( ComputeThermoProps($A72, $B72, ParametersRange), 1, COLUMN()-2 )</f>
        <v>3158.5615850785407</v>
      </c>
      <c r="N72" s="2" cm="1">
        <f t="array" ref="N72">INDEX( ComputeThermoProps($A72, $B72, ParametersRange), 1, COLUMN()-2 )</f>
        <v>2177.7314139574219</v>
      </c>
      <c r="P72">
        <f t="shared" si="1"/>
        <v>1560.1738866049552</v>
      </c>
    </row>
    <row r="73" spans="1:16" x14ac:dyDescent="0.25">
      <c r="A73" s="2">
        <v>50.1</v>
      </c>
      <c r="B73" s="2">
        <f t="shared" si="0"/>
        <v>214.16702625478231</v>
      </c>
      <c r="C73" s="2" cm="1">
        <f t="array" ref="C73">INDEX( ComputeThermoProps($A73, $B73, ParametersRange), 1, COLUMN()-2 )</f>
        <v>12.410539944881261</v>
      </c>
      <c r="D73" s="2" cm="1">
        <f t="array" ref="D73">INDEX( ComputeThermoProps($A73, $B73, ParametersRange), 1, COLUMN()-2 )</f>
        <v>9.1097489950182518E-4</v>
      </c>
      <c r="E73" s="2" cm="1">
        <f t="array" ref="E73">INDEX( ComputeThermoProps($A73, $B73, ParametersRange), 1, COLUMN()-2 )</f>
        <v>6.0019265093504885E-4</v>
      </c>
      <c r="F73" s="2" cm="1">
        <f t="array" ref="F73">INDEX( ComputeThermoProps($A73, $B73, ParametersRange), 1, COLUMN()-2 )</f>
        <v>4.0109866562725131E-3</v>
      </c>
      <c r="G73" s="2" cm="1">
        <f t="array" ref="G73">INDEX( ComputeThermoProps($A73, $B73, ParametersRange), 1, COLUMN()-2 )</f>
        <v>32.186565134740832</v>
      </c>
      <c r="H73" s="2" cm="1">
        <f t="array" ref="H73">INDEX( ComputeThermoProps($A73, $B73, ParametersRange), 1, COLUMN()-2 )</f>
        <v>21.206006733311771</v>
      </c>
      <c r="I73" s="2" cm="1">
        <f t="array" ref="I73">INDEX( ComputeThermoProps($A73, $B73, ParametersRange), 1, COLUMN()-2 )</f>
        <v>2.5767755330264421</v>
      </c>
      <c r="J73" s="2" cm="1">
        <f t="array" ref="J73">INDEX( ComputeThermoProps($A73, $B73, ParametersRange), 1, COLUMN()-2 )</f>
        <v>633.67128665944347</v>
      </c>
      <c r="K73" s="2" cm="1">
        <f t="array" ref="K73">INDEX( ComputeThermoProps($A73, $B73, ParametersRange), 1, COLUMN()-2 )</f>
        <v>20.109780451595675</v>
      </c>
      <c r="L73" s="2" cm="1">
        <f t="array" ref="L73">INDEX( ComputeThermoProps($A73, $B73, ParametersRange), 1, COLUMN()-2 )</f>
        <v>-373.8287139654999</v>
      </c>
      <c r="M73" s="2" cm="1">
        <f t="array" ref="M73">INDEX( ComputeThermoProps($A73, $B73, ParametersRange), 1, COLUMN()-2 )</f>
        <v>3291.5997208708532</v>
      </c>
      <c r="N73" s="2" cm="1">
        <f t="array" ref="N73">INDEX( ComputeThermoProps($A73, $B73, ParametersRange), 1, COLUMN()-2 )</f>
        <v>2284.0997202459098</v>
      </c>
      <c r="P73">
        <f t="shared" si="1"/>
        <v>1693.2120223972677</v>
      </c>
    </row>
    <row r="74" spans="1:16" x14ac:dyDescent="0.25">
      <c r="A74" s="2">
        <v>51.1</v>
      </c>
      <c r="B74" s="2">
        <f t="shared" si="0"/>
        <v>224.46042025753471</v>
      </c>
      <c r="C74" s="2" cm="1">
        <f t="array" ref="C74">INDEX( ComputeThermoProps($A74, $B74, ParametersRange), 1, COLUMN()-2 )</f>
        <v>12.345422911476721</v>
      </c>
      <c r="D74" s="2" cm="1">
        <f t="array" ref="D74">INDEX( ComputeThermoProps($A74, $B74, ParametersRange), 1, COLUMN()-2 )</f>
        <v>8.734763124855589E-4</v>
      </c>
      <c r="E74" s="2" cm="1">
        <f t="array" ref="E74">INDEX( ComputeThermoProps($A74, $B74, ParametersRange), 1, COLUMN()-2 )</f>
        <v>5.8253202249556712E-4</v>
      </c>
      <c r="F74" s="2" cm="1">
        <f t="array" ref="F74">INDEX( ComputeThermoProps($A74, $B74, ParametersRange), 1, COLUMN()-2 )</f>
        <v>3.8332042017101718E-3</v>
      </c>
      <c r="G74" s="2" cm="1">
        <f t="array" ref="G74">INDEX( ComputeThermoProps($A74, $B74, ParametersRange), 1, COLUMN()-2 )</f>
        <v>31.859645922288955</v>
      </c>
      <c r="H74" s="2" cm="1">
        <f t="array" ref="H74">INDEX( ComputeThermoProps($A74, $B74, ParametersRange), 1, COLUMN()-2 )</f>
        <v>21.247587037926081</v>
      </c>
      <c r="I74" s="2" cm="1">
        <f t="array" ref="I74">INDEX( ComputeThermoProps($A74, $B74, ParametersRange), 1, COLUMN()-2 )</f>
        <v>2.5498062336762115</v>
      </c>
      <c r="J74" s="2" cm="1">
        <f t="array" ref="J74">INDEX( ComputeThermoProps($A74, $B74, ParametersRange), 1, COLUMN()-2 )</f>
        <v>654.69432815606888</v>
      </c>
      <c r="K74" s="2" cm="1">
        <f t="array" ref="K74">INDEX( ComputeThermoProps($A74, $B74, ParametersRange), 1, COLUMN()-2 )</f>
        <v>20.243059423499517</v>
      </c>
      <c r="L74" s="2" cm="1">
        <f t="array" ref="L74">INDEX( ComputeThermoProps($A74, $B74, ParametersRange), 1, COLUMN()-2 )</f>
        <v>-379.72600838475648</v>
      </c>
      <c r="M74" s="2" cm="1">
        <f t="array" ref="M74">INDEX( ComputeThermoProps($A74, $B74, ParametersRange), 1, COLUMN()-2 )</f>
        <v>3425.7531431231314</v>
      </c>
      <c r="N74" s="2" cm="1">
        <f t="array" ref="N74">INDEX( ComputeThermoProps($A74, $B74, ParametersRange), 1, COLUMN()-2 )</f>
        <v>2391.3328065823061</v>
      </c>
      <c r="P74">
        <f t="shared" si="1"/>
        <v>1827.3654446495459</v>
      </c>
    </row>
    <row r="75" spans="1:16" x14ac:dyDescent="0.25">
      <c r="A75" s="2">
        <v>52.1</v>
      </c>
      <c r="B75" s="2">
        <f t="shared" si="0"/>
        <v>234.88542036369782</v>
      </c>
      <c r="C75" s="2" cm="1">
        <f t="array" ref="C75">INDEX( ComputeThermoProps($A75, $B75, ParametersRange), 1, COLUMN()-2 )</f>
        <v>12.281762798537102</v>
      </c>
      <c r="D75" s="2" cm="1">
        <f t="array" ref="D75">INDEX( ComputeThermoProps($A75, $B75, ParametersRange), 1, COLUMN()-2 )</f>
        <v>8.3782610870030544E-4</v>
      </c>
      <c r="E75" s="2" cm="1">
        <f t="array" ref="E75">INDEX( ComputeThermoProps($A75, $B75, ParametersRange), 1, COLUMN()-2 )</f>
        <v>5.6539152886956603E-4</v>
      </c>
      <c r="F75" s="2" cm="1">
        <f t="array" ref="F75">INDEX( ComputeThermoProps($A75, $B75, ParametersRange), 1, COLUMN()-2 )</f>
        <v>3.6648699253522062E-3</v>
      </c>
      <c r="G75" s="2" cm="1">
        <f t="array" ref="G75">INDEX( ComputeThermoProps($A75, $B75, ParametersRange), 1, COLUMN()-2 )</f>
        <v>31.546655834276191</v>
      </c>
      <c r="H75" s="2" cm="1">
        <f t="array" ref="H75">INDEX( ComputeThermoProps($A75, $B75, ParametersRange), 1, COLUMN()-2 )</f>
        <v>21.28868005860096</v>
      </c>
      <c r="I75" s="2" cm="1">
        <f t="array" ref="I75">INDEX( ComputeThermoProps($A75, $B75, ParametersRange), 1, COLUMN()-2 )</f>
        <v>2.523577493873105</v>
      </c>
      <c r="J75" s="2" cm="1">
        <f t="array" ref="J75">INDEX( ComputeThermoProps($A75, $B75, ParametersRange), 1, COLUMN()-2 )</f>
        <v>676.19001404944936</v>
      </c>
      <c r="K75" s="2" cm="1">
        <f t="array" ref="K75">INDEX( ComputeThermoProps($A75, $B75, ParametersRange), 1, COLUMN()-2 )</f>
        <v>20.37632659513126</v>
      </c>
      <c r="L75" s="2" cm="1">
        <f t="array" ref="L75">INDEX( ComputeThermoProps($A75, $B75, ParametersRange), 1, COLUMN()-2 )</f>
        <v>-385.41660155688936</v>
      </c>
      <c r="M75" s="2" cm="1">
        <f t="array" ref="M75">INDEX( ComputeThermoProps($A75, $B75, ParametersRange), 1, COLUMN()-2 )</f>
        <v>3560.9970317910625</v>
      </c>
      <c r="N75" s="2" cm="1">
        <f t="array" ref="N75">INDEX( ComputeThermoProps($A75, $B75, ParametersRange), 1, COLUMN()-2 )</f>
        <v>2499.3904161847236</v>
      </c>
      <c r="P75">
        <f t="shared" si="1"/>
        <v>1962.609333317477</v>
      </c>
    </row>
    <row r="76" spans="1:16" x14ac:dyDescent="0.25">
      <c r="A76" s="2">
        <v>53.1</v>
      </c>
      <c r="B76" s="2">
        <f t="shared" si="0"/>
        <v>245.43912810381755</v>
      </c>
      <c r="C76" s="2" cm="1">
        <f t="array" ref="C76">INDEX( ComputeThermoProps($A76, $B76, ParametersRange), 1, COLUMN()-2 )</f>
        <v>12.21956384187858</v>
      </c>
      <c r="D76" s="2" cm="1">
        <f t="array" ref="D76">INDEX( ComputeThermoProps($A76, $B76, ParametersRange), 1, COLUMN()-2 )</f>
        <v>8.0401568751619224E-4</v>
      </c>
      <c r="E76" s="2" cm="1">
        <f t="array" ref="E76">INDEX( ComputeThermoProps($A76, $B76, ParametersRange), 1, COLUMN()-2 )</f>
        <v>5.4879951939881138E-4</v>
      </c>
      <c r="F76" s="2" cm="1">
        <f t="array" ref="F76">INDEX( ComputeThermoProps($A76, $B76, ParametersRange), 1, COLUMN()-2 )</f>
        <v>3.5058497226131947E-3</v>
      </c>
      <c r="G76" s="2" cm="1">
        <f t="array" ref="G76">INDEX( ComputeThermoProps($A76, $B76, ParametersRange), 1, COLUMN()-2 )</f>
        <v>31.248461106303683</v>
      </c>
      <c r="H76" s="2" cm="1">
        <f t="array" ref="H76">INDEX( ComputeThermoProps($A76, $B76, ParametersRange), 1, COLUMN()-2 )</f>
        <v>21.329360488064534</v>
      </c>
      <c r="I76" s="2" cm="1">
        <f t="array" ref="I76">INDEX( ComputeThermoProps($A76, $B76, ParametersRange), 1, COLUMN()-2 )</f>
        <v>2.4980817355046914</v>
      </c>
      <c r="J76" s="2" cm="1">
        <f t="array" ref="J76">INDEX( ComputeThermoProps($A76, $B76, ParametersRange), 1, COLUMN()-2 )</f>
        <v>698.14709506294753</v>
      </c>
      <c r="K76" s="2" cm="1">
        <f t="array" ref="K76">INDEX( ComputeThermoProps($A76, $B76, ParametersRange), 1, COLUMN()-2 )</f>
        <v>20.50980773322328</v>
      </c>
      <c r="L76" s="2" cm="1">
        <f t="array" ref="L76">INDEX( ComputeThermoProps($A76, $B76, ParametersRange), 1, COLUMN()-2 )</f>
        <v>-390.92369557120867</v>
      </c>
      <c r="M76" s="2" cm="1">
        <f t="array" ref="M76">INDEX( ComputeThermoProps($A76, $B76, ParametersRange), 1, COLUMN()-2 )</f>
        <v>3697.3061902225613</v>
      </c>
      <c r="N76" s="2" cm="1">
        <f t="array" ref="N76">INDEX( ComputeThermoProps($A76, $B76, ParametersRange), 1, COLUMN()-2 )</f>
        <v>2608.235399588405</v>
      </c>
      <c r="P76">
        <f t="shared" si="1"/>
        <v>2098.9184917489756</v>
      </c>
    </row>
    <row r="77" spans="1:16" x14ac:dyDescent="0.25">
      <c r="A77" s="2">
        <v>54.1</v>
      </c>
      <c r="B77" s="2">
        <f t="shared" si="0"/>
        <v>256.11880048174714</v>
      </c>
      <c r="C77" s="2" cm="1">
        <f t="array" ref="C77">INDEX( ComputeThermoProps($A77, $B77, ParametersRange), 1, COLUMN()-2 )</f>
        <v>12.158817051303558</v>
      </c>
      <c r="D77" s="2" cm="1">
        <f t="array" ref="D77">INDEX( ComputeThermoProps($A77, $B77, ParametersRange), 1, COLUMN()-2 )</f>
        <v>7.7200838943046869E-4</v>
      </c>
      <c r="E77" s="2" cm="1">
        <f t="array" ref="E77">INDEX( ComputeThermoProps($A77, $B77, ParametersRange), 1, COLUMN()-2 )</f>
        <v>5.3277357189797923E-4</v>
      </c>
      <c r="F77" s="2" cm="1">
        <f t="array" ref="F77">INDEX( ComputeThermoProps($A77, $B77, ParametersRange), 1, COLUMN()-2 )</f>
        <v>3.3558810964420213E-3</v>
      </c>
      <c r="G77" s="2" cm="1">
        <f t="array" ref="G77">INDEX( ComputeThermoProps($A77, $B77, ParametersRange), 1, COLUMN()-2 )</f>
        <v>30.965445504175463</v>
      </c>
      <c r="H77" s="2" cm="1">
        <f t="array" ref="H77">INDEX( ComputeThermoProps($A77, $B77, ParametersRange), 1, COLUMN()-2 )</f>
        <v>21.369678403161505</v>
      </c>
      <c r="I77" s="2" cm="1">
        <f t="array" ref="I77">INDEX( ComputeThermoProps($A77, $B77, ParametersRange), 1, COLUMN()-2 )</f>
        <v>2.4733061782892261</v>
      </c>
      <c r="J77" s="2" cm="1">
        <f t="array" ref="J77">INDEX( ComputeThermoProps($A77, $B77, ParametersRange), 1, COLUMN()-2 )</f>
        <v>720.55362219862809</v>
      </c>
      <c r="K77" s="2" cm="1">
        <f t="array" ref="K77">INDEX( ComputeThermoProps($A77, $B77, ParametersRange), 1, COLUMN()-2 )</f>
        <v>20.643657381583122</v>
      </c>
      <c r="L77" s="2" cm="1">
        <f t="array" ref="L77">INDEX( ComputeThermoProps($A77, $B77, ParametersRange), 1, COLUMN()-2 )</f>
        <v>-396.2682421450188</v>
      </c>
      <c r="M77" s="2" cm="1">
        <f t="array" ref="M77">INDEX( ComputeThermoProps($A77, $B77, ParametersRange), 1, COLUMN()-2 )</f>
        <v>3834.6552606555092</v>
      </c>
      <c r="N77" s="2" cm="1">
        <f t="array" ref="N77">INDEX( ComputeThermoProps($A77, $B77, ParametersRange), 1, COLUMN()-2 )</f>
        <v>2717.8333963118621</v>
      </c>
      <c r="P77">
        <f t="shared" si="1"/>
        <v>2236.2675621819235</v>
      </c>
    </row>
    <row r="78" spans="1:16" x14ac:dyDescent="0.25">
      <c r="A78" s="2">
        <v>55.1</v>
      </c>
      <c r="B78" s="2">
        <f t="shared" si="0"/>
        <v>266.92183714196375</v>
      </c>
      <c r="C78" s="2" cm="1">
        <f t="array" ref="C78">INDEX( ComputeThermoProps($A78, $B78, ParametersRange), 1, COLUMN()-2 )</f>
        <v>12.099503251741096</v>
      </c>
      <c r="D78" s="2" cm="1">
        <f t="array" ref="D78">INDEX( ComputeThermoProps($A78, $B78, ParametersRange), 1, COLUMN()-2 )</f>
        <v>7.4174758092632469E-4</v>
      </c>
      <c r="E78" s="2" cm="1">
        <f t="array" ref="E78">INDEX( ComputeThermoProps($A78, $B78, ParametersRange), 1, COLUMN()-2 )</f>
        <v>5.1732225504034699E-4</v>
      </c>
      <c r="F78" s="2" cm="1">
        <f t="array" ref="F78">INDEX( ComputeThermoProps($A78, $B78, ParametersRange), 1, COLUMN()-2 )</f>
        <v>3.2146136742125567E-3</v>
      </c>
      <c r="G78" s="2" cm="1">
        <f t="array" ref="G78">INDEX( ComputeThermoProps($A78, $B78, ParametersRange), 1, COLUMN()-2 )</f>
        <v>30.697630231695808</v>
      </c>
      <c r="H78" s="2" cm="1">
        <f t="array" ref="H78">INDEX( ComputeThermoProps($A78, $B78, ParametersRange), 1, COLUMN()-2 )</f>
        <v>21.409665099309532</v>
      </c>
      <c r="I78" s="2" cm="1">
        <f t="array" ref="I78">INDEX( ComputeThermoProps($A78, $B78, ParametersRange), 1, COLUMN()-2 )</f>
        <v>2.449234204270323</v>
      </c>
      <c r="J78" s="2" cm="1">
        <f t="array" ref="J78">INDEX( ComputeThermoProps($A78, $B78, ParametersRange), 1, COLUMN()-2 )</f>
        <v>743.39728483126191</v>
      </c>
      <c r="K78" s="2" cm="1">
        <f t="array" ref="K78">INDEX( ComputeThermoProps($A78, $B78, ParametersRange), 1, COLUMN()-2 )</f>
        <v>20.777974022522322</v>
      </c>
      <c r="L78" s="2" cm="1">
        <f t="array" ref="L78">INDEX( ComputeThermoProps($A78, $B78, ParametersRange), 1, COLUMN()-2 )</f>
        <v>-401.46908380971809</v>
      </c>
      <c r="M78" s="2" cm="1">
        <f t="array" ref="M78">INDEX( ComputeThermoProps($A78, $B78, ParametersRange), 1, COLUMN()-2 )</f>
        <v>3973.0189212911596</v>
      </c>
      <c r="N78" s="2" cm="1">
        <f t="array" ref="N78">INDEX( ComputeThermoProps($A78, $B78, ParametersRange), 1, COLUMN()-2 )</f>
        <v>2828.1525526501796</v>
      </c>
      <c r="P78">
        <f t="shared" si="1"/>
        <v>2374.6312228175739</v>
      </c>
    </row>
    <row r="79" spans="1:16" x14ac:dyDescent="0.25">
      <c r="A79" s="2">
        <v>56.1</v>
      </c>
      <c r="B79" s="2">
        <f t="shared" si="0"/>
        <v>277.84576893478209</v>
      </c>
      <c r="C79" s="2" cm="1">
        <f t="array" ref="C79">INDEX( ComputeThermoProps($A79, $B79, ParametersRange), 1, COLUMN()-2 )</f>
        <v>12.041595599564198</v>
      </c>
      <c r="D79" s="2" cm="1">
        <f t="array" ref="D79">INDEX( ComputeThermoProps($A79, $B79, ParametersRange), 1, COLUMN()-2 )</f>
        <v>7.1316312895585473E-4</v>
      </c>
      <c r="E79" s="2" cm="1">
        <f t="array" ref="E79">INDEX( ComputeThermoProps($A79, $B79, ParametersRange), 1, COLUMN()-2 )</f>
        <v>5.0244676330811185E-4</v>
      </c>
      <c r="F79" s="2" cm="1">
        <f t="array" ref="F79">INDEX( ComputeThermoProps($A79, $B79, ParametersRange), 1, COLUMN()-2 )</f>
        <v>3.0816409920677423E-3</v>
      </c>
      <c r="G79" s="2" cm="1">
        <f t="array" ref="G79">INDEX( ComputeThermoProps($A79, $B79, ParametersRange), 1, COLUMN()-2 )</f>
        <v>30.444771370480073</v>
      </c>
      <c r="H79" s="2" cm="1">
        <f t="array" ref="H79">INDEX( ComputeThermoProps($A79, $B79, ParametersRange), 1, COLUMN()-2 )</f>
        <v>21.449337765329236</v>
      </c>
      <c r="I79" s="2" cm="1">
        <f t="array" ref="I79">INDEX( ComputeThermoProps($A79, $B79, ParametersRange), 1, COLUMN()-2 )</f>
        <v>2.4258464659409231</v>
      </c>
      <c r="J79" s="2" cm="1">
        <f t="array" ref="J79">INDEX( ComputeThermoProps($A79, $B79, ParametersRange), 1, COLUMN()-2 )</f>
        <v>766.66566860658997</v>
      </c>
      <c r="K79" s="2" cm="1">
        <f t="array" ref="K79">INDEX( ComputeThermoProps($A79, $B79, ParametersRange), 1, COLUMN()-2 )</f>
        <v>20.912812571598213</v>
      </c>
      <c r="L79" s="2" cm="1">
        <f t="array" ref="L79">INDEX( ComputeThermoProps($A79, $B79, ParametersRange), 1, COLUMN()-2 )</f>
        <v>-406.54311666006981</v>
      </c>
      <c r="M79" s="2" cm="1">
        <f t="array" ref="M79">INDEX( ComputeThermoProps($A79, $B79, ParametersRange), 1, COLUMN()-2 )</f>
        <v>4112.3720571691929</v>
      </c>
      <c r="N79" s="2" cm="1">
        <f t="array" ref="N79">INDEX( ComputeThermoProps($A79, $B79, ParametersRange), 1, COLUMN()-2 )</f>
        <v>2939.1632719025333</v>
      </c>
      <c r="P79">
        <f t="shared" si="1"/>
        <v>2513.9843586956076</v>
      </c>
    </row>
    <row r="80" spans="1:16" x14ac:dyDescent="0.25">
      <c r="A80" s="2">
        <v>57.1</v>
      </c>
      <c r="B80" s="2">
        <f t="shared" si="0"/>
        <v>288.88824769365237</v>
      </c>
      <c r="C80" s="2" cm="1">
        <f t="array" ref="C80">INDEX( ComputeThermoProps($A80, $B80, ParametersRange), 1, COLUMN()-2 )</f>
        <v>11.9850616358944</v>
      </c>
      <c r="D80" s="2" cm="1">
        <f t="array" ref="D80">INDEX( ComputeThermoProps($A80, $B80, ParametersRange), 1, COLUMN()-2 )</f>
        <v>6.8617646120137086E-4</v>
      </c>
      <c r="E80" s="2" cm="1">
        <f t="array" ref="E80">INDEX( ComputeThermoProps($A80, $B80, ParametersRange), 1, COLUMN()-2 )</f>
        <v>4.8814238233836513E-4</v>
      </c>
      <c r="F80" s="2" cm="1">
        <f t="array" ref="F80">INDEX( ComputeThermoProps($A80, $B80, ParametersRange), 1, COLUMN()-2 )</f>
        <v>2.9565248232266803E-3</v>
      </c>
      <c r="G80" s="2" cm="1">
        <f t="array" ref="G80">INDEX( ComputeThermoProps($A80, $B80, ParametersRange), 1, COLUMN()-2 )</f>
        <v>30.206437403658445</v>
      </c>
      <c r="H80" s="2" cm="1">
        <f t="array" ref="H80">INDEX( ComputeThermoProps($A80, $B80, ParametersRange), 1, COLUMN()-2 )</f>
        <v>21.488703197950905</v>
      </c>
      <c r="I80" s="2" cm="1">
        <f t="array" ref="I80">INDEX( ComputeThermoProps($A80, $B80, ParametersRange), 1, COLUMN()-2 )</f>
        <v>2.4031217730415992</v>
      </c>
      <c r="J80" s="2" cm="1">
        <f t="array" ref="J80">INDEX( ComputeThermoProps($A80, $B80, ParametersRange), 1, COLUMN()-2 )</f>
        <v>790.34644769252566</v>
      </c>
      <c r="K80" s="2" cm="1">
        <f t="array" ref="K80">INDEX( ComputeThermoProps($A80, $B80, ParametersRange), 1, COLUMN()-2 )</f>
        <v>21.048194549238648</v>
      </c>
      <c r="L80" s="2" cm="1">
        <f t="array" ref="L80">INDEX( ComputeThermoProps($A80, $B80, ParametersRange), 1, COLUMN()-2 )</f>
        <v>-411.50546106900117</v>
      </c>
      <c r="M80" s="2" cm="1">
        <f t="array" ref="M80">INDEX( ComputeThermoProps($A80, $B80, ParametersRange), 1, COLUMN()-2 )</f>
        <v>4252.6899021864774</v>
      </c>
      <c r="N80" s="2" cm="1">
        <f t="array" ref="N80">INDEX( ComputeThermoProps($A80, $B80, ParametersRange), 1, COLUMN()-2 )</f>
        <v>3050.8379934249506</v>
      </c>
      <c r="P80">
        <f t="shared" si="1"/>
        <v>2654.3022037128922</v>
      </c>
    </row>
    <row r="81" spans="1:16" x14ac:dyDescent="0.25">
      <c r="A81" s="2">
        <v>58.1</v>
      </c>
      <c r="B81" s="2">
        <f t="shared" si="0"/>
        <v>300.04703706744527</v>
      </c>
      <c r="C81" s="2" cm="1">
        <f t="array" ref="C81">INDEX( ComputeThermoProps($A81, $B81, ParametersRange), 1, COLUMN()-2 )</f>
        <v>11.929864941743322</v>
      </c>
      <c r="D81" s="2" cm="1">
        <f t="array" ref="D81">INDEX( ComputeThermoProps($A81, $B81, ParametersRange), 1, COLUMN()-2 )</f>
        <v>6.6070443257195658E-4</v>
      </c>
      <c r="E81" s="2" cm="1">
        <f t="array" ref="E81">INDEX( ComputeThermoProps($A81, $B81, ParametersRange), 1, COLUMN()-2 )</f>
        <v>4.7439976786099069E-4</v>
      </c>
      <c r="F81" s="2" cm="1">
        <f t="array" ref="F81">INDEX( ComputeThermoProps($A81, $B81, ParametersRange), 1, COLUMN()-2 )</f>
        <v>2.838813357034588E-3</v>
      </c>
      <c r="G81" s="2" cm="1">
        <f t="array" ref="G81">INDEX( ComputeThermoProps($A81, $B81, ParametersRange), 1, COLUMN()-2 )</f>
        <v>29.982069770406735</v>
      </c>
      <c r="H81" s="2" cm="1">
        <f t="array" ref="H81">INDEX( ComputeThermoProps($A81, $B81, ParametersRange), 1, COLUMN()-2 )</f>
        <v>21.527760732139356</v>
      </c>
      <c r="I81" s="2" cm="1">
        <f t="array" ref="I81">INDEX( ComputeThermoProps($A81, $B81, ParametersRange), 1, COLUMN()-2 )</f>
        <v>2.3810377925827284</v>
      </c>
      <c r="J81" s="2" cm="1">
        <f t="array" ref="J81">INDEX( ComputeThermoProps($A81, $B81, ParametersRange), 1, COLUMN()-2 )</f>
        <v>814.42752437671129</v>
      </c>
      <c r="K81" s="2" cm="1">
        <f t="array" ref="K81">INDEX( ComputeThermoProps($A81, $B81, ParametersRange), 1, COLUMN()-2 )</f>
        <v>21.184116274920463</v>
      </c>
      <c r="L81" s="2" cm="1">
        <f t="array" ref="L81">INDEX( ComputeThermoProps($A81, $B81, ParametersRange), 1, COLUMN()-2 )</f>
        <v>-416.36963119616763</v>
      </c>
      <c r="M81" s="2" cm="1">
        <f t="array" ref="M81">INDEX( ComputeThermoProps($A81, $B81, ParametersRange), 1, COLUMN()-2 )</f>
        <v>4393.9481527615853</v>
      </c>
      <c r="N81" s="2" cm="1">
        <f t="array" ref="N81">INDEX( ComputeThermoProps($A81, $B81, ParametersRange), 1, COLUMN()-2 )</f>
        <v>3163.1509971887062</v>
      </c>
      <c r="P81">
        <f t="shared" si="1"/>
        <v>2795.5604542880001</v>
      </c>
    </row>
    <row r="82" spans="1:16" x14ac:dyDescent="0.25">
      <c r="A82" s="2">
        <v>59.1</v>
      </c>
      <c r="B82" s="2">
        <f t="shared" si="0"/>
        <v>311.3200042743502</v>
      </c>
      <c r="C82" s="2" cm="1">
        <f t="array" ref="C82">INDEX( ComputeThermoProps($A82, $B82, ParametersRange), 1, COLUMN()-2 )</f>
        <v>11.875966457354044</v>
      </c>
      <c r="D82" s="2" cm="1">
        <f t="array" ref="D82">INDEX( ComputeThermoProps($A82, $B82, ParametersRange), 1, COLUMN()-2 )</f>
        <v>6.3666221336522574E-4</v>
      </c>
      <c r="E82" s="2" cm="1">
        <f t="array" ref="E82">INDEX( ComputeThermoProps($A82, $B82, ParametersRange), 1, COLUMN()-2 )</f>
        <v>4.6120603841671455E-4</v>
      </c>
      <c r="F82" s="2" cm="1">
        <f t="array" ref="F82">INDEX( ComputeThermoProps($A82, $B82, ParametersRange), 1, COLUMN()-2 )</f>
        <v>2.7280544381855444E-3</v>
      </c>
      <c r="G82" s="2" cm="1">
        <f t="array" ref="G82">INDEX( ComputeThermoProps($A82, $B82, ParametersRange), 1, COLUMN()-2 )</f>
        <v>29.771029339496792</v>
      </c>
      <c r="H82" s="2" cm="1">
        <f t="array" ref="H82">INDEX( ComputeThermoProps($A82, $B82, ParametersRange), 1, COLUMN()-2 )</f>
        <v>21.566504518433625</v>
      </c>
      <c r="I82" s="2" cm="1">
        <f t="array" ref="I82">INDEX( ComputeThermoProps($A82, $B82, ParametersRange), 1, COLUMN()-2 )</f>
        <v>2.3595715940709385</v>
      </c>
      <c r="J82" s="2" cm="1">
        <f t="array" ref="J82">INDEX( ComputeThermoProps($A82, $B82, ParametersRange), 1, COLUMN()-2 )</f>
        <v>838.89712715576115</v>
      </c>
      <c r="K82" s="2" cm="1">
        <f t="array" ref="K82">INDEX( ComputeThermoProps($A82, $B82, ParametersRange), 1, COLUMN()-2 )</f>
        <v>21.320555408112522</v>
      </c>
      <c r="L82" s="2" cm="1">
        <f t="array" ref="L82">INDEX( ComputeThermoProps($A82, $B82, ParametersRange), 1, COLUMN()-2 )</f>
        <v>-421.14769746368893</v>
      </c>
      <c r="M82" s="2" cm="1">
        <f t="array" ref="M82">INDEX( ComputeThermoProps($A82, $B82, ParametersRange), 1, COLUMN()-2 )</f>
        <v>4536.1230554212616</v>
      </c>
      <c r="N82" s="2" cm="1">
        <f t="array" ref="N82">INDEX( ComputeThermoProps($A82, $B82, ParametersRange), 1, COLUMN()-2 )</f>
        <v>3276.0782308018115</v>
      </c>
      <c r="P82">
        <f t="shared" si="1"/>
        <v>2937.7353569476763</v>
      </c>
    </row>
    <row r="83" spans="1:16" x14ac:dyDescent="0.25">
      <c r="A83" s="2">
        <v>60.1</v>
      </c>
      <c r="B83" s="2">
        <f t="shared" si="0"/>
        <v>322.70511266370062</v>
      </c>
      <c r="C83" s="2" cm="1">
        <f t="array" ref="C83">INDEX( ComputeThermoProps($A83, $B83, ParametersRange), 1, COLUMN()-2 )</f>
        <v>11.82332552260371</v>
      </c>
      <c r="D83" s="2" cm="1">
        <f t="array" ref="D83">INDEX( ComputeThermoProps($A83, $B83, ParametersRange), 1, COLUMN()-2 )</f>
        <v>6.1396539451407978E-4</v>
      </c>
      <c r="E83" s="2" cm="1">
        <f t="array" ref="E83">INDEX( ComputeThermoProps($A83, $B83, ParametersRange), 1, COLUMN()-2 )</f>
        <v>4.4854569251693687E-4</v>
      </c>
      <c r="F83" s="2" cm="1">
        <f t="array" ref="F83">INDEX( ComputeThermoProps($A83, $B83, ParametersRange), 1, COLUMN()-2 )</f>
        <v>2.6238049277213221E-3</v>
      </c>
      <c r="G83" s="2" cm="1">
        <f t="array" ref="G83">INDEX( ComputeThermoProps($A83, $B83, ParametersRange), 1, COLUMN()-2 )</f>
        <v>29.572631489337578</v>
      </c>
      <c r="H83" s="2" cm="1">
        <f t="array" ref="H83">INDEX( ComputeThermoProps($A83, $B83, ParametersRange), 1, COLUMN()-2 )</f>
        <v>21.604925276662161</v>
      </c>
      <c r="I83" s="2" cm="1">
        <f t="array" ref="I83">INDEX( ComputeThermoProps($A83, $B83, ParametersRange), 1, COLUMN()-2 )</f>
        <v>2.3387000682783072</v>
      </c>
      <c r="J83" s="2" cm="1">
        <f t="array" ref="J83">INDEX( ComputeThermoProps($A83, $B83, ParametersRange), 1, COLUMN()-2 )</f>
        <v>863.74387660144839</v>
      </c>
      <c r="K83" s="2" cm="1">
        <f t="array" ref="K83">INDEX( ComputeThermoProps($A83, $B83, ParametersRange), 1, COLUMN()-2 )</f>
        <v>21.457476126033377</v>
      </c>
      <c r="L83" s="2" cm="1">
        <f t="array" ref="L83">INDEX( ComputeThermoProps($A83, $B83, ParametersRange), 1, COLUMN()-2 )</f>
        <v>-425.85043857315759</v>
      </c>
      <c r="M83" s="2" cm="1">
        <f t="array" ref="M83">INDEX( ComputeThermoProps($A83, $B83, ParametersRange), 1, COLUMN()-2 )</f>
        <v>4679.1914714328859</v>
      </c>
      <c r="N83" s="2" cm="1">
        <f t="array" ref="N83">INDEX( ComputeThermoProps($A83, $B83, ParametersRange), 1, COLUMN()-2 )</f>
        <v>3389.5971562582799</v>
      </c>
      <c r="P83">
        <f t="shared" si="1"/>
        <v>3080.8037729593007</v>
      </c>
    </row>
    <row r="84" spans="1:16" x14ac:dyDescent="0.25">
      <c r="A84" s="2">
        <v>61.1</v>
      </c>
      <c r="B84" s="2">
        <f t="shared" si="0"/>
        <v>334.20041498844677</v>
      </c>
      <c r="C84" s="2" cm="1">
        <f t="array" ref="C84">INDEX( ComputeThermoProps($A84, $B84, ParametersRange), 1, COLUMN()-2 )</f>
        <v>11.771900688498663</v>
      </c>
      <c r="D84" s="2" cm="1">
        <f t="array" ref="D84">INDEX( ComputeThermoProps($A84, $B84, ParametersRange), 1, COLUMN()-2 )</f>
        <v>5.9253147833652087E-4</v>
      </c>
      <c r="E84" s="2" cm="1">
        <f t="array" ref="E84">INDEX( ComputeThermoProps($A84, $B84, ParametersRange), 1, COLUMN()-2 )</f>
        <v>4.3640136665600612E-4</v>
      </c>
      <c r="F84" s="2" cm="1">
        <f t="array" ref="F84">INDEX( ComputeThermoProps($A84, $B84, ParametersRange), 1, COLUMN()-2 )</f>
        <v>2.5256370760558824E-3</v>
      </c>
      <c r="G84" s="2" cm="1">
        <f t="array" ref="G84">INDEX( ComputeThermoProps($A84, $B84, ParametersRange), 1, COLUMN()-2 )</f>
        <v>29.386172127781261</v>
      </c>
      <c r="H84" s="2" cm="1">
        <f t="array" ref="H84">INDEX( ComputeThermoProps($A84, $B84, ParametersRange), 1, COLUMN()-2 )</f>
        <v>21.643011630968665</v>
      </c>
      <c r="I84" s="2" cm="1">
        <f t="array" ref="I84">INDEX( ComputeThermoProps($A84, $B84, ParametersRange), 1, COLUMN()-2 )</f>
        <v>2.3184002439259062</v>
      </c>
      <c r="J84" s="2" cm="1">
        <f t="array" ref="J84">INDEX( ComputeThermoProps($A84, $B84, ParametersRange), 1, COLUMN()-2 )</f>
        <v>888.95682657359384</v>
      </c>
      <c r="K84" s="2" cm="1">
        <f t="array" ref="K84">INDEX( ComputeThermoProps($A84, $B84, ParametersRange), 1, COLUMN()-2 )</f>
        <v>21.594833189680298</v>
      </c>
      <c r="L84" s="2" cm="1">
        <f t="array" ref="L84">INDEX( ComputeThermoProps($A84, $B84, ParametersRange), 1, COLUMN()-2 )</f>
        <v>-430.48748131587234</v>
      </c>
      <c r="M84" s="2" cm="1">
        <f t="array" ref="M84">INDEX( ComputeThermoProps($A84, $B84, ParametersRange), 1, COLUMN()-2 )</f>
        <v>4823.1309218726292</v>
      </c>
      <c r="N84" s="2" cm="1">
        <f t="array" ref="N84">INDEX( ComputeThermoProps($A84, $B84, ParametersRange), 1, COLUMN()-2 )</f>
        <v>3503.6866139831632</v>
      </c>
      <c r="P84">
        <f t="shared" si="1"/>
        <v>3224.7432233990439</v>
      </c>
    </row>
    <row r="85" spans="1:16" x14ac:dyDescent="0.25">
      <c r="A85" s="2">
        <v>62.1</v>
      </c>
      <c r="B85" s="2">
        <f t="shared" si="0"/>
        <v>345.80404730472151</v>
      </c>
      <c r="C85" s="2" cm="1">
        <f t="array" ref="C85">INDEX( ComputeThermoProps($A85, $B85, ParametersRange), 1, COLUMN()-2 )</f>
        <v>11.721650342679576</v>
      </c>
      <c r="D85" s="2" cm="1">
        <f t="array" ref="D85">INDEX( ComputeThermoProps($A85, $B85, ParametersRange), 1, COLUMN()-2 )</f>
        <v>5.7228089532731282E-4</v>
      </c>
      <c r="E85" s="2" cm="1">
        <f t="array" ref="E85">INDEX( ComputeThermoProps($A85, $B85, ParametersRange), 1, COLUMN()-2 )</f>
        <v>4.2475445318235737E-4</v>
      </c>
      <c r="F85" s="2" cm="1">
        <f t="array" ref="F85">INDEX( ComputeThermoProps($A85, $B85, ParametersRange), 1, COLUMN()-2 )</f>
        <v>2.4331426350044957E-3</v>
      </c>
      <c r="G85" s="2" cm="1">
        <f t="array" ref="G85">INDEX( ComputeThermoProps($A85, $B85, ParametersRange), 1, COLUMN()-2 )</f>
        <v>29.210946623297701</v>
      </c>
      <c r="H85" s="2" cm="1">
        <f t="array" ref="H85">INDEX( ComputeThermoProps($A85, $B85, ParametersRange), 1, COLUMN()-2 )</f>
        <v>21.680751115798572</v>
      </c>
      <c r="I85" s="2" cm="1">
        <f t="array" ref="I85">INDEX( ComputeThermoProps($A85, $B85, ParametersRange), 1, COLUMN()-2 )</f>
        <v>2.2986495229586041</v>
      </c>
      <c r="J85" s="2" cm="1">
        <f t="array" ref="J85">INDEX( ComputeThermoProps($A85, $B85, ParametersRange), 1, COLUMN()-2 )</f>
        <v>914.52548680858592</v>
      </c>
      <c r="K85" s="2" cm="1">
        <f t="array" ref="K85">INDEX( ComputeThermoProps($A85, $B85, ParametersRange), 1, COLUMN()-2 )</f>
        <v>21.73257511303612</v>
      </c>
      <c r="L85" s="2" cm="1">
        <f t="array" ref="L85">INDEX( ComputeThermoProps($A85, $B85, ParametersRange), 1, COLUMN()-2 )</f>
        <v>-435.06742771095713</v>
      </c>
      <c r="M85" s="2" cm="1">
        <f t="array" ref="M85">INDEX( ComputeThermoProps($A85, $B85, ParametersRange), 1, COLUMN()-2 )</f>
        <v>4967.9196163979586</v>
      </c>
      <c r="N85" s="2" cm="1">
        <f t="array" ref="N85">INDEX( ComputeThermoProps($A85, $B85, ParametersRange), 1, COLUMN()-2 )</f>
        <v>3618.3267018784154</v>
      </c>
      <c r="P85">
        <f t="shared" si="1"/>
        <v>3369.5319179243734</v>
      </c>
    </row>
    <row r="86" spans="1:16" x14ac:dyDescent="0.25">
      <c r="A86" s="2">
        <v>63.1</v>
      </c>
      <c r="B86" s="2">
        <f t="shared" si="0"/>
        <v>357.51422342647209</v>
      </c>
      <c r="C86" s="2" cm="1">
        <f t="array" ref="C86">INDEX( ComputeThermoProps($A86, $B86, ParametersRange), 1, COLUMN()-2 )</f>
        <v>11.672533185073728</v>
      </c>
      <c r="D86" s="2" cm="1">
        <f t="array" ref="D86">INDEX( ComputeThermoProps($A86, $B86, ParametersRange), 1, COLUMN()-2 )</f>
        <v>5.53137660090072E-4</v>
      </c>
      <c r="E86" s="2" cm="1">
        <f t="array" ref="E86">INDEX( ComputeThermoProps($A86, $B86, ParametersRange), 1, COLUMN()-2 )</f>
        <v>4.1358559691918726E-4</v>
      </c>
      <c r="F86" s="2" cm="1">
        <f t="array" ref="F86">INDEX( ComputeThermoProps($A86, $B86, ParametersRange), 1, COLUMN()-2 )</f>
        <v>2.3459352823906299E-3</v>
      </c>
      <c r="G86" s="2" cm="1">
        <f t="array" ref="G86">INDEX( ComputeThermoProps($A86, $B86, ParametersRange), 1, COLUMN()-2 )</f>
        <v>29.046263241561434</v>
      </c>
      <c r="H86" s="2" cm="1">
        <f t="array" ref="H86">INDEX( ComputeThermoProps($A86, $B86, ParametersRange), 1, COLUMN()-2 )</f>
        <v>21.7181309243649</v>
      </c>
      <c r="I86" s="2" cm="1">
        <f t="array" ref="I86">INDEX( ComputeThermoProps($A86, $B86, ParametersRange), 1, COLUMN()-2 )</f>
        <v>2.2794258506996945</v>
      </c>
      <c r="J86" s="2" cm="1">
        <f t="array" ref="J86">INDEX( ComputeThermoProps($A86, $B86, ParametersRange), 1, COLUMN()-2 )</f>
        <v>940.43983180824432</v>
      </c>
      <c r="K86" s="2" cm="1">
        <f t="array" ref="K86">INDEX( ComputeThermoProps($A86, $B86, ParametersRange), 1, COLUMN()-2 )</f>
        <v>21.87064660561936</v>
      </c>
      <c r="L86" s="2" cm="1">
        <f t="array" ref="L86">INDEX( ComputeThermoProps($A86, $B86, ParametersRange), 1, COLUMN()-2 )</f>
        <v>-439.59796900633734</v>
      </c>
      <c r="M86" s="2" cm="1">
        <f t="array" ref="M86">INDEX( ComputeThermoProps($A86, $B86, ParametersRange), 1, COLUMN()-2 )</f>
        <v>5113.5364688896034</v>
      </c>
      <c r="N86" s="2" cm="1">
        <f t="array" ref="N86">INDEX( ComputeThermoProps($A86, $B86, ParametersRange), 1, COLUMN()-2 )</f>
        <v>3733.4986680750217</v>
      </c>
      <c r="P86">
        <f t="shared" si="1"/>
        <v>3515.1487704160181</v>
      </c>
    </row>
    <row r="87" spans="1:16" x14ac:dyDescent="0.25">
      <c r="A87" s="2">
        <v>64.099999999999994</v>
      </c>
      <c r="B87" s="2">
        <f t="shared" si="0"/>
        <v>369.32922987285292</v>
      </c>
      <c r="C87" s="2" cm="1">
        <f t="array" ref="C87">INDEX( ComputeThermoProps($A87, $B87, ParametersRange), 1, COLUMN()-2 )</f>
        <v>11.62450858368973</v>
      </c>
      <c r="D87" s="2" cm="1">
        <f t="array" ref="D87">INDEX( ComputeThermoProps($A87, $B87, ParametersRange), 1, COLUMN()-2 )</f>
        <v>5.3502975872744493E-4</v>
      </c>
      <c r="E87" s="2" cm="1">
        <f t="array" ref="E87">INDEX( ComputeThermoProps($A87, $B87, ParametersRange), 1, COLUMN()-2 )</f>
        <v>4.0287508970601401E-4</v>
      </c>
      <c r="F87" s="2" cm="1">
        <f t="array" ref="F87">INDEX( ComputeThermoProps($A87, $B87, ParametersRange), 1, COLUMN()-2 )</f>
        <v>2.2636518179307047E-3</v>
      </c>
      <c r="G87" s="2" cm="1">
        <f t="array" ref="G87">INDEX( ComputeThermoProps($A87, $B87, ParametersRange), 1, COLUMN()-2 )</f>
        <v>28.891452385939278</v>
      </c>
      <c r="H87" s="2" cm="1">
        <f t="array" ref="H87">INDEX( ComputeThermoProps($A87, $B87, ParametersRange), 1, COLUMN()-2 )</f>
        <v>21.75513844203158</v>
      </c>
      <c r="I87" s="2" cm="1">
        <f t="array" ref="I87">INDEX( ComputeThermoProps($A87, $B87, ParametersRange), 1, COLUMN()-2 )</f>
        <v>2.2607078360969051</v>
      </c>
      <c r="J87" s="2" cm="1">
        <f t="array" ref="J87">INDEX( ComputeThermoProps($A87, $B87, ParametersRange), 1, COLUMN()-2 )</f>
        <v>966.69029950830384</v>
      </c>
      <c r="K87" s="2" cm="1">
        <f t="array" ref="K87">INDEX( ComputeThermoProps($A87, $B87, ParametersRange), 1, COLUMN()-2 )</f>
        <v>22.008990448943411</v>
      </c>
      <c r="L87" s="2" cm="1">
        <f t="array" ref="L87">INDEX( ComputeThermoProps($A87, $B87, ParametersRange), 1, COLUMN()-2 )</f>
        <v>-444.08598826896872</v>
      </c>
      <c r="M87" s="2" cm="1">
        <f t="array" ref="M87">INDEX( ComputeThermoProps($A87, $B87, ParametersRange), 1, COLUMN()-2 )</f>
        <v>5259.9611023728003</v>
      </c>
      <c r="N87" s="2" cm="1">
        <f t="array" ref="N87">INDEX( ComputeThermoProps($A87, $B87, ParametersRange), 1, COLUMN()-2 )</f>
        <v>3849.1848145955278</v>
      </c>
      <c r="P87">
        <f t="shared" si="1"/>
        <v>3661.573403899215</v>
      </c>
    </row>
    <row r="88" spans="1:16" x14ac:dyDescent="0.25">
      <c r="A88" s="2">
        <v>65.099999999999994</v>
      </c>
      <c r="B88" s="2">
        <f t="shared" ref="B88:B122" si="2">IF(
  A88 &lt;= $B$5,
  $B$6 * EXP( ($B$5/A88) * ( $B$13*(1 - A88/$B$5) + $B$14*(1 - A88/$B$5)^1.5 + $B$15*(1 - A88/$B$5)^5 ) ),
  $B$6 * ( 1 + $B$17 * MAX(A88/$B$5 - 1, 0)^$B$18 + $B$19 * MAX(A88/$B$5 - 1, 0)^$B$20 )
)</f>
        <v>381.24742125430674</v>
      </c>
      <c r="C88" s="2" cm="1">
        <f t="array" ref="C88">INDEX( ComputeThermoProps($A88, $B88, ParametersRange), 1, COLUMN()-2 )</f>
        <v>11.577536835186674</v>
      </c>
      <c r="D88" s="2" cm="1">
        <f t="array" ref="D88">INDEX( ComputeThermoProps($A88, $B88, ParametersRange), 1, COLUMN()-2 )</f>
        <v>5.1788933723565791E-4</v>
      </c>
      <c r="E88" s="2" cm="1">
        <f t="array" ref="E88">INDEX( ComputeThermoProps($A88, $B88, ParametersRange), 1, COLUMN()-2 )</f>
        <v>3.926031787848489E-4</v>
      </c>
      <c r="F88" s="2" cm="1">
        <f t="array" ref="F88">INDEX( ComputeThermoProps($A88, $B88, ParametersRange), 1, COLUMN()-2 )</f>
        <v>2.1859524733052367E-3</v>
      </c>
      <c r="G88" s="2" cm="1">
        <f t="array" ref="G88">INDEX( ComputeThermoProps($A88, $B88, ParametersRange), 1, COLUMN()-2 )</f>
        <v>28.745872678059754</v>
      </c>
      <c r="H88" s="2" cm="1">
        <f t="array" ref="H88">INDEX( ComputeThermoProps($A88, $B88, ParametersRange), 1, COLUMN()-2 )</f>
        <v>21.791761635006196</v>
      </c>
      <c r="I88" s="2" cm="1">
        <f t="array" ref="I88">INDEX( ComputeThermoProps($A88, $B88, ParametersRange), 1, COLUMN()-2 )</f>
        <v>2.2424748318071028</v>
      </c>
      <c r="J88" s="2" cm="1">
        <f t="array" ref="J88">INDEX( ComputeThermoProps($A88, $B88, ParametersRange), 1, COLUMN()-2 )</f>
        <v>993.26778289493097</v>
      </c>
      <c r="K88" s="2" cm="1">
        <f t="array" ref="K88">INDEX( ComputeThermoProps($A88, $B88, ParametersRange), 1, COLUMN()-2 )</f>
        <v>22.147548909967416</v>
      </c>
      <c r="L88" s="2" cm="1">
        <f t="array" ref="L88">INDEX( ComputeThermoProps($A88, $B88, ParametersRange), 1, COLUMN()-2 )</f>
        <v>-448.53765114394764</v>
      </c>
      <c r="M88" s="2" cm="1">
        <f t="array" ref="M88">INDEX( ComputeThermoProps($A88, $B88, ParametersRange), 1, COLUMN()-2 )</f>
        <v>5407.1738457865986</v>
      </c>
      <c r="N88" s="2" cm="1">
        <f t="array" ref="N88">INDEX( ComputeThermoProps($A88, $B88, ParametersRange), 1, COLUMN()-2 )</f>
        <v>3965.3684117477201</v>
      </c>
      <c r="P88">
        <f t="shared" ref="P88:P122" si="3">M88-$B$11</f>
        <v>3808.7861473130133</v>
      </c>
    </row>
    <row r="89" spans="1:16" x14ac:dyDescent="0.25">
      <c r="A89" s="2">
        <v>66.099999999999994</v>
      </c>
      <c r="B89" s="2">
        <f t="shared" si="2"/>
        <v>393.26721605024255</v>
      </c>
      <c r="C89" s="2" cm="1">
        <f t="array" ref="C89">INDEX( ComputeThermoProps($A89, $B89, ParametersRange), 1, COLUMN()-2 )</f>
        <v>11.531579350268292</v>
      </c>
      <c r="D89" s="2" cm="1">
        <f t="array" ref="D89">INDEX( ComputeThermoProps($A89, $B89, ParametersRange), 1, COLUMN()-2 )</f>
        <v>5.0165274702372456E-4</v>
      </c>
      <c r="E89" s="2" cm="1">
        <f t="array" ref="E89">INDEX( ComputeThermoProps($A89, $B89, ParametersRange), 1, COLUMN()-2 )</f>
        <v>3.8275030444540699E-4</v>
      </c>
      <c r="F89" s="2" cm="1">
        <f t="array" ref="F89">INDEX( ComputeThermoProps($A89, $B89, ParametersRange), 1, COLUMN()-2 )</f>
        <v>2.1125206057428202E-3</v>
      </c>
      <c r="G89" s="2" cm="1">
        <f t="array" ref="G89">INDEX( ComputeThermoProps($A89, $B89, ParametersRange), 1, COLUMN()-2 )</f>
        <v>28.608914681672967</v>
      </c>
      <c r="H89" s="2" cm="1">
        <f t="array" ref="H89">INDEX( ComputeThermoProps($A89, $B89, ParametersRange), 1, COLUMN()-2 )</f>
        <v>21.827989319761748</v>
      </c>
      <c r="I89" s="2" cm="1">
        <f t="array" ref="I89">INDEX( ComputeThermoProps($A89, $B89, ParametersRange), 1, COLUMN()-2 )</f>
        <v>2.2247069840604352</v>
      </c>
      <c r="J89" s="2" cm="1">
        <f t="array" ref="J89">INDEX( ComputeThermoProps($A89, $B89, ParametersRange), 1, COLUMN()-2 )</f>
        <v>1020.163616600079</v>
      </c>
      <c r="K89" s="2" cm="1">
        <f t="array" ref="K89">INDEX( ComputeThermoProps($A89, $B89, ParametersRange), 1, COLUMN()-2 )</f>
        <v>22.286264797907553</v>
      </c>
      <c r="L89" s="2" cm="1">
        <f t="array" ref="L89">INDEX( ComputeThermoProps($A89, $B89, ParametersRange), 1, COLUMN()-2 )</f>
        <v>-452.95848654161011</v>
      </c>
      <c r="M89" s="2" cm="1">
        <f t="array" ref="M89">INDEX( ComputeThermoProps($A89, $B89, ParametersRange), 1, COLUMN()-2 )</f>
        <v>5555.155724342555</v>
      </c>
      <c r="N89" s="2" cm="1">
        <f t="array" ref="N89">INDEX( ComputeThermoProps($A89, $B89, ParametersRange), 1, COLUMN()-2 )</f>
        <v>4082.033621200866</v>
      </c>
      <c r="P89">
        <f t="shared" si="3"/>
        <v>3956.7680258689697</v>
      </c>
    </row>
    <row r="90" spans="1:16" x14ac:dyDescent="0.25">
      <c r="A90" s="2">
        <v>67.099999999999994</v>
      </c>
      <c r="B90" s="2">
        <f t="shared" si="2"/>
        <v>405.38709273719024</v>
      </c>
      <c r="C90" s="2" cm="1">
        <f t="array" ref="C90">INDEX( ComputeThermoProps($A90, $B90, ParametersRange), 1, COLUMN()-2 )</f>
        <v>11.486598780111299</v>
      </c>
      <c r="D90" s="2" cm="1">
        <f t="array" ref="D90">INDEX( ComputeThermoProps($A90, $B90, ParametersRange), 1, COLUMN()-2 )</f>
        <v>4.8626048901485787E-4</v>
      </c>
      <c r="E90" s="2" cm="1">
        <f t="array" ref="E90">INDEX( ComputeThermoProps($A90, $B90, ParametersRange), 1, COLUMN()-2 )</f>
        <v>3.732972796148272E-4</v>
      </c>
      <c r="F90" s="2" cm="1">
        <f t="array" ref="F90">INDEX( ComputeThermoProps($A90, $B90, ParametersRange), 1, COLUMN()-2 )</f>
        <v>2.0430619680567612E-3</v>
      </c>
      <c r="G90" s="2" cm="1">
        <f t="array" ref="G90">INDEX( ComputeThermoProps($A90, $B90, ParametersRange), 1, COLUMN()-2 )</f>
        <v>28.480002824779916</v>
      </c>
      <c r="H90" s="2" cm="1">
        <f t="array" ref="H90">INDEX( ComputeThermoProps($A90, $B90, ParametersRange), 1, COLUMN()-2 )</f>
        <v>21.863811307087481</v>
      </c>
      <c r="I90" s="2" cm="1">
        <f t="array" ref="I90">INDEX( ComputeThermoProps($A90, $B90, ParametersRange), 1, COLUMN()-2 )</f>
        <v>2.207385259144925</v>
      </c>
      <c r="J90" s="2" cm="1">
        <f t="array" ref="J90">INDEX( ComputeThermoProps($A90, $B90, ParametersRange), 1, COLUMN()-2 )</f>
        <v>1047.3695602107421</v>
      </c>
      <c r="K90" s="2" cm="1">
        <f t="array" ref="K90">INDEX( ComputeThermoProps($A90, $B90, ParametersRange), 1, COLUMN()-2 )</f>
        <v>22.42508223812807</v>
      </c>
      <c r="L90" s="2" cm="1">
        <f t="array" ref="L90">INDEX( ComputeThermoProps($A90, $B90, ParametersRange), 1, COLUMN()-2 )</f>
        <v>-457.35345796765131</v>
      </c>
      <c r="M90" s="2" cm="1">
        <f t="array" ref="M90">INDEX( ComputeThermoProps($A90, $B90, ParametersRange), 1, COLUMN()-2 )</f>
        <v>5703.8884451186177</v>
      </c>
      <c r="N90" s="2" cm="1">
        <f t="array" ref="N90">INDEX( ComputeThermoProps($A90, $B90, ParametersRange), 1, COLUMN()-2 )</f>
        <v>4199.1654269402243</v>
      </c>
      <c r="P90">
        <f t="shared" si="3"/>
        <v>4105.5007466450325</v>
      </c>
    </row>
    <row r="91" spans="1:16" x14ac:dyDescent="0.25">
      <c r="A91" s="2">
        <v>68.099999999999994</v>
      </c>
      <c r="B91" s="2">
        <f t="shared" si="2"/>
        <v>417.60558623139832</v>
      </c>
      <c r="C91" s="2" cm="1">
        <f t="array" ref="C91">INDEX( ComputeThermoProps($A91, $B91, ParametersRange), 1, COLUMN()-2 )</f>
        <v>11.442559096857215</v>
      </c>
      <c r="D91" s="2" cm="1">
        <f t="array" ref="D91">INDEX( ComputeThermoProps($A91, $B91, ParametersRange), 1, COLUMN()-2 )</f>
        <v>4.7165708892939082E-4</v>
      </c>
      <c r="E91" s="2" cm="1">
        <f t="array" ref="E91">INDEX( ComputeThermoProps($A91, $B91, ParametersRange), 1, COLUMN()-2 )</f>
        <v>3.6422542239093845E-4</v>
      </c>
      <c r="F91" s="2" cm="1">
        <f t="array" ref="F91">INDEX( ComputeThermoProps($A91, $B91, ParametersRange), 1, COLUMN()-2 )</f>
        <v>1.9773037155885959E-3</v>
      </c>
      <c r="G91" s="2" cm="1">
        <f t="array" ref="G91">INDEX( ComputeThermoProps($A91, $B91, ParametersRange), 1, COLUMN()-2 )</f>
        <v>28.358596160638481</v>
      </c>
      <c r="H91" s="2" cm="1">
        <f t="array" ref="H91">INDEX( ComputeThermoProps($A91, $B91, ParametersRange), 1, COLUMN()-2 )</f>
        <v>21.899218537069167</v>
      </c>
      <c r="I91" s="2" cm="1">
        <f t="array" ref="I91">INDEX( ComputeThermoProps($A91, $B91, ParametersRange), 1, COLUMN()-2 )</f>
        <v>2.1904914522370289</v>
      </c>
      <c r="J91" s="2" cm="1">
        <f t="array" ref="J91">INDEX( ComputeThermoProps($A91, $B91, ParametersRange), 1, COLUMN()-2 )</f>
        <v>1074.8777795380304</v>
      </c>
      <c r="K91" s="2" cm="1">
        <f t="array" ref="K91">INDEX( ComputeThermoProps($A91, $B91, ParametersRange), 1, COLUMN()-2 )</f>
        <v>22.563947225405013</v>
      </c>
      <c r="L91" s="2" cm="1">
        <f t="array" ref="L91">INDEX( ComputeThermoProps($A91, $B91, ParametersRange), 1, COLUMN()-2 )</f>
        <v>-461.72702651205083</v>
      </c>
      <c r="M91" s="2" cm="1">
        <f t="array" ref="M91">INDEX( ComputeThermoProps($A91, $B91, ParametersRange), 1, COLUMN()-2 )</f>
        <v>5853.354379168507</v>
      </c>
      <c r="N91" s="2" cm="1">
        <f t="array" ref="N91">INDEX( ComputeThermoProps($A91, $B91, ParametersRange), 1, COLUMN()-2 )</f>
        <v>4316.7495731184254</v>
      </c>
      <c r="P91">
        <f t="shared" si="3"/>
        <v>4254.9666806949217</v>
      </c>
    </row>
    <row r="92" spans="1:16" x14ac:dyDescent="0.25">
      <c r="A92" s="2">
        <v>69.099999999999994</v>
      </c>
      <c r="B92" s="2">
        <f t="shared" si="2"/>
        <v>429.92128461422504</v>
      </c>
      <c r="C92" s="2" cm="1">
        <f t="array" ref="C92">INDEX( ComputeThermoProps($A92, $B92, ParametersRange), 1, COLUMN()-2 )</f>
        <v>11.399425638589818</v>
      </c>
      <c r="D92" s="2" cm="1">
        <f t="array" ref="D92">INDEX( ComputeThermoProps($A92, $B92, ParametersRange), 1, COLUMN()-2 )</f>
        <v>4.5779092665246133E-4</v>
      </c>
      <c r="E92" s="2" cm="1">
        <f t="array" ref="E92">INDEX( ComputeThermoProps($A92, $B92, ParametersRange), 1, COLUMN()-2 )</f>
        <v>3.5551665074302669E-4</v>
      </c>
      <c r="F92" s="2" cm="1">
        <f t="array" ref="F92">INDEX( ComputeThermoProps($A92, $B92, ParametersRange), 1, COLUMN()-2 )</f>
        <v>1.9149932421750097E-3</v>
      </c>
      <c r="G92" s="2" cm="1">
        <f t="array" ref="G92">INDEX( ComputeThermoProps($A92, $B92, ParametersRange), 1, COLUMN()-2 )</f>
        <v>28.244188111086284</v>
      </c>
      <c r="H92" s="2" cm="1">
        <f t="array" ref="H92">INDEX( ComputeThermoProps($A92, $B92, ParametersRange), 1, COLUMN()-2 )</f>
        <v>21.934203094925891</v>
      </c>
      <c r="I92" s="2" cm="1">
        <f t="array" ref="I92">INDEX( ComputeThermoProps($A92, $B92, ParametersRange), 1, COLUMN()-2 )</f>
        <v>2.1740081830491396</v>
      </c>
      <c r="J92" s="2" cm="1">
        <f t="array" ref="J92">INDEX( ComputeThermoProps($A92, $B92, ParametersRange), 1, COLUMN()-2 )</f>
        <v>1102.6808267768033</v>
      </c>
      <c r="K92" s="2" cm="1">
        <f t="array" ref="K92">INDEX( ComputeThermoProps($A92, $B92, ParametersRange), 1, COLUMN()-2 )</f>
        <v>22.702808005732845</v>
      </c>
      <c r="L92" s="2" cm="1">
        <f t="array" ref="L92">INDEX( ComputeThermoProps($A92, $B92, ParametersRange), 1, COLUMN()-2 )</f>
        <v>-466.08320641933614</v>
      </c>
      <c r="M92" s="2" cm="1">
        <f t="array" ref="M92">INDEX( ComputeThermoProps($A92, $B92, ParametersRange), 1, COLUMN()-2 )</f>
        <v>6003.536541183671</v>
      </c>
      <c r="N92" s="2" cm="1">
        <f t="array" ref="N92">INDEX( ComputeThermoProps($A92, $B92, ParametersRange), 1, COLUMN()-2 )</f>
        <v>4434.7725079875318</v>
      </c>
      <c r="P92">
        <f t="shared" si="3"/>
        <v>4405.1488427100858</v>
      </c>
    </row>
    <row r="93" spans="1:16" x14ac:dyDescent="0.25">
      <c r="A93" s="2">
        <v>70.099999999999994</v>
      </c>
      <c r="B93" s="2">
        <f t="shared" si="2"/>
        <v>442.33282611243709</v>
      </c>
      <c r="C93" s="2" cm="1">
        <f t="array" ref="C93">INDEX( ComputeThermoProps($A93, $B93, ParametersRange), 1, COLUMN()-2 )</f>
        <v>11.357165127100025</v>
      </c>
      <c r="D93" s="2" cm="1">
        <f t="array" ref="D93">INDEX( ComputeThermoProps($A93, $B93, ParametersRange), 1, COLUMN()-2 )</f>
        <v>4.4461403818629822E-4</v>
      </c>
      <c r="E93" s="2" cm="1">
        <f t="array" ref="E93">INDEX( ComputeThermoProps($A93, $B93, ParametersRange), 1, COLUMN()-2 )</f>
        <v>3.4715354705349625E-4</v>
      </c>
      <c r="F93" s="2" cm="1">
        <f t="array" ref="F93">INDEX( ComputeThermoProps($A93, $B93, ParametersRange), 1, COLUMN()-2 )</f>
        <v>1.8558969390329468E-3</v>
      </c>
      <c r="G93" s="2" cm="1">
        <f t="array" ref="G93">INDEX( ComputeThermoProps($A93, $B93, ParametersRange), 1, COLUMN()-2 )</f>
        <v>28.136305676425263</v>
      </c>
      <c r="H93" s="2" cm="1">
        <f t="array" ref="H93">INDEX( ComputeThermoProps($A93, $B93, ParametersRange), 1, COLUMN()-2 )</f>
        <v>21.968758243435648</v>
      </c>
      <c r="I93" s="2" cm="1">
        <f t="array" ref="I93">INDEX( ComputeThermoProps($A93, $B93, ParametersRange), 1, COLUMN()-2 )</f>
        <v>2.1579188817971948</v>
      </c>
      <c r="J93" s="2" cm="1">
        <f t="array" ref="J93">INDEX( ComputeThermoProps($A93, $B93, ParametersRange), 1, COLUMN()-2 )</f>
        <v>1130.7716202370634</v>
      </c>
      <c r="K93" s="2" cm="1">
        <f t="array" ref="K93">INDEX( ComputeThermoProps($A93, $B93, ParametersRange), 1, COLUMN()-2 )</f>
        <v>22.841615325678532</v>
      </c>
      <c r="L93" s="2" cm="1">
        <f t="array" ref="L93">INDEX( ComputeThermoProps($A93, $B93, ParametersRange), 1, COLUMN()-2 )</f>
        <v>-470.42561409300157</v>
      </c>
      <c r="M93" s="2" cm="1">
        <f t="array" ref="M93">INDEX( ComputeThermoProps($A93, $B93, ParametersRange), 1, COLUMN()-2 )</f>
        <v>6154.4185675328335</v>
      </c>
      <c r="N93" s="2" cm="1">
        <f t="array" ref="N93">INDEX( ComputeThermoProps($A93, $B93, ParametersRange), 1, COLUMN()-2 )</f>
        <v>4553.2213332027686</v>
      </c>
      <c r="P93">
        <f t="shared" si="3"/>
        <v>4556.0308690592483</v>
      </c>
    </row>
    <row r="94" spans="1:16" x14ac:dyDescent="0.25">
      <c r="A94" s="2">
        <v>71.099999999999994</v>
      </c>
      <c r="B94" s="2">
        <f t="shared" si="2"/>
        <v>454.8388963087811</v>
      </c>
      <c r="C94" s="2" cm="1">
        <f t="array" ref="C94">INDEX( ComputeThermoProps($A94, $B94, ParametersRange), 1, COLUMN()-2 )</f>
        <v>11.315745665025007</v>
      </c>
      <c r="D94" s="2" cm="1">
        <f t="array" ref="D94">INDEX( ComputeThermoProps($A94, $B94, ParametersRange), 1, COLUMN()-2 )</f>
        <v>4.3208190237390798E-4</v>
      </c>
      <c r="E94" s="2" cm="1">
        <f t="array" ref="E94">INDEX( ComputeThermoProps($A94, $B94, ParametersRange), 1, COLUMN()-2 )</f>
        <v>3.3911939882790715E-4</v>
      </c>
      <c r="F94" s="2" cm="1">
        <f t="array" ref="F94">INDEX( ComputeThermoProps($A94, $B94, ParametersRange), 1, COLUMN()-2 )</f>
        <v>1.7997989197691951E-3</v>
      </c>
      <c r="G94" s="2" cm="1">
        <f t="array" ref="G94">INDEX( ComputeThermoProps($A94, $B94, ParametersRange), 1, COLUMN()-2 )</f>
        <v>28.03450814133533</v>
      </c>
      <c r="H94" s="2" cm="1">
        <f t="array" ref="H94">INDEX( ComputeThermoProps($A94, $B94, ParametersRange), 1, COLUMN()-2 )</f>
        <v>22.002878378133627</v>
      </c>
      <c r="I94" s="2" cm="1">
        <f t="array" ref="I94">INDEX( ComputeThermoProps($A94, $B94, ParametersRange), 1, COLUMN()-2 )</f>
        <v>2.1422077682192082</v>
      </c>
      <c r="J94" s="2" cm="1">
        <f t="array" ref="J94">INDEX( ComputeThermoProps($A94, $B94, ParametersRange), 1, COLUMN()-2 )</f>
        <v>1159.143424137513</v>
      </c>
      <c r="K94" s="2" cm="1">
        <f t="array" ref="K94">INDEX( ComputeThermoProps($A94, $B94, ParametersRange), 1, COLUMN()-2 )</f>
        <v>22.98032258012563</v>
      </c>
      <c r="L94" s="2" cm="1">
        <f t="array" ref="L94">INDEX( ComputeThermoProps($A94, $B94, ParametersRange), 1, COLUMN()-2 )</f>
        <v>-474.75751130941921</v>
      </c>
      <c r="M94" s="2" cm="1">
        <f t="array" ref="M94">INDEX( ComputeThermoProps($A94, $B94, ParametersRange), 1, COLUMN()-2 )</f>
        <v>6305.9846933283616</v>
      </c>
      <c r="N94" s="2" cm="1">
        <f t="array" ref="N94">INDEX( ComputeThermoProps($A94, $B94, ParametersRange), 1, COLUMN()-2 )</f>
        <v>4672.0837578814289</v>
      </c>
      <c r="P94">
        <f t="shared" si="3"/>
        <v>4707.5969948547763</v>
      </c>
    </row>
    <row r="95" spans="1:16" x14ac:dyDescent="0.25">
      <c r="A95" s="2">
        <v>72.099999999999994</v>
      </c>
      <c r="B95" s="2">
        <f t="shared" si="2"/>
        <v>467.43822556102043</v>
      </c>
      <c r="C95" s="2" cm="1">
        <f t="array" ref="C95">INDEX( ComputeThermoProps($A95, $B95, ParametersRange), 1, COLUMN()-2 )</f>
        <v>11.275136717568161</v>
      </c>
      <c r="D95" s="2" cm="1">
        <f t="array" ref="D95">INDEX( ComputeThermoProps($A95, $B95, ParametersRange), 1, COLUMN()-2 )</f>
        <v>4.2015322227195831E-4</v>
      </c>
      <c r="E95" s="2" cm="1">
        <f t="array" ref="E95">INDEX( ComputeThermoProps($A95, $B95, ParametersRange), 1, COLUMN()-2 )</f>
        <v>3.3139822075201855E-4</v>
      </c>
      <c r="F95" s="2" cm="1">
        <f t="array" ref="F95">INDEX( ComputeThermoProps($A95, $B95, ParametersRange), 1, COLUMN()-2 )</f>
        <v>1.7464997616532729E-3</v>
      </c>
      <c r="G95" s="2" cm="1">
        <f t="array" ref="G95">INDEX( ComputeThermoProps($A95, $B95, ParametersRange), 1, COLUMN()-2 )</f>
        <v>27.938385594356845</v>
      </c>
      <c r="H95" s="2" cm="1">
        <f t="array" ref="H95">INDEX( ComputeThermoProps($A95, $B95, ParametersRange), 1, COLUMN()-2 )</f>
        <v>22.036559011942217</v>
      </c>
      <c r="I95" s="2" cm="1">
        <f t="array" ref="I95">INDEX( ComputeThermoProps($A95, $B95, ParametersRange), 1, COLUMN()-2 )</f>
        <v>2.1268598257620028</v>
      </c>
      <c r="J95" s="2" cm="1">
        <f t="array" ref="J95">INDEX( ComputeThermoProps($A95, $B95, ParametersRange), 1, COLUMN()-2 )</f>
        <v>1187.7898288067558</v>
      </c>
      <c r="K95" s="2" cm="1">
        <f t="array" ref="K95">INDEX( ComputeThermoProps($A95, $B95, ParametersRange), 1, COLUMN()-2 )</f>
        <v>23.118885882725742</v>
      </c>
      <c r="L95" s="2" cm="1">
        <f t="array" ref="L95">INDEX( ComputeThermoProps($A95, $B95, ParametersRange), 1, COLUMN()-2 )</f>
        <v>-479.08184333777001</v>
      </c>
      <c r="M95" s="2" cm="1">
        <f t="array" ref="M95">INDEX( ComputeThermoProps($A95, $B95, ParametersRange), 1, COLUMN()-2 )</f>
        <v>6458.2197290247259</v>
      </c>
      <c r="N95" s="2" cm="1">
        <f t="array" ref="N95">INDEX( ComputeThermoProps($A95, $B95, ParametersRange), 1, COLUMN()-2 )</f>
        <v>4791.3480568801997</v>
      </c>
      <c r="P95">
        <f t="shared" si="3"/>
        <v>4859.8320305511406</v>
      </c>
    </row>
    <row r="96" spans="1:16" x14ac:dyDescent="0.25">
      <c r="A96" s="2">
        <v>73.099999999999994</v>
      </c>
      <c r="B96" s="2">
        <f t="shared" si="2"/>
        <v>480.12958661006644</v>
      </c>
      <c r="C96" s="2" cm="1">
        <f t="array" ref="C96">INDEX( ComputeThermoProps($A96, $B96, ParametersRange), 1, COLUMN()-2 )</f>
        <v>11.235309082899963</v>
      </c>
      <c r="D96" s="2" cm="1">
        <f t="array" ref="D96">INDEX( ComputeThermoProps($A96, $B96, ParametersRange), 1, COLUMN()-2 )</f>
        <v>4.0878970718181702E-4</v>
      </c>
      <c r="E96" s="2" cm="1">
        <f t="array" ref="E96">INDEX( ComputeThermoProps($A96, $B96, ParametersRange), 1, COLUMN()-2 )</f>
        <v>3.2397476230629072E-4</v>
      </c>
      <c r="F96" s="2" cm="1">
        <f t="array" ref="F96">INDEX( ComputeThermoProps($A96, $B96, ParametersRange), 1, COLUMN()-2 )</f>
        <v>1.695815279421398E-3</v>
      </c>
      <c r="G96" s="2" cm="1">
        <f t="array" ref="G96">INDEX( ComputeThermoProps($A96, $B96, ParametersRange), 1, COLUMN()-2 )</f>
        <v>27.847557226371226</v>
      </c>
      <c r="H96" s="2" cm="1">
        <f t="array" ref="H96">INDEX( ComputeThermoProps($A96, $B96, ParametersRange), 1, COLUMN()-2 )</f>
        <v>22.069796706529555</v>
      </c>
      <c r="I96" s="2" cm="1">
        <f t="array" ref="I96">INDEX( ComputeThermoProps($A96, $B96, ParametersRange), 1, COLUMN()-2 )</f>
        <v>2.1118607725680802</v>
      </c>
      <c r="J96" s="2" cm="1">
        <f t="array" ref="J96">INDEX( ComputeThermoProps($A96, $B96, ParametersRange), 1, COLUMN()-2 )</f>
        <v>1216.7047315282766</v>
      </c>
      <c r="K96" s="2" cm="1">
        <f t="array" ref="K96">INDEX( ComputeThermoProps($A96, $B96, ParametersRange), 1, COLUMN()-2 )</f>
        <v>23.257264078174515</v>
      </c>
      <c r="L96" s="2" cm="1">
        <f t="array" ref="L96">INDEX( ComputeThermoProps($A96, $B96, ParametersRange), 1, COLUMN()-2 )</f>
        <v>-483.4012725862803</v>
      </c>
      <c r="M96" s="2" cm="1">
        <f t="array" ref="M96">INDEX( ComputeThermoProps($A96, $B96, ParametersRange), 1, COLUMN()-2 )</f>
        <v>6611.1090369373605</v>
      </c>
      <c r="N96" s="2" cm="1">
        <f t="array" ref="N96">INDEX( ComputeThermoProps($A96, $B96, ParametersRange), 1, COLUMN()-2 )</f>
        <v>4911.003032822804</v>
      </c>
      <c r="P96">
        <f t="shared" si="3"/>
        <v>5012.7213384637753</v>
      </c>
    </row>
    <row r="97" spans="1:16" x14ac:dyDescent="0.25">
      <c r="A97" s="2">
        <v>74.099999999999994</v>
      </c>
      <c r="B97" s="2">
        <f t="shared" si="2"/>
        <v>492.91179235997663</v>
      </c>
      <c r="C97" s="2" cm="1">
        <f t="array" ref="C97">INDEX( ComputeThermoProps($A97, $B97, ParametersRange), 1, COLUMN()-2 )</f>
        <v>11.196234854455215</v>
      </c>
      <c r="D97" s="2" cm="1">
        <f t="array" ref="D97">INDEX( ComputeThermoProps($A97, $B97, ParametersRange), 1, COLUMN()-2 )</f>
        <v>3.9795586026056316E-4</v>
      </c>
      <c r="E97" s="2" cm="1">
        <f t="array" ref="E97">INDEX( ComputeThermoProps($A97, $B97, ParametersRange), 1, COLUMN()-2 )</f>
        <v>3.1683450434058925E-4</v>
      </c>
      <c r="F97" s="2" cm="1">
        <f t="array" ref="F97">INDEX( ComputeThermoProps($A97, $B97, ParametersRange), 1, COLUMN()-2 )</f>
        <v>1.6475753566720468E-3</v>
      </c>
      <c r="G97" s="2" cm="1">
        <f t="array" ref="G97">INDEX( ComputeThermoProps($A97, $B97, ParametersRange), 1, COLUMN()-2 )</f>
        <v>27.761669613413883</v>
      </c>
      <c r="H97" s="2" cm="1">
        <f t="array" ref="H97">INDEX( ComputeThermoProps($A97, $B97, ParametersRange), 1, COLUMN()-2 )</f>
        <v>22.10258903053737</v>
      </c>
      <c r="I97" s="2" cm="1">
        <f t="array" ref="I97">INDEX( ComputeThermoProps($A97, $B97, ParametersRange), 1, COLUMN()-2 )</f>
        <v>2.097197030511694</v>
      </c>
      <c r="J97" s="2" cm="1">
        <f t="array" ref="J97">INDEX( ComputeThermoProps($A97, $B97, ParametersRange), 1, COLUMN()-2 )</f>
        <v>1245.8823181834719</v>
      </c>
      <c r="K97" s="2" cm="1">
        <f t="array" ref="K97">INDEX( ComputeThermoProps($A97, $B97, ParametersRange), 1, COLUMN()-2 )</f>
        <v>23.39541871129498</v>
      </c>
      <c r="L97" s="2" cm="1">
        <f t="array" ref="L97">INDEX( ComputeThermoProps($A97, $B97, ParametersRange), 1, COLUMN()-2 )</f>
        <v>-487.71820832348601</v>
      </c>
      <c r="M97" s="2" cm="1">
        <f t="array" ref="M97">INDEX( ComputeThermoProps($A97, $B97, ParametersRange), 1, COLUMN()-2 )</f>
        <v>6764.638507976234</v>
      </c>
      <c r="N97" s="2" cm="1">
        <f t="array" ref="N97">INDEX( ComputeThermoProps($A97, $B97, ParametersRange), 1, COLUMN()-2 )</f>
        <v>5031.037981469276</v>
      </c>
      <c r="P97">
        <f t="shared" si="3"/>
        <v>5166.2508095026487</v>
      </c>
    </row>
    <row r="98" spans="1:16" x14ac:dyDescent="0.25">
      <c r="A98" s="2">
        <v>75.099999999999994</v>
      </c>
      <c r="B98" s="2">
        <f t="shared" si="2"/>
        <v>505.78369381445168</v>
      </c>
      <c r="C98" s="2" cm="1">
        <f t="array" ref="C98">INDEX( ComputeThermoProps($A98, $B98, ParametersRange), 1, COLUMN()-2 )</f>
        <v>11.157887377637</v>
      </c>
      <c r="D98" s="2" cm="1">
        <f t="array" ref="D98">INDEX( ComputeThermoProps($A98, $B98, ParametersRange), 1, COLUMN()-2 )</f>
        <v>3.8761877425562609E-4</v>
      </c>
      <c r="E98" s="2" cm="1">
        <f t="array" ref="E98">INDEX( ComputeThermoProps($A98, $B98, ParametersRange), 1, COLUMN()-2 )</f>
        <v>3.099636473435168E-4</v>
      </c>
      <c r="F98" s="2" cm="1">
        <f t="array" ref="F98">INDEX( ComputeThermoProps($A98, $B98, ParametersRange), 1, COLUMN()-2 )</f>
        <v>1.6016228364894999E-3</v>
      </c>
      <c r="G98" s="2" cm="1">
        <f t="array" ref="G98">INDEX( ComputeThermoProps($A98, $B98, ParametersRange), 1, COLUMN()-2 )</f>
        <v>27.680394904963908</v>
      </c>
      <c r="H98" s="2" cm="1">
        <f t="array" ref="H98">INDEX( ComputeThermoProps($A98, $B98, ParametersRange), 1, COLUMN()-2 )</f>
        <v>22.134934462677098</v>
      </c>
      <c r="I98" s="2" cm="1">
        <f t="array" ref="I98">INDEX( ComputeThermoProps($A98, $B98, ParametersRange), 1, COLUMN()-2 )</f>
        <v>2.08285569323243</v>
      </c>
      <c r="J98" s="2" cm="1">
        <f t="array" ref="J98">INDEX( ComputeThermoProps($A98, $B98, ParametersRange), 1, COLUMN()-2 )</f>
        <v>1275.3170457861934</v>
      </c>
      <c r="K98" s="2" cm="1">
        <f t="array" ref="K98">INDEX( ComputeThermoProps($A98, $B98, ParametersRange), 1, COLUMN()-2 )</f>
        <v>23.533313964632992</v>
      </c>
      <c r="L98" s="2" cm="1">
        <f t="array" ref="L98">INDEX( ComputeThermoProps($A98, $B98, ParametersRange), 1, COLUMN()-2 )</f>
        <v>-492.03483295774419</v>
      </c>
      <c r="M98" s="2" cm="1">
        <f t="array" ref="M98">INDEX( ComputeThermoProps($A98, $B98, ParametersRange), 1, COLUMN()-2 )</f>
        <v>6918.7945388130811</v>
      </c>
      <c r="N98" s="2" cm="1">
        <f t="array" ref="N98">INDEX( ComputeThermoProps($A98, $B98, ParametersRange), 1, COLUMN()-2 )</f>
        <v>5151.4426600691431</v>
      </c>
      <c r="P98">
        <f t="shared" si="3"/>
        <v>5320.4068403394958</v>
      </c>
    </row>
    <row r="99" spans="1:16" x14ac:dyDescent="0.25">
      <c r="A99" s="2">
        <v>76.099999999999994</v>
      </c>
      <c r="B99" s="2">
        <f t="shared" si="2"/>
        <v>518.74417815609024</v>
      </c>
      <c r="C99" s="2" cm="1">
        <f t="array" ref="C99">INDEX( ComputeThermoProps($A99, $B99, ParametersRange), 1, COLUMN()-2 )</f>
        <v>11.120241202877098</v>
      </c>
      <c r="D99" s="2" cm="1">
        <f t="array" ref="D99">INDEX( ComputeThermoProps($A99, $B99, ParametersRange), 1, COLUMN()-2 )</f>
        <v>3.7774793776902736E-4</v>
      </c>
      <c r="E99" s="2" cm="1">
        <f t="array" ref="E99">INDEX( ComputeThermoProps($A99, $B99, ParametersRange), 1, COLUMN()-2 )</f>
        <v>3.0334909359141929E-4</v>
      </c>
      <c r="F99" s="2" cm="1">
        <f t="array" ref="F99">INDEX( ComputeThermoProps($A99, $B99, ParametersRange), 1, COLUMN()-2 )</f>
        <v>1.5578124874892785E-3</v>
      </c>
      <c r="G99" s="2" cm="1">
        <f t="array" ref="G99">INDEX( ComputeThermoProps($A99, $B99, ParametersRange), 1, COLUMN()-2 )</f>
        <v>27.603429135469671</v>
      </c>
      <c r="H99" s="2" cm="1">
        <f t="array" ref="H99">INDEX( ComputeThermoProps($A99, $B99, ParametersRange), 1, COLUMN()-2 )</f>
        <v>22.166832353111698</v>
      </c>
      <c r="I99" s="2" cm="1">
        <f t="array" ref="I99">INDEX( ComputeThermoProps($A99, $B99, ParametersRange), 1, COLUMN()-2 )</f>
        <v>2.0688244938788221</v>
      </c>
      <c r="J99" s="2" cm="1">
        <f t="array" ref="J99">INDEX( ComputeThermoProps($A99, $B99, ParametersRange), 1, COLUMN()-2 )</f>
        <v>1305.003625957635</v>
      </c>
      <c r="K99" s="2" cm="1">
        <f t="array" ref="K99">INDEX( ComputeThermoProps($A99, $B99, ParametersRange), 1, COLUMN()-2 )</f>
        <v>23.670916573672919</v>
      </c>
      <c r="L99" s="2" cm="1">
        <f t="array" ref="L99">INDEX( ComputeThermoProps($A99, $B99, ParametersRange), 1, COLUMN()-2 )</f>
        <v>-496.35312529887403</v>
      </c>
      <c r="M99" s="2" cm="1">
        <f t="array" ref="M99">INDEX( ComputeThermoProps($A99, $B99, ParametersRange), 1, COLUMN()-2 )</f>
        <v>7073.5640096416073</v>
      </c>
      <c r="N99" s="2" cm="1">
        <f t="array" ref="N99">INDEX( ComputeThermoProps($A99, $B99, ParametersRange), 1, COLUMN()-2 )</f>
        <v>5272.2072583850986</v>
      </c>
      <c r="P99">
        <f t="shared" si="3"/>
        <v>5475.176311168022</v>
      </c>
    </row>
    <row r="100" spans="1:16" x14ac:dyDescent="0.25">
      <c r="A100" s="2">
        <v>77.099999999999994</v>
      </c>
      <c r="B100" s="2">
        <f t="shared" si="2"/>
        <v>531.79216695610103</v>
      </c>
      <c r="C100" s="2" cm="1">
        <f t="array" ref="C100">INDEX( ComputeThermoProps($A100, $B100, ParametersRange), 1, COLUMN()-2 )</f>
        <v>11.083272036557403</v>
      </c>
      <c r="D100" s="2" cm="1">
        <f t="array" ref="D100">INDEX( ComputeThermoProps($A100, $B100, ParametersRange), 1, COLUMN()-2 )</f>
        <v>3.6831505257850982E-4</v>
      </c>
      <c r="E100" s="2" cm="1">
        <f t="array" ref="E100">INDEX( ComputeThermoProps($A100, $B100, ParametersRange), 1, COLUMN()-2 )</f>
        <v>2.9697842491312616E-4</v>
      </c>
      <c r="F100" s="2" cm="1">
        <f t="array" ref="F100">INDEX( ComputeThermoProps($A100, $B100, ParametersRange), 1, COLUMN()-2 )</f>
        <v>1.5160100367748771E-3</v>
      </c>
      <c r="G100" s="2" cm="1">
        <f t="array" ref="G100">INDEX( ComputeThermoProps($A100, $B100, ParametersRange), 1, COLUMN()-2 )</f>
        <v>27.5304905148868</v>
      </c>
      <c r="H100" s="2" cm="1">
        <f t="array" ref="H100">INDEX( ComputeThermoProps($A100, $B100, ParametersRange), 1, COLUMN()-2 )</f>
        <v>22.198282836822312</v>
      </c>
      <c r="I100" s="2" cm="1">
        <f t="array" ref="I100">INDEX( ComputeThermoProps($A100, $B100, ParametersRange), 1, COLUMN()-2 )</f>
        <v>2.0550917730903646</v>
      </c>
      <c r="J100" s="2" cm="1">
        <f t="array" ref="J100">INDEX( ComputeThermoProps($A100, $B100, ParametersRange), 1, COLUMN()-2 )</f>
        <v>1334.9370093580185</v>
      </c>
      <c r="K100" s="2" cm="1">
        <f t="array" ref="K100">INDEX( ComputeThermoProps($A100, $B100, ParametersRange), 1, COLUMN()-2 )</f>
        <v>23.808195726730329</v>
      </c>
      <c r="L100" s="2" cm="1">
        <f t="array" ref="L100">INDEX( ComputeThermoProps($A100, $B100, ParametersRange), 1, COLUMN()-2 )</f>
        <v>-500.67488117288974</v>
      </c>
      <c r="M100" s="2" cm="1">
        <f t="array" ref="M100">INDEX( ComputeThermoProps($A100, $B100, ParametersRange), 1, COLUMN()-2 )</f>
        <v>7228.9342626428388</v>
      </c>
      <c r="N100" s="2" cm="1">
        <f t="array" ref="N100">INDEX( ComputeThermoProps($A100, $B100, ParametersRange), 1, COLUMN()-2 )</f>
        <v>5393.3223721119302</v>
      </c>
      <c r="P100">
        <f t="shared" si="3"/>
        <v>5630.5465641692535</v>
      </c>
    </row>
    <row r="101" spans="1:16" x14ac:dyDescent="0.25">
      <c r="A101" s="2">
        <v>78.099999999999994</v>
      </c>
      <c r="B101" s="2">
        <f t="shared" si="2"/>
        <v>544.92661450342757</v>
      </c>
      <c r="C101" s="2" cm="1">
        <f t="array" ref="C101">INDEX( ComputeThermoProps($A101, $B101, ParametersRange), 1, COLUMN()-2 )</f>
        <v>11.046956690944643</v>
      </c>
      <c r="D101" s="2" cm="1">
        <f t="array" ref="D101">INDEX( ComputeThermoProps($A101, $B101, ParametersRange), 1, COLUMN()-2 )</f>
        <v>3.5929386282818396E-4</v>
      </c>
      <c r="E101" s="2" cm="1">
        <f t="array" ref="E101">INDEX( ComputeThermoProps($A101, $B101, ParametersRange), 1, COLUMN()-2 )</f>
        <v>2.9083987744127219E-4</v>
      </c>
      <c r="F101" s="2" cm="1">
        <f t="array" ref="F101">INDEX( ComputeThermoProps($A101, $B101, ParametersRange), 1, COLUMN()-2 )</f>
        <v>1.4760912763633657E-3</v>
      </c>
      <c r="G101" s="2" cm="1">
        <f t="array" ref="G101">INDEX( ComputeThermoProps($A101, $B101, ParametersRange), 1, COLUMN()-2 )</f>
        <v>27.461317832212035</v>
      </c>
      <c r="H101" s="2" cm="1">
        <f t="array" ref="H101">INDEX( ComputeThermoProps($A101, $B101, ParametersRange), 1, COLUMN()-2 )</f>
        <v>22.229286773305446</v>
      </c>
      <c r="I101" s="2" cm="1">
        <f t="array" ref="I101">INDEX( ComputeThermoProps($A101, $B101, ParametersRange), 1, COLUMN()-2 )</f>
        <v>2.0416464476029543</v>
      </c>
      <c r="J101" s="2" cm="1">
        <f t="array" ref="J101">INDEX( ComputeThermoProps($A101, $B101, ParametersRange), 1, COLUMN()-2 )</f>
        <v>1365.1123710684915</v>
      </c>
      <c r="K101" s="2" cm="1">
        <f t="array" ref="K101">INDEX( ComputeThermoProps($A101, $B101, ParametersRange), 1, COLUMN()-2 )</f>
        <v>23.945122954958553</v>
      </c>
      <c r="L101" s="2" cm="1">
        <f t="array" ref="L101">INDEX( ComputeThermoProps($A101, $B101, ParametersRange), 1, COLUMN()-2 )</f>
        <v>-505.00173171377133</v>
      </c>
      <c r="M101" s="2" cm="1">
        <f t="array" ref="M101">INDEX( ComputeThermoProps($A101, $B101, ParametersRange), 1, COLUMN()-2 )</f>
        <v>7384.8930812309427</v>
      </c>
      <c r="N101" s="2" cm="1">
        <f t="array" ref="N101">INDEX( ComputeThermoProps($A101, $B101, ParametersRange), 1, COLUMN()-2 )</f>
        <v>5514.7789784486795</v>
      </c>
      <c r="P101">
        <f t="shared" si="3"/>
        <v>5786.5053827573574</v>
      </c>
    </row>
    <row r="102" spans="1:16" x14ac:dyDescent="0.25">
      <c r="A102" s="2">
        <v>79.099999999999994</v>
      </c>
      <c r="B102" s="2">
        <f t="shared" si="2"/>
        <v>558.1465062433499</v>
      </c>
      <c r="C102" s="2" cm="1">
        <f t="array" ref="C102">INDEX( ComputeThermoProps($A102, $B102, ParametersRange), 1, COLUMN()-2 )</f>
        <v>11.011273034012277</v>
      </c>
      <c r="D102" s="2" cm="1">
        <f t="array" ref="D102">INDEX( ComputeThermoProps($A102, $B102, ParametersRange), 1, COLUMN()-2 )</f>
        <v>3.5065999608668088E-4</v>
      </c>
      <c r="E102" s="2" cm="1">
        <f t="array" ref="E102">INDEX( ComputeThermoProps($A102, $B102, ParametersRange), 1, COLUMN()-2 )</f>
        <v>2.8492231449376443E-4</v>
      </c>
      <c r="F102" s="2" cm="1">
        <f t="array" ref="F102">INDEX( ComputeThermoProps($A102, $B102, ParametersRange), 1, COLUMN()-2 )</f>
        <v>1.4379412381700996E-3</v>
      </c>
      <c r="G102" s="2" cm="1">
        <f t="array" ref="G102">INDEX( ComputeThermoProps($A102, $B102, ParametersRange), 1, COLUMN()-2 )</f>
        <v>27.395668926773585</v>
      </c>
      <c r="H102" s="2" cm="1">
        <f t="array" ref="H102">INDEX( ComputeThermoProps($A102, $B102, ParametersRange), 1, COLUMN()-2 )</f>
        <v>22.259845676242264</v>
      </c>
      <c r="I102" s="2" cm="1">
        <f t="array" ref="I102">INDEX( ComputeThermoProps($A102, $B102, ParametersRange), 1, COLUMN()-2 )</f>
        <v>2.0284779798993831</v>
      </c>
      <c r="J102" s="2" cm="1">
        <f t="array" ref="J102">INDEX( ComputeThermoProps($A102, $B102, ParametersRange), 1, COLUMN()-2 )</f>
        <v>1395.525096806896</v>
      </c>
      <c r="K102" s="2" cm="1">
        <f t="array" ref="K102">INDEX( ComputeThermoProps($A102, $B102, ParametersRange), 1, COLUMN()-2 )</f>
        <v>24.081672018274855</v>
      </c>
      <c r="L102" s="2" cm="1">
        <f t="array" ref="L102">INDEX( ComputeThermoProps($A102, $B102, ParametersRange), 1, COLUMN()-2 )</f>
        <v>-509.33515983864481</v>
      </c>
      <c r="M102" s="2" cm="1">
        <f t="array" ref="M102">INDEX( ComputeThermoProps($A102, $B102, ParametersRange), 1, COLUMN()-2 )</f>
        <v>7541.4286700324601</v>
      </c>
      <c r="N102" s="2" cm="1">
        <f t="array" ref="N102">INDEX( ComputeThermoProps($A102, $B102, ParametersRange), 1, COLUMN()-2 )</f>
        <v>5636.568413386919</v>
      </c>
      <c r="P102">
        <f t="shared" si="3"/>
        <v>5943.0409715588748</v>
      </c>
    </row>
    <row r="103" spans="1:16" x14ac:dyDescent="0.25">
      <c r="A103" s="2">
        <v>80.099999999999994</v>
      </c>
      <c r="B103" s="2">
        <f t="shared" si="2"/>
        <v>571.45085731661868</v>
      </c>
      <c r="C103" s="2" cm="1">
        <f t="array" ref="C103">INDEX( ComputeThermoProps($A103, $B103, ParametersRange), 1, COLUMN()-2 )</f>
        <v>10.976199939803937</v>
      </c>
      <c r="D103" s="2" cm="1">
        <f t="array" ref="D103">INDEX( ComputeThermoProps($A103, $B103, ParametersRange), 1, COLUMN()-2 )</f>
        <v>3.4239081555030598E-4</v>
      </c>
      <c r="E103" s="2" cm="1">
        <f t="array" ref="E103">INDEX( ComputeThermoProps($A103, $B103, ParametersRange), 1, COLUMN()-2 )</f>
        <v>2.7921519807445639E-4</v>
      </c>
      <c r="F103" s="2" cm="1">
        <f t="array" ref="F103">INDEX( ComputeThermoProps($A103, $B103, ParametersRange), 1, COLUMN()-2 )</f>
        <v>1.4014534336069689E-3</v>
      </c>
      <c r="G103" s="2" cm="1">
        <f t="array" ref="G103">INDEX( ComputeThermoProps($A103, $B103, ParametersRange), 1, COLUMN()-2 )</f>
        <v>27.333319257410935</v>
      </c>
      <c r="H103" s="2" cm="1">
        <f t="array" ref="H103">INDEX( ComputeThermoProps($A103, $B103, ParametersRange), 1, COLUMN()-2 )</f>
        <v>22.289961657482102</v>
      </c>
      <c r="I103" s="2" cm="1">
        <f t="array" ref="I103">INDEX( ComputeThermoProps($A103, $B103, ParametersRange), 1, COLUMN()-2 )</f>
        <v>2.0155763483470319</v>
      </c>
      <c r="J103" s="2" cm="1">
        <f t="array" ref="J103">INDEX( ComputeThermoProps($A103, $B103, ParametersRange), 1, COLUMN()-2 )</f>
        <v>1426.1707704090388</v>
      </c>
      <c r="K103" s="2" cm="1">
        <f t="array" ref="K103">INDEX( ComputeThermoProps($A103, $B103, ParametersRange), 1, COLUMN()-2 )</f>
        <v>24.217818782066907</v>
      </c>
      <c r="L103" s="2" cm="1">
        <f t="array" ref="L103">INDEX( ComputeThermoProps($A103, $B103, ParametersRange), 1, COLUMN()-2 )</f>
        <v>-513.67651403452021</v>
      </c>
      <c r="M103" s="2" cm="1">
        <f t="array" ref="M103">INDEX( ComputeThermoProps($A103, $B103, ParametersRange), 1, COLUMN()-2 )</f>
        <v>7698.5296360886168</v>
      </c>
      <c r="N103" s="2" cm="1">
        <f t="array" ref="N103">INDEX( ComputeThermoProps($A103, $B103, ParametersRange), 1, COLUMN()-2 )</f>
        <v>5758.6823516450577</v>
      </c>
      <c r="P103">
        <f t="shared" si="3"/>
        <v>6100.1419376150316</v>
      </c>
    </row>
    <row r="104" spans="1:16" x14ac:dyDescent="0.25">
      <c r="A104" s="2">
        <v>81.099999999999994</v>
      </c>
      <c r="B104" s="2">
        <f t="shared" si="2"/>
        <v>584.83871119103833</v>
      </c>
      <c r="C104" s="2" cm="1">
        <f t="array" ref="C104">INDEX( ComputeThermoProps($A104, $B104, ParametersRange), 1, COLUMN()-2 )</f>
        <v>10.941717239820328</v>
      </c>
      <c r="D104" s="2" cm="1">
        <f t="array" ref="D104">INDEX( ComputeThermoProps($A104, $B104, ParametersRange), 1, COLUMN()-2 )</f>
        <v>3.3446528414455244E-4</v>
      </c>
      <c r="E104" s="2" cm="1">
        <f t="array" ref="E104">INDEX( ComputeThermoProps($A104, $B104, ParametersRange), 1, COLUMN()-2 )</f>
        <v>2.7370856039733872E-4</v>
      </c>
      <c r="F104" s="2" cm="1">
        <f t="array" ref="F104">INDEX( ComputeThermoProps($A104, $B104, ParametersRange), 1, COLUMN()-2 )</f>
        <v>1.3665291581513995E-3</v>
      </c>
      <c r="G104" s="2" cm="1">
        <f t="array" ref="G104">INDEX( ComputeThermoProps($A104, $B104, ParametersRange), 1, COLUMN()-2 )</f>
        <v>27.274060553529551</v>
      </c>
      <c r="H104" s="2" cm="1">
        <f t="array" ref="H104">INDEX( ComputeThermoProps($A104, $B104, ParametersRange), 1, COLUMN()-2 )</f>
        <v>22.319637356055342</v>
      </c>
      <c r="I104" s="2" cm="1">
        <f t="array" ref="I104">INDEX( ComputeThermoProps($A104, $B104, ParametersRange), 1, COLUMN()-2 )</f>
        <v>2.0029320195710127</v>
      </c>
      <c r="J104" s="2" cm="1">
        <f t="array" ref="J104">INDEX( ComputeThermoProps($A104, $B104, ParametersRange), 1, COLUMN()-2 )</f>
        <v>1457.0451615301945</v>
      </c>
      <c r="K104" s="2" cm="1">
        <f t="array" ref="K104">INDEX( ComputeThermoProps($A104, $B104, ParametersRange), 1, COLUMN()-2 )</f>
        <v>24.353541105133299</v>
      </c>
      <c r="L104" s="2" cm="1">
        <f t="array" ref="L104">INDEX( ComputeThermoProps($A104, $B104, ParametersRange), 1, COLUMN()-2 )</f>
        <v>-518.02702209611596</v>
      </c>
      <c r="M104" s="2" cm="1">
        <f t="array" ref="M104">INDEX( ComputeThermoProps($A104, $B104, ParametersRange), 1, COLUMN()-2 )</f>
        <v>7856.1849702834807</v>
      </c>
      <c r="N104" s="2" cm="1">
        <f t="array" ref="N104">INDEX( ComputeThermoProps($A104, $B104, ParametersRange), 1, COLUMN()-2 )</f>
        <v>5881.1127866571705</v>
      </c>
      <c r="P104">
        <f t="shared" si="3"/>
        <v>6257.7972718098954</v>
      </c>
    </row>
    <row r="105" spans="1:16" x14ac:dyDescent="0.25">
      <c r="A105" s="2">
        <v>82.1</v>
      </c>
      <c r="B105" s="2">
        <f t="shared" si="2"/>
        <v>598.30913837819639</v>
      </c>
      <c r="C105" s="2" cm="1">
        <f t="array" ref="C105">INDEX( ComputeThermoProps($A105, $B105, ParametersRange), 1, COLUMN()-2 )</f>
        <v>10.9078056757763</v>
      </c>
      <c r="D105" s="2" cm="1">
        <f t="array" ref="D105">INDEX( ComputeThermoProps($A105, $B105, ParametersRange), 1, COLUMN()-2 )</f>
        <v>3.2686383862452274E-4</v>
      </c>
      <c r="E105" s="2" cm="1">
        <f t="array" ref="E105">INDEX( ComputeThermoProps($A105, $B105, ParametersRange), 1, COLUMN()-2 )</f>
        <v>2.6839297502419284E-4</v>
      </c>
      <c r="F105" s="2" cm="1">
        <f t="array" ref="F105">INDEX( ComputeThermoProps($A105, $B105, ParametersRange), 1, COLUMN()-2 )</f>
        <v>1.3330768530448475E-3</v>
      </c>
      <c r="G105" s="2" cm="1">
        <f t="array" ref="G105">INDEX( ComputeThermoProps($A105, $B105, ParametersRange), 1, COLUMN()-2 )</f>
        <v>27.217699589013638</v>
      </c>
      <c r="H105" s="2" cm="1">
        <f t="array" ref="H105">INDEX( ComputeThermoProps($A105, $B105, ParametersRange), 1, COLUMN()-2 )</f>
        <v>22.348875901202444</v>
      </c>
      <c r="I105" s="2" cm="1">
        <f t="array" ref="I105">INDEX( ComputeThermoProps($A105, $B105, ParametersRange), 1, COLUMN()-2 )</f>
        <v>1.9905359212089497</v>
      </c>
      <c r="J105" s="2" cm="1">
        <f t="array" ref="J105">INDEX( ComputeThermoProps($A105, $B105, ParametersRange), 1, COLUMN()-2 )</f>
        <v>1488.1442147042449</v>
      </c>
      <c r="K105" s="2" cm="1">
        <f t="array" ref="K105">INDEX( ComputeThermoProps($A105, $B105, ParametersRange), 1, COLUMN()-2 )</f>
        <v>24.488818719200257</v>
      </c>
      <c r="L105" s="2" cm="1">
        <f t="array" ref="L105">INDEX( ComputeThermoProps($A105, $B105, ParametersRange), 1, COLUMN()-2 )</f>
        <v>-522.38780214209612</v>
      </c>
      <c r="M105" s="2" cm="1">
        <f t="array" ref="M105">INDEX( ComputeThermoProps($A105, $B105, ParametersRange), 1, COLUMN()-2 )</f>
        <v>8014.3840301747632</v>
      </c>
      <c r="N105" s="2" cm="1">
        <f t="array" ref="N105">INDEX( ComputeThermoProps($A105, $B105, ParametersRange), 1, COLUMN()-2 )</f>
        <v>6003.8520133284219</v>
      </c>
      <c r="P105">
        <f t="shared" si="3"/>
        <v>6415.996331701178</v>
      </c>
    </row>
    <row r="106" spans="1:16" x14ac:dyDescent="0.25">
      <c r="A106" s="2">
        <v>83.1</v>
      </c>
      <c r="B106" s="2">
        <f t="shared" si="2"/>
        <v>611.86123522871981</v>
      </c>
      <c r="C106" s="2" cm="1">
        <f t="array" ref="C106">INDEX( ComputeThermoProps($A106, $B106, ParametersRange), 1, COLUMN()-2 )</f>
        <v>10.874446853969317</v>
      </c>
      <c r="D106" s="2" cm="1">
        <f t="array" ref="D106">INDEX( ComputeThermoProps($A106, $B106, ParametersRange), 1, COLUMN()-2 )</f>
        <v>3.1956827383722292E-4</v>
      </c>
      <c r="E106" s="2" cm="1">
        <f t="array" ref="E106">INDEX( ComputeThermoProps($A106, $B106, ParametersRange), 1, COLUMN()-2 )</f>
        <v>2.6325952859522912E-4</v>
      </c>
      <c r="F106" s="2" cm="1">
        <f t="array" ref="F106">INDEX( ComputeThermoProps($A106, $B106, ParametersRange), 1, COLUMN()-2 )</f>
        <v>1.3010115193886559E-3</v>
      </c>
      <c r="G106" s="2" cm="1">
        <f t="array" ref="G106">INDEX( ComputeThermoProps($A106, $B106, ParametersRange), 1, COLUMN()-2 )</f>
        <v>27.164056984892706</v>
      </c>
      <c r="H106" s="2" cm="1">
        <f t="array" ref="H106">INDEX( ComputeThermoProps($A106, $B106, ParametersRange), 1, COLUMN()-2 )</f>
        <v>22.37768083392211</v>
      </c>
      <c r="I106" s="2" cm="1">
        <f t="array" ref="I106">INDEX( ComputeThermoProps($A106, $B106, ParametersRange), 1, COLUMN()-2 )</f>
        <v>1.9783794163839865</v>
      </c>
      <c r="J106" s="2" cm="1">
        <f t="array" ref="J106">INDEX( ComputeThermoProps($A106, $B106, ParametersRange), 1, COLUMN()-2 )</f>
        <v>1519.4640389184372</v>
      </c>
      <c r="K106" s="2" cm="1">
        <f t="array" ref="K106">INDEX( ComputeThermoProps($A106, $B106, ParametersRange), 1, COLUMN()-2 )</f>
        <v>24.623633115768985</v>
      </c>
      <c r="L106" s="2" cm="1">
        <f t="array" ref="L106">INDEX( ComputeThermoProps($A106, $B106, ParametersRange), 1, COLUMN()-2 )</f>
        <v>-526.75987300196539</v>
      </c>
      <c r="M106" s="2" cm="1">
        <f t="array" ref="M106">INDEX( ComputeThermoProps($A106, $B106, ParametersRange), 1, COLUMN()-2 )</f>
        <v>8173.1165234171694</v>
      </c>
      <c r="N106" s="2" cm="1">
        <f t="array" ref="N106">INDEX( ComputeThermoProps($A106, $B106, ParametersRange), 1, COLUMN()-2 )</f>
        <v>6126.8926114967671</v>
      </c>
      <c r="P106">
        <f t="shared" si="3"/>
        <v>6574.7288249435842</v>
      </c>
    </row>
    <row r="107" spans="1:16" x14ac:dyDescent="0.25">
      <c r="A107" s="2">
        <v>84.1</v>
      </c>
      <c r="B107" s="2">
        <f t="shared" si="2"/>
        <v>625.49412280005311</v>
      </c>
      <c r="C107" s="2" cm="1">
        <f t="array" ref="C107">INDEX( ComputeThermoProps($A107, $B107, ParametersRange), 1, COLUMN()-2 )</f>
        <v>10.841623201418537</v>
      </c>
      <c r="D107" s="2" cm="1">
        <f t="array" ref="D107">INDEX( ComputeThermoProps($A107, $B107, ParametersRange), 1, COLUMN()-2 )</f>
        <v>3.1256163642861363E-4</v>
      </c>
      <c r="E107" s="2" cm="1">
        <f t="array" ref="E107">INDEX( ComputeThermoProps($A107, $B107, ParametersRange), 1, COLUMN()-2 )</f>
        <v>2.5829979320190138E-4</v>
      </c>
      <c r="F107" s="2" cm="1">
        <f t="array" ref="F107">INDEX( ComputeThermoProps($A107, $B107, ParametersRange), 1, COLUMN()-2 )</f>
        <v>1.2702541855352234E-3</v>
      </c>
      <c r="G107" s="2" cm="1">
        <f t="array" ref="G107">INDEX( ComputeThermoProps($A107, $B107, ParametersRange), 1, COLUMN()-2 )</f>
        <v>27.112966165584389</v>
      </c>
      <c r="H107" s="2" cm="1">
        <f t="array" ref="H107">INDEX( ComputeThermoProps($A107, $B107, ParametersRange), 1, COLUMN()-2 )</f>
        <v>22.406056078030815</v>
      </c>
      <c r="I107" s="2" cm="1">
        <f t="array" ref="I107">INDEX( ComputeThermoProps($A107, $B107, ParametersRange), 1, COLUMN()-2 )</f>
        <v>1.9664542794275528</v>
      </c>
      <c r="J107" s="2" cm="1">
        <f t="array" ref="J107">INDEX( ComputeThermoProps($A107, $B107, ParametersRange), 1, COLUMN()-2 )</f>
        <v>1551.000897945087</v>
      </c>
      <c r="K107" s="2" cm="1">
        <f t="array" ref="K107">INDEX( ComputeThermoProps($A107, $B107, ParametersRange), 1, COLUMN()-2 )</f>
        <v>24.757967435922851</v>
      </c>
      <c r="L107" s="2" cm="1">
        <f t="array" ref="L107">INDEX( ComputeThermoProps($A107, $B107, ParametersRange), 1, COLUMN()-2 )</f>
        <v>-531.14416341602464</v>
      </c>
      <c r="M107" s="2" cm="1">
        <f t="array" ref="M107">INDEX( ComputeThermoProps($A107, $B107, ParametersRange), 1, COLUMN()-2 )</f>
        <v>8332.3724920450786</v>
      </c>
      <c r="N107" s="2" cm="1">
        <f t="array" ref="N107">INDEX( ComputeThermoProps($A107, $B107, ParametersRange), 1, COLUMN()-2 )</f>
        <v>6250.2274306839672</v>
      </c>
      <c r="P107">
        <f t="shared" si="3"/>
        <v>6733.9847935714934</v>
      </c>
    </row>
    <row r="108" spans="1:16" x14ac:dyDescent="0.25">
      <c r="A108" s="2">
        <v>85.1</v>
      </c>
      <c r="B108" s="2">
        <f t="shared" si="2"/>
        <v>639.20694579130281</v>
      </c>
      <c r="C108" s="2" cm="1">
        <f t="array" ref="C108">INDEX( ComputeThermoProps($A108, $B108, ParametersRange), 1, COLUMN()-2 )</f>
        <v>10.809317923870433</v>
      </c>
      <c r="D108" s="2" cm="1">
        <f t="array" ref="D108">INDEX( ComputeThermoProps($A108, $B108, ParametersRange), 1, COLUMN()-2 )</f>
        <v>3.0582812717892962E-4</v>
      </c>
      <c r="E108" s="2" cm="1">
        <f t="array" ref="E108">INDEX( ComputeThermoProps($A108, $B108, ParametersRange), 1, COLUMN()-2 )</f>
        <v>2.5350579963111372E-4</v>
      </c>
      <c r="F108" s="2" cm="1">
        <f t="array" ref="F108">INDEX( ComputeThermoProps($A108, $B108, ParametersRange), 1, COLUMN()-2 )</f>
        <v>1.2407314192063633E-3</v>
      </c>
      <c r="G108" s="2" cm="1">
        <f t="array" ref="G108">INDEX( ComputeThermoProps($A108, $B108, ParametersRange), 1, COLUMN()-2 )</f>
        <v>27.064272370693171</v>
      </c>
      <c r="H108" s="2" cm="1">
        <f t="array" ref="H108">INDEX( ComputeThermoProps($A108, $B108, ParametersRange), 1, COLUMN()-2 )</f>
        <v>22.434005897543631</v>
      </c>
      <c r="I108" s="2" cm="1">
        <f t="array" ref="I108">INDEX( ComputeThermoProps($A108, $B108, ParametersRange), 1, COLUMN()-2 )</f>
        <v>1.9547526729096636</v>
      </c>
      <c r="J108" s="2" cm="1">
        <f t="array" ref="J108">INDEX( ComputeThermoProps($A108, $B108, ParametersRange), 1, COLUMN()-2 )</f>
        <v>1582.751201339483</v>
      </c>
      <c r="K108" s="2" cm="1">
        <f t="array" ref="K108">INDEX( ComputeThermoProps($A108, $B108, ParametersRange), 1, COLUMN()-2 )</f>
        <v>24.891806364516732</v>
      </c>
      <c r="L108" s="2" cm="1">
        <f t="array" ref="L108">INDEX( ComputeThermoProps($A108, $B108, ParametersRange), 1, COLUMN()-2 )</f>
        <v>-535.54152028089072</v>
      </c>
      <c r="M108" s="2" cm="1">
        <f t="array" ref="M108">INDEX( ComputeThermoProps($A108, $B108, ParametersRange), 1, COLUMN()-2 )</f>
        <v>8492.1422975438891</v>
      </c>
      <c r="N108" s="2" cm="1">
        <f t="array" ref="N108">INDEX( ComputeThermoProps($A108, $B108, ParametersRange), 1, COLUMN()-2 )</f>
        <v>6373.8495759235157</v>
      </c>
      <c r="P108">
        <f t="shared" si="3"/>
        <v>6893.7545990703038</v>
      </c>
    </row>
    <row r="109" spans="1:16" x14ac:dyDescent="0.25">
      <c r="A109" s="2">
        <v>86.1</v>
      </c>
      <c r="B109" s="2">
        <f t="shared" si="2"/>
        <v>652.99887154017506</v>
      </c>
      <c r="C109" s="2" cm="1">
        <f t="array" ref="C109">INDEX( ComputeThermoProps($A109, $B109, ParametersRange), 1, COLUMN()-2 )</f>
        <v>10.77751496571832</v>
      </c>
      <c r="D109" s="2" cm="1">
        <f t="array" ref="D109">INDEX( ComputeThermoProps($A109, $B109, ParametersRange), 1, COLUMN()-2 )</f>
        <v>2.9935301132261367E-4</v>
      </c>
      <c r="E109" s="2" cm="1">
        <f t="array" ref="E109">INDEX( ComputeThermoProps($A109, $B109, ParametersRange), 1, COLUMN()-2 )</f>
        <v>2.4887001161541717E-4</v>
      </c>
      <c r="F109" s="2" cm="1">
        <f t="array" ref="F109">INDEX( ComputeThermoProps($A109, $B109, ParametersRange), 1, COLUMN()-2 )</f>
        <v>1.2123748804353442E-3</v>
      </c>
      <c r="G109" s="2" cm="1">
        <f t="array" ref="G109">INDEX( ComputeThermoProps($A109, $B109, ParametersRange), 1, COLUMN()-2 )</f>
        <v>27.01783171109334</v>
      </c>
      <c r="H109" s="2" cm="1">
        <f t="array" ref="H109">INDEX( ComputeThermoProps($A109, $B109, ParametersRange), 1, COLUMN()-2 )</f>
        <v>22.461534834927008</v>
      </c>
      <c r="I109" s="2" cm="1">
        <f t="array" ref="I109">INDEX( ComputeThermoProps($A109, $B109, ParametersRange), 1, COLUMN()-2 )</f>
        <v>1.9432671259466934</v>
      </c>
      <c r="J109" s="2" cm="1">
        <f t="array" ref="J109">INDEX( ComputeThermoProps($A109, $B109, ParametersRange), 1, COLUMN()-2 )</f>
        <v>1614.7114960587121</v>
      </c>
      <c r="K109" s="2" cm="1">
        <f t="array" ref="K109">INDEX( ComputeThermoProps($A109, $B109, ParametersRange), 1, COLUMN()-2 )</f>
        <v>25.02513602913929</v>
      </c>
      <c r="L109" s="2" cm="1">
        <f t="array" ref="L109">INDEX( ComputeThermoProps($A109, $B109, ParametersRange), 1, COLUMN()-2 )</f>
        <v>-539.95271605018058</v>
      </c>
      <c r="M109" s="2" cm="1">
        <f t="array" ref="M109">INDEX( ComputeThermoProps($A109, $B109, ParametersRange), 1, COLUMN()-2 )</f>
        <v>8652.4166066801226</v>
      </c>
      <c r="N109" s="2" cm="1">
        <f t="array" ref="N109">INDEX( ComputeThermoProps($A109, $B109, ParametersRange), 1, COLUMN()-2 )</f>
        <v>6497.7523945712301</v>
      </c>
      <c r="P109">
        <f t="shared" si="3"/>
        <v>7054.0289082065374</v>
      </c>
    </row>
    <row r="110" spans="1:16" x14ac:dyDescent="0.25">
      <c r="A110" s="2">
        <v>87.1</v>
      </c>
      <c r="B110" s="2">
        <f t="shared" si="2"/>
        <v>666.86908907748557</v>
      </c>
      <c r="C110" s="2" cm="1">
        <f t="array" ref="C110">INDEX( ComputeThermoProps($A110, $B110, ParametersRange), 1, COLUMN()-2 )</f>
        <v>10.746198971846182</v>
      </c>
      <c r="D110" s="2" cm="1">
        <f t="array" ref="D110">INDEX( ComputeThermoProps($A110, $B110, ParametersRange), 1, COLUMN()-2 )</f>
        <v>2.9312253640815058E-4</v>
      </c>
      <c r="E110" s="2" cm="1">
        <f t="array" ref="E110">INDEX( ComputeThermoProps($A110, $B110, ParametersRange), 1, COLUMN()-2 )</f>
        <v>2.4438530117652866E-4</v>
      </c>
      <c r="F110" s="2" cm="1">
        <f t="array" ref="F110">INDEX( ComputeThermoProps($A110, $B110, ParametersRange), 1, COLUMN()-2 )</f>
        <v>1.1851209159600854E-3</v>
      </c>
      <c r="G110" s="2" cm="1">
        <f t="array" ref="G110">INDEX( ComputeThermoProps($A110, $B110, ParametersRange), 1, COLUMN()-2 )</f>
        <v>26.973510355552296</v>
      </c>
      <c r="H110" s="2" cm="1">
        <f t="array" ref="H110">INDEX( ComputeThermoProps($A110, $B110, ParametersRange), 1, COLUMN()-2 )</f>
        <v>22.488647692551034</v>
      </c>
      <c r="I110" s="2" cm="1">
        <f t="array" ref="I110">INDEX( ComputeThermoProps($A110, $B110, ParametersRange), 1, COLUMN()-2 )</f>
        <v>1.9319905137458655</v>
      </c>
      <c r="J110" s="2" cm="1">
        <f t="array" ref="J110">INDEX( ComputeThermoProps($A110, $B110, ParametersRange), 1, COLUMN()-2 )</f>
        <v>1646.8784586579559</v>
      </c>
      <c r="K110" s="2" cm="1">
        <f t="array" ref="K110">INDEX( ComputeThermoProps($A110, $B110, ParametersRange), 1, COLUMN()-2 )</f>
        <v>25.157943904068386</v>
      </c>
      <c r="L110" s="2" cm="1">
        <f t="array" ref="L110">INDEX( ComputeThermoProps($A110, $B110, ParametersRange), 1, COLUMN()-2 )</f>
        <v>-544.37845538640033</v>
      </c>
      <c r="M110" s="2" cm="1">
        <f t="array" ref="M110">INDEX( ComputeThermoProps($A110, $B110, ParametersRange), 1, COLUMN()-2 )</f>
        <v>8813.1863780584317</v>
      </c>
      <c r="N110" s="2" cm="1">
        <f t="array" ref="N110">INDEX( ComputeThermoProps($A110, $B110, ParametersRange), 1, COLUMN()-2 )</f>
        <v>6621.9294640140752</v>
      </c>
      <c r="P110">
        <f t="shared" si="3"/>
        <v>7214.7986795848465</v>
      </c>
    </row>
    <row r="111" spans="1:16" x14ac:dyDescent="0.25">
      <c r="A111" s="2">
        <v>88.1</v>
      </c>
      <c r="B111" s="2">
        <f t="shared" si="2"/>
        <v>680.81680823509987</v>
      </c>
      <c r="C111" s="2" cm="1">
        <f t="array" ref="C111">INDEX( ComputeThermoProps($A111, $B111, ParametersRange), 1, COLUMN()-2 )</f>
        <v>10.715355251379618</v>
      </c>
      <c r="D111" s="2" cm="1">
        <f t="array" ref="D111">INDEX( ComputeThermoProps($A111, $B111, ParametersRange), 1, COLUMN()-2 )</f>
        <v>2.8712385687988684E-4</v>
      </c>
      <c r="E111" s="2" cm="1">
        <f t="array" ref="E111">INDEX( ComputeThermoProps($A111, $B111, ParametersRange), 1, COLUMN()-2 )</f>
        <v>2.4004492511280141E-4</v>
      </c>
      <c r="F111" s="2" cm="1">
        <f t="array" ref="F111">INDEX( ComputeThermoProps($A111, $B111, ParametersRange), 1, COLUMN()-2 )</f>
        <v>1.1589101864507062E-3</v>
      </c>
      <c r="G111" s="2" cm="1">
        <f t="array" ref="G111">INDEX( ComputeThermoProps($A111, $B111, ParametersRange), 1, COLUMN()-2 )</f>
        <v>26.931183729843294</v>
      </c>
      <c r="H111" s="2" cm="1">
        <f t="array" ref="H111">INDEX( ComputeThermoProps($A111, $B111, ParametersRange), 1, COLUMN()-2 )</f>
        <v>22.515349479767259</v>
      </c>
      <c r="I111" s="2" cm="1">
        <f t="array" ref="I111">INDEX( ComputeThermoProps($A111, $B111, ParametersRange), 1, COLUMN()-2 )</f>
        <v>1.9209160383384618</v>
      </c>
      <c r="J111" s="2" cm="1">
        <f t="array" ref="J111">INDEX( ComputeThermoProps($A111, $B111, ParametersRange), 1, COLUMN()-2 )</f>
        <v>1679.2488880229921</v>
      </c>
      <c r="K111" s="2" cm="1">
        <f t="array" ref="K111">INDEX( ComputeThermoProps($A111, $B111, ParametersRange), 1, COLUMN()-2 )</f>
        <v>25.290218719309561</v>
      </c>
      <c r="L111" s="2" cm="1">
        <f t="array" ref="L111">INDEX( ComputeThermoProps($A111, $B111, ParametersRange), 1, COLUMN()-2 )</f>
        <v>-548.81938114818001</v>
      </c>
      <c r="M111" s="2" cm="1">
        <f t="array" ref="M111">INDEX( ComputeThermoProps($A111, $B111, ParametersRange), 1, COLUMN()-2 )</f>
        <v>8974.4428493724809</v>
      </c>
      <c r="N111" s="2" cm="1">
        <f t="array" ref="N111">INDEX( ComputeThermoProps($A111, $B111, ParametersRange), 1, COLUMN()-2 )</f>
        <v>6746.3745802013091</v>
      </c>
      <c r="P111">
        <f t="shared" si="3"/>
        <v>7376.0551508988956</v>
      </c>
    </row>
    <row r="112" spans="1:16" x14ac:dyDescent="0.25">
      <c r="A112" s="2">
        <v>89.1</v>
      </c>
      <c r="B112" s="2">
        <f t="shared" si="2"/>
        <v>694.84125880352713</v>
      </c>
      <c r="C112" s="2" cm="1">
        <f t="array" ref="C112">INDEX( ComputeThermoProps($A112, $B112, ParametersRange), 1, COLUMN()-2 )</f>
        <v>10.684969743306178</v>
      </c>
      <c r="D112" s="2" cm="1">
        <f t="array" ref="D112">INDEX( ComputeThermoProps($A112, $B112, ParametersRange), 1, COLUMN()-2 )</f>
        <v>2.8134496504201206E-4</v>
      </c>
      <c r="E112" s="2" cm="1">
        <f t="array" ref="E112">INDEX( ComputeThermoProps($A112, $B112, ParametersRange), 1, COLUMN()-2 )</f>
        <v>2.3584250265302502E-4</v>
      </c>
      <c r="F112" s="2" cm="1">
        <f t="array" ref="F112">INDEX( ComputeThermoProps($A112, $B112, ParametersRange), 1, COLUMN()-2 )</f>
        <v>1.1336873287234638E-3</v>
      </c>
      <c r="G112" s="2" cm="1">
        <f t="array" ref="G112">INDEX( ComputeThermoProps($A112, $B112, ParametersRange), 1, COLUMN()-2 )</f>
        <v>26.890735840047437</v>
      </c>
      <c r="H112" s="2" cm="1">
        <f t="array" ref="H112">INDEX( ComputeThermoProps($A112, $B112, ParametersRange), 1, COLUMN()-2 )</f>
        <v>22.541645405849582</v>
      </c>
      <c r="I112" s="2" cm="1">
        <f t="array" ref="I112">INDEX( ComputeThermoProps($A112, $B112, ParametersRange), 1, COLUMN()-2 )</f>
        <v>1.9100372104491632</v>
      </c>
      <c r="J112" s="2" cm="1">
        <f t="array" ref="J112">INDEX( ComputeThermoProps($A112, $B112, ParametersRange), 1, COLUMN()-2 )</f>
        <v>1711.8196985999839</v>
      </c>
      <c r="K112" s="2" cm="1">
        <f t="array" ref="K112">INDEX( ComputeThermoProps($A112, $B112, ParametersRange), 1, COLUMN()-2 )</f>
        <v>25.42195037471053</v>
      </c>
      <c r="L112" s="2" cm="1">
        <f t="array" ref="L112">INDEX( ComputeThermoProps($A112, $B112, ParametersRange), 1, COLUMN()-2 )</f>
        <v>-553.27607978672415</v>
      </c>
      <c r="M112" s="2" cm="1">
        <f t="array" ref="M112">INDEX( ComputeThermoProps($A112, $B112, ParametersRange), 1, COLUMN()-2 )</f>
        <v>9136.1775253164487</v>
      </c>
      <c r="N112" s="2" cm="1">
        <f t="array" ref="N112">INDEX( ComputeThermoProps($A112, $B112, ParametersRange), 1, COLUMN()-2 )</f>
        <v>6871.0817469297408</v>
      </c>
      <c r="P112">
        <f t="shared" si="3"/>
        <v>7537.7898268428635</v>
      </c>
    </row>
    <row r="113" spans="1:16" x14ac:dyDescent="0.25">
      <c r="A113" s="2">
        <v>90.1</v>
      </c>
      <c r="B113" s="2">
        <f t="shared" si="2"/>
        <v>708.94168973570822</v>
      </c>
      <c r="C113" s="2" cm="1">
        <f t="array" ref="C113">INDEX( ComputeThermoProps($A113, $B113, ParametersRange), 1, COLUMN()-2 )</f>
        <v>10.65502898391261</v>
      </c>
      <c r="D113" s="2" cm="1">
        <f t="array" ref="D113">INDEX( ComputeThermoProps($A113, $B113, ParametersRange), 1, COLUMN()-2 )</f>
        <v>2.7577462762772611E-4</v>
      </c>
      <c r="E113" s="2" cm="1">
        <f t="array" ref="E113">INDEX( ComputeThermoProps($A113, $B113, ParametersRange), 1, COLUMN()-2 )</f>
        <v>2.3177199427744342E-4</v>
      </c>
      <c r="F113" s="2" cm="1">
        <f t="array" ref="F113">INDEX( ComputeThermoProps($A113, $B113, ParametersRange), 1, COLUMN()-2 )</f>
        <v>1.1094006439246887E-3</v>
      </c>
      <c r="G113" s="2" cm="1">
        <f t="array" ref="G113">INDEX( ComputeThermoProps($A113, $B113, ParametersRange), 1, COLUMN()-2 )</f>
        <v>26.852058575931594</v>
      </c>
      <c r="H113" s="2" cm="1">
        <f t="array" ref="H113">INDEX( ComputeThermoProps($A113, $B113, ParametersRange), 1, COLUMN()-2 )</f>
        <v>22.567540821774582</v>
      </c>
      <c r="I113" s="2" cm="1">
        <f t="array" ref="I113">INDEX( ComputeThermoProps($A113, $B113, ParametersRange), 1, COLUMN()-2 )</f>
        <v>1.8993478324463386</v>
      </c>
      <c r="J113" s="2" cm="1">
        <f t="array" ref="J113">INDEX( ComputeThermoProps($A113, $B113, ParametersRange), 1, COLUMN()-2 )</f>
        <v>1744.5879140860263</v>
      </c>
      <c r="K113" s="2" cm="1">
        <f t="array" ref="K113">INDEX( ComputeThermoProps($A113, $B113, ParametersRange), 1, COLUMN()-2 )</f>
        <v>25.553129859072421</v>
      </c>
      <c r="L113" s="2" cm="1">
        <f t="array" ref="L113">INDEX( ComputeThermoProps($A113, $B113, ParametersRange), 1, COLUMN()-2 )</f>
        <v>-557.74908621639861</v>
      </c>
      <c r="M113" s="2" cm="1">
        <f t="array" ref="M113">INDEX( ComputeThermoProps($A113, $B113, ParametersRange), 1, COLUMN()-2 )</f>
        <v>9298.3821661239781</v>
      </c>
      <c r="N113" s="2" cm="1">
        <f t="array" ref="N113">INDEX( ComputeThermoProps($A113, $B113, ParametersRange), 1, COLUMN()-2 )</f>
        <v>6996.0451658215534</v>
      </c>
      <c r="P113">
        <f t="shared" si="3"/>
        <v>7699.9944676503928</v>
      </c>
    </row>
    <row r="114" spans="1:16" x14ac:dyDescent="0.25">
      <c r="A114" s="2">
        <v>91.1</v>
      </c>
      <c r="B114" s="2">
        <f t="shared" si="2"/>
        <v>723.11736839382115</v>
      </c>
      <c r="C114" s="2" cm="1">
        <f t="array" ref="C114">INDEX( ComputeThermoProps($A114, $B114, ParametersRange), 1, COLUMN()-2 )</f>
        <v>27.711521731263371</v>
      </c>
      <c r="D114" s="2" cm="1">
        <f t="array" ref="D114">INDEX( ComputeThermoProps($A114, $B114, ParametersRange), 1, COLUMN()-2 )</f>
        <v>-2.4436319014628497E-5</v>
      </c>
      <c r="E114" s="2" cm="1">
        <f t="array" ref="E114">INDEX( ComputeThermoProps($A114, $B114, ParametersRange), 1, COLUMN()-2 )</f>
        <v>2.6136628620360018E-5</v>
      </c>
      <c r="F114" s="2" cm="1">
        <f t="array" ref="F114">INDEX( ComputeThermoProps($A114, $B114, ParametersRange), 1, COLUMN()-2 )</f>
        <v>-1.6532340393158823E-3</v>
      </c>
      <c r="G114" s="2" cm="1">
        <f t="array" ref="G114">INDEX( ComputeThermoProps($A114, $B114, ParametersRange), 1, COLUMN()-2 )</f>
        <v>-136.43605770449807</v>
      </c>
      <c r="H114" s="2" cm="1">
        <f t="array" ref="H114">INDEX( ComputeThermoProps($A114, $B114, ParametersRange), 1, COLUMN()-2 )</f>
        <v>145.92944905137909</v>
      </c>
      <c r="I114" s="2" cm="1">
        <f t="array" ref="I114">INDEX( ComputeThermoProps($A114, $B114, ParametersRange), 1, COLUMN()-2 )</f>
        <v>12.847421850612848</v>
      </c>
      <c r="J114" s="2" cm="1">
        <f t="array" ref="J114">INDEX( ComputeThermoProps($A114, $B114, ParametersRange), 1, COLUMN()-2 )</f>
        <v>17646.058482895653</v>
      </c>
      <c r="K114" s="2" cm="1">
        <f t="array" ref="K114">INDEX( ComputeThermoProps($A114, $B114, ParametersRange), 1, COLUMN()-2 )</f>
        <v>214.90885560855915</v>
      </c>
      <c r="L114" s="2" cm="1">
        <f t="array" ref="L114">INDEX( ComputeThermoProps($A114, $B114, ParametersRange), 1, COLUMN()-2 )</f>
        <v>-1932.1382630440849</v>
      </c>
      <c r="M114" s="2" cm="1">
        <f t="array" ref="M114">INDEX( ComputeThermoProps($A114, $B114, ParametersRange), 1, COLUMN()-2 )</f>
        <v>37684.741151395006</v>
      </c>
      <c r="N114" s="2" cm="1">
        <f t="array" ref="N114">INDEX( ComputeThermoProps($A114, $B114, ParametersRange), 1, COLUMN()-2 )</f>
        <v>18106.544405455268</v>
      </c>
      <c r="P114">
        <f t="shared" si="3"/>
        <v>36086.353452921423</v>
      </c>
    </row>
    <row r="115" spans="1:16" x14ac:dyDescent="0.25">
      <c r="A115" s="2">
        <v>92.1</v>
      </c>
      <c r="B115" s="2">
        <f t="shared" si="2"/>
        <v>737.36757983619725</v>
      </c>
      <c r="C115" s="2" cm="1">
        <f t="array" ref="C115">INDEX( ComputeThermoProps($A115, $B115, ParametersRange), 1, COLUMN()-2 )</f>
        <v>27.675549995505392</v>
      </c>
      <c r="D115" s="2" cm="1">
        <f t="array" ref="D115">INDEX( ComputeThermoProps($A115, $B115, ParametersRange), 1, COLUMN()-2 )</f>
        <v>-2.4543635509002483E-5</v>
      </c>
      <c r="E115" s="2" cm="1">
        <f t="array" ref="E115">INDEX( ComputeThermoProps($A115, $B115, ParametersRange), 1, COLUMN()-2 )</f>
        <v>2.6149619048600568E-5</v>
      </c>
      <c r="F115" s="2" cm="1">
        <f t="array" ref="F115">INDEX( ComputeThermoProps($A115, $B115, ParametersRange), 1, COLUMN()-2 )</f>
        <v>-1.6426211950854933E-3</v>
      </c>
      <c r="G115" s="2" cm="1">
        <f t="array" ref="G115">INDEX( ComputeThermoProps($A115, $B115, ParametersRange), 1, COLUMN()-2 )</f>
        <v>-135.6689803379397</v>
      </c>
      <c r="H115" s="2" cm="1">
        <f t="array" ref="H115">INDEX( ComputeThermoProps($A115, $B115, ParametersRange), 1, COLUMN()-2 )</f>
        <v>144.54631838253661</v>
      </c>
      <c r="I115" s="2" cm="1">
        <f t="array" ref="I115">INDEX( ComputeThermoProps($A115, $B115, ParametersRange), 1, COLUMN()-2 )</f>
        <v>12.814089569637449</v>
      </c>
      <c r="J115" s="2" cm="1">
        <f t="array" ref="J115">INDEX( ComputeThermoProps($A115, $B115, ParametersRange), 1, COLUMN()-2 )</f>
        <v>17595.8449379843</v>
      </c>
      <c r="K115" s="2" cm="1">
        <f t="array" ref="K115">INDEX( ComputeThermoProps($A115, $B115, ParametersRange), 1, COLUMN()-2 )</f>
        <v>214.15073100198578</v>
      </c>
      <c r="L115" s="2" cm="1">
        <f t="array" ref="L115">INDEX( ComputeThermoProps($A115, $B115, ParametersRange), 1, COLUMN()-2 )</f>
        <v>-2127.4373872985884</v>
      </c>
      <c r="M115" s="2" cm="1">
        <f t="array" ref="M115">INDEX( ComputeThermoProps($A115, $B115, ParametersRange), 1, COLUMN()-2 )</f>
        <v>38002.898258805792</v>
      </c>
      <c r="N115" s="2" cm="1">
        <f t="array" ref="N115">INDEX( ComputeThermoProps($A115, $B115, ParametersRange), 1, COLUMN()-2 )</f>
        <v>18279.615933522902</v>
      </c>
      <c r="P115">
        <f t="shared" si="3"/>
        <v>36404.510560332208</v>
      </c>
    </row>
    <row r="116" spans="1:16" x14ac:dyDescent="0.25">
      <c r="A116" s="2">
        <v>93.1</v>
      </c>
      <c r="B116" s="2">
        <f t="shared" si="2"/>
        <v>751.69162614166385</v>
      </c>
      <c r="C116" s="2" cm="1">
        <f t="array" ref="C116">INDEX( ComputeThermoProps($A116, $B116, ParametersRange), 1, COLUMN()-2 )</f>
        <v>27.640007846347761</v>
      </c>
      <c r="D116" s="2" cm="1">
        <f t="array" ref="D116">INDEX( ComputeThermoProps($A116, $B116, ParametersRange), 1, COLUMN()-2 )</f>
        <v>-2.4647931865276725E-5</v>
      </c>
      <c r="E116" s="2" cm="1">
        <f t="array" ref="E116">INDEX( ComputeThermoProps($A116, $B116, ParametersRange), 1, COLUMN()-2 )</f>
        <v>2.6160730725690481E-5</v>
      </c>
      <c r="F116" s="2" cm="1">
        <f t="array" ref="F116">INDEX( ComputeThermoProps($A116, $B116, ParametersRange), 1, COLUMN()-2 )</f>
        <v>-1.6321747432159457E-3</v>
      </c>
      <c r="G116" s="2" cm="1">
        <f t="array" ref="G116">INDEX( ComputeThermoProps($A116, $B116, ParametersRange), 1, COLUMN()-2 )</f>
        <v>-134.92219126597121</v>
      </c>
      <c r="H116" s="2" cm="1">
        <f t="array" ref="H116">INDEX( ComputeThermoProps($A116, $B116, ParametersRange), 1, COLUMN()-2 )</f>
        <v>143.20321615306253</v>
      </c>
      <c r="I116" s="2" cm="1">
        <f t="array" ref="I116">INDEX( ComputeThermoProps($A116, $B116, ParametersRange), 1, COLUMN()-2 )</f>
        <v>12.781197877531408</v>
      </c>
      <c r="J116" s="2" cm="1">
        <f t="array" ref="J116">INDEX( ComputeThermoProps($A116, $B116, ParametersRange), 1, COLUMN()-2 )</f>
        <v>17547.080298294077</v>
      </c>
      <c r="K116" s="2" cm="1">
        <f t="array" ref="K116">INDEX( ComputeThermoProps($A116, $B116, ParametersRange), 1, COLUMN()-2 )</f>
        <v>213.41295093649251</v>
      </c>
      <c r="L116" s="2" cm="1">
        <f t="array" ref="L116">INDEX( ComputeThermoProps($A116, $B116, ParametersRange), 1, COLUMN()-2 )</f>
        <v>-2321.6654338933745</v>
      </c>
      <c r="M116" s="2" cm="1">
        <f t="array" ref="M116">INDEX( ComputeThermoProps($A116, $B116, ParametersRange), 1, COLUMN()-2 )</f>
        <v>38323.842742883571</v>
      </c>
      <c r="N116" s="2" cm="1">
        <f t="array" ref="N116">INDEX( ComputeThermoProps($A116, $B116, ParametersRange), 1, COLUMN()-2 )</f>
        <v>18455.097010696121</v>
      </c>
      <c r="P116">
        <f t="shared" si="3"/>
        <v>36725.455044409988</v>
      </c>
    </row>
    <row r="117" spans="1:16" x14ac:dyDescent="0.25">
      <c r="A117" s="2">
        <v>94.1</v>
      </c>
      <c r="B117" s="2">
        <f t="shared" si="2"/>
        <v>766.08882576885821</v>
      </c>
      <c r="C117" s="2" cm="1">
        <f t="array" ref="C117">INDEX( ComputeThermoProps($A117, $B117, ParametersRange), 1, COLUMN()-2 )</f>
        <v>27.604888003035388</v>
      </c>
      <c r="D117" s="2" cm="1">
        <f t="array" ref="D117">INDEX( ComputeThermoProps($A117, $B117, ParametersRange), 1, COLUMN()-2 )</f>
        <v>-2.4749201587235209E-5</v>
      </c>
      <c r="E117" s="2" cm="1">
        <f t="array" ref="E117">INDEX( ComputeThermoProps($A117, $B117, ParametersRange), 1, COLUMN()-2 )</f>
        <v>2.616999747813097E-5</v>
      </c>
      <c r="F117" s="2" cm="1">
        <f t="array" ref="F117">INDEX( ComputeThermoProps($A117, $B117, ParametersRange), 1, COLUMN()-2 )</f>
        <v>-1.6218886923940838E-3</v>
      </c>
      <c r="G117" s="2" cm="1">
        <f t="array" ref="G117">INDEX( ComputeThermoProps($A117, $B117, ParametersRange), 1, COLUMN()-2 )</f>
        <v>-134.19494017628747</v>
      </c>
      <c r="H117" s="2" cm="1">
        <f t="array" ref="H117">INDEX( ComputeThermoProps($A117, $B117, ParametersRange), 1, COLUMN()-2 )</f>
        <v>141.89876928404379</v>
      </c>
      <c r="I117" s="2" cm="1">
        <f t="array" ref="I117">INDEX( ComputeThermoProps($A117, $B117, ParametersRange), 1, COLUMN()-2 )</f>
        <v>12.748738516723209</v>
      </c>
      <c r="J117" s="2" cm="1">
        <f t="array" ref="J117">INDEX( ComputeThermoProps($A117, $B117, ParametersRange), 1, COLUMN()-2 )</f>
        <v>17499.73751592782</v>
      </c>
      <c r="K117" s="2" cm="1">
        <f t="array" ref="K117">INDEX( ComputeThermoProps($A117, $B117, ParametersRange), 1, COLUMN()-2 )</f>
        <v>212.69486500932211</v>
      </c>
      <c r="L117" s="2" cm="1">
        <f t="array" ref="L117">INDEX( ComputeThermoProps($A117, $B117, ParametersRange), 1, COLUMN()-2 )</f>
        <v>-2514.8492814493898</v>
      </c>
      <c r="M117" s="2" cm="1">
        <f t="array" ref="M117">INDEX( ComputeThermoProps($A117, $B117, ParametersRange), 1, COLUMN()-2 )</f>
        <v>38647.533751654038</v>
      </c>
      <c r="N117" s="2" cm="1">
        <f t="array" ref="N117">INDEX( ComputeThermoProps($A117, $B117, ParametersRange), 1, COLUMN()-2 )</f>
        <v>18632.946954276827</v>
      </c>
      <c r="P117">
        <f t="shared" si="3"/>
        <v>37049.146053180455</v>
      </c>
    </row>
    <row r="118" spans="1:16" x14ac:dyDescent="0.25">
      <c r="A118" s="2">
        <v>95.1</v>
      </c>
      <c r="B118" s="2">
        <f t="shared" si="2"/>
        <v>780.5585129482397</v>
      </c>
      <c r="C118" s="2" cm="1">
        <f t="array" ref="C118">INDEX( ComputeThermoProps($A118, $B118, ParametersRange), 1, COLUMN()-2 )</f>
        <v>27.570183379226091</v>
      </c>
      <c r="D118" s="2" cm="1">
        <f t="array" ref="D118">INDEX( ComputeThermoProps($A118, $B118, ParametersRange), 1, COLUMN()-2 )</f>
        <v>-2.4847439806746653E-5</v>
      </c>
      <c r="E118" s="2" cm="1">
        <f t="array" ref="E118">INDEX( ComputeThermoProps($A118, $B118, ParametersRange), 1, COLUMN()-2 )</f>
        <v>2.6177452810208176E-5</v>
      </c>
      <c r="F118" s="2" cm="1">
        <f t="array" ref="F118">INDEX( ComputeThermoProps($A118, $B118, ParametersRange), 1, COLUMN()-2 )</f>
        <v>-1.6117573261089735E-3</v>
      </c>
      <c r="G118" s="2" cm="1">
        <f t="array" ref="G118">INDEX( ComputeThermoProps($A118, $B118, ParametersRange), 1, COLUMN()-2 )</f>
        <v>-133.48650986923448</v>
      </c>
      <c r="H118" s="2" cm="1">
        <f t="array" ref="H118">INDEX( ComputeThermoProps($A118, $B118, ParametersRange), 1, COLUMN()-2 )</f>
        <v>140.63166427120112</v>
      </c>
      <c r="I118" s="2" cm="1">
        <f t="array" ref="I118">INDEX( ComputeThermoProps($A118, $B118, ParametersRange), 1, COLUMN()-2 )</f>
        <v>12.716703461318851</v>
      </c>
      <c r="J118" s="2" cm="1">
        <f t="array" ref="J118">INDEX( ComputeThermoProps($A118, $B118, ParametersRange), 1, COLUMN()-2 )</f>
        <v>17453.790311903187</v>
      </c>
      <c r="K118" s="2" cm="1">
        <f t="array" ref="K118">INDEX( ComputeThermoProps($A118, $B118, ParametersRange), 1, COLUMN()-2 )</f>
        <v>211.99585018784015</v>
      </c>
      <c r="L118" s="2" cm="1">
        <f t="array" ref="L118">INDEX( ComputeThermoProps($A118, $B118, ParametersRange), 1, COLUMN()-2 )</f>
        <v>-2707.0150409604098</v>
      </c>
      <c r="M118" s="2" cm="1">
        <f t="array" ref="M118">INDEX( ComputeThermoProps($A118, $B118, ParametersRange), 1, COLUMN()-2 )</f>
        <v>38973.931652102176</v>
      </c>
      <c r="N118" s="2" cm="1">
        <f t="array" ref="N118">INDEX( ComputeThermoProps($A118, $B118, ParametersRange), 1, COLUMN()-2 )</f>
        <v>18813.126299238578</v>
      </c>
      <c r="P118">
        <f t="shared" si="3"/>
        <v>37375.543953628592</v>
      </c>
    </row>
    <row r="119" spans="1:16" x14ac:dyDescent="0.25">
      <c r="A119" s="2">
        <v>96.1</v>
      </c>
      <c r="B119" s="2">
        <f t="shared" si="2"/>
        <v>795.10003710470664</v>
      </c>
      <c r="C119" s="2" cm="1">
        <f t="array" ref="C119">INDEX( ComputeThermoProps($A119, $B119, ParametersRange), 1, COLUMN()-2 )</f>
        <v>27.535887074444446</v>
      </c>
      <c r="D119" s="2" cm="1">
        <f t="array" ref="D119">INDEX( ComputeThermoProps($A119, $B119, ParametersRange), 1, COLUMN()-2 )</f>
        <v>-2.4942643285843467E-5</v>
      </c>
      <c r="E119" s="2" cm="1">
        <f t="array" ref="E119">INDEX( ComputeThermoProps($A119, $B119, ParametersRange), 1, COLUMN()-2 )</f>
        <v>2.6183129905198448E-5</v>
      </c>
      <c r="F119" s="2" cm="1">
        <f t="array" ref="F119">INDEX( ComputeThermoProps($A119, $B119, ParametersRange), 1, COLUMN()-2 )</f>
        <v>-1.6017751894754062E-3</v>
      </c>
      <c r="G119" s="2" cm="1">
        <f t="array" ref="G119">INDEX( ComputeThermoProps($A119, $B119, ParametersRange), 1, COLUMN()-2 )</f>
        <v>-132.79621457129488</v>
      </c>
      <c r="H119" s="2" cm="1">
        <f t="array" ref="H119">INDEX( ComputeThermoProps($A119, $B119, ParametersRange), 1, COLUMN()-2 )</f>
        <v>139.40064399719219</v>
      </c>
      <c r="I119" s="2" cm="1">
        <f t="array" ref="I119">INDEX( ComputeThermoProps($A119, $B119, ParametersRange), 1, COLUMN()-2 )</f>
        <v>12.685084907092453</v>
      </c>
      <c r="J119" s="2" cm="1">
        <f t="array" ref="J119">INDEX( ComputeThermoProps($A119, $B119, ParametersRange), 1, COLUMN()-2 )</f>
        <v>17409.213143686531</v>
      </c>
      <c r="K119" s="2" cm="1">
        <f t="array" ref="K119">INDEX( ComputeThermoProps($A119, $B119, ParametersRange), 1, COLUMN()-2 )</f>
        <v>211.3153093592376</v>
      </c>
      <c r="L119" s="2" cm="1">
        <f t="array" ref="L119">INDEX( ComputeThermoProps($A119, $B119, ParametersRange), 1, COLUMN()-2 )</f>
        <v>-2898.1880857362012</v>
      </c>
      <c r="M119" s="2" cm="1">
        <f t="array" ref="M119">INDEX( ComputeThermoProps($A119, $B119, ParametersRange), 1, COLUMN()-2 )</f>
        <v>39302.997978288324</v>
      </c>
      <c r="N119" s="2" cm="1">
        <f t="array" ref="N119">INDEX( ComputeThermoProps($A119, $B119, ParametersRange), 1, COLUMN()-2 )</f>
        <v>18995.596748865592</v>
      </c>
      <c r="P119">
        <f t="shared" si="3"/>
        <v>37704.61027981474</v>
      </c>
    </row>
    <row r="120" spans="1:16" x14ac:dyDescent="0.25">
      <c r="A120" s="2">
        <v>97.1</v>
      </c>
      <c r="B120" s="2">
        <f t="shared" si="2"/>
        <v>809.71276230888361</v>
      </c>
      <c r="C120" s="2" cm="1">
        <f t="array" ref="C120">INDEX( ComputeThermoProps($A120, $B120, ParametersRange), 1, COLUMN()-2 )</f>
        <v>27.501992366007265</v>
      </c>
      <c r="D120" s="2" cm="1">
        <f t="array" ref="D120">INDEX( ComputeThermoProps($A120, $B120, ParametersRange), 1, COLUMN()-2 )</f>
        <v>-2.5034810405596357E-5</v>
      </c>
      <c r="E120" s="2" cm="1">
        <f t="array" ref="E120">INDEX( ComputeThermoProps($A120, $B120, ParametersRange), 1, COLUMN()-2 )</f>
        <v>2.6187061626265724E-5</v>
      </c>
      <c r="F120" s="2" cm="1">
        <f t="array" ref="F120">INDEX( ComputeThermoProps($A120, $B120, ParametersRange), 1, COLUMN()-2 )</f>
        <v>-1.591937076478917E-3</v>
      </c>
      <c r="G120" s="2" cm="1">
        <f t="array" ref="G120">INDEX( ComputeThermoProps($A120, $B120, ParametersRange), 1, COLUMN()-2 )</f>
        <v>-132.12339832593779</v>
      </c>
      <c r="H120" s="2" cm="1">
        <f t="array" ref="H120">INDEX( ComputeThermoProps($A120, $B120, ParametersRange), 1, COLUMN()-2 )</f>
        <v>138.20450477466147</v>
      </c>
      <c r="I120" s="2" cm="1">
        <f t="array" ref="I120">INDEX( ComputeThermoProps($A120, $B120, ParametersRange), 1, COLUMN()-2 )</f>
        <v>12.653875262025924</v>
      </c>
      <c r="J120" s="2" cm="1">
        <f t="array" ref="J120">INDEX( ComputeThermoProps($A120, $B120, ParametersRange), 1, COLUMN()-2 )</f>
        <v>17365.981174499331</v>
      </c>
      <c r="K120" s="2" cm="1">
        <f t="array" ref="K120">INDEX( ComputeThermoProps($A120, $B120, ParametersRange), 1, COLUMN()-2 )</f>
        <v>210.65266997159361</v>
      </c>
      <c r="L120" s="2" cm="1">
        <f t="array" ref="L120">INDEX( ComputeThermoProps($A120, $B120, ParametersRange), 1, COLUMN()-2 )</f>
        <v>-3088.3930797424073</v>
      </c>
      <c r="M120" s="2" cm="1">
        <f t="array" ref="M120">INDEX( ComputeThermoProps($A120, $B120, ParametersRange), 1, COLUMN()-2 )</f>
        <v>39634.695382176906</v>
      </c>
      <c r="N120" s="2" cm="1">
        <f t="array" ref="N120">INDEX( ComputeThermoProps($A120, $B120, ParametersRange), 1, COLUMN()-2 )</f>
        <v>19180.321127935167</v>
      </c>
      <c r="P120">
        <f t="shared" si="3"/>
        <v>38036.307683703322</v>
      </c>
    </row>
    <row r="121" spans="1:16" x14ac:dyDescent="0.25">
      <c r="A121" s="2">
        <v>98.1</v>
      </c>
      <c r="B121" s="2">
        <f t="shared" si="2"/>
        <v>824.39606675529956</v>
      </c>
      <c r="C121" s="2" cm="1">
        <f t="array" ref="C121">INDEX( ComputeThermoProps($A121, $B121, ParametersRange), 1, COLUMN()-2 )</f>
        <v>27.468492701392197</v>
      </c>
      <c r="D121" s="2" cm="1">
        <f t="array" ref="D121">INDEX( ComputeThermoProps($A121, $B121, ParametersRange), 1, COLUMN()-2 )</f>
        <v>-2.5123941157413457E-5</v>
      </c>
      <c r="E121" s="2" cm="1">
        <f t="array" ref="E121">INDEX( ComputeThermoProps($A121, $B121, ParametersRange), 1, COLUMN()-2 )</f>
        <v>2.6189280517085749E-5</v>
      </c>
      <c r="F121" s="2" cm="1">
        <f t="array" ref="F121">INDEX( ComputeThermoProps($A121, $B121, ParametersRange), 1, COLUMN()-2 )</f>
        <v>-1.5822380180873863E-3</v>
      </c>
      <c r="G121" s="2" cm="1">
        <f t="array" ref="G121">INDEX( ComputeThermoProps($A121, $B121, ParametersRange), 1, COLUMN()-2 )</f>
        <v>-131.46743349536638</v>
      </c>
      <c r="H121" s="2" cm="1">
        <f t="array" ref="H121">INDEX( ComputeThermoProps($A121, $B121, ParametersRange), 1, COLUMN()-2 )</f>
        <v>137.04209355925471</v>
      </c>
      <c r="I121" s="2" cm="1">
        <f t="array" ref="I121">INDEX( ComputeThermoProps($A121, $B121, ParametersRange), 1, COLUMN()-2 )</f>
        <v>12.62306713736376</v>
      </c>
      <c r="J121" s="2" cm="1">
        <f t="array" ref="J121">INDEX( ComputeThermoProps($A121, $B121, ParametersRange), 1, COLUMN()-2 )</f>
        <v>17324.070244285838</v>
      </c>
      <c r="K121" s="2" cm="1">
        <f t="array" ref="K121">INDEX( ComputeThermoProps($A121, $B121, ParametersRange), 1, COLUMN()-2 )</f>
        <v>210.00738275970963</v>
      </c>
      <c r="L121" s="2" cm="1">
        <f t="array" ref="L121">INDEX( ComputeThermoProps($A121, $B121, ParametersRange), 1, COLUMN()-2 )</f>
        <v>-3277.6540044416752</v>
      </c>
      <c r="M121" s="2" cm="1">
        <f t="array" ref="M121">INDEX( ComputeThermoProps($A121, $B121, ParametersRange), 1, COLUMN()-2 )</f>
        <v>39968.987587010219</v>
      </c>
      <c r="N121" s="2" cm="1">
        <f t="array" ref="N121">INDEX( ComputeThermoProps($A121, $B121, ParametersRange), 1, COLUMN()-2 )</f>
        <v>19367.263338282704</v>
      </c>
      <c r="P121">
        <f t="shared" si="3"/>
        <v>38370.599888536635</v>
      </c>
    </row>
    <row r="122" spans="1:16" x14ac:dyDescent="0.25">
      <c r="A122" s="2">
        <v>99.1</v>
      </c>
      <c r="B122" s="2">
        <f t="shared" si="2"/>
        <v>839.14934226579544</v>
      </c>
      <c r="C122" s="2" cm="1">
        <f t="array" ref="C122">INDEX( ComputeThermoProps($A122, $B122, ParametersRange), 1, COLUMN()-2 )</f>
        <v>27.435381691023114</v>
      </c>
      <c r="D122" s="2" cm="1">
        <f t="array" ref="D122">INDEX( ComputeThermoProps($A122, $B122, ParametersRange), 1, COLUMN()-2 )</f>
        <v>-2.5210037135612979E-5</v>
      </c>
      <c r="E122" s="2" cm="1">
        <f t="array" ref="E122">INDEX( ComputeThermoProps($A122, $B122, ParametersRange), 1, COLUMN()-2 )</f>
        <v>2.618981880222542E-5</v>
      </c>
      <c r="F122" s="2" cm="1">
        <f t="array" ref="F122">INDEX( ComputeThermoProps($A122, $B122, ParametersRange), 1, COLUMN()-2 )</f>
        <v>-1.5726732711336658E-3</v>
      </c>
      <c r="G122" s="2" cm="1">
        <f t="array" ref="G122">INDEX( ComputeThermoProps($A122, $B122, ParametersRange), 1, COLUMN()-2 )</f>
        <v>-130.82771936235866</v>
      </c>
      <c r="H122" s="2" cm="1">
        <f t="array" ref="H122">INDEX( ComputeThermoProps($A122, $B122, ParametersRange), 1, COLUMN()-2 )</f>
        <v>135.91230532414923</v>
      </c>
      <c r="I122" s="2" cm="1">
        <f t="array" ref="I122">INDEX( ComputeThermoProps($A122, $B122, ParametersRange), 1, COLUMN()-2 )</f>
        <v>12.592653339151916</v>
      </c>
      <c r="J122" s="2" cm="1">
        <f t="array" ref="J122">INDEX( ComputeThermoProps($A122, $B122, ParametersRange), 1, COLUMN()-2 )</f>
        <v>17283.456842240124</v>
      </c>
      <c r="K122" s="2" cm="1">
        <f t="array" ref="K122">INDEX( ComputeThermoProps($A122, $B122, ParametersRange), 1, COLUMN()-2 )</f>
        <v>209.37892054964669</v>
      </c>
      <c r="L122" s="2" cm="1">
        <f t="array" ref="L122">INDEX( ComputeThermoProps($A122, $B122, ParametersRange), 1, COLUMN()-2 )</f>
        <v>-3465.9941842298617</v>
      </c>
      <c r="M122" s="2" cm="1">
        <f t="array" ref="M122">INDEX( ComputeThermoProps($A122, $B122, ParametersRange), 1, COLUMN()-2 )</f>
        <v>40305.839343073218</v>
      </c>
      <c r="N122" s="2" cm="1">
        <f t="array" ref="N122">INDEX( ComputeThermoProps($A122, $B122, ParametersRange), 1, COLUMN()-2 )</f>
        <v>19556.388316603232</v>
      </c>
      <c r="P122">
        <f t="shared" si="3"/>
        <v>38707.451644599634</v>
      </c>
    </row>
    <row r="123" spans="1:1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F19B5-C3C8-45ED-A28F-6406FE2B8453}">
  <dimension ref="A1:X107"/>
  <sheetViews>
    <sheetView topLeftCell="P1" zoomScale="205" zoomScaleNormal="205" workbookViewId="0">
      <selection activeCell="R1" sqref="R1:S35"/>
    </sheetView>
  </sheetViews>
  <sheetFormatPr defaultRowHeight="15" x14ac:dyDescent="0.25"/>
  <cols>
    <col min="3" max="3" width="13" customWidth="1"/>
    <col min="4" max="4" width="12.28515625" customWidth="1"/>
    <col min="8" max="8" width="13" customWidth="1"/>
    <col min="9" max="9" width="27.42578125" customWidth="1"/>
    <col min="13" max="13" width="13" customWidth="1"/>
    <col min="14" max="14" width="13.85546875" customWidth="1"/>
    <col min="18" max="18" width="13" customWidth="1"/>
    <col min="23" max="23" width="12.7109375" customWidth="1"/>
  </cols>
  <sheetData>
    <row r="1" spans="1:24" x14ac:dyDescent="0.25">
      <c r="A1" t="s">
        <v>87</v>
      </c>
      <c r="B1" t="s">
        <v>88</v>
      </c>
      <c r="C1" t="s">
        <v>89</v>
      </c>
      <c r="D1" t="s">
        <v>90</v>
      </c>
      <c r="F1" t="s">
        <v>87</v>
      </c>
      <c r="G1" t="s">
        <v>88</v>
      </c>
      <c r="H1" t="s">
        <v>89</v>
      </c>
      <c r="I1" t="s">
        <v>102</v>
      </c>
      <c r="K1" t="s">
        <v>87</v>
      </c>
      <c r="L1" t="s">
        <v>88</v>
      </c>
      <c r="M1" t="s">
        <v>89</v>
      </c>
      <c r="N1" t="s">
        <v>104</v>
      </c>
      <c r="P1" t="s">
        <v>87</v>
      </c>
      <c r="Q1" t="s">
        <v>88</v>
      </c>
      <c r="R1" t="s">
        <v>89</v>
      </c>
      <c r="S1" t="s">
        <v>106</v>
      </c>
      <c r="U1" t="s">
        <v>87</v>
      </c>
      <c r="V1" t="s">
        <v>88</v>
      </c>
      <c r="W1" t="s">
        <v>89</v>
      </c>
      <c r="X1" t="s">
        <v>109</v>
      </c>
    </row>
    <row r="2" spans="1:24" x14ac:dyDescent="0.25">
      <c r="A2">
        <v>1975</v>
      </c>
      <c r="B2" t="s">
        <v>96</v>
      </c>
      <c r="C2">
        <v>0.5</v>
      </c>
      <c r="D2">
        <v>13.391</v>
      </c>
      <c r="F2">
        <v>1975</v>
      </c>
      <c r="G2" t="s">
        <v>96</v>
      </c>
      <c r="H2">
        <v>0.5</v>
      </c>
      <c r="I2" s="5">
        <v>1.0050000000000001E-7</v>
      </c>
      <c r="K2">
        <v>1966</v>
      </c>
      <c r="L2" t="s">
        <v>105</v>
      </c>
      <c r="M2">
        <v>1</v>
      </c>
      <c r="P2">
        <v>1970</v>
      </c>
      <c r="Q2" t="s">
        <v>107</v>
      </c>
      <c r="R2">
        <v>2</v>
      </c>
      <c r="S2">
        <v>8.8500000000000004E-4</v>
      </c>
      <c r="U2">
        <v>1971</v>
      </c>
      <c r="V2" t="s">
        <v>110</v>
      </c>
      <c r="W2">
        <v>0.5</v>
      </c>
      <c r="X2">
        <v>8.8500000000000004E-4</v>
      </c>
    </row>
    <row r="3" spans="1:24" x14ac:dyDescent="0.25">
      <c r="A3">
        <v>1975</v>
      </c>
      <c r="B3" t="s">
        <v>96</v>
      </c>
      <c r="C3">
        <v>1</v>
      </c>
      <c r="D3">
        <v>13.391</v>
      </c>
      <c r="F3">
        <v>1975</v>
      </c>
      <c r="G3" t="s">
        <v>96</v>
      </c>
      <c r="H3">
        <v>1</v>
      </c>
      <c r="I3" s="5">
        <v>8.0689999999999995E-7</v>
      </c>
      <c r="K3">
        <v>1966</v>
      </c>
      <c r="L3" t="s">
        <v>105</v>
      </c>
      <c r="M3">
        <v>2</v>
      </c>
      <c r="P3">
        <v>1970</v>
      </c>
      <c r="Q3" t="s">
        <v>107</v>
      </c>
      <c r="R3">
        <v>3</v>
      </c>
      <c r="S3">
        <v>8.8599999999999996E-4</v>
      </c>
      <c r="U3">
        <v>1971</v>
      </c>
      <c r="V3" t="s">
        <v>110</v>
      </c>
      <c r="W3">
        <v>1</v>
      </c>
      <c r="X3">
        <v>8.8500000000000004E-4</v>
      </c>
    </row>
    <row r="4" spans="1:24" x14ac:dyDescent="0.25">
      <c r="A4">
        <v>1975</v>
      </c>
      <c r="B4" t="s">
        <v>96</v>
      </c>
      <c r="C4">
        <v>1.5</v>
      </c>
      <c r="D4">
        <v>13.391</v>
      </c>
      <c r="F4">
        <v>1975</v>
      </c>
      <c r="G4" t="s">
        <v>96</v>
      </c>
      <c r="H4">
        <v>1.5</v>
      </c>
      <c r="I4" s="5">
        <v>2.734E-6</v>
      </c>
      <c r="K4">
        <v>1966</v>
      </c>
      <c r="L4" t="s">
        <v>105</v>
      </c>
      <c r="M4">
        <v>3</v>
      </c>
      <c r="P4">
        <v>1967</v>
      </c>
      <c r="Q4" t="s">
        <v>94</v>
      </c>
      <c r="R4">
        <v>4</v>
      </c>
      <c r="S4">
        <v>8.9999999999999998E-4</v>
      </c>
      <c r="U4">
        <v>1971</v>
      </c>
      <c r="V4" t="s">
        <v>110</v>
      </c>
      <c r="W4">
        <v>1.5</v>
      </c>
      <c r="X4">
        <v>8.8500000000000004E-4</v>
      </c>
    </row>
    <row r="5" spans="1:24" x14ac:dyDescent="0.25">
      <c r="A5">
        <v>1975</v>
      </c>
      <c r="B5" t="s">
        <v>96</v>
      </c>
      <c r="C5">
        <v>2</v>
      </c>
      <c r="D5">
        <v>13.391</v>
      </c>
      <c r="F5">
        <v>1975</v>
      </c>
      <c r="G5" t="s">
        <v>96</v>
      </c>
      <c r="H5">
        <v>2</v>
      </c>
      <c r="I5" s="5">
        <v>6.5369999999999901E-6</v>
      </c>
      <c r="K5">
        <v>1966</v>
      </c>
      <c r="L5" t="s">
        <v>105</v>
      </c>
      <c r="M5">
        <v>4</v>
      </c>
      <c r="P5">
        <v>1970</v>
      </c>
      <c r="Q5" t="s">
        <v>107</v>
      </c>
      <c r="R5">
        <v>4</v>
      </c>
      <c r="S5">
        <v>8.8800000000000001E-4</v>
      </c>
      <c r="U5">
        <v>1971</v>
      </c>
      <c r="V5" t="s">
        <v>110</v>
      </c>
      <c r="W5">
        <v>2</v>
      </c>
      <c r="X5">
        <v>8.8500000000000004E-4</v>
      </c>
    </row>
    <row r="6" spans="1:24" x14ac:dyDescent="0.25">
      <c r="A6">
        <v>1975</v>
      </c>
      <c r="B6" t="s">
        <v>96</v>
      </c>
      <c r="C6">
        <v>2.5</v>
      </c>
      <c r="D6">
        <v>13.391</v>
      </c>
      <c r="F6">
        <v>1973</v>
      </c>
      <c r="G6" t="s">
        <v>96</v>
      </c>
      <c r="H6">
        <v>2.5</v>
      </c>
      <c r="I6" s="5">
        <v>4.3239999999999996E-6</v>
      </c>
      <c r="K6">
        <v>1966</v>
      </c>
      <c r="L6" t="s">
        <v>105</v>
      </c>
      <c r="M6">
        <v>5</v>
      </c>
      <c r="P6">
        <v>1972</v>
      </c>
      <c r="Q6" t="s">
        <v>108</v>
      </c>
      <c r="R6">
        <v>4.2</v>
      </c>
      <c r="S6">
        <v>9.1100000000000003E-4</v>
      </c>
      <c r="U6">
        <v>1971</v>
      </c>
      <c r="V6" t="s">
        <v>110</v>
      </c>
      <c r="W6">
        <v>2.5</v>
      </c>
      <c r="X6">
        <v>8.8500000000000004E-4</v>
      </c>
    </row>
    <row r="7" spans="1:24" x14ac:dyDescent="0.25">
      <c r="A7">
        <v>1967</v>
      </c>
      <c r="B7" t="s">
        <v>94</v>
      </c>
      <c r="C7">
        <v>3</v>
      </c>
      <c r="D7">
        <v>13.3888667728237</v>
      </c>
      <c r="F7">
        <v>1975</v>
      </c>
      <c r="G7" t="s">
        <v>96</v>
      </c>
      <c r="H7">
        <v>2.5</v>
      </c>
      <c r="I7" s="5">
        <v>1.3019999999999901E-5</v>
      </c>
      <c r="K7">
        <v>1966</v>
      </c>
      <c r="L7" t="s">
        <v>105</v>
      </c>
      <c r="M7">
        <v>6</v>
      </c>
      <c r="P7">
        <v>1969</v>
      </c>
      <c r="Q7" t="s">
        <v>100</v>
      </c>
      <c r="R7">
        <v>4.7</v>
      </c>
      <c r="S7">
        <v>8.8999999999999995E-4</v>
      </c>
      <c r="U7">
        <v>1971</v>
      </c>
      <c r="V7" t="s">
        <v>110</v>
      </c>
      <c r="W7">
        <v>3</v>
      </c>
      <c r="X7">
        <v>8.8599999999999996E-4</v>
      </c>
    </row>
    <row r="8" spans="1:24" x14ac:dyDescent="0.25">
      <c r="A8">
        <v>1965</v>
      </c>
      <c r="B8" t="s">
        <v>94</v>
      </c>
      <c r="C8">
        <v>3</v>
      </c>
      <c r="D8">
        <v>13.389200000000001</v>
      </c>
      <c r="F8">
        <v>1973</v>
      </c>
      <c r="G8" t="s">
        <v>96</v>
      </c>
      <c r="H8">
        <v>3</v>
      </c>
      <c r="I8" s="5">
        <v>7.7309999999999993E-6</v>
      </c>
      <c r="K8">
        <v>1966</v>
      </c>
      <c r="L8" t="s">
        <v>105</v>
      </c>
      <c r="M8">
        <v>7</v>
      </c>
      <c r="P8">
        <v>1970</v>
      </c>
      <c r="Q8" t="s">
        <v>107</v>
      </c>
      <c r="R8">
        <v>5</v>
      </c>
      <c r="S8">
        <v>8.9099999999999997E-4</v>
      </c>
      <c r="U8">
        <v>1971</v>
      </c>
      <c r="V8" t="s">
        <v>110</v>
      </c>
      <c r="W8">
        <v>3.5</v>
      </c>
      <c r="X8">
        <v>8.8699999999999998E-4</v>
      </c>
    </row>
    <row r="9" spans="1:24" x14ac:dyDescent="0.25">
      <c r="A9">
        <v>1975</v>
      </c>
      <c r="B9" t="s">
        <v>96</v>
      </c>
      <c r="C9">
        <v>3</v>
      </c>
      <c r="D9">
        <v>13.391</v>
      </c>
      <c r="F9">
        <v>1971</v>
      </c>
      <c r="G9" t="s">
        <v>103</v>
      </c>
      <c r="H9">
        <v>3</v>
      </c>
      <c r="I9" s="5">
        <v>1.8E-5</v>
      </c>
      <c r="K9">
        <v>1966</v>
      </c>
      <c r="L9" t="s">
        <v>105</v>
      </c>
      <c r="M9">
        <v>8</v>
      </c>
      <c r="P9">
        <v>1967</v>
      </c>
      <c r="Q9" t="s">
        <v>94</v>
      </c>
      <c r="R9">
        <v>6</v>
      </c>
      <c r="S9">
        <v>9.1E-4</v>
      </c>
      <c r="U9">
        <v>1971</v>
      </c>
      <c r="V9" t="s">
        <v>110</v>
      </c>
      <c r="W9">
        <v>4</v>
      </c>
      <c r="X9">
        <v>8.8699999999999998E-4</v>
      </c>
    </row>
    <row r="10" spans="1:24" x14ac:dyDescent="0.25">
      <c r="A10">
        <v>1965</v>
      </c>
      <c r="B10" t="s">
        <v>94</v>
      </c>
      <c r="C10">
        <v>3.5</v>
      </c>
      <c r="D10">
        <v>13.3894</v>
      </c>
      <c r="F10">
        <v>1975</v>
      </c>
      <c r="G10" t="s">
        <v>96</v>
      </c>
      <c r="H10">
        <v>3</v>
      </c>
      <c r="I10" s="5">
        <v>2.319E-5</v>
      </c>
      <c r="K10">
        <v>1966</v>
      </c>
      <c r="L10" t="s">
        <v>105</v>
      </c>
      <c r="M10">
        <v>9</v>
      </c>
      <c r="P10">
        <v>1970</v>
      </c>
      <c r="Q10" t="s">
        <v>107</v>
      </c>
      <c r="R10">
        <v>6</v>
      </c>
      <c r="S10">
        <v>8.9599999999999999E-4</v>
      </c>
      <c r="U10">
        <v>1971</v>
      </c>
      <c r="V10" t="s">
        <v>110</v>
      </c>
      <c r="W10">
        <v>4.5</v>
      </c>
      <c r="X10">
        <v>8.8800000000000001E-4</v>
      </c>
    </row>
    <row r="11" spans="1:24" x14ac:dyDescent="0.25">
      <c r="A11">
        <v>1975</v>
      </c>
      <c r="B11" t="s">
        <v>96</v>
      </c>
      <c r="C11">
        <v>3.5</v>
      </c>
      <c r="D11">
        <v>13.391</v>
      </c>
      <c r="F11">
        <v>1967</v>
      </c>
      <c r="G11" t="s">
        <v>94</v>
      </c>
      <c r="H11">
        <v>3</v>
      </c>
      <c r="I11" s="5">
        <v>1.7999999999999999E-6</v>
      </c>
      <c r="K11">
        <v>1966</v>
      </c>
      <c r="L11" t="s">
        <v>105</v>
      </c>
      <c r="M11">
        <v>10</v>
      </c>
      <c r="P11">
        <v>1970</v>
      </c>
      <c r="Q11" t="s">
        <v>107</v>
      </c>
      <c r="R11">
        <v>7</v>
      </c>
      <c r="S11">
        <v>9.0300000000000005E-4</v>
      </c>
      <c r="U11">
        <v>1971</v>
      </c>
      <c r="V11" t="s">
        <v>110</v>
      </c>
      <c r="W11">
        <v>5</v>
      </c>
      <c r="X11">
        <v>8.8900000000000003E-4</v>
      </c>
    </row>
    <row r="12" spans="1:24" x14ac:dyDescent="0.25">
      <c r="A12">
        <v>1967</v>
      </c>
      <c r="B12" t="s">
        <v>94</v>
      </c>
      <c r="C12">
        <v>4</v>
      </c>
      <c r="D12">
        <v>13.3888667728237</v>
      </c>
      <c r="F12">
        <v>1973</v>
      </c>
      <c r="G12" t="s">
        <v>96</v>
      </c>
      <c r="H12">
        <v>3.5</v>
      </c>
      <c r="I12" s="5">
        <v>1.279E-5</v>
      </c>
      <c r="K12">
        <v>1966</v>
      </c>
      <c r="L12" t="s">
        <v>105</v>
      </c>
      <c r="M12">
        <v>11</v>
      </c>
      <c r="P12">
        <v>1967</v>
      </c>
      <c r="Q12" t="s">
        <v>94</v>
      </c>
      <c r="R12">
        <v>8</v>
      </c>
      <c r="S12">
        <v>9.2000000000000003E-4</v>
      </c>
      <c r="U12">
        <v>1975</v>
      </c>
      <c r="V12" t="s">
        <v>112</v>
      </c>
      <c r="W12">
        <v>5</v>
      </c>
      <c r="X12">
        <v>8.8999999999999995E-4</v>
      </c>
    </row>
    <row r="13" spans="1:24" x14ac:dyDescent="0.25">
      <c r="A13">
        <v>1965</v>
      </c>
      <c r="B13" t="s">
        <v>94</v>
      </c>
      <c r="C13">
        <v>4</v>
      </c>
      <c r="D13">
        <v>13.389699999999999</v>
      </c>
      <c r="F13">
        <v>1975</v>
      </c>
      <c r="G13" t="s">
        <v>96</v>
      </c>
      <c r="H13">
        <v>3.5</v>
      </c>
      <c r="I13" s="5">
        <v>3.8349999999999997E-5</v>
      </c>
      <c r="K13">
        <v>1966</v>
      </c>
      <c r="L13" t="s">
        <v>105</v>
      </c>
      <c r="M13">
        <v>12</v>
      </c>
      <c r="P13">
        <v>1970</v>
      </c>
      <c r="Q13" t="s">
        <v>107</v>
      </c>
      <c r="R13">
        <v>8</v>
      </c>
      <c r="S13">
        <v>9.1299999999999997E-4</v>
      </c>
      <c r="U13">
        <v>1972</v>
      </c>
      <c r="V13" t="s">
        <v>114</v>
      </c>
      <c r="W13">
        <v>5</v>
      </c>
      <c r="X13">
        <v>8.9800000000000004E-4</v>
      </c>
    </row>
    <row r="14" spans="1:24" x14ac:dyDescent="0.25">
      <c r="A14">
        <v>1975</v>
      </c>
      <c r="B14" t="s">
        <v>96</v>
      </c>
      <c r="C14">
        <v>4</v>
      </c>
      <c r="D14">
        <v>13.391999999999999</v>
      </c>
      <c r="F14">
        <v>1973</v>
      </c>
      <c r="G14" t="s">
        <v>96</v>
      </c>
      <c r="H14">
        <v>3.7480000000000002</v>
      </c>
      <c r="I14" s="5">
        <v>1.6079999999999999E-5</v>
      </c>
      <c r="K14">
        <v>1936</v>
      </c>
      <c r="L14" t="s">
        <v>93</v>
      </c>
      <c r="M14">
        <v>12.3</v>
      </c>
      <c r="N14">
        <v>8.7027199999999993</v>
      </c>
      <c r="P14">
        <v>1970</v>
      </c>
      <c r="Q14" t="s">
        <v>107</v>
      </c>
      <c r="R14">
        <v>9</v>
      </c>
      <c r="S14">
        <v>9.2599999999999996E-4</v>
      </c>
      <c r="U14">
        <v>1971</v>
      </c>
      <c r="V14" t="s">
        <v>110</v>
      </c>
      <c r="W14">
        <v>5.5</v>
      </c>
      <c r="X14">
        <v>8.8999999999999995E-4</v>
      </c>
    </row>
    <row r="15" spans="1:24" x14ac:dyDescent="0.25">
      <c r="A15">
        <v>1961</v>
      </c>
      <c r="B15" t="s">
        <v>91</v>
      </c>
      <c r="C15">
        <v>4.2</v>
      </c>
      <c r="D15">
        <v>13.392555932965401</v>
      </c>
      <c r="F15">
        <v>1973</v>
      </c>
      <c r="G15" t="s">
        <v>96</v>
      </c>
      <c r="H15">
        <v>3.7496</v>
      </c>
      <c r="I15" s="5">
        <v>1.6759999999999999E-5</v>
      </c>
      <c r="K15">
        <v>1966</v>
      </c>
      <c r="L15" t="s">
        <v>105</v>
      </c>
      <c r="M15">
        <v>13</v>
      </c>
      <c r="N15">
        <v>9.74</v>
      </c>
      <c r="P15">
        <v>1967</v>
      </c>
      <c r="Q15" t="s">
        <v>94</v>
      </c>
      <c r="R15">
        <v>10</v>
      </c>
      <c r="S15">
        <v>9.3999999999999997E-4</v>
      </c>
      <c r="U15">
        <v>1971</v>
      </c>
      <c r="V15" t="s">
        <v>110</v>
      </c>
      <c r="W15">
        <v>6</v>
      </c>
      <c r="X15">
        <v>8.9099999999999997E-4</v>
      </c>
    </row>
    <row r="16" spans="1:24" x14ac:dyDescent="0.25">
      <c r="A16">
        <v>1962</v>
      </c>
      <c r="B16" t="s">
        <v>92</v>
      </c>
      <c r="C16">
        <v>4.2</v>
      </c>
      <c r="D16">
        <v>13.376361792117001</v>
      </c>
      <c r="F16">
        <v>1971</v>
      </c>
      <c r="G16" t="s">
        <v>103</v>
      </c>
      <c r="H16">
        <v>4</v>
      </c>
      <c r="I16" s="5">
        <v>6.0000000000000002E-5</v>
      </c>
      <c r="K16">
        <v>1936</v>
      </c>
      <c r="L16" t="s">
        <v>93</v>
      </c>
      <c r="M16">
        <v>13.1</v>
      </c>
      <c r="N16">
        <v>9.7487200000000005</v>
      </c>
      <c r="P16">
        <v>1970</v>
      </c>
      <c r="Q16" t="s">
        <v>107</v>
      </c>
      <c r="R16">
        <v>10</v>
      </c>
      <c r="S16">
        <v>9.4200000000000002E-4</v>
      </c>
      <c r="U16">
        <v>1971</v>
      </c>
      <c r="V16" t="s">
        <v>110</v>
      </c>
      <c r="W16">
        <v>6.5</v>
      </c>
      <c r="X16">
        <v>8.9300000000000002E-4</v>
      </c>
    </row>
    <row r="17" spans="1:24" x14ac:dyDescent="0.25">
      <c r="A17">
        <v>1962</v>
      </c>
      <c r="B17" t="s">
        <v>92</v>
      </c>
      <c r="C17">
        <v>4.2</v>
      </c>
      <c r="D17">
        <v>13.3781604960759</v>
      </c>
      <c r="F17">
        <v>1975</v>
      </c>
      <c r="G17" t="s">
        <v>96</v>
      </c>
      <c r="H17">
        <v>4</v>
      </c>
      <c r="I17" s="5">
        <v>5.9969999999999997E-5</v>
      </c>
      <c r="K17">
        <v>1966</v>
      </c>
      <c r="L17" t="s">
        <v>105</v>
      </c>
      <c r="M17">
        <v>14</v>
      </c>
      <c r="N17">
        <v>11.09</v>
      </c>
      <c r="P17">
        <v>1970</v>
      </c>
      <c r="Q17" t="s">
        <v>107</v>
      </c>
      <c r="R17">
        <v>11</v>
      </c>
      <c r="S17">
        <v>9.6199999999999996E-4</v>
      </c>
      <c r="U17">
        <v>1971</v>
      </c>
      <c r="V17" t="s">
        <v>110</v>
      </c>
      <c r="W17">
        <v>7</v>
      </c>
      <c r="X17">
        <v>8.9400000000000005E-4</v>
      </c>
    </row>
    <row r="18" spans="1:24" x14ac:dyDescent="0.25">
      <c r="A18">
        <v>1962</v>
      </c>
      <c r="B18" t="s">
        <v>92</v>
      </c>
      <c r="C18">
        <v>4.2</v>
      </c>
      <c r="D18">
        <v>13.302753667575899</v>
      </c>
      <c r="F18">
        <v>1967</v>
      </c>
      <c r="G18" t="s">
        <v>94</v>
      </c>
      <c r="H18">
        <v>4</v>
      </c>
      <c r="I18" s="5">
        <v>6.0000000000000002E-5</v>
      </c>
      <c r="K18">
        <v>1936</v>
      </c>
      <c r="L18" t="s">
        <v>93</v>
      </c>
      <c r="M18">
        <v>14.71</v>
      </c>
      <c r="N18">
        <v>11.673360000000001</v>
      </c>
      <c r="P18">
        <v>1967</v>
      </c>
      <c r="Q18" t="s">
        <v>94</v>
      </c>
      <c r="R18">
        <v>12</v>
      </c>
      <c r="S18">
        <v>9.6000000000000002E-4</v>
      </c>
      <c r="U18">
        <v>1971</v>
      </c>
      <c r="V18" t="s">
        <v>110</v>
      </c>
      <c r="W18">
        <v>7.5</v>
      </c>
      <c r="X18">
        <v>8.9800000000000004E-4</v>
      </c>
    </row>
    <row r="19" spans="1:24" x14ac:dyDescent="0.25">
      <c r="A19">
        <v>1973</v>
      </c>
      <c r="B19" t="s">
        <v>97</v>
      </c>
      <c r="C19">
        <v>4.2</v>
      </c>
      <c r="D19">
        <v>13.394</v>
      </c>
      <c r="F19">
        <v>1973</v>
      </c>
      <c r="G19" t="s">
        <v>96</v>
      </c>
      <c r="H19">
        <v>4.2497999999999996</v>
      </c>
      <c r="I19" s="5">
        <v>2.5550000000000001E-5</v>
      </c>
      <c r="K19">
        <v>1966</v>
      </c>
      <c r="L19" t="s">
        <v>105</v>
      </c>
      <c r="M19">
        <v>15</v>
      </c>
      <c r="N19">
        <v>12.42</v>
      </c>
      <c r="P19">
        <v>1970</v>
      </c>
      <c r="Q19" t="s">
        <v>107</v>
      </c>
      <c r="R19">
        <v>12</v>
      </c>
      <c r="S19">
        <v>9.8700000000000003E-4</v>
      </c>
      <c r="U19">
        <v>1971</v>
      </c>
      <c r="V19" t="s">
        <v>110</v>
      </c>
      <c r="W19">
        <v>8</v>
      </c>
      <c r="X19">
        <v>8.9999999999999998E-4</v>
      </c>
    </row>
    <row r="20" spans="1:24" x14ac:dyDescent="0.25">
      <c r="A20">
        <v>1965</v>
      </c>
      <c r="B20" t="s">
        <v>94</v>
      </c>
      <c r="C20">
        <v>4.25</v>
      </c>
      <c r="D20">
        <v>13.3083096995116</v>
      </c>
      <c r="F20">
        <v>1973</v>
      </c>
      <c r="G20" t="s">
        <v>96</v>
      </c>
      <c r="H20">
        <v>4.4980000000000002</v>
      </c>
      <c r="I20" s="5">
        <v>2.9859999999999999E-5</v>
      </c>
      <c r="K20">
        <v>1966</v>
      </c>
      <c r="L20" t="s">
        <v>105</v>
      </c>
      <c r="M20">
        <v>16</v>
      </c>
      <c r="N20">
        <v>13.71</v>
      </c>
      <c r="P20">
        <v>1970</v>
      </c>
      <c r="Q20" t="s">
        <v>107</v>
      </c>
      <c r="R20">
        <v>13</v>
      </c>
      <c r="S20">
        <v>1.0200000000000001E-3</v>
      </c>
      <c r="U20">
        <v>1971</v>
      </c>
      <c r="V20" t="s">
        <v>110</v>
      </c>
      <c r="W20">
        <v>8.5</v>
      </c>
      <c r="X20">
        <v>9.0300000000000005E-4</v>
      </c>
    </row>
    <row r="21" spans="1:24" x14ac:dyDescent="0.25">
      <c r="A21">
        <v>1965</v>
      </c>
      <c r="B21" t="s">
        <v>94</v>
      </c>
      <c r="C21">
        <v>4.5</v>
      </c>
      <c r="D21">
        <v>13.3902</v>
      </c>
      <c r="F21">
        <v>1975</v>
      </c>
      <c r="G21" t="s">
        <v>96</v>
      </c>
      <c r="H21">
        <v>4.5</v>
      </c>
      <c r="I21" s="5">
        <v>8.9549999999999995E-5</v>
      </c>
      <c r="K21">
        <v>1936</v>
      </c>
      <c r="L21" t="s">
        <v>93</v>
      </c>
      <c r="M21">
        <v>16.63</v>
      </c>
      <c r="N21">
        <v>14.016400000000001</v>
      </c>
      <c r="P21">
        <v>1972</v>
      </c>
      <c r="Q21" t="s">
        <v>108</v>
      </c>
      <c r="R21">
        <v>13.5</v>
      </c>
      <c r="S21">
        <v>9.7400000000000004E-4</v>
      </c>
      <c r="U21">
        <v>1971</v>
      </c>
      <c r="V21" t="s">
        <v>110</v>
      </c>
      <c r="W21">
        <v>9</v>
      </c>
      <c r="X21">
        <v>9.0700000000000004E-4</v>
      </c>
    </row>
    <row r="22" spans="1:24" x14ac:dyDescent="0.25">
      <c r="A22">
        <v>1975</v>
      </c>
      <c r="B22" t="s">
        <v>96</v>
      </c>
      <c r="C22">
        <v>4.5</v>
      </c>
      <c r="D22">
        <v>13.391999999999999</v>
      </c>
      <c r="F22">
        <v>1973</v>
      </c>
      <c r="G22" t="s">
        <v>96</v>
      </c>
      <c r="H22">
        <v>5</v>
      </c>
      <c r="I22" s="5">
        <v>4.4549999999999999E-5</v>
      </c>
      <c r="K22">
        <v>1966</v>
      </c>
      <c r="L22" t="s">
        <v>105</v>
      </c>
      <c r="M22">
        <v>17</v>
      </c>
      <c r="N22">
        <v>15.01</v>
      </c>
      <c r="P22">
        <v>1967</v>
      </c>
      <c r="Q22" t="s">
        <v>94</v>
      </c>
      <c r="R22">
        <v>14</v>
      </c>
      <c r="S22">
        <v>1E-3</v>
      </c>
      <c r="U22">
        <v>1971</v>
      </c>
      <c r="V22" t="s">
        <v>110</v>
      </c>
      <c r="W22">
        <v>9.5</v>
      </c>
      <c r="X22">
        <v>9.1200000000000005E-4</v>
      </c>
    </row>
    <row r="23" spans="1:24" x14ac:dyDescent="0.25">
      <c r="A23">
        <v>1992</v>
      </c>
      <c r="B23" t="s">
        <v>98</v>
      </c>
      <c r="C23">
        <v>4.7</v>
      </c>
      <c r="D23">
        <v>13.39</v>
      </c>
      <c r="F23">
        <v>1971</v>
      </c>
      <c r="G23" t="s">
        <v>103</v>
      </c>
      <c r="H23">
        <v>5</v>
      </c>
      <c r="I23">
        <v>1.3799999999999999E-4</v>
      </c>
      <c r="K23">
        <v>1966</v>
      </c>
      <c r="L23" t="s">
        <v>105</v>
      </c>
      <c r="M23">
        <v>18</v>
      </c>
      <c r="N23">
        <v>16.350000000000001</v>
      </c>
      <c r="P23">
        <v>1970</v>
      </c>
      <c r="Q23" t="s">
        <v>107</v>
      </c>
      <c r="R23">
        <v>14</v>
      </c>
      <c r="S23">
        <v>1.0499999999999999E-3</v>
      </c>
      <c r="U23">
        <v>1971</v>
      </c>
      <c r="V23" t="s">
        <v>110</v>
      </c>
      <c r="W23">
        <v>10</v>
      </c>
      <c r="X23">
        <v>9.1699999999999995E-4</v>
      </c>
    </row>
    <row r="24" spans="1:24" x14ac:dyDescent="0.25">
      <c r="A24">
        <v>1968</v>
      </c>
      <c r="B24" t="s">
        <v>100</v>
      </c>
      <c r="C24">
        <v>4.7</v>
      </c>
      <c r="D24">
        <v>13.3745632493901</v>
      </c>
      <c r="F24">
        <v>1975</v>
      </c>
      <c r="G24" t="s">
        <v>96</v>
      </c>
      <c r="H24">
        <v>5</v>
      </c>
      <c r="I24">
        <v>1.283E-4</v>
      </c>
      <c r="K24">
        <v>1936</v>
      </c>
      <c r="L24" t="s">
        <v>93</v>
      </c>
      <c r="M24">
        <v>18.54</v>
      </c>
      <c r="N24">
        <v>16.066559999999999</v>
      </c>
      <c r="P24">
        <v>1970</v>
      </c>
      <c r="Q24" t="s">
        <v>107</v>
      </c>
      <c r="R24">
        <v>15</v>
      </c>
      <c r="S24">
        <v>1.1000000000000001E-3</v>
      </c>
      <c r="U24">
        <v>1971</v>
      </c>
      <c r="V24" t="s">
        <v>110</v>
      </c>
      <c r="W24">
        <v>11</v>
      </c>
      <c r="X24">
        <v>9.2800000000000001E-4</v>
      </c>
    </row>
    <row r="25" spans="1:24" x14ac:dyDescent="0.25">
      <c r="A25">
        <v>1967</v>
      </c>
      <c r="B25" t="s">
        <v>94</v>
      </c>
      <c r="C25">
        <v>5</v>
      </c>
      <c r="D25">
        <v>13.390643662906401</v>
      </c>
      <c r="F25">
        <v>1967</v>
      </c>
      <c r="G25" t="s">
        <v>94</v>
      </c>
      <c r="H25">
        <v>5</v>
      </c>
      <c r="I25">
        <v>1.3799999999999999E-4</v>
      </c>
      <c r="K25">
        <v>1936</v>
      </c>
      <c r="L25" t="s">
        <v>93</v>
      </c>
      <c r="M25">
        <v>18.850000000000001</v>
      </c>
      <c r="N25">
        <v>16.610479999999999</v>
      </c>
      <c r="P25">
        <v>1967</v>
      </c>
      <c r="Q25" t="s">
        <v>94</v>
      </c>
      <c r="R25">
        <v>16</v>
      </c>
      <c r="S25">
        <v>1.07E-3</v>
      </c>
      <c r="U25">
        <v>1971</v>
      </c>
      <c r="V25" t="s">
        <v>110</v>
      </c>
      <c r="W25">
        <v>12</v>
      </c>
      <c r="X25">
        <v>9.4200000000000002E-4</v>
      </c>
    </row>
    <row r="26" spans="1:24" x14ac:dyDescent="0.25">
      <c r="A26">
        <v>1965</v>
      </c>
      <c r="B26" t="s">
        <v>94</v>
      </c>
      <c r="C26">
        <v>5</v>
      </c>
      <c r="D26">
        <v>13.391</v>
      </c>
      <c r="F26">
        <v>1971</v>
      </c>
      <c r="G26" t="s">
        <v>103</v>
      </c>
      <c r="H26">
        <v>6</v>
      </c>
      <c r="I26">
        <v>2.4600000000000002E-4</v>
      </c>
      <c r="K26">
        <v>1966</v>
      </c>
      <c r="L26" t="s">
        <v>105</v>
      </c>
      <c r="M26">
        <v>19</v>
      </c>
      <c r="N26">
        <v>17.73</v>
      </c>
      <c r="P26">
        <v>1970</v>
      </c>
      <c r="Q26" t="s">
        <v>107</v>
      </c>
      <c r="R26">
        <v>16</v>
      </c>
      <c r="S26">
        <v>1.15E-3</v>
      </c>
      <c r="U26">
        <v>1971</v>
      </c>
      <c r="V26" t="s">
        <v>110</v>
      </c>
      <c r="W26">
        <v>13</v>
      </c>
      <c r="X26">
        <v>9.59E-4</v>
      </c>
    </row>
    <row r="27" spans="1:24" x14ac:dyDescent="0.25">
      <c r="A27">
        <v>1975</v>
      </c>
      <c r="B27" t="s">
        <v>96</v>
      </c>
      <c r="C27">
        <v>5</v>
      </c>
      <c r="D27">
        <v>13.393000000000001</v>
      </c>
      <c r="F27">
        <v>1967</v>
      </c>
      <c r="G27" t="s">
        <v>94</v>
      </c>
      <c r="H27">
        <v>6</v>
      </c>
      <c r="I27">
        <v>2.4600000000000002E-4</v>
      </c>
      <c r="K27">
        <v>1966</v>
      </c>
      <c r="L27" t="s">
        <v>105</v>
      </c>
      <c r="M27">
        <v>20</v>
      </c>
      <c r="N27">
        <v>19.14</v>
      </c>
      <c r="P27">
        <v>1970</v>
      </c>
      <c r="Q27" t="s">
        <v>107</v>
      </c>
      <c r="R27">
        <v>17</v>
      </c>
      <c r="S27">
        <v>1.1999999999999999E-3</v>
      </c>
      <c r="U27">
        <v>1971</v>
      </c>
      <c r="V27" t="s">
        <v>110</v>
      </c>
      <c r="W27">
        <v>14</v>
      </c>
      <c r="X27">
        <v>9.7999999999999997E-4</v>
      </c>
    </row>
    <row r="28" spans="1:24" x14ac:dyDescent="0.25">
      <c r="A28">
        <v>1975</v>
      </c>
      <c r="B28" t="s">
        <v>96</v>
      </c>
      <c r="C28">
        <v>5.5</v>
      </c>
      <c r="D28">
        <v>13.394</v>
      </c>
      <c r="F28">
        <v>1973</v>
      </c>
      <c r="G28" t="s">
        <v>96</v>
      </c>
      <c r="H28">
        <v>6.0004</v>
      </c>
      <c r="I28" s="5">
        <v>8.1769999999999998E-5</v>
      </c>
      <c r="K28">
        <v>1936</v>
      </c>
      <c r="L28" t="s">
        <v>93</v>
      </c>
      <c r="M28">
        <v>20</v>
      </c>
      <c r="N28">
        <v>17.865679999999902</v>
      </c>
      <c r="P28">
        <v>1967</v>
      </c>
      <c r="Q28" t="s">
        <v>94</v>
      </c>
      <c r="R28">
        <v>18</v>
      </c>
      <c r="S28">
        <v>1.24E-3</v>
      </c>
      <c r="U28">
        <v>1971</v>
      </c>
      <c r="V28" t="s">
        <v>110</v>
      </c>
      <c r="W28">
        <v>15</v>
      </c>
      <c r="X28">
        <v>1E-3</v>
      </c>
    </row>
    <row r="29" spans="1:24" x14ac:dyDescent="0.25">
      <c r="A29">
        <v>1967</v>
      </c>
      <c r="B29" t="s">
        <v>94</v>
      </c>
      <c r="C29">
        <v>6</v>
      </c>
      <c r="D29">
        <v>13.392421024688</v>
      </c>
      <c r="F29">
        <v>1973</v>
      </c>
      <c r="G29" t="s">
        <v>96</v>
      </c>
      <c r="H29">
        <v>6.9999000000000002</v>
      </c>
      <c r="I29">
        <v>1.3229999999999999E-4</v>
      </c>
      <c r="K29">
        <v>1936</v>
      </c>
      <c r="L29" t="s">
        <v>93</v>
      </c>
      <c r="M29">
        <v>20.85</v>
      </c>
      <c r="N29">
        <v>19.204560000000001</v>
      </c>
      <c r="P29">
        <v>1970</v>
      </c>
      <c r="Q29" t="s">
        <v>107</v>
      </c>
      <c r="R29">
        <v>18</v>
      </c>
      <c r="S29">
        <v>1.2600000000000001E-3</v>
      </c>
      <c r="U29">
        <v>1971</v>
      </c>
      <c r="V29" t="s">
        <v>110</v>
      </c>
      <c r="W29">
        <v>16</v>
      </c>
      <c r="X29">
        <v>1.0300000000000001E-3</v>
      </c>
    </row>
    <row r="30" spans="1:24" x14ac:dyDescent="0.25">
      <c r="A30">
        <v>1965</v>
      </c>
      <c r="B30" t="s">
        <v>94</v>
      </c>
      <c r="C30">
        <v>6</v>
      </c>
      <c r="D30">
        <v>13.3935</v>
      </c>
      <c r="F30">
        <v>1971</v>
      </c>
      <c r="G30" t="s">
        <v>103</v>
      </c>
      <c r="H30">
        <v>7</v>
      </c>
      <c r="I30">
        <v>3.9300000000000001E-4</v>
      </c>
      <c r="K30">
        <v>1936</v>
      </c>
      <c r="L30" t="s">
        <v>93</v>
      </c>
      <c r="M30">
        <v>20.9</v>
      </c>
      <c r="N30">
        <v>19.204560000000001</v>
      </c>
      <c r="P30">
        <v>1970</v>
      </c>
      <c r="Q30" t="s">
        <v>107</v>
      </c>
      <c r="R30">
        <v>19</v>
      </c>
      <c r="S30">
        <v>1.32E-3</v>
      </c>
      <c r="U30">
        <v>1971</v>
      </c>
      <c r="V30" t="s">
        <v>110</v>
      </c>
      <c r="W30">
        <v>17</v>
      </c>
      <c r="X30">
        <v>1.06E-3</v>
      </c>
    </row>
    <row r="31" spans="1:24" x14ac:dyDescent="0.25">
      <c r="A31">
        <v>1975</v>
      </c>
      <c r="B31" t="s">
        <v>96</v>
      </c>
      <c r="C31">
        <v>6</v>
      </c>
      <c r="D31">
        <v>13.395</v>
      </c>
      <c r="F31">
        <v>1967</v>
      </c>
      <c r="G31" t="s">
        <v>94</v>
      </c>
      <c r="H31">
        <v>7</v>
      </c>
      <c r="I31">
        <v>3.9300000000000001E-4</v>
      </c>
      <c r="K31">
        <v>1966</v>
      </c>
      <c r="L31" t="s">
        <v>105</v>
      </c>
      <c r="M31">
        <v>21</v>
      </c>
      <c r="N31">
        <v>20.84</v>
      </c>
      <c r="P31">
        <v>1970</v>
      </c>
      <c r="Q31" t="s">
        <v>107</v>
      </c>
      <c r="R31">
        <v>20</v>
      </c>
      <c r="S31">
        <v>1.39E-3</v>
      </c>
      <c r="U31">
        <v>1971</v>
      </c>
      <c r="V31" t="s">
        <v>110</v>
      </c>
      <c r="W31">
        <v>18</v>
      </c>
      <c r="X31">
        <v>1.09E-3</v>
      </c>
    </row>
    <row r="32" spans="1:24" x14ac:dyDescent="0.25">
      <c r="A32">
        <v>1975</v>
      </c>
      <c r="B32" t="s">
        <v>96</v>
      </c>
      <c r="C32">
        <v>6.5</v>
      </c>
      <c r="D32">
        <v>13.397</v>
      </c>
      <c r="F32">
        <v>1973</v>
      </c>
      <c r="G32" t="s">
        <v>96</v>
      </c>
      <c r="H32">
        <v>7.0011000000000001</v>
      </c>
      <c r="I32">
        <v>1.325E-4</v>
      </c>
      <c r="K32">
        <v>1966</v>
      </c>
      <c r="L32" t="s">
        <v>105</v>
      </c>
      <c r="M32">
        <v>22</v>
      </c>
      <c r="N32">
        <v>22.72</v>
      </c>
      <c r="P32">
        <v>1970</v>
      </c>
      <c r="Q32" t="s">
        <v>107</v>
      </c>
      <c r="R32">
        <v>21</v>
      </c>
      <c r="S32">
        <v>1.4599999999999999E-3</v>
      </c>
      <c r="U32">
        <v>1971</v>
      </c>
      <c r="V32" t="s">
        <v>110</v>
      </c>
      <c r="W32">
        <v>19</v>
      </c>
      <c r="X32">
        <v>1.1299999999999999E-3</v>
      </c>
    </row>
    <row r="33" spans="1:24" x14ac:dyDescent="0.25">
      <c r="A33">
        <v>1967</v>
      </c>
      <c r="B33" t="s">
        <v>94</v>
      </c>
      <c r="C33">
        <v>7</v>
      </c>
      <c r="D33">
        <v>13.3968664940582</v>
      </c>
      <c r="F33">
        <v>1971</v>
      </c>
      <c r="G33" t="s">
        <v>103</v>
      </c>
      <c r="H33">
        <v>8</v>
      </c>
      <c r="I33">
        <v>5.7300000000000005E-4</v>
      </c>
      <c r="K33">
        <v>1936</v>
      </c>
      <c r="L33" t="s">
        <v>93</v>
      </c>
      <c r="M33">
        <v>22.1</v>
      </c>
      <c r="N33">
        <v>21.04552</v>
      </c>
      <c r="P33">
        <v>1970</v>
      </c>
      <c r="Q33" t="s">
        <v>107</v>
      </c>
      <c r="R33">
        <v>22</v>
      </c>
      <c r="S33">
        <v>1.5399999999999999E-3</v>
      </c>
      <c r="U33">
        <v>1971</v>
      </c>
      <c r="V33" t="s">
        <v>110</v>
      </c>
      <c r="W33">
        <v>20</v>
      </c>
      <c r="X33">
        <v>1.16E-3</v>
      </c>
    </row>
    <row r="34" spans="1:24" x14ac:dyDescent="0.25">
      <c r="A34">
        <v>1965</v>
      </c>
      <c r="B34" t="s">
        <v>94</v>
      </c>
      <c r="C34">
        <v>7</v>
      </c>
      <c r="D34">
        <v>13.3977</v>
      </c>
      <c r="F34">
        <v>1967</v>
      </c>
      <c r="G34" t="s">
        <v>94</v>
      </c>
      <c r="H34">
        <v>8</v>
      </c>
      <c r="I34">
        <v>5.7300000000000005E-4</v>
      </c>
      <c r="K34">
        <v>1936</v>
      </c>
      <c r="L34" t="s">
        <v>93</v>
      </c>
      <c r="M34">
        <v>22.7</v>
      </c>
      <c r="N34">
        <v>22.1752</v>
      </c>
      <c r="P34">
        <v>1970</v>
      </c>
      <c r="Q34" t="s">
        <v>107</v>
      </c>
      <c r="R34">
        <v>23</v>
      </c>
      <c r="S34">
        <v>1.6199999999999999E-3</v>
      </c>
      <c r="U34">
        <v>1971</v>
      </c>
      <c r="V34" t="s">
        <v>110</v>
      </c>
      <c r="W34">
        <v>21</v>
      </c>
      <c r="X34">
        <v>1.1999999999999999E-3</v>
      </c>
    </row>
    <row r="35" spans="1:24" x14ac:dyDescent="0.25">
      <c r="A35">
        <v>1975</v>
      </c>
      <c r="B35" t="s">
        <v>96</v>
      </c>
      <c r="C35">
        <v>7</v>
      </c>
      <c r="D35">
        <v>13.3995</v>
      </c>
      <c r="F35">
        <v>1973</v>
      </c>
      <c r="G35" t="s">
        <v>96</v>
      </c>
      <c r="H35">
        <v>8.0000999999999998</v>
      </c>
      <c r="I35">
        <v>1.972E-4</v>
      </c>
      <c r="K35">
        <v>1936</v>
      </c>
      <c r="L35" t="s">
        <v>93</v>
      </c>
      <c r="M35">
        <v>22.85</v>
      </c>
      <c r="N35">
        <v>22.635439999999999</v>
      </c>
      <c r="P35">
        <v>1970</v>
      </c>
      <c r="Q35" t="s">
        <v>107</v>
      </c>
      <c r="R35">
        <v>24</v>
      </c>
      <c r="S35">
        <v>1.7099999999999999E-3</v>
      </c>
      <c r="U35">
        <v>1971</v>
      </c>
      <c r="V35" t="s">
        <v>110</v>
      </c>
      <c r="W35">
        <v>22</v>
      </c>
      <c r="X35">
        <v>1.24E-3</v>
      </c>
    </row>
    <row r="36" spans="1:24" x14ac:dyDescent="0.25">
      <c r="A36">
        <v>1975</v>
      </c>
      <c r="B36" t="s">
        <v>96</v>
      </c>
      <c r="C36">
        <v>7.5</v>
      </c>
      <c r="D36">
        <v>13.401999999999999</v>
      </c>
      <c r="F36">
        <v>1973</v>
      </c>
      <c r="G36" t="s">
        <v>96</v>
      </c>
      <c r="H36">
        <v>8.0000999999999998</v>
      </c>
      <c r="I36">
        <v>1.952E-4</v>
      </c>
      <c r="K36">
        <v>1966</v>
      </c>
      <c r="L36" t="s">
        <v>105</v>
      </c>
      <c r="M36">
        <v>23</v>
      </c>
      <c r="N36">
        <v>24.63</v>
      </c>
      <c r="U36">
        <v>1971</v>
      </c>
      <c r="V36" t="s">
        <v>110</v>
      </c>
      <c r="W36">
        <v>23</v>
      </c>
      <c r="X36">
        <v>1.2800000000000001E-3</v>
      </c>
    </row>
    <row r="37" spans="1:24" x14ac:dyDescent="0.25">
      <c r="A37">
        <v>1967</v>
      </c>
      <c r="B37" t="s">
        <v>94</v>
      </c>
      <c r="C37">
        <v>8</v>
      </c>
      <c r="D37">
        <v>13.403095111583401</v>
      </c>
      <c r="F37">
        <v>1973</v>
      </c>
      <c r="G37" t="s">
        <v>96</v>
      </c>
      <c r="H37">
        <v>9</v>
      </c>
      <c r="I37">
        <v>1.972E-4</v>
      </c>
      <c r="K37">
        <v>1936</v>
      </c>
      <c r="L37" t="s">
        <v>93</v>
      </c>
      <c r="M37">
        <v>23.5</v>
      </c>
      <c r="N37">
        <v>24.35088</v>
      </c>
      <c r="U37">
        <v>1977</v>
      </c>
      <c r="V37" t="s">
        <v>111</v>
      </c>
      <c r="W37">
        <v>23.7</v>
      </c>
      <c r="X37">
        <v>1.1199999999999999E-3</v>
      </c>
    </row>
    <row r="38" spans="1:24" x14ac:dyDescent="0.25">
      <c r="A38">
        <v>1965</v>
      </c>
      <c r="B38" t="s">
        <v>94</v>
      </c>
      <c r="C38">
        <v>8</v>
      </c>
      <c r="D38">
        <v>13.404199999999999</v>
      </c>
      <c r="F38">
        <v>1971</v>
      </c>
      <c r="G38" t="s">
        <v>103</v>
      </c>
      <c r="H38">
        <v>9</v>
      </c>
      <c r="I38">
        <v>7.8600000000000002E-4</v>
      </c>
      <c r="K38">
        <v>1966</v>
      </c>
      <c r="L38" t="s">
        <v>105</v>
      </c>
      <c r="M38">
        <v>24</v>
      </c>
      <c r="N38">
        <v>26.48</v>
      </c>
      <c r="U38">
        <v>1977</v>
      </c>
      <c r="V38" t="s">
        <v>111</v>
      </c>
      <c r="W38">
        <v>24.3</v>
      </c>
      <c r="X38">
        <v>1.14E-3</v>
      </c>
    </row>
    <row r="39" spans="1:24" x14ac:dyDescent="0.25">
      <c r="A39">
        <v>1975</v>
      </c>
      <c r="B39" t="s">
        <v>96</v>
      </c>
      <c r="C39">
        <v>8</v>
      </c>
      <c r="D39">
        <v>13.406000000000001</v>
      </c>
      <c r="F39">
        <v>1967</v>
      </c>
      <c r="G39" t="s">
        <v>94</v>
      </c>
      <c r="H39">
        <v>9</v>
      </c>
      <c r="I39">
        <v>7.8600000000000002E-4</v>
      </c>
      <c r="U39">
        <v>1975</v>
      </c>
      <c r="V39" t="s">
        <v>112</v>
      </c>
      <c r="W39">
        <v>24.3</v>
      </c>
      <c r="X39">
        <v>1.14E-3</v>
      </c>
    </row>
    <row r="40" spans="1:24" x14ac:dyDescent="0.25">
      <c r="A40">
        <v>1975</v>
      </c>
      <c r="B40" t="s">
        <v>96</v>
      </c>
      <c r="C40">
        <v>8.5</v>
      </c>
      <c r="D40">
        <v>13.41</v>
      </c>
      <c r="F40">
        <v>1971</v>
      </c>
      <c r="G40" t="s">
        <v>103</v>
      </c>
      <c r="H40">
        <v>10</v>
      </c>
      <c r="I40">
        <v>1.0200000000000001E-3</v>
      </c>
      <c r="U40">
        <v>1972</v>
      </c>
      <c r="V40" t="s">
        <v>113</v>
      </c>
      <c r="W40">
        <v>24.3</v>
      </c>
      <c r="X40">
        <v>1.1299999999999999E-3</v>
      </c>
    </row>
    <row r="41" spans="1:24" x14ac:dyDescent="0.25">
      <c r="A41">
        <v>1967</v>
      </c>
      <c r="B41" t="s">
        <v>94</v>
      </c>
      <c r="C41">
        <v>9</v>
      </c>
      <c r="D41">
        <v>13.4128946493851</v>
      </c>
      <c r="F41">
        <v>1967</v>
      </c>
      <c r="G41" t="s">
        <v>94</v>
      </c>
      <c r="H41">
        <v>10</v>
      </c>
      <c r="I41">
        <v>1.0169999999999999E-3</v>
      </c>
    </row>
    <row r="42" spans="1:24" x14ac:dyDescent="0.25">
      <c r="A42">
        <v>1965</v>
      </c>
      <c r="B42" t="s">
        <v>94</v>
      </c>
      <c r="C42">
        <v>9</v>
      </c>
      <c r="D42">
        <v>13.413399999999999</v>
      </c>
      <c r="F42">
        <v>1971</v>
      </c>
      <c r="G42" t="s">
        <v>103</v>
      </c>
      <c r="H42">
        <v>11</v>
      </c>
      <c r="I42">
        <v>1.2700000000000001E-3</v>
      </c>
    </row>
    <row r="43" spans="1:24" x14ac:dyDescent="0.25">
      <c r="A43">
        <v>1975</v>
      </c>
      <c r="B43" t="s">
        <v>96</v>
      </c>
      <c r="C43">
        <v>9</v>
      </c>
      <c r="D43">
        <v>13.414999999999999</v>
      </c>
      <c r="F43">
        <v>1967</v>
      </c>
      <c r="G43" t="s">
        <v>94</v>
      </c>
      <c r="H43">
        <v>11</v>
      </c>
      <c r="I43">
        <v>1.2689999999999999E-3</v>
      </c>
    </row>
    <row r="44" spans="1:24" x14ac:dyDescent="0.25">
      <c r="A44">
        <v>1992</v>
      </c>
      <c r="B44" t="s">
        <v>98</v>
      </c>
      <c r="C44">
        <v>9.4</v>
      </c>
      <c r="D44">
        <v>13.42</v>
      </c>
      <c r="F44">
        <v>1971</v>
      </c>
      <c r="G44" t="s">
        <v>103</v>
      </c>
      <c r="H44">
        <v>12</v>
      </c>
      <c r="I44">
        <v>1.5399999999999999E-3</v>
      </c>
    </row>
    <row r="45" spans="1:24" x14ac:dyDescent="0.25">
      <c r="A45">
        <v>1975</v>
      </c>
      <c r="B45" t="s">
        <v>96</v>
      </c>
      <c r="C45">
        <v>9.5</v>
      </c>
      <c r="D45">
        <v>13.42</v>
      </c>
      <c r="F45">
        <v>1967</v>
      </c>
      <c r="G45" t="s">
        <v>94</v>
      </c>
      <c r="H45">
        <v>12</v>
      </c>
      <c r="I45">
        <v>1.539E-3</v>
      </c>
    </row>
    <row r="46" spans="1:24" x14ac:dyDescent="0.25">
      <c r="A46">
        <v>1967</v>
      </c>
      <c r="B46" t="s">
        <v>94</v>
      </c>
      <c r="C46">
        <v>10</v>
      </c>
      <c r="D46">
        <v>13.4244944119212</v>
      </c>
      <c r="F46">
        <v>1971</v>
      </c>
      <c r="G46" t="s">
        <v>103</v>
      </c>
      <c r="H46">
        <v>13</v>
      </c>
      <c r="I46">
        <v>1.82E-3</v>
      </c>
    </row>
    <row r="47" spans="1:24" x14ac:dyDescent="0.25">
      <c r="A47">
        <v>1965</v>
      </c>
      <c r="B47" t="s">
        <v>94</v>
      </c>
      <c r="C47">
        <v>10</v>
      </c>
      <c r="D47">
        <v>13.4254</v>
      </c>
      <c r="F47">
        <v>1967</v>
      </c>
      <c r="G47" t="s">
        <v>94</v>
      </c>
      <c r="H47">
        <v>13</v>
      </c>
      <c r="I47">
        <v>1.818E-3</v>
      </c>
    </row>
    <row r="48" spans="1:24" x14ac:dyDescent="0.25">
      <c r="A48">
        <v>1975</v>
      </c>
      <c r="B48" t="s">
        <v>96</v>
      </c>
      <c r="C48">
        <v>10</v>
      </c>
      <c r="D48">
        <v>13.427</v>
      </c>
      <c r="F48">
        <v>1971</v>
      </c>
      <c r="G48" t="s">
        <v>103</v>
      </c>
      <c r="H48">
        <v>14</v>
      </c>
      <c r="I48">
        <v>2.1099999999999999E-3</v>
      </c>
    </row>
    <row r="49" spans="1:9" x14ac:dyDescent="0.25">
      <c r="A49">
        <v>1967</v>
      </c>
      <c r="B49" t="s">
        <v>94</v>
      </c>
      <c r="C49">
        <v>11</v>
      </c>
      <c r="D49">
        <v>13.4396936396936</v>
      </c>
      <c r="F49">
        <v>1967</v>
      </c>
      <c r="G49" t="s">
        <v>94</v>
      </c>
      <c r="H49">
        <v>14</v>
      </c>
      <c r="I49">
        <v>2.1090000000000002E-3</v>
      </c>
    </row>
    <row r="50" spans="1:9" x14ac:dyDescent="0.25">
      <c r="A50">
        <v>1965</v>
      </c>
      <c r="B50" t="s">
        <v>94</v>
      </c>
      <c r="C50">
        <v>11</v>
      </c>
      <c r="D50">
        <v>13.440799999999999</v>
      </c>
      <c r="F50">
        <v>1971</v>
      </c>
      <c r="G50" t="s">
        <v>103</v>
      </c>
      <c r="H50">
        <v>15</v>
      </c>
      <c r="I50">
        <v>2.4099999999999998E-3</v>
      </c>
    </row>
    <row r="51" spans="1:9" x14ac:dyDescent="0.25">
      <c r="A51">
        <v>1975</v>
      </c>
      <c r="B51" t="s">
        <v>96</v>
      </c>
      <c r="C51">
        <v>11</v>
      </c>
      <c r="D51">
        <v>13.442</v>
      </c>
      <c r="F51">
        <v>1967</v>
      </c>
      <c r="G51" t="s">
        <v>94</v>
      </c>
      <c r="H51">
        <v>15</v>
      </c>
      <c r="I51">
        <v>2.4090000000000001E-3</v>
      </c>
    </row>
    <row r="52" spans="1:9" x14ac:dyDescent="0.25">
      <c r="A52">
        <v>1992</v>
      </c>
      <c r="B52" t="s">
        <v>98</v>
      </c>
      <c r="C52">
        <v>11.4</v>
      </c>
      <c r="D52">
        <v>13.45</v>
      </c>
      <c r="F52">
        <v>1971</v>
      </c>
      <c r="G52" t="s">
        <v>103</v>
      </c>
      <c r="H52">
        <v>16</v>
      </c>
      <c r="I52">
        <v>2.7000000000000001E-3</v>
      </c>
    </row>
    <row r="53" spans="1:9" x14ac:dyDescent="0.25">
      <c r="A53">
        <v>1967</v>
      </c>
      <c r="B53" t="s">
        <v>94</v>
      </c>
      <c r="C53">
        <v>12</v>
      </c>
      <c r="D53">
        <v>13.4585167400293</v>
      </c>
      <c r="F53">
        <v>1967</v>
      </c>
      <c r="G53" t="s">
        <v>94</v>
      </c>
      <c r="H53">
        <v>16</v>
      </c>
      <c r="I53">
        <v>2.7000000000000001E-3</v>
      </c>
    </row>
    <row r="54" spans="1:9" x14ac:dyDescent="0.25">
      <c r="A54">
        <v>1965</v>
      </c>
      <c r="B54" t="s">
        <v>94</v>
      </c>
      <c r="C54">
        <v>12</v>
      </c>
      <c r="D54">
        <v>13.4597</v>
      </c>
      <c r="F54">
        <v>1971</v>
      </c>
      <c r="G54" t="s">
        <v>103</v>
      </c>
      <c r="H54">
        <v>17</v>
      </c>
      <c r="I54">
        <v>3.0000000000000001E-3</v>
      </c>
    </row>
    <row r="55" spans="1:9" x14ac:dyDescent="0.25">
      <c r="A55">
        <v>1975</v>
      </c>
      <c r="B55" t="s">
        <v>96</v>
      </c>
      <c r="C55">
        <v>12</v>
      </c>
      <c r="D55">
        <v>13.461</v>
      </c>
      <c r="F55">
        <v>1967</v>
      </c>
      <c r="G55" t="s">
        <v>94</v>
      </c>
      <c r="H55">
        <v>17</v>
      </c>
      <c r="I55">
        <v>2.9970000000000001E-3</v>
      </c>
    </row>
    <row r="56" spans="1:9" x14ac:dyDescent="0.25">
      <c r="A56">
        <v>1967</v>
      </c>
      <c r="B56" t="s">
        <v>94</v>
      </c>
      <c r="C56">
        <v>13</v>
      </c>
      <c r="D56">
        <v>13.4818947087119</v>
      </c>
      <c r="F56">
        <v>1971</v>
      </c>
      <c r="G56" t="s">
        <v>103</v>
      </c>
      <c r="H56">
        <v>18</v>
      </c>
      <c r="I56">
        <v>3.31E-3</v>
      </c>
    </row>
    <row r="57" spans="1:9" x14ac:dyDescent="0.25">
      <c r="A57">
        <v>1965</v>
      </c>
      <c r="B57" t="s">
        <v>94</v>
      </c>
      <c r="C57">
        <v>13</v>
      </c>
      <c r="D57">
        <v>13.4823</v>
      </c>
      <c r="F57">
        <v>1967</v>
      </c>
      <c r="G57" t="s">
        <v>94</v>
      </c>
      <c r="H57">
        <v>18</v>
      </c>
      <c r="I57">
        <v>3.3119999999999998E-3</v>
      </c>
    </row>
    <row r="58" spans="1:9" x14ac:dyDescent="0.25">
      <c r="A58">
        <v>1975</v>
      </c>
      <c r="B58" t="s">
        <v>96</v>
      </c>
      <c r="C58">
        <v>13</v>
      </c>
      <c r="D58">
        <v>13.484</v>
      </c>
      <c r="F58">
        <v>1971</v>
      </c>
      <c r="G58" t="s">
        <v>103</v>
      </c>
      <c r="H58">
        <v>19</v>
      </c>
      <c r="I58">
        <v>3.65E-3</v>
      </c>
    </row>
    <row r="59" spans="1:9" x14ac:dyDescent="0.25">
      <c r="A59">
        <v>1973</v>
      </c>
      <c r="B59" t="s">
        <v>97</v>
      </c>
      <c r="C59">
        <v>13.5</v>
      </c>
      <c r="D59">
        <v>13.49</v>
      </c>
      <c r="F59">
        <v>1967</v>
      </c>
      <c r="G59" t="s">
        <v>94</v>
      </c>
      <c r="H59">
        <v>19</v>
      </c>
      <c r="I59">
        <v>3.6540000000000001E-3</v>
      </c>
    </row>
    <row r="60" spans="1:9" x14ac:dyDescent="0.25">
      <c r="A60">
        <v>1967</v>
      </c>
      <c r="B60" t="s">
        <v>94</v>
      </c>
      <c r="C60">
        <v>14</v>
      </c>
      <c r="D60">
        <v>13.508066135618099</v>
      </c>
      <c r="F60">
        <v>1971</v>
      </c>
      <c r="G60" t="s">
        <v>103</v>
      </c>
      <c r="H60">
        <v>20</v>
      </c>
      <c r="I60">
        <v>4.0099999999999997E-3</v>
      </c>
    </row>
    <row r="61" spans="1:9" x14ac:dyDescent="0.25">
      <c r="A61">
        <v>1965</v>
      </c>
      <c r="B61" t="s">
        <v>94</v>
      </c>
      <c r="C61">
        <v>14</v>
      </c>
      <c r="D61">
        <v>13.508699999999999</v>
      </c>
      <c r="F61">
        <v>1967</v>
      </c>
      <c r="G61" t="s">
        <v>94</v>
      </c>
      <c r="H61">
        <v>20</v>
      </c>
      <c r="I61">
        <v>4.0109999999999998E-3</v>
      </c>
    </row>
    <row r="62" spans="1:9" x14ac:dyDescent="0.25">
      <c r="A62">
        <v>1975</v>
      </c>
      <c r="B62" t="s">
        <v>96</v>
      </c>
      <c r="C62">
        <v>14</v>
      </c>
      <c r="D62">
        <v>13.51</v>
      </c>
      <c r="F62">
        <v>1971</v>
      </c>
      <c r="G62" t="s">
        <v>103</v>
      </c>
      <c r="H62">
        <v>21</v>
      </c>
      <c r="I62">
        <v>4.3899999999999998E-3</v>
      </c>
    </row>
    <row r="63" spans="1:9" x14ac:dyDescent="0.25">
      <c r="A63">
        <v>1967</v>
      </c>
      <c r="B63" t="s">
        <v>94</v>
      </c>
      <c r="C63">
        <v>15</v>
      </c>
      <c r="D63">
        <v>13.538879570613799</v>
      </c>
      <c r="F63">
        <v>1967</v>
      </c>
      <c r="G63" t="s">
        <v>94</v>
      </c>
      <c r="H63">
        <v>21</v>
      </c>
      <c r="I63">
        <v>4.3860000000000001E-3</v>
      </c>
    </row>
    <row r="64" spans="1:9" x14ac:dyDescent="0.25">
      <c r="A64">
        <v>1965</v>
      </c>
      <c r="B64" t="s">
        <v>94</v>
      </c>
      <c r="C64">
        <v>15</v>
      </c>
      <c r="D64">
        <v>13.5395</v>
      </c>
      <c r="F64">
        <v>1971</v>
      </c>
      <c r="G64" t="s">
        <v>103</v>
      </c>
      <c r="H64">
        <v>22</v>
      </c>
      <c r="I64">
        <v>4.7600000000000003E-3</v>
      </c>
    </row>
    <row r="65" spans="1:9" x14ac:dyDescent="0.25">
      <c r="A65">
        <v>1975</v>
      </c>
      <c r="B65" t="s">
        <v>96</v>
      </c>
      <c r="C65">
        <v>15</v>
      </c>
      <c r="D65">
        <v>13.541</v>
      </c>
      <c r="F65">
        <v>1967</v>
      </c>
      <c r="G65" t="s">
        <v>94</v>
      </c>
      <c r="H65">
        <v>22</v>
      </c>
      <c r="I65">
        <v>4.764E-3</v>
      </c>
    </row>
    <row r="66" spans="1:9" x14ac:dyDescent="0.25">
      <c r="A66">
        <v>1967</v>
      </c>
      <c r="B66" t="s">
        <v>94</v>
      </c>
      <c r="C66">
        <v>16</v>
      </c>
      <c r="D66">
        <v>13.5734848994417</v>
      </c>
      <c r="F66">
        <v>1971</v>
      </c>
      <c r="G66" t="s">
        <v>103</v>
      </c>
      <c r="H66">
        <v>23</v>
      </c>
      <c r="I66">
        <v>5.1500000000000001E-3</v>
      </c>
    </row>
    <row r="67" spans="1:9" x14ac:dyDescent="0.25">
      <c r="A67">
        <v>1965</v>
      </c>
      <c r="B67" t="s">
        <v>94</v>
      </c>
      <c r="C67">
        <v>16</v>
      </c>
      <c r="D67">
        <v>13.5741</v>
      </c>
      <c r="F67">
        <v>1967</v>
      </c>
      <c r="G67" t="s">
        <v>94</v>
      </c>
      <c r="H67">
        <v>23</v>
      </c>
      <c r="I67">
        <v>5.1539999999999997E-3</v>
      </c>
    </row>
    <row r="68" spans="1:9" x14ac:dyDescent="0.25">
      <c r="A68">
        <v>1975</v>
      </c>
      <c r="B68" t="s">
        <v>96</v>
      </c>
      <c r="C68">
        <v>16</v>
      </c>
      <c r="D68">
        <v>13.576000000000001</v>
      </c>
    </row>
    <row r="69" spans="1:9" x14ac:dyDescent="0.25">
      <c r="A69">
        <v>1966</v>
      </c>
      <c r="B69" t="s">
        <v>99</v>
      </c>
      <c r="C69">
        <v>16</v>
      </c>
      <c r="D69">
        <v>13.5370786778644</v>
      </c>
    </row>
    <row r="70" spans="1:9" x14ac:dyDescent="0.25">
      <c r="A70">
        <v>1967</v>
      </c>
      <c r="B70" t="s">
        <v>94</v>
      </c>
      <c r="C70">
        <v>17</v>
      </c>
      <c r="D70">
        <v>13.611939291736901</v>
      </c>
    </row>
    <row r="71" spans="1:9" x14ac:dyDescent="0.25">
      <c r="A71">
        <v>1965</v>
      </c>
      <c r="B71" t="s">
        <v>94</v>
      </c>
      <c r="C71">
        <v>17</v>
      </c>
      <c r="D71">
        <v>13.612500000000001</v>
      </c>
    </row>
    <row r="72" spans="1:9" x14ac:dyDescent="0.25">
      <c r="A72">
        <v>1975</v>
      </c>
      <c r="B72" t="s">
        <v>96</v>
      </c>
      <c r="C72">
        <v>17</v>
      </c>
      <c r="D72">
        <v>13.614000000000001</v>
      </c>
    </row>
    <row r="73" spans="1:9" x14ac:dyDescent="0.25">
      <c r="A73">
        <v>1992</v>
      </c>
      <c r="B73" t="s">
        <v>98</v>
      </c>
      <c r="C73">
        <v>17.8</v>
      </c>
      <c r="D73">
        <v>13.65</v>
      </c>
    </row>
    <row r="74" spans="1:9" x14ac:dyDescent="0.25">
      <c r="A74">
        <v>1967</v>
      </c>
      <c r="B74" t="s">
        <v>94</v>
      </c>
      <c r="C74">
        <v>18</v>
      </c>
      <c r="D74">
        <v>13.654306786656701</v>
      </c>
    </row>
    <row r="75" spans="1:9" x14ac:dyDescent="0.25">
      <c r="A75">
        <v>1965</v>
      </c>
      <c r="B75" t="s">
        <v>94</v>
      </c>
      <c r="C75">
        <v>18</v>
      </c>
      <c r="D75">
        <v>13.655099999999999</v>
      </c>
    </row>
    <row r="76" spans="1:9" x14ac:dyDescent="0.25">
      <c r="A76">
        <v>1975</v>
      </c>
      <c r="B76" t="s">
        <v>96</v>
      </c>
      <c r="C76">
        <v>18</v>
      </c>
      <c r="D76">
        <v>13.656000000000001</v>
      </c>
    </row>
    <row r="77" spans="1:9" x14ac:dyDescent="0.25">
      <c r="A77">
        <v>1967</v>
      </c>
      <c r="B77" t="s">
        <v>94</v>
      </c>
      <c r="C77">
        <v>19</v>
      </c>
      <c r="D77">
        <v>13.701588810429101</v>
      </c>
    </row>
    <row r="78" spans="1:9" x14ac:dyDescent="0.25">
      <c r="A78">
        <v>1965</v>
      </c>
      <c r="B78" t="s">
        <v>94</v>
      </c>
      <c r="C78">
        <v>19</v>
      </c>
      <c r="D78">
        <v>13.7027</v>
      </c>
    </row>
    <row r="79" spans="1:9" x14ac:dyDescent="0.25">
      <c r="A79">
        <v>1975</v>
      </c>
      <c r="B79" t="s">
        <v>96</v>
      </c>
      <c r="C79">
        <v>19</v>
      </c>
      <c r="D79">
        <v>13.704000000000001</v>
      </c>
    </row>
    <row r="80" spans="1:9" x14ac:dyDescent="0.25">
      <c r="A80">
        <v>1973</v>
      </c>
      <c r="B80" t="s">
        <v>97</v>
      </c>
      <c r="C80">
        <v>19.899999999999999</v>
      </c>
      <c r="D80">
        <v>13.759</v>
      </c>
    </row>
    <row r="81" spans="1:4" x14ac:dyDescent="0.25">
      <c r="A81">
        <v>1967</v>
      </c>
      <c r="B81" t="s">
        <v>94</v>
      </c>
      <c r="C81">
        <v>20</v>
      </c>
      <c r="D81">
        <v>13.754822438824799</v>
      </c>
    </row>
    <row r="82" spans="1:4" x14ac:dyDescent="0.25">
      <c r="A82">
        <v>1965</v>
      </c>
      <c r="B82" t="s">
        <v>94</v>
      </c>
      <c r="C82">
        <v>20</v>
      </c>
      <c r="D82">
        <v>13.7552</v>
      </c>
    </row>
    <row r="83" spans="1:4" x14ac:dyDescent="0.25">
      <c r="A83">
        <v>1975</v>
      </c>
      <c r="B83" t="s">
        <v>96</v>
      </c>
      <c r="C83">
        <v>20</v>
      </c>
      <c r="D83">
        <v>13.757</v>
      </c>
    </row>
    <row r="84" spans="1:4" x14ac:dyDescent="0.25">
      <c r="A84">
        <v>1965</v>
      </c>
      <c r="B84" t="s">
        <v>94</v>
      </c>
      <c r="C84">
        <v>21</v>
      </c>
      <c r="D84">
        <v>13.8131</v>
      </c>
    </row>
    <row r="85" spans="1:4" x14ac:dyDescent="0.25">
      <c r="A85">
        <v>1975</v>
      </c>
      <c r="B85" t="s">
        <v>96</v>
      </c>
      <c r="C85">
        <v>21</v>
      </c>
      <c r="D85">
        <v>13.811</v>
      </c>
    </row>
    <row r="86" spans="1:4" x14ac:dyDescent="0.25">
      <c r="A86">
        <v>1967</v>
      </c>
      <c r="B86" t="s">
        <v>94</v>
      </c>
      <c r="C86">
        <v>22</v>
      </c>
      <c r="D86">
        <v>13.8758853056453</v>
      </c>
    </row>
    <row r="87" spans="1:4" x14ac:dyDescent="0.25">
      <c r="A87">
        <v>1965</v>
      </c>
      <c r="B87" t="s">
        <v>94</v>
      </c>
      <c r="C87">
        <v>22</v>
      </c>
      <c r="D87">
        <v>13.8765</v>
      </c>
    </row>
    <row r="88" spans="1:4" x14ac:dyDescent="0.25">
      <c r="A88">
        <v>1975</v>
      </c>
      <c r="B88" t="s">
        <v>96</v>
      </c>
      <c r="C88">
        <v>22</v>
      </c>
      <c r="D88">
        <v>13.878</v>
      </c>
    </row>
    <row r="89" spans="1:4" x14ac:dyDescent="0.25">
      <c r="A89">
        <v>1967</v>
      </c>
      <c r="B89" t="s">
        <v>94</v>
      </c>
      <c r="C89">
        <v>23</v>
      </c>
      <c r="D89">
        <v>13.945888044229401</v>
      </c>
    </row>
    <row r="90" spans="1:4" x14ac:dyDescent="0.25">
      <c r="A90">
        <v>1965</v>
      </c>
      <c r="B90" t="s">
        <v>94</v>
      </c>
      <c r="C90">
        <v>23</v>
      </c>
      <c r="D90">
        <v>13.945499999999999</v>
      </c>
    </row>
    <row r="91" spans="1:4" x14ac:dyDescent="0.25">
      <c r="A91">
        <v>1975</v>
      </c>
      <c r="B91" t="s">
        <v>96</v>
      </c>
      <c r="C91">
        <v>23</v>
      </c>
      <c r="D91">
        <v>13.948</v>
      </c>
    </row>
    <row r="92" spans="1:4" x14ac:dyDescent="0.25">
      <c r="A92">
        <v>1967</v>
      </c>
      <c r="B92" t="s">
        <v>94</v>
      </c>
      <c r="C92">
        <v>23.5</v>
      </c>
      <c r="D92">
        <v>13.9826080931263</v>
      </c>
    </row>
    <row r="93" spans="1:4" x14ac:dyDescent="0.25">
      <c r="A93">
        <v>1965</v>
      </c>
      <c r="B93" t="s">
        <v>94</v>
      </c>
      <c r="C93">
        <v>23.5</v>
      </c>
      <c r="D93">
        <v>13.982100000000001</v>
      </c>
    </row>
    <row r="94" spans="1:4" x14ac:dyDescent="0.25">
      <c r="A94">
        <v>1977</v>
      </c>
      <c r="B94" t="s">
        <v>95</v>
      </c>
      <c r="C94">
        <v>24.553000000000001</v>
      </c>
      <c r="D94">
        <v>14.065</v>
      </c>
    </row>
    <row r="95" spans="1:4" x14ac:dyDescent="0.25">
      <c r="A95">
        <v>1973</v>
      </c>
      <c r="B95" t="s">
        <v>101</v>
      </c>
      <c r="C95">
        <v>24.553000000000001</v>
      </c>
      <c r="D95">
        <v>14.07</v>
      </c>
    </row>
    <row r="96" spans="1:4" x14ac:dyDescent="0.25">
      <c r="A96">
        <v>1940</v>
      </c>
      <c r="B96" t="s">
        <v>93</v>
      </c>
      <c r="C96">
        <v>24.57</v>
      </c>
      <c r="D96">
        <v>14.03</v>
      </c>
    </row>
    <row r="97" spans="1:4" x14ac:dyDescent="0.25">
      <c r="A97">
        <v>1973</v>
      </c>
      <c r="B97" t="s">
        <v>101</v>
      </c>
      <c r="C97">
        <v>25</v>
      </c>
      <c r="D97">
        <v>14.04</v>
      </c>
    </row>
    <row r="98" spans="1:4" x14ac:dyDescent="0.25">
      <c r="A98">
        <v>1973</v>
      </c>
      <c r="B98" t="s">
        <v>101</v>
      </c>
      <c r="C98">
        <v>30</v>
      </c>
      <c r="D98">
        <v>13.71</v>
      </c>
    </row>
    <row r="99" spans="1:4" x14ac:dyDescent="0.25">
      <c r="A99">
        <v>1970</v>
      </c>
      <c r="B99" t="s">
        <v>101</v>
      </c>
      <c r="C99">
        <v>31.75</v>
      </c>
      <c r="D99">
        <v>13.6</v>
      </c>
    </row>
    <row r="100" spans="1:4" x14ac:dyDescent="0.25">
      <c r="A100">
        <v>1973</v>
      </c>
      <c r="B100" t="s">
        <v>101</v>
      </c>
      <c r="C100">
        <v>35</v>
      </c>
      <c r="D100">
        <v>13.38</v>
      </c>
    </row>
    <row r="101" spans="1:4" x14ac:dyDescent="0.25">
      <c r="A101">
        <v>1970</v>
      </c>
      <c r="B101" t="s">
        <v>101</v>
      </c>
      <c r="C101">
        <v>36.200000000000003</v>
      </c>
      <c r="D101">
        <v>13.3</v>
      </c>
    </row>
    <row r="102" spans="1:4" x14ac:dyDescent="0.25">
      <c r="A102">
        <v>1973</v>
      </c>
      <c r="B102" t="s">
        <v>101</v>
      </c>
      <c r="C102">
        <v>40</v>
      </c>
      <c r="D102">
        <v>13.07</v>
      </c>
    </row>
    <row r="103" spans="1:4" x14ac:dyDescent="0.25">
      <c r="A103">
        <v>1970</v>
      </c>
      <c r="B103" t="s">
        <v>101</v>
      </c>
      <c r="C103">
        <v>41.8</v>
      </c>
      <c r="D103">
        <v>12.95</v>
      </c>
    </row>
    <row r="104" spans="1:4" x14ac:dyDescent="0.25">
      <c r="A104">
        <v>1973</v>
      </c>
      <c r="B104" t="s">
        <v>101</v>
      </c>
      <c r="C104">
        <v>45</v>
      </c>
      <c r="D104">
        <v>12.78</v>
      </c>
    </row>
    <row r="105" spans="1:4" x14ac:dyDescent="0.25">
      <c r="A105">
        <v>1970</v>
      </c>
      <c r="B105" t="s">
        <v>101</v>
      </c>
      <c r="C105">
        <v>46.8</v>
      </c>
      <c r="D105">
        <v>12.67</v>
      </c>
    </row>
    <row r="106" spans="1:4" x14ac:dyDescent="0.25">
      <c r="A106">
        <v>1973</v>
      </c>
      <c r="B106" t="s">
        <v>101</v>
      </c>
      <c r="C106">
        <v>50</v>
      </c>
      <c r="D106">
        <v>12.52</v>
      </c>
    </row>
    <row r="107" spans="1:4" x14ac:dyDescent="0.25">
      <c r="A107">
        <v>1970</v>
      </c>
      <c r="B107" t="s">
        <v>101</v>
      </c>
      <c r="C107">
        <v>51.1</v>
      </c>
      <c r="D107">
        <v>12.48</v>
      </c>
    </row>
  </sheetData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Parameters</vt:lpstr>
      <vt:lpstr>Inputs</vt:lpstr>
      <vt:lpstr>Outputs</vt:lpstr>
      <vt:lpstr>Sweep</vt:lpstr>
      <vt:lpstr>Experimental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2025-10-05T11:34:58Z</dcterms:modified>
</cp:coreProperties>
</file>