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534" documentId="8_{B0C8A4BE-9622-4CEE-91F7-C2B4B71EBE2F}" xr6:coauthVersionLast="47" xr6:coauthVersionMax="47" xr10:uidLastSave="{1F9C6A21-15D8-4027-AE89-6501CF70D7A0}"/>
  <bookViews>
    <workbookView xWindow="-120" yWindow="-120" windowWidth="29040" windowHeight="15720" activeTab="4" xr2:uid="{00000000-000D-0000-FFFF-FFFF00000000}"/>
  </bookViews>
  <sheets>
    <sheet name="Parameters" sheetId="2" r:id="rId1"/>
    <sheet name="Inputs" sheetId="1" r:id="rId2"/>
    <sheet name="Outputs" sheetId="3" r:id="rId3"/>
    <sheet name="Experimental" sheetId="5" r:id="rId4"/>
    <sheet name="Sweep" sheetId="4" r:id="rId5"/>
  </sheets>
  <functionGroups builtInGroupCount="19"/>
  <definedNames>
    <definedName name="p_in">Inputs!$B$3</definedName>
    <definedName name="ParametersRange">Parameters!$B$2:$B$32</definedName>
    <definedName name="T_in">Inputs!$B$2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" i="5" l="1"/>
  <c r="AG3" i="5"/>
  <c r="B123" i="4"/>
  <c r="B124" i="4"/>
  <c r="M123" i="4" a="1"/>
  <c r="M124" i="4" a="1"/>
  <c r="N123" i="4" a="1"/>
  <c r="N124" i="4" a="1"/>
  <c r="M124" i="4" l="1"/>
  <c r="M123" i="4"/>
  <c r="N124" i="4"/>
  <c r="N123" i="4"/>
  <c r="B9" i="4" l="1"/>
  <c r="B10" i="4"/>
  <c r="B11" i="4" l="1"/>
  <c r="A23" i="4" a="1"/>
  <c r="A23" i="4" s="1"/>
  <c r="B23" i="4" s="1"/>
  <c r="B5" i="3"/>
  <c r="H23" i="4" a="1"/>
  <c r="K23" i="4" a="1"/>
  <c r="B11" i="3"/>
  <c r="G23" i="4" a="1"/>
  <c r="B10" i="3"/>
  <c r="L23" i="4" a="1"/>
  <c r="B16" i="3"/>
  <c r="B9" i="3"/>
  <c r="N23" i="4" a="1"/>
  <c r="C23" i="4" a="1"/>
  <c r="B13" i="3"/>
  <c r="B4" i="3"/>
  <c r="E23" i="4" a="1"/>
  <c r="B12" i="3"/>
  <c r="M23" i="4" a="1"/>
  <c r="B8" i="3"/>
  <c r="B3" i="3"/>
  <c r="B6" i="3"/>
  <c r="B2" i="3"/>
  <c r="J23" i="4" a="1"/>
  <c r="B7" i="3"/>
  <c r="I23" i="4" a="1"/>
  <c r="D23" i="4" a="1"/>
  <c r="F23" i="4" a="1"/>
  <c r="P123" i="4" l="1"/>
  <c r="P124" i="4"/>
  <c r="R124" i="4" s="1"/>
  <c r="E11" i="4" s="1"/>
  <c r="G11" i="4" s="1"/>
  <c r="H11" i="4" s="1"/>
  <c r="I11" i="4" s="1"/>
  <c r="B81" i="4"/>
  <c r="B104" i="4"/>
  <c r="B119" i="4"/>
  <c r="B107" i="4"/>
  <c r="B95" i="4"/>
  <c r="B83" i="4"/>
  <c r="B71" i="4"/>
  <c r="B59" i="4"/>
  <c r="B47" i="4"/>
  <c r="B35" i="4"/>
  <c r="B117" i="4"/>
  <c r="B45" i="4"/>
  <c r="B68" i="4"/>
  <c r="B118" i="4"/>
  <c r="B106" i="4"/>
  <c r="B94" i="4"/>
  <c r="B82" i="4"/>
  <c r="B70" i="4"/>
  <c r="B58" i="4"/>
  <c r="B46" i="4"/>
  <c r="B34" i="4"/>
  <c r="B33" i="4"/>
  <c r="B93" i="4"/>
  <c r="B57" i="4"/>
  <c r="B80" i="4"/>
  <c r="B44" i="4"/>
  <c r="B115" i="4"/>
  <c r="B91" i="4"/>
  <c r="B67" i="4"/>
  <c r="B43" i="4"/>
  <c r="B114" i="4"/>
  <c r="B90" i="4"/>
  <c r="B66" i="4"/>
  <c r="B42" i="4"/>
  <c r="B113" i="4"/>
  <c r="B77" i="4"/>
  <c r="B65" i="4"/>
  <c r="B41" i="4"/>
  <c r="B100" i="4"/>
  <c r="B64" i="4"/>
  <c r="B40" i="4"/>
  <c r="B87" i="4"/>
  <c r="B51" i="4"/>
  <c r="B27" i="4"/>
  <c r="B122" i="4"/>
  <c r="B110" i="4"/>
  <c r="B98" i="4"/>
  <c r="B86" i="4"/>
  <c r="B74" i="4"/>
  <c r="B62" i="4"/>
  <c r="B50" i="4"/>
  <c r="B38" i="4"/>
  <c r="B26" i="4"/>
  <c r="B88" i="4"/>
  <c r="B99" i="4"/>
  <c r="B63" i="4"/>
  <c r="B39" i="4"/>
  <c r="B121" i="4"/>
  <c r="B109" i="4"/>
  <c r="B97" i="4"/>
  <c r="B85" i="4"/>
  <c r="B73" i="4"/>
  <c r="B61" i="4"/>
  <c r="B49" i="4"/>
  <c r="B37" i="4"/>
  <c r="B25" i="4"/>
  <c r="B105" i="4"/>
  <c r="B69" i="4"/>
  <c r="B116" i="4"/>
  <c r="B92" i="4"/>
  <c r="B56" i="4"/>
  <c r="B32" i="4"/>
  <c r="B103" i="4"/>
  <c r="B79" i="4"/>
  <c r="B55" i="4"/>
  <c r="B31" i="4"/>
  <c r="B102" i="4"/>
  <c r="B78" i="4"/>
  <c r="B54" i="4"/>
  <c r="B30" i="4"/>
  <c r="B101" i="4"/>
  <c r="B89" i="4"/>
  <c r="B53" i="4"/>
  <c r="B29" i="4"/>
  <c r="B112" i="4"/>
  <c r="B76" i="4"/>
  <c r="B52" i="4"/>
  <c r="B28" i="4"/>
  <c r="B111" i="4"/>
  <c r="B75" i="4"/>
  <c r="B120" i="4"/>
  <c r="B108" i="4"/>
  <c r="B96" i="4"/>
  <c r="B84" i="4"/>
  <c r="B72" i="4"/>
  <c r="B60" i="4"/>
  <c r="B48" i="4"/>
  <c r="B36" i="4"/>
  <c r="B24" i="4"/>
  <c r="G23" i="4"/>
  <c r="M23" i="4"/>
  <c r="P23" i="4" s="1"/>
  <c r="F23" i="4"/>
  <c r="N23" i="4"/>
  <c r="L23" i="4"/>
  <c r="I23" i="4"/>
  <c r="E23" i="4"/>
  <c r="H23" i="4"/>
  <c r="K23" i="4"/>
  <c r="J23" i="4"/>
  <c r="D23" i="4"/>
  <c r="C23" i="4"/>
  <c r="H62" i="4" a="1"/>
  <c r="F72" i="4" a="1"/>
  <c r="M44" i="4" a="1"/>
  <c r="F30" i="4" a="1"/>
  <c r="F28" i="4" a="1"/>
  <c r="N110" i="4" a="1"/>
  <c r="I25" i="4" a="1"/>
  <c r="D69" i="4" a="1"/>
  <c r="C69" i="4" a="1"/>
  <c r="K32" i="4" a="1"/>
  <c r="H40" i="4" a="1"/>
  <c r="M110" i="4" a="1"/>
  <c r="M88" i="4" a="1"/>
  <c r="H51" i="4" a="1"/>
  <c r="E67" i="4" a="1"/>
  <c r="K77" i="4" a="1"/>
  <c r="K72" i="4" a="1"/>
  <c r="I64" i="4" a="1"/>
  <c r="E45" i="4" a="1"/>
  <c r="K95" i="4" a="1"/>
  <c r="D89" i="4" a="1"/>
  <c r="E97" i="4" a="1"/>
  <c r="L110" i="4" a="1"/>
  <c r="G86" i="4" a="1"/>
  <c r="C49" i="4" a="1"/>
  <c r="D100" i="4" a="1"/>
  <c r="C32" i="4" a="1"/>
  <c r="I56" i="4" a="1"/>
  <c r="N35" i="4" a="1"/>
  <c r="N34" i="4" a="1"/>
  <c r="K48" i="4" a="1"/>
  <c r="E121" i="4" a="1"/>
  <c r="M50" i="4" a="1"/>
  <c r="K33" i="4" a="1"/>
  <c r="K100" i="4" a="1"/>
  <c r="E115" i="4" a="1"/>
  <c r="J42" i="4" a="1"/>
  <c r="K67" i="4" a="1"/>
  <c r="F120" i="4" a="1"/>
  <c r="C103" i="4" a="1"/>
  <c r="H28" i="4" a="1"/>
  <c r="C111" i="4" a="1"/>
  <c r="M43" i="4" a="1"/>
  <c r="H76" i="4" a="1"/>
  <c r="M34" i="4" a="1"/>
  <c r="M67" i="4" a="1"/>
  <c r="H48" i="4" a="1"/>
  <c r="D96" i="4" a="1"/>
  <c r="J25" i="4" a="1"/>
  <c r="E65" i="4" a="1"/>
  <c r="M111" i="4" a="1"/>
  <c r="I97" i="4" a="1"/>
  <c r="C53" i="4" a="1"/>
  <c r="C90" i="4" a="1"/>
  <c r="K78" i="4" a="1"/>
  <c r="F122" i="4" a="1"/>
  <c r="M63" i="4" a="1"/>
  <c r="H87" i="4" a="1"/>
  <c r="F94" i="4" a="1"/>
  <c r="D88" i="4" a="1"/>
  <c r="K81" i="4" a="1"/>
  <c r="D122" i="4" a="1"/>
  <c r="D26" i="4" a="1"/>
  <c r="J56" i="4" a="1"/>
  <c r="G63" i="4" a="1"/>
  <c r="M103" i="4" a="1"/>
  <c r="H80" i="4" a="1"/>
  <c r="D70" i="4" a="1"/>
  <c r="M81" i="4" a="1"/>
  <c r="F110" i="4" a="1"/>
  <c r="F88" i="4" a="1"/>
  <c r="M76" i="4" a="1"/>
  <c r="I90" i="4" a="1"/>
  <c r="D30" i="4" a="1"/>
  <c r="M119" i="4" a="1"/>
  <c r="H73" i="4" a="1"/>
  <c r="D105" i="4" a="1"/>
  <c r="J103" i="4" a="1"/>
  <c r="D112" i="4" a="1"/>
  <c r="E62" i="4" a="1"/>
  <c r="K29" i="4" a="1"/>
  <c r="F84" i="4" a="1"/>
  <c r="C64" i="4" a="1"/>
  <c r="I58" i="4" a="1"/>
  <c r="E93" i="4" a="1"/>
  <c r="K43" i="4" a="1"/>
  <c r="E70" i="4" a="1"/>
  <c r="F59" i="4" a="1"/>
  <c r="M94" i="4" a="1"/>
  <c r="H95" i="4" a="1"/>
  <c r="D42" i="4" a="1"/>
  <c r="M113" i="4" a="1"/>
  <c r="G43" i="4" a="1"/>
  <c r="M41" i="4" a="1"/>
  <c r="F60" i="4" a="1"/>
  <c r="H41" i="4" a="1"/>
  <c r="N121" i="4" a="1"/>
  <c r="I101" i="4" a="1"/>
  <c r="F76" i="4" a="1"/>
  <c r="G42" i="4" a="1"/>
  <c r="L96" i="4" a="1"/>
  <c r="E35" i="4" a="1"/>
  <c r="I79" i="4" a="1"/>
  <c r="M33" i="4" a="1"/>
  <c r="H36" i="4" a="1"/>
  <c r="M73" i="4" a="1"/>
  <c r="D35" i="4" a="1"/>
  <c r="M72" i="4" a="1"/>
  <c r="D62" i="4" a="1"/>
  <c r="I52" i="4" a="1"/>
  <c r="L89" i="4" a="1"/>
  <c r="N59" i="4" a="1"/>
  <c r="N112" i="4" a="1"/>
  <c r="N51" i="4" a="1"/>
  <c r="J70" i="4" a="1"/>
  <c r="L78" i="4" a="1"/>
  <c r="J72" i="4" a="1"/>
  <c r="J48" i="4" a="1"/>
  <c r="F68" i="4" a="1"/>
  <c r="H68" i="4" a="1"/>
  <c r="L57" i="4" a="1"/>
  <c r="K66" i="4" a="1"/>
  <c r="H44" i="4" a="1"/>
  <c r="I116" i="4" a="1"/>
  <c r="N76" i="4" a="1"/>
  <c r="J52" i="4" a="1"/>
  <c r="F77" i="4" a="1"/>
  <c r="L64" i="4" a="1"/>
  <c r="K84" i="4" a="1"/>
  <c r="G112" i="4" a="1"/>
  <c r="D81" i="4" a="1"/>
  <c r="J87" i="4" a="1"/>
  <c r="I119" i="4" a="1"/>
  <c r="E39" i="4" a="1"/>
  <c r="N91" i="4" a="1"/>
  <c r="G120" i="4" a="1"/>
  <c r="G107" i="4" a="1"/>
  <c r="N100" i="4" a="1"/>
  <c r="J108" i="4" a="1"/>
  <c r="D47" i="4" a="1"/>
  <c r="E101" i="4" a="1"/>
  <c r="M32" i="4" a="1"/>
  <c r="J37" i="4" a="1"/>
  <c r="E64" i="4" a="1"/>
  <c r="J63" i="4" a="1"/>
  <c r="K39" i="4" a="1"/>
  <c r="F105" i="4" a="1"/>
  <c r="M77" i="4" a="1"/>
  <c r="H105" i="4" a="1"/>
  <c r="K51" i="4" a="1"/>
  <c r="I111" i="4" a="1"/>
  <c r="C44" i="4" a="1"/>
  <c r="H63" i="4" a="1"/>
  <c r="G72" i="4" a="1"/>
  <c r="D27" i="4" a="1"/>
  <c r="K35" i="4" a="1"/>
  <c r="F25" i="4" a="1"/>
  <c r="E120" i="4" a="1"/>
  <c r="E94" i="4" a="1"/>
  <c r="J78" i="4" a="1"/>
  <c r="D24" i="4" a="1"/>
  <c r="D106" i="4" a="1"/>
  <c r="L61" i="4" a="1"/>
  <c r="G38" i="4" a="1"/>
  <c r="N101" i="4" a="1"/>
  <c r="G47" i="4" a="1"/>
  <c r="G78" i="4" a="1"/>
  <c r="L69" i="4" a="1"/>
  <c r="F50" i="4" a="1"/>
  <c r="G85" i="4" a="1"/>
  <c r="N44" i="4" a="1"/>
  <c r="J105" i="4" a="1"/>
  <c r="C98" i="4" a="1"/>
  <c r="J53" i="4" a="1"/>
  <c r="G50" i="4" a="1"/>
  <c r="D65" i="4" a="1"/>
  <c r="I118" i="4" a="1"/>
  <c r="H77" i="4" a="1"/>
  <c r="D38" i="4" a="1"/>
  <c r="L95" i="4" a="1"/>
  <c r="E109" i="4" a="1"/>
  <c r="F40" i="4" a="1"/>
  <c r="J59" i="4" a="1"/>
  <c r="J102" i="4" a="1"/>
  <c r="C47" i="4" a="1"/>
  <c r="I62" i="4" a="1"/>
  <c r="I53" i="4" a="1"/>
  <c r="G56" i="4" a="1"/>
  <c r="M75" i="4" a="1"/>
  <c r="F92" i="4" a="1"/>
  <c r="M86" i="4" a="1"/>
  <c r="J73" i="4" a="1"/>
  <c r="F86" i="4" a="1"/>
  <c r="L106" i="4" a="1"/>
  <c r="K116" i="4" a="1"/>
  <c r="G115" i="4" a="1"/>
  <c r="C40" i="4" a="1"/>
  <c r="H60" i="4" a="1"/>
  <c r="H43" i="4" a="1"/>
  <c r="N85" i="4" a="1"/>
  <c r="J24" i="4" a="1"/>
  <c r="D79" i="4" a="1"/>
  <c r="I50" i="4" a="1"/>
  <c r="J111" i="4" a="1"/>
  <c r="E92" i="4" a="1"/>
  <c r="L88" i="4" a="1"/>
  <c r="F53" i="4" a="1"/>
  <c r="C114" i="4" a="1"/>
  <c r="K42" i="4" a="1"/>
  <c r="E58" i="4" a="1"/>
  <c r="J101" i="4" a="1"/>
  <c r="L81" i="4" a="1"/>
  <c r="G49" i="4" a="1"/>
  <c r="N80" i="4" a="1"/>
  <c r="I98" i="4" a="1"/>
  <c r="E98" i="4" a="1"/>
  <c r="M70" i="4" a="1"/>
  <c r="G74" i="4" a="1"/>
  <c r="L38" i="4" a="1"/>
  <c r="M25" i="4" a="1"/>
  <c r="H121" i="4" a="1"/>
  <c r="C75" i="4" a="1"/>
  <c r="J88" i="4" a="1"/>
  <c r="D28" i="4" a="1"/>
  <c r="F48" i="4" a="1"/>
  <c r="L108" i="4" a="1"/>
  <c r="C115" i="4" a="1"/>
  <c r="M120" i="4" a="1"/>
  <c r="L31" i="4" a="1"/>
  <c r="G98" i="4" a="1"/>
  <c r="I84" i="4" a="1"/>
  <c r="G53" i="4" a="1"/>
  <c r="I105" i="4" a="1"/>
  <c r="E108" i="4" a="1"/>
  <c r="G114" i="4" a="1"/>
  <c r="E77" i="4" a="1"/>
  <c r="G46" i="4" a="1"/>
  <c r="M93" i="4" a="1"/>
  <c r="E50" i="4" a="1"/>
  <c r="M31" i="4" a="1"/>
  <c r="D120" i="4" a="1"/>
  <c r="I28" i="4" a="1"/>
  <c r="L60" i="4" a="1"/>
  <c r="M64" i="4" a="1"/>
  <c r="F108" i="4" a="1"/>
  <c r="K69" i="4" a="1"/>
  <c r="D114" i="4" a="1"/>
  <c r="D29" i="4" a="1"/>
  <c r="F64" i="4" a="1"/>
  <c r="E40" i="4" a="1"/>
  <c r="K80" i="4" a="1"/>
  <c r="D113" i="4" a="1"/>
  <c r="E51" i="4" a="1"/>
  <c r="L66" i="4" a="1"/>
  <c r="H32" i="4" a="1"/>
  <c r="N88" i="4" a="1"/>
  <c r="M106" i="4" a="1"/>
  <c r="L77" i="4" a="1"/>
  <c r="F112" i="4" a="1"/>
  <c r="K89" i="4" a="1"/>
  <c r="K117" i="4" a="1"/>
  <c r="H55" i="4" a="1"/>
  <c r="N109" i="4" a="1"/>
  <c r="I77" i="4" a="1"/>
  <c r="J66" i="4" a="1"/>
  <c r="G61" i="4" a="1"/>
  <c r="C42" i="4" a="1"/>
  <c r="N117" i="4" a="1"/>
  <c r="H96" i="4" a="1"/>
  <c r="C66" i="4" a="1"/>
  <c r="L55" i="4" a="1"/>
  <c r="F103" i="4" a="1"/>
  <c r="D121" i="4" a="1"/>
  <c r="E76" i="4" a="1"/>
  <c r="M83" i="4" a="1"/>
  <c r="G65" i="4" a="1"/>
  <c r="L111" i="4" a="1"/>
  <c r="M59" i="4" a="1"/>
  <c r="H108" i="4" a="1"/>
  <c r="D41" i="4" a="1"/>
  <c r="K56" i="4" a="1"/>
  <c r="L116" i="4" a="1"/>
  <c r="I43" i="4" a="1"/>
  <c r="N96" i="4" a="1"/>
  <c r="H64" i="4" a="1"/>
  <c r="I67" i="4" a="1"/>
  <c r="E110" i="4" a="1"/>
  <c r="K99" i="4" a="1"/>
  <c r="G30" i="4" a="1"/>
  <c r="N57" i="4" a="1"/>
  <c r="L63" i="4" a="1"/>
  <c r="F113" i="4" a="1"/>
  <c r="K88" i="4" a="1"/>
  <c r="J77" i="4" a="1"/>
  <c r="G71" i="4" a="1"/>
  <c r="N43" i="4" a="1"/>
  <c r="I26" i="4" a="1"/>
  <c r="N89" i="4" a="1"/>
  <c r="N26" i="4" a="1"/>
  <c r="H106" i="4" a="1"/>
  <c r="M95" i="4" a="1"/>
  <c r="M74" i="4" a="1"/>
  <c r="I78" i="4" a="1"/>
  <c r="E60" i="4" a="1"/>
  <c r="K119" i="4" a="1"/>
  <c r="K64" i="4" a="1"/>
  <c r="E116" i="4" a="1"/>
  <c r="C108" i="4" a="1"/>
  <c r="H98" i="4" a="1"/>
  <c r="N114" i="4" a="1"/>
  <c r="M109" i="4" a="1"/>
  <c r="J83" i="4" a="1"/>
  <c r="E31" i="4" a="1"/>
  <c r="L25" i="4" a="1"/>
  <c r="E66" i="4" a="1"/>
  <c r="E107" i="4" a="1"/>
  <c r="K65" i="4" a="1"/>
  <c r="D67" i="4" a="1"/>
  <c r="D103" i="4" a="1"/>
  <c r="L84" i="4" a="1"/>
  <c r="H29" i="4" a="1"/>
  <c r="N46" i="4" a="1"/>
  <c r="I37" i="4" a="1"/>
  <c r="E89" i="4" a="1"/>
  <c r="N71" i="4" a="1"/>
  <c r="H38" i="4" a="1"/>
  <c r="H81" i="4" a="1"/>
  <c r="N47" i="4" a="1"/>
  <c r="K83" i="4" a="1"/>
  <c r="F74" i="4" a="1"/>
  <c r="J109" i="4" a="1"/>
  <c r="G31" i="4" a="1"/>
  <c r="D80" i="4" a="1"/>
  <c r="I66" i="4" a="1"/>
  <c r="I40" i="4" a="1"/>
  <c r="D119" i="4" a="1"/>
  <c r="M117" i="4" a="1"/>
  <c r="G51" i="4" a="1"/>
  <c r="L90" i="4" a="1"/>
  <c r="H92" i="4" a="1"/>
  <c r="E26" i="4" a="1"/>
  <c r="K79" i="4" a="1"/>
  <c r="J29" i="4" a="1"/>
  <c r="E99" i="4" a="1"/>
  <c r="N78" i="4" a="1"/>
  <c r="I72" i="4" a="1"/>
  <c r="J65" i="4" a="1"/>
  <c r="K58" i="4" a="1"/>
  <c r="K118" i="4" a="1"/>
  <c r="D34" i="4" a="1"/>
  <c r="J119" i="4" a="1"/>
  <c r="I92" i="4" a="1"/>
  <c r="F39" i="4" a="1"/>
  <c r="M37" i="4" a="1"/>
  <c r="N73" i="4" a="1"/>
  <c r="G44" i="4" a="1"/>
  <c r="F71" i="4" a="1"/>
  <c r="L48" i="4" a="1"/>
  <c r="E69" i="4" a="1"/>
  <c r="F93" i="4" a="1"/>
  <c r="M46" i="4" a="1"/>
  <c r="H109" i="4" a="1"/>
  <c r="C27" i="4" a="1"/>
  <c r="C38" i="4" a="1"/>
  <c r="C62" i="4" a="1"/>
  <c r="I99" i="4" a="1"/>
  <c r="M89" i="4" a="1"/>
  <c r="N30" i="4" a="1"/>
  <c r="I95" i="4" a="1"/>
  <c r="F73" i="4" a="1"/>
  <c r="K94" i="4" a="1"/>
  <c r="M100" i="4" a="1"/>
  <c r="J89" i="4" a="1"/>
  <c r="G95" i="4" a="1"/>
  <c r="M87" i="4" a="1"/>
  <c r="J98" i="4" a="1"/>
  <c r="C55" i="4" a="1"/>
  <c r="I110" i="4" a="1"/>
  <c r="I61" i="4" a="1"/>
  <c r="F80" i="4" a="1"/>
  <c r="L121" i="4" a="1"/>
  <c r="G108" i="4" a="1"/>
  <c r="H52" i="4" a="1"/>
  <c r="E48" i="4" a="1"/>
  <c r="J30" i="4" a="1"/>
  <c r="C109" i="4" a="1"/>
  <c r="E81" i="4" a="1"/>
  <c r="M26" i="4" a="1"/>
  <c r="H50" i="4" a="1"/>
  <c r="C91" i="4" a="1"/>
  <c r="N122" i="4" a="1"/>
  <c r="N37" i="4" a="1"/>
  <c r="G54" i="4" a="1"/>
  <c r="M55" i="4" a="1"/>
  <c r="M36" i="4" a="1"/>
  <c r="I27" i="4" a="1"/>
  <c r="D111" i="4" a="1"/>
  <c r="M56" i="4" a="1"/>
  <c r="L46" i="4" a="1"/>
  <c r="I31" i="4" a="1"/>
  <c r="E75" i="4" a="1"/>
  <c r="K40" i="4" a="1"/>
  <c r="J33" i="4" a="1"/>
  <c r="G119" i="4" a="1"/>
  <c r="N82" i="4" a="1"/>
  <c r="I109" i="4" a="1"/>
  <c r="H116" i="4" a="1"/>
  <c r="D60" i="4" a="1"/>
  <c r="M122" i="4" a="1"/>
  <c r="H91" i="4" a="1"/>
  <c r="G45" i="4" a="1"/>
  <c r="N42" i="4" a="1"/>
  <c r="I88" i="4" a="1"/>
  <c r="D97" i="4" a="1"/>
  <c r="K37" i="4" a="1"/>
  <c r="H79" i="4" a="1"/>
  <c r="D43" i="4" a="1"/>
  <c r="I32" i="4" a="1"/>
  <c r="C43" i="4" a="1"/>
  <c r="D90" i="4" a="1"/>
  <c r="K45" i="4" a="1"/>
  <c r="G68" i="4" a="1"/>
  <c r="M69" i="4" a="1"/>
  <c r="J91" i="4" a="1"/>
  <c r="F102" i="4" a="1"/>
  <c r="L28" i="4" a="1"/>
  <c r="F32" i="4" a="1"/>
  <c r="F31" i="4" a="1"/>
  <c r="N29" i="4" a="1"/>
  <c r="I59" i="4" a="1"/>
  <c r="E53" i="4" a="1"/>
  <c r="M112" i="4" a="1"/>
  <c r="C113" i="4" a="1"/>
  <c r="G28" i="4" a="1"/>
  <c r="M62" i="4" a="1"/>
  <c r="F38" i="4" a="1"/>
  <c r="G75" i="4" a="1"/>
  <c r="N53" i="4" a="1"/>
  <c r="I86" i="4" a="1"/>
  <c r="I57" i="4" a="1"/>
  <c r="L45" i="4" a="1"/>
  <c r="I49" i="4" a="1"/>
  <c r="C67" i="4" a="1"/>
  <c r="I121" i="4" a="1"/>
  <c r="L93" i="4" a="1"/>
  <c r="E42" i="4" a="1"/>
  <c r="L92" i="4" a="1"/>
  <c r="G32" i="4" a="1"/>
  <c r="M29" i="4" a="1"/>
  <c r="N56" i="4" a="1"/>
  <c r="F114" i="4" a="1"/>
  <c r="L87" i="4" a="1"/>
  <c r="M79" i="4" a="1"/>
  <c r="G93" i="4" a="1"/>
  <c r="D58" i="4" a="1"/>
  <c r="I39" i="4" a="1"/>
  <c r="C70" i="4" a="1"/>
  <c r="N75" i="4" a="1"/>
  <c r="H103" i="4" a="1"/>
  <c r="N68" i="4" a="1"/>
  <c r="N108" i="4" a="1"/>
  <c r="I82" i="4" a="1"/>
  <c r="E29" i="4" a="1"/>
  <c r="K36" i="4" a="1"/>
  <c r="D109" i="4" a="1"/>
  <c r="D68" i="4" a="1"/>
  <c r="I70" i="4" a="1"/>
  <c r="C78" i="4" a="1"/>
  <c r="D36" i="4" a="1"/>
  <c r="K106" i="4" a="1"/>
  <c r="G102" i="4" a="1"/>
  <c r="L113" i="4" a="1"/>
  <c r="L91" i="4" a="1"/>
  <c r="F116" i="4" a="1"/>
  <c r="C34" i="4" a="1"/>
  <c r="I73" i="4" a="1"/>
  <c r="N83" i="4" a="1"/>
  <c r="C46" i="4" a="1"/>
  <c r="K46" i="4" a="1"/>
  <c r="F66" i="4" a="1"/>
  <c r="E54" i="4" a="1"/>
  <c r="N94" i="4" a="1"/>
  <c r="J67" i="4" a="1"/>
  <c r="D73" i="4" a="1"/>
  <c r="I89" i="4" a="1"/>
  <c r="L117" i="4" a="1"/>
  <c r="E47" i="4" a="1"/>
  <c r="M118" i="4" a="1"/>
  <c r="I112" i="4" a="1"/>
  <c r="K111" i="4" a="1"/>
  <c r="H74" i="4" a="1"/>
  <c r="M105" i="4" a="1"/>
  <c r="G76" i="4" a="1"/>
  <c r="F83" i="4" a="1"/>
  <c r="C79" i="4" a="1"/>
  <c r="J82" i="4" a="1"/>
  <c r="E80" i="4" a="1"/>
  <c r="F75" i="4" a="1"/>
  <c r="N84" i="4" a="1"/>
  <c r="K50" i="4" a="1"/>
  <c r="D92" i="4" a="1"/>
  <c r="G25" i="4" a="1"/>
  <c r="C54" i="4" a="1"/>
  <c r="D56" i="4" a="1"/>
  <c r="F57" i="4" a="1"/>
  <c r="C28" i="4" a="1"/>
  <c r="L53" i="4" a="1"/>
  <c r="I100" i="4" a="1"/>
  <c r="N113" i="4" a="1"/>
  <c r="I117" i="4" a="1"/>
  <c r="J121" i="4" a="1"/>
  <c r="I35" i="4" a="1"/>
  <c r="F42" i="4" a="1"/>
  <c r="J86" i="4" a="1"/>
  <c r="M58" i="4" a="1"/>
  <c r="F27" i="4" a="1"/>
  <c r="K75" i="4" a="1"/>
  <c r="E86" i="4" a="1"/>
  <c r="C89" i="4" a="1"/>
  <c r="N74" i="4" a="1"/>
  <c r="L56" i="4" a="1"/>
  <c r="C29" i="4" a="1"/>
  <c r="D98" i="4" a="1"/>
  <c r="K115" i="4" a="1"/>
  <c r="F98" i="4" a="1"/>
  <c r="H107" i="4" a="1"/>
  <c r="E91" i="4" a="1"/>
  <c r="G48" i="4" a="1"/>
  <c r="F47" i="4" a="1"/>
  <c r="E90" i="4" a="1"/>
  <c r="F78" i="4" a="1"/>
  <c r="G109" i="4" a="1"/>
  <c r="E49" i="4" a="1"/>
  <c r="I55" i="4" a="1"/>
  <c r="H61" i="4" a="1"/>
  <c r="L107" i="4" a="1"/>
  <c r="F37" i="4" a="1"/>
  <c r="D54" i="4" a="1"/>
  <c r="M92" i="4" a="1"/>
  <c r="F41" i="4" a="1"/>
  <c r="D86" i="4" a="1"/>
  <c r="C102" i="4" a="1"/>
  <c r="F58" i="4" a="1"/>
  <c r="M47" i="4" a="1"/>
  <c r="D72" i="4" a="1"/>
  <c r="D77" i="4" a="1"/>
  <c r="M49" i="4" a="1"/>
  <c r="N97" i="4" a="1"/>
  <c r="L36" i="4" a="1"/>
  <c r="K120" i="4" a="1"/>
  <c r="H37" i="4" a="1"/>
  <c r="K76" i="4" a="1"/>
  <c r="J34" i="4" a="1"/>
  <c r="J99" i="4" a="1"/>
  <c r="F61" i="4" a="1"/>
  <c r="E43" i="4" a="1"/>
  <c r="E119" i="4" a="1"/>
  <c r="E61" i="4" a="1"/>
  <c r="J28" i="4" a="1"/>
  <c r="F29" i="4" a="1"/>
  <c r="J84" i="4" a="1"/>
  <c r="E52" i="4" a="1"/>
  <c r="C50" i="4" a="1"/>
  <c r="M66" i="4" a="1"/>
  <c r="F69" i="4" a="1"/>
  <c r="I75" i="4" a="1"/>
  <c r="J47" i="4" a="1"/>
  <c r="K24" i="4" a="1"/>
  <c r="I41" i="4" a="1"/>
  <c r="J31" i="4" a="1"/>
  <c r="D25" i="4" a="1"/>
  <c r="E71" i="4" a="1"/>
  <c r="C116" i="4" a="1"/>
  <c r="D33" i="4" a="1"/>
  <c r="H112" i="4" a="1"/>
  <c r="F115" i="4" a="1"/>
  <c r="E41" i="4" a="1"/>
  <c r="G105" i="4" a="1"/>
  <c r="L71" i="4" a="1"/>
  <c r="I68" i="4" a="1"/>
  <c r="K98" i="4" a="1"/>
  <c r="C57" i="4" a="1"/>
  <c r="L76" i="4" a="1"/>
  <c r="E122" i="4" a="1"/>
  <c r="I47" i="4" a="1"/>
  <c r="J32" i="4" a="1"/>
  <c r="H110" i="4" a="1"/>
  <c r="E46" i="4" a="1"/>
  <c r="N119" i="4" a="1"/>
  <c r="K62" i="4" a="1"/>
  <c r="L83" i="4" a="1"/>
  <c r="L34" i="4" a="1"/>
  <c r="J60" i="4" a="1"/>
  <c r="L40" i="4" a="1"/>
  <c r="M51" i="4" a="1"/>
  <c r="J90" i="4" a="1"/>
  <c r="N52" i="4" a="1"/>
  <c r="M45" i="4" a="1"/>
  <c r="J46" i="4" a="1"/>
  <c r="J39" i="4" a="1"/>
  <c r="J26" i="4" a="1"/>
  <c r="L43" i="4" a="1"/>
  <c r="L62" i="4" a="1"/>
  <c r="I106" i="4" a="1"/>
  <c r="G59" i="4" a="1"/>
  <c r="I91" i="4" a="1"/>
  <c r="H33" i="4" a="1"/>
  <c r="F56" i="4" a="1"/>
  <c r="K41" i="4" a="1"/>
  <c r="C100" i="4" a="1"/>
  <c r="H85" i="4" a="1"/>
  <c r="D117" i="4" a="1"/>
  <c r="D118" i="4" a="1"/>
  <c r="N77" i="4" a="1"/>
  <c r="J40" i="4" a="1"/>
  <c r="C65" i="4" a="1"/>
  <c r="H70" i="4" a="1"/>
  <c r="D87" i="4" a="1"/>
  <c r="G57" i="4" a="1"/>
  <c r="N28" i="4" a="1"/>
  <c r="I63" i="4" a="1"/>
  <c r="C31" i="4" a="1"/>
  <c r="I29" i="4" a="1"/>
  <c r="J120" i="4" a="1"/>
  <c r="L50" i="4" a="1"/>
  <c r="M53" i="4" a="1"/>
  <c r="D102" i="4" a="1"/>
  <c r="L72" i="4" a="1"/>
  <c r="J57" i="4" a="1"/>
  <c r="H75" i="4" a="1"/>
  <c r="E114" i="4" a="1"/>
  <c r="I96" i="4" a="1"/>
  <c r="F119" i="4" a="1"/>
  <c r="F96" i="4" a="1"/>
  <c r="N70" i="4" a="1"/>
  <c r="J38" i="4" a="1"/>
  <c r="H100" i="4" a="1"/>
  <c r="K105" i="4" a="1"/>
  <c r="L103" i="4" a="1"/>
  <c r="C61" i="4" a="1"/>
  <c r="L122" i="4" a="1"/>
  <c r="F62" i="4" a="1"/>
  <c r="J54" i="4" a="1"/>
  <c r="D49" i="4" a="1"/>
  <c r="L104" i="4" a="1"/>
  <c r="N86" i="4" a="1"/>
  <c r="M78" i="4" a="1"/>
  <c r="G111" i="4" a="1"/>
  <c r="K109" i="4" a="1"/>
  <c r="E57" i="4" a="1"/>
  <c r="H90" i="4" a="1"/>
  <c r="E33" i="4" a="1"/>
  <c r="K90" i="4" a="1"/>
  <c r="N54" i="4" a="1"/>
  <c r="G100" i="4" a="1"/>
  <c r="C41" i="4" a="1"/>
  <c r="E96" i="4" a="1"/>
  <c r="D71" i="4" a="1"/>
  <c r="C56" i="4" a="1"/>
  <c r="L47" i="4" a="1"/>
  <c r="I76" i="4" a="1"/>
  <c r="M30" i="4" a="1"/>
  <c r="L94" i="4" a="1"/>
  <c r="N63" i="4" a="1"/>
  <c r="H97" i="4" a="1"/>
  <c r="G97" i="4" a="1"/>
  <c r="H93" i="4" a="1"/>
  <c r="G103" i="4" a="1"/>
  <c r="F82" i="4" a="1"/>
  <c r="C33" i="4" a="1"/>
  <c r="G77" i="4" a="1"/>
  <c r="N60" i="4" a="1"/>
  <c r="K122" i="4" a="1"/>
  <c r="E36" i="4" a="1"/>
  <c r="D78" i="4" a="1"/>
  <c r="N31" i="4" a="1"/>
  <c r="F89" i="4" a="1"/>
  <c r="D31" i="4" a="1"/>
  <c r="N102" i="4" a="1"/>
  <c r="C88" i="4" a="1"/>
  <c r="C107" i="4" a="1"/>
  <c r="D61" i="4" a="1"/>
  <c r="E56" i="4" a="1"/>
  <c r="G66" i="4" a="1"/>
  <c r="D94" i="4" a="1"/>
  <c r="M98" i="4" a="1"/>
  <c r="I48" i="4" a="1"/>
  <c r="E84" i="4" a="1"/>
  <c r="G116" i="4" a="1"/>
  <c r="F81" i="4" a="1"/>
  <c r="L80" i="4" a="1"/>
  <c r="C106" i="4" a="1"/>
  <c r="J80" i="4" a="1"/>
  <c r="F44" i="4" a="1"/>
  <c r="H27" i="4" a="1"/>
  <c r="G36" i="4" a="1"/>
  <c r="L85" i="4" a="1"/>
  <c r="H120" i="4" a="1"/>
  <c r="K92" i="4" a="1"/>
  <c r="N69" i="4" a="1"/>
  <c r="K82" i="4" a="1"/>
  <c r="D83" i="4" a="1"/>
  <c r="H31" i="4" a="1"/>
  <c r="M115" i="4" a="1"/>
  <c r="I80" i="4" a="1"/>
  <c r="K87" i="4" a="1"/>
  <c r="J104" i="4" a="1"/>
  <c r="C48" i="4" a="1"/>
  <c r="E73" i="4" a="1"/>
  <c r="N36" i="4" a="1"/>
  <c r="C121" i="4" a="1"/>
  <c r="L51" i="4" a="1"/>
  <c r="F54" i="4" a="1"/>
  <c r="K70" i="4" a="1"/>
  <c r="C105" i="4" a="1"/>
  <c r="H72" i="4" a="1"/>
  <c r="D93" i="4" a="1"/>
  <c r="J51" i="4" a="1"/>
  <c r="C36" i="4" a="1"/>
  <c r="K54" i="4" a="1"/>
  <c r="H49" i="4" a="1"/>
  <c r="D40" i="4" a="1"/>
  <c r="E59" i="4" a="1"/>
  <c r="H71" i="4" a="1"/>
  <c r="F70" i="4" a="1"/>
  <c r="E88" i="4" a="1"/>
  <c r="N27" i="4" a="1"/>
  <c r="J96" i="4" a="1"/>
  <c r="L67" i="4" a="1"/>
  <c r="M38" i="4" a="1"/>
  <c r="M65" i="4" a="1"/>
  <c r="G106" i="4" a="1"/>
  <c r="G52" i="4" a="1"/>
  <c r="K68" i="4" a="1"/>
  <c r="J106" i="4" a="1"/>
  <c r="H104" i="4" a="1"/>
  <c r="F79" i="4" a="1"/>
  <c r="J79" i="4" a="1"/>
  <c r="L29" i="4" a="1"/>
  <c r="C73" i="4" a="1"/>
  <c r="I85" i="4" a="1"/>
  <c r="J36" i="4" a="1"/>
  <c r="J113" i="4" a="1"/>
  <c r="E63" i="4" a="1"/>
  <c r="J118" i="4" a="1"/>
  <c r="L82" i="4" a="1"/>
  <c r="H54" i="4" a="1"/>
  <c r="K108" i="4" a="1"/>
  <c r="G79" i="4" a="1"/>
  <c r="L68" i="4" a="1"/>
  <c r="J61" i="4" a="1"/>
  <c r="I104" i="4" a="1"/>
  <c r="K34" i="4" a="1"/>
  <c r="K31" i="4" a="1"/>
  <c r="H102" i="4" a="1"/>
  <c r="L98" i="4" a="1"/>
  <c r="K85" i="4" a="1"/>
  <c r="H59" i="4" a="1"/>
  <c r="K44" i="4" a="1"/>
  <c r="H94" i="4" a="1"/>
  <c r="J81" i="4" a="1"/>
  <c r="I120" i="4" a="1"/>
  <c r="H46" i="4" a="1"/>
  <c r="H39" i="4" a="1"/>
  <c r="H26" i="4" a="1"/>
  <c r="E102" i="4" a="1"/>
  <c r="H47" i="4" a="1"/>
  <c r="D32" i="4" a="1"/>
  <c r="F55" i="4" a="1"/>
  <c r="L101" i="4" a="1"/>
  <c r="N111" i="4" a="1"/>
  <c r="L41" i="4" a="1"/>
  <c r="D82" i="4" a="1"/>
  <c r="L42" i="4" a="1"/>
  <c r="D75" i="4" a="1"/>
  <c r="F65" i="4" a="1"/>
  <c r="H67" i="4" a="1"/>
  <c r="E38" i="4" a="1"/>
  <c r="F45" i="4" a="1"/>
  <c r="L26" i="4" a="1"/>
  <c r="C92" i="4" a="1"/>
  <c r="D76" i="4" a="1"/>
  <c r="H82" i="4" a="1"/>
  <c r="J68" i="4" a="1"/>
  <c r="G117" i="4" a="1"/>
  <c r="F106" i="4" a="1"/>
  <c r="H86" i="4" a="1"/>
  <c r="F34" i="4" a="1"/>
  <c r="C63" i="4" a="1"/>
  <c r="J107" i="4" a="1"/>
  <c r="E111" i="4" a="1"/>
  <c r="N92" i="4" a="1"/>
  <c r="F24" i="4" a="1"/>
  <c r="D95" i="4" a="1"/>
  <c r="D116" i="4" a="1"/>
  <c r="M80" i="4" a="1"/>
  <c r="E30" i="4" a="1"/>
  <c r="C72" i="4" a="1"/>
  <c r="N120" i="4" a="1"/>
  <c r="E79" i="4" a="1"/>
  <c r="E37" i="4" a="1"/>
  <c r="M85" i="4" a="1"/>
  <c r="E34" i="4" a="1"/>
  <c r="C117" i="4" a="1"/>
  <c r="N24" i="4" a="1"/>
  <c r="E103" i="4" a="1"/>
  <c r="L33" i="4" a="1"/>
  <c r="C87" i="4" a="1"/>
  <c r="C39" i="4" a="1"/>
  <c r="N65" i="4" a="1"/>
  <c r="N40" i="4" a="1"/>
  <c r="N64" i="4" a="1"/>
  <c r="K52" i="4" a="1"/>
  <c r="N118" i="4" a="1"/>
  <c r="N95" i="4" a="1"/>
  <c r="J122" i="4" a="1"/>
  <c r="L30" i="4" a="1"/>
  <c r="I81" i="4" a="1"/>
  <c r="L54" i="4" a="1"/>
  <c r="L52" i="4" a="1"/>
  <c r="J92" i="4" a="1"/>
  <c r="J94" i="4" a="1"/>
  <c r="G101" i="4" a="1"/>
  <c r="J115" i="4" a="1"/>
  <c r="J100" i="4" a="1"/>
  <c r="F109" i="4" a="1"/>
  <c r="F104" i="4" a="1"/>
  <c r="I74" i="4" a="1"/>
  <c r="G60" i="4" a="1"/>
  <c r="C95" i="4" a="1"/>
  <c r="F52" i="4" a="1"/>
  <c r="D59" i="4" a="1"/>
  <c r="G24" i="4" a="1"/>
  <c r="K101" i="4" a="1"/>
  <c r="M28" i="4" a="1"/>
  <c r="L97" i="4" a="1"/>
  <c r="N50" i="4" a="1"/>
  <c r="G81" i="4" a="1"/>
  <c r="C85" i="4" a="1"/>
  <c r="L73" i="4" a="1"/>
  <c r="M52" i="4" a="1"/>
  <c r="D99" i="4" a="1"/>
  <c r="N104" i="4" a="1"/>
  <c r="L59" i="4" a="1"/>
  <c r="I42" i="4" a="1"/>
  <c r="F107" i="4" a="1"/>
  <c r="G84" i="4" a="1"/>
  <c r="I38" i="4" a="1"/>
  <c r="G35" i="4" a="1"/>
  <c r="K57" i="4" a="1"/>
  <c r="F26" i="4" a="1"/>
  <c r="K60" i="4" a="1"/>
  <c r="D64" i="4" a="1"/>
  <c r="I71" i="4" a="1"/>
  <c r="D39" i="4" a="1"/>
  <c r="J49" i="4" a="1"/>
  <c r="C93" i="4" a="1"/>
  <c r="L58" i="4" a="1"/>
  <c r="K107" i="4" a="1"/>
  <c r="L65" i="4" a="1"/>
  <c r="D110" i="4" a="1"/>
  <c r="M61" i="4" a="1"/>
  <c r="I93" i="4" a="1"/>
  <c r="M116" i="4" a="1"/>
  <c r="N116" i="4" a="1"/>
  <c r="C99" i="4" a="1"/>
  <c r="L115" i="4" a="1"/>
  <c r="H30" i="4" a="1"/>
  <c r="E78" i="4" a="1"/>
  <c r="I102" i="4" a="1"/>
  <c r="C52" i="4" a="1"/>
  <c r="I34" i="4" a="1"/>
  <c r="M39" i="4" a="1"/>
  <c r="L79" i="4" a="1"/>
  <c r="C35" i="4" a="1"/>
  <c r="I51" i="4" a="1"/>
  <c r="K96" i="4" a="1"/>
  <c r="I87" i="4" a="1"/>
  <c r="N25" i="4" a="1"/>
  <c r="D108" i="4" a="1"/>
  <c r="E113" i="4" a="1"/>
  <c r="I54" i="4" a="1"/>
  <c r="L49" i="4" a="1"/>
  <c r="K112" i="4" a="1"/>
  <c r="C26" i="4" a="1"/>
  <c r="G110" i="4" a="1"/>
  <c r="C104" i="4" a="1"/>
  <c r="C101" i="4" a="1"/>
  <c r="M35" i="4" a="1"/>
  <c r="L119" i="4" a="1"/>
  <c r="N67" i="4" a="1"/>
  <c r="H34" i="4" a="1"/>
  <c r="E32" i="4" a="1"/>
  <c r="I69" i="4" a="1"/>
  <c r="H111" i="4" a="1"/>
  <c r="L114" i="4" a="1"/>
  <c r="N81" i="4" a="1"/>
  <c r="N39" i="4" a="1"/>
  <c r="K25" i="4" a="1"/>
  <c r="F46" i="4" a="1"/>
  <c r="E106" i="4" a="1"/>
  <c r="H118" i="4" a="1"/>
  <c r="J95" i="4" a="1"/>
  <c r="J41" i="4" a="1"/>
  <c r="D66" i="4" a="1"/>
  <c r="G96" i="4" a="1"/>
  <c r="M108" i="4" a="1"/>
  <c r="J62" i="4" a="1"/>
  <c r="D115" i="4" a="1"/>
  <c r="K73" i="4" a="1"/>
  <c r="D107" i="4" a="1"/>
  <c r="J55" i="4" a="1"/>
  <c r="G92" i="4" a="1"/>
  <c r="I60" i="4" a="1"/>
  <c r="D91" i="4" a="1"/>
  <c r="I94" i="4" a="1"/>
  <c r="F51" i="4" a="1"/>
  <c r="C80" i="4" a="1"/>
  <c r="C84" i="4" a="1"/>
  <c r="J116" i="4" a="1"/>
  <c r="L86" i="4" a="1"/>
  <c r="G113" i="4" a="1"/>
  <c r="G69" i="4" a="1"/>
  <c r="N79" i="4" a="1"/>
  <c r="N98" i="4" a="1"/>
  <c r="D45" i="4" a="1"/>
  <c r="M91" i="4" a="1"/>
  <c r="J110" i="4" a="1"/>
  <c r="G118" i="4" a="1"/>
  <c r="H78" i="4" a="1"/>
  <c r="I44" i="4" a="1"/>
  <c r="M40" i="4" a="1"/>
  <c r="D51" i="4" a="1"/>
  <c r="I114" i="4" a="1"/>
  <c r="N106" i="4" a="1"/>
  <c r="D53" i="4" a="1"/>
  <c r="C59" i="4" a="1"/>
  <c r="H25" i="4" a="1"/>
  <c r="D104" i="4" a="1"/>
  <c r="I115" i="4" a="1"/>
  <c r="C118" i="4" a="1"/>
  <c r="K47" i="4" a="1"/>
  <c r="D101" i="4" a="1"/>
  <c r="I36" i="4" a="1"/>
  <c r="L102" i="4" a="1"/>
  <c r="H89" i="4" a="1"/>
  <c r="J69" i="4" a="1"/>
  <c r="H56" i="4" a="1"/>
  <c r="F85" i="4" a="1"/>
  <c r="E117" i="4" a="1"/>
  <c r="G27" i="4" a="1"/>
  <c r="J114" i="4" a="1"/>
  <c r="C30" i="4" a="1"/>
  <c r="F97" i="4" a="1"/>
  <c r="I83" i="4" a="1"/>
  <c r="F67" i="4" a="1"/>
  <c r="C77" i="4" a="1"/>
  <c r="G37" i="4" a="1"/>
  <c r="L118" i="4" a="1"/>
  <c r="H83" i="4" a="1"/>
  <c r="C122" i="4" a="1"/>
  <c r="C68" i="4" a="1"/>
  <c r="C60" i="4" a="1"/>
  <c r="N55" i="4" a="1"/>
  <c r="M42" i="4" a="1"/>
  <c r="K113" i="4" a="1"/>
  <c r="H114" i="4" a="1"/>
  <c r="I46" i="4" a="1"/>
  <c r="K104" i="4" a="1"/>
  <c r="F33" i="4" a="1"/>
  <c r="G26" i="4" a="1"/>
  <c r="M71" i="4" a="1"/>
  <c r="H65" i="4" a="1"/>
  <c r="H84" i="4" a="1"/>
  <c r="D85" i="4" a="1"/>
  <c r="F99" i="4" a="1"/>
  <c r="J43" i="4" a="1"/>
  <c r="H57" i="4" a="1"/>
  <c r="N58" i="4" a="1"/>
  <c r="J35" i="4" a="1"/>
  <c r="G64" i="4" a="1"/>
  <c r="D55" i="4" a="1"/>
  <c r="C51" i="4" a="1"/>
  <c r="M99" i="4" a="1"/>
  <c r="J27" i="4" a="1"/>
  <c r="C24" i="4" a="1"/>
  <c r="M57" i="4" a="1"/>
  <c r="G99" i="4" a="1"/>
  <c r="N72" i="4" a="1"/>
  <c r="M84" i="4" a="1"/>
  <c r="E68" i="4" a="1"/>
  <c r="D37" i="4" a="1"/>
  <c r="C119" i="4" a="1"/>
  <c r="K102" i="4" a="1"/>
  <c r="M54" i="4" a="1"/>
  <c r="J112" i="4" a="1"/>
  <c r="C74" i="4" a="1"/>
  <c r="M114" i="4" a="1"/>
  <c r="L109" i="4" a="1"/>
  <c r="K114" i="4" a="1"/>
  <c r="K110" i="4" a="1"/>
  <c r="M82" i="4" a="1"/>
  <c r="M90" i="4" a="1"/>
  <c r="J76" i="4" a="1"/>
  <c r="I122" i="4" a="1"/>
  <c r="H101" i="4" a="1"/>
  <c r="E85" i="4" a="1"/>
  <c r="M121" i="4" a="1"/>
  <c r="C94" i="4" a="1"/>
  <c r="G29" i="4" a="1"/>
  <c r="H119" i="4" a="1"/>
  <c r="G58" i="4" a="1"/>
  <c r="G104" i="4" a="1"/>
  <c r="I33" i="4" a="1"/>
  <c r="L70" i="4" a="1"/>
  <c r="N90" i="4" a="1"/>
  <c r="C83" i="4" a="1"/>
  <c r="J75" i="4" a="1"/>
  <c r="M24" i="4" a="1"/>
  <c r="K103" i="4" a="1"/>
  <c r="M97" i="4" a="1"/>
  <c r="G80" i="4" a="1"/>
  <c r="M60" i="4" a="1"/>
  <c r="L105" i="4" a="1"/>
  <c r="C112" i="4" a="1"/>
  <c r="N107" i="4" a="1"/>
  <c r="L112" i="4" a="1"/>
  <c r="N62" i="4" a="1"/>
  <c r="E100" i="4" a="1"/>
  <c r="C58" i="4" a="1"/>
  <c r="G121" i="4" a="1"/>
  <c r="G88" i="4" a="1"/>
  <c r="J97" i="4" a="1"/>
  <c r="H117" i="4" a="1"/>
  <c r="G33" i="4" a="1"/>
  <c r="N66" i="4" a="1"/>
  <c r="H66" i="4" a="1"/>
  <c r="G73" i="4" a="1"/>
  <c r="J64" i="4" a="1"/>
  <c r="J50" i="4" a="1"/>
  <c r="G83" i="4" a="1"/>
  <c r="G55" i="4" a="1"/>
  <c r="G90" i="4" a="1"/>
  <c r="D74" i="4" a="1"/>
  <c r="H69" i="4" a="1"/>
  <c r="F121" i="4" a="1"/>
  <c r="E87" i="4" a="1"/>
  <c r="G82" i="4" a="1"/>
  <c r="D57" i="4" a="1"/>
  <c r="G94" i="4" a="1"/>
  <c r="G91" i="4" a="1"/>
  <c r="D48" i="4" a="1"/>
  <c r="C86" i="4" a="1"/>
  <c r="C110" i="4" a="1"/>
  <c r="K86" i="4" a="1"/>
  <c r="C120" i="4" a="1"/>
  <c r="C45" i="4" a="1"/>
  <c r="J93" i="4" a="1"/>
  <c r="N115" i="4" a="1"/>
  <c r="J71" i="4" a="1"/>
  <c r="N41" i="4" a="1"/>
  <c r="M101" i="4" a="1"/>
  <c r="L24" i="4" a="1"/>
  <c r="K74" i="4" a="1"/>
  <c r="F117" i="4" a="1"/>
  <c r="H53" i="4" a="1"/>
  <c r="G39" i="4" a="1"/>
  <c r="G70" i="4" a="1"/>
  <c r="L37" i="4" a="1"/>
  <c r="F95" i="4" a="1"/>
  <c r="K63" i="4" a="1"/>
  <c r="M48" i="4" a="1"/>
  <c r="N49" i="4" a="1"/>
  <c r="F87" i="4" a="1"/>
  <c r="L74" i="4" a="1"/>
  <c r="H122" i="4" a="1"/>
  <c r="C82" i="4" a="1"/>
  <c r="K30" i="4" a="1"/>
  <c r="I107" i="4" a="1"/>
  <c r="F36" i="4" a="1"/>
  <c r="M68" i="4" a="1"/>
  <c r="G122" i="4" a="1"/>
  <c r="K93" i="4" a="1"/>
  <c r="I113" i="4" a="1"/>
  <c r="N103" i="4" a="1"/>
  <c r="J58" i="4" a="1"/>
  <c r="G40" i="4" a="1"/>
  <c r="J117" i="4" a="1"/>
  <c r="I103" i="4" a="1"/>
  <c r="C81" i="4" a="1"/>
  <c r="E27" i="4" a="1"/>
  <c r="N32" i="4" a="1"/>
  <c r="H42" i="4" a="1"/>
  <c r="K97" i="4" a="1"/>
  <c r="G41" i="4" a="1"/>
  <c r="C97" i="4" a="1"/>
  <c r="F35" i="4" a="1"/>
  <c r="N99" i="4" a="1"/>
  <c r="H115" i="4" a="1"/>
  <c r="M104" i="4" a="1"/>
  <c r="F90" i="4" a="1"/>
  <c r="L35" i="4" a="1"/>
  <c r="N105" i="4" a="1"/>
  <c r="L99" i="4" a="1"/>
  <c r="E82" i="4" a="1"/>
  <c r="J74" i="4" a="1"/>
  <c r="F101" i="4" a="1"/>
  <c r="I108" i="4" a="1"/>
  <c r="E83" i="4" a="1"/>
  <c r="D44" i="4" a="1"/>
  <c r="D84" i="4" a="1"/>
  <c r="N93" i="4" a="1"/>
  <c r="K59" i="4" a="1"/>
  <c r="K121" i="4" a="1"/>
  <c r="F111" i="4" a="1"/>
  <c r="K55" i="4" a="1"/>
  <c r="E118" i="4" a="1"/>
  <c r="E74" i="4" a="1"/>
  <c r="F118" i="4" a="1"/>
  <c r="L44" i="4" a="1"/>
  <c r="E95" i="4" a="1"/>
  <c r="D46" i="4" a="1"/>
  <c r="I24" i="4" a="1"/>
  <c r="E104" i="4" a="1"/>
  <c r="C37" i="4" a="1"/>
  <c r="G67" i="4" a="1"/>
  <c r="F63" i="4" a="1"/>
  <c r="L120" i="4" a="1"/>
  <c r="J44" i="4" a="1"/>
  <c r="N87" i="4" a="1"/>
  <c r="F91" i="4" a="1"/>
  <c r="D52" i="4" a="1"/>
  <c r="E105" i="4" a="1"/>
  <c r="E55" i="4" a="1"/>
  <c r="G34" i="4" a="1"/>
  <c r="H113" i="4" a="1"/>
  <c r="K28" i="4" a="1"/>
  <c r="H58" i="4" a="1"/>
  <c r="M102" i="4" a="1"/>
  <c r="E28" i="4" a="1"/>
  <c r="L39" i="4" a="1"/>
  <c r="I30" i="4" a="1"/>
  <c r="K27" i="4" a="1"/>
  <c r="H99" i="4" a="1"/>
  <c r="N61" i="4" a="1"/>
  <c r="G62" i="4" a="1"/>
  <c r="L75" i="4" a="1"/>
  <c r="E112" i="4" a="1"/>
  <c r="G89" i="4" a="1"/>
  <c r="F43" i="4" a="1"/>
  <c r="K49" i="4" a="1"/>
  <c r="C96" i="4" a="1"/>
  <c r="L27" i="4" a="1"/>
  <c r="N38" i="4" a="1"/>
  <c r="K26" i="4" a="1"/>
  <c r="E44" i="4" a="1"/>
  <c r="J85" i="4" a="1"/>
  <c r="N48" i="4" a="1"/>
  <c r="G87" i="4" a="1"/>
  <c r="C25" i="4" a="1"/>
  <c r="I65" i="4" a="1"/>
  <c r="M27" i="4" a="1"/>
  <c r="D50" i="4" a="1"/>
  <c r="K53" i="4" a="1"/>
  <c r="N33" i="4" a="1"/>
  <c r="M107" i="4" a="1"/>
  <c r="E72" i="4" a="1"/>
  <c r="I45" i="4" a="1"/>
  <c r="C71" i="4" a="1"/>
  <c r="L100" i="4" a="1"/>
  <c r="C76" i="4" a="1"/>
  <c r="K61" i="4" a="1"/>
  <c r="K71" i="4" a="1"/>
  <c r="H88" i="4" a="1"/>
  <c r="J45" i="4" a="1"/>
  <c r="K38" i="4" a="1"/>
  <c r="H45" i="4" a="1"/>
  <c r="H35" i="4" a="1"/>
  <c r="E24" i="4" a="1"/>
  <c r="L32" i="4" a="1"/>
  <c r="M96" i="4" a="1"/>
  <c r="H24" i="4" a="1"/>
  <c r="E25" i="4" a="1"/>
  <c r="F100" i="4" a="1"/>
  <c r="K91" i="4" a="1"/>
  <c r="F49" i="4" a="1"/>
  <c r="N45" i="4" a="1"/>
  <c r="D63" i="4" a="1"/>
  <c r="N117" i="4" l="1"/>
  <c r="M117" i="4"/>
  <c r="P117" i="4" s="1"/>
  <c r="L117" i="4"/>
  <c r="K117" i="4"/>
  <c r="J117" i="4"/>
  <c r="I117" i="4"/>
  <c r="H117" i="4"/>
  <c r="G117" i="4"/>
  <c r="F117" i="4"/>
  <c r="E117" i="4"/>
  <c r="D117" i="4"/>
  <c r="C117" i="4"/>
  <c r="N56" i="4"/>
  <c r="M56" i="4"/>
  <c r="P56" i="4" s="1"/>
  <c r="L56" i="4"/>
  <c r="K56" i="4"/>
  <c r="J56" i="4"/>
  <c r="I56" i="4"/>
  <c r="H56" i="4"/>
  <c r="G56" i="4"/>
  <c r="F56" i="4"/>
  <c r="E56" i="4"/>
  <c r="D56" i="4"/>
  <c r="C56" i="4"/>
  <c r="N113" i="4"/>
  <c r="M113" i="4"/>
  <c r="P113" i="4" s="1"/>
  <c r="L113" i="4"/>
  <c r="K113" i="4"/>
  <c r="J113" i="4"/>
  <c r="I113" i="4"/>
  <c r="H113" i="4"/>
  <c r="G113" i="4"/>
  <c r="F113" i="4"/>
  <c r="E113" i="4"/>
  <c r="D113" i="4"/>
  <c r="C113" i="4"/>
  <c r="N93" i="4"/>
  <c r="M93" i="4"/>
  <c r="P93" i="4" s="1"/>
  <c r="L93" i="4"/>
  <c r="K93" i="4"/>
  <c r="J93" i="4"/>
  <c r="I93" i="4"/>
  <c r="H93" i="4"/>
  <c r="G93" i="4"/>
  <c r="F93" i="4"/>
  <c r="E93" i="4"/>
  <c r="D93" i="4"/>
  <c r="C93" i="4"/>
  <c r="N98" i="4"/>
  <c r="M98" i="4"/>
  <c r="P98" i="4" s="1"/>
  <c r="L98" i="4"/>
  <c r="K98" i="4"/>
  <c r="J98" i="4"/>
  <c r="I98" i="4"/>
  <c r="H98" i="4"/>
  <c r="G98" i="4"/>
  <c r="F98" i="4"/>
  <c r="E98" i="4"/>
  <c r="D98" i="4"/>
  <c r="C98" i="4"/>
  <c r="N72" i="4"/>
  <c r="M72" i="4"/>
  <c r="P72" i="4" s="1"/>
  <c r="L72" i="4"/>
  <c r="K72" i="4"/>
  <c r="J72" i="4"/>
  <c r="I72" i="4"/>
  <c r="H72" i="4"/>
  <c r="G72" i="4"/>
  <c r="F72" i="4"/>
  <c r="E72" i="4"/>
  <c r="D72" i="4"/>
  <c r="C72" i="4"/>
  <c r="N53" i="4"/>
  <c r="M53" i="4"/>
  <c r="P53" i="4" s="1"/>
  <c r="L53" i="4"/>
  <c r="K53" i="4"/>
  <c r="J53" i="4"/>
  <c r="I53" i="4"/>
  <c r="H53" i="4"/>
  <c r="G53" i="4"/>
  <c r="F53" i="4"/>
  <c r="E53" i="4"/>
  <c r="D53" i="4"/>
  <c r="C53" i="4"/>
  <c r="N109" i="4"/>
  <c r="M109" i="4"/>
  <c r="P109" i="4" s="1"/>
  <c r="L109" i="4"/>
  <c r="K109" i="4"/>
  <c r="J109" i="4"/>
  <c r="I109" i="4"/>
  <c r="H109" i="4"/>
  <c r="G109" i="4"/>
  <c r="F109" i="4"/>
  <c r="E109" i="4"/>
  <c r="D109" i="4"/>
  <c r="C109" i="4"/>
  <c r="N60" i="4"/>
  <c r="M60" i="4"/>
  <c r="P60" i="4" s="1"/>
  <c r="L60" i="4"/>
  <c r="K60" i="4"/>
  <c r="J60" i="4"/>
  <c r="I60" i="4"/>
  <c r="H60" i="4"/>
  <c r="G60" i="4"/>
  <c r="F60" i="4"/>
  <c r="E60" i="4"/>
  <c r="D60" i="4"/>
  <c r="C60" i="4"/>
  <c r="N29" i="4"/>
  <c r="M29" i="4"/>
  <c r="P29" i="4" s="1"/>
  <c r="L29" i="4"/>
  <c r="K29" i="4"/>
  <c r="J29" i="4"/>
  <c r="I29" i="4"/>
  <c r="H29" i="4"/>
  <c r="G29" i="4"/>
  <c r="F29" i="4"/>
  <c r="E29" i="4"/>
  <c r="D29" i="4"/>
  <c r="C29" i="4"/>
  <c r="N32" i="4"/>
  <c r="M32" i="4"/>
  <c r="P32" i="4" s="1"/>
  <c r="L32" i="4"/>
  <c r="K32" i="4"/>
  <c r="J32" i="4"/>
  <c r="I32" i="4"/>
  <c r="H32" i="4"/>
  <c r="G32" i="4"/>
  <c r="F32" i="4"/>
  <c r="E32" i="4"/>
  <c r="D32" i="4"/>
  <c r="C32" i="4"/>
  <c r="N97" i="4"/>
  <c r="M97" i="4"/>
  <c r="P97" i="4" s="1"/>
  <c r="L97" i="4"/>
  <c r="K97" i="4"/>
  <c r="J97" i="4"/>
  <c r="I97" i="4"/>
  <c r="H97" i="4"/>
  <c r="G97" i="4"/>
  <c r="F97" i="4"/>
  <c r="E97" i="4"/>
  <c r="D97" i="4"/>
  <c r="C97" i="4"/>
  <c r="N86" i="4"/>
  <c r="M86" i="4"/>
  <c r="P86" i="4" s="1"/>
  <c r="L86" i="4"/>
  <c r="K86" i="4"/>
  <c r="J86" i="4"/>
  <c r="I86" i="4"/>
  <c r="H86" i="4"/>
  <c r="G86" i="4"/>
  <c r="F86" i="4"/>
  <c r="E86" i="4"/>
  <c r="D86" i="4"/>
  <c r="C86" i="4"/>
  <c r="N77" i="4"/>
  <c r="M77" i="4"/>
  <c r="P77" i="4" s="1"/>
  <c r="L77" i="4"/>
  <c r="K77" i="4"/>
  <c r="J77" i="4"/>
  <c r="I77" i="4"/>
  <c r="H77" i="4"/>
  <c r="G77" i="4"/>
  <c r="F77" i="4"/>
  <c r="E77" i="4"/>
  <c r="D77" i="4"/>
  <c r="C77" i="4"/>
  <c r="N57" i="4"/>
  <c r="M57" i="4"/>
  <c r="P57" i="4" s="1"/>
  <c r="L57" i="4"/>
  <c r="K57" i="4"/>
  <c r="J57" i="4"/>
  <c r="I57" i="4"/>
  <c r="H57" i="4"/>
  <c r="G57" i="4"/>
  <c r="F57" i="4"/>
  <c r="E57" i="4"/>
  <c r="D57" i="4"/>
  <c r="C57" i="4"/>
  <c r="N45" i="4"/>
  <c r="M45" i="4"/>
  <c r="P45" i="4" s="1"/>
  <c r="L45" i="4"/>
  <c r="K45" i="4"/>
  <c r="J45" i="4"/>
  <c r="I45" i="4"/>
  <c r="H45" i="4"/>
  <c r="G45" i="4"/>
  <c r="F45" i="4"/>
  <c r="E45" i="4"/>
  <c r="D45" i="4"/>
  <c r="C45" i="4"/>
  <c r="N84" i="4"/>
  <c r="M84" i="4"/>
  <c r="P84" i="4" s="1"/>
  <c r="L84" i="4"/>
  <c r="K84" i="4"/>
  <c r="J84" i="4"/>
  <c r="I84" i="4"/>
  <c r="H84" i="4"/>
  <c r="G84" i="4"/>
  <c r="F84" i="4"/>
  <c r="E84" i="4"/>
  <c r="D84" i="4"/>
  <c r="C84" i="4"/>
  <c r="N89" i="4"/>
  <c r="M89" i="4"/>
  <c r="P89" i="4" s="1"/>
  <c r="L89" i="4"/>
  <c r="K89" i="4"/>
  <c r="J89" i="4"/>
  <c r="I89" i="4"/>
  <c r="H89" i="4"/>
  <c r="G89" i="4"/>
  <c r="F89" i="4"/>
  <c r="E89" i="4"/>
  <c r="D89" i="4"/>
  <c r="C89" i="4"/>
  <c r="N92" i="4"/>
  <c r="M92" i="4"/>
  <c r="P92" i="4" s="1"/>
  <c r="L92" i="4"/>
  <c r="K92" i="4"/>
  <c r="J92" i="4"/>
  <c r="I92" i="4"/>
  <c r="H92" i="4"/>
  <c r="G92" i="4"/>
  <c r="F92" i="4"/>
  <c r="E92" i="4"/>
  <c r="D92" i="4"/>
  <c r="C92" i="4"/>
  <c r="N121" i="4"/>
  <c r="M121" i="4"/>
  <c r="P121" i="4" s="1"/>
  <c r="L121" i="4"/>
  <c r="K121" i="4"/>
  <c r="J121" i="4"/>
  <c r="I121" i="4"/>
  <c r="H121" i="4"/>
  <c r="G121" i="4"/>
  <c r="F121" i="4"/>
  <c r="E121" i="4"/>
  <c r="D121" i="4"/>
  <c r="C121" i="4"/>
  <c r="N110" i="4"/>
  <c r="M110" i="4"/>
  <c r="P110" i="4" s="1"/>
  <c r="L110" i="4"/>
  <c r="K110" i="4"/>
  <c r="J110" i="4"/>
  <c r="I110" i="4"/>
  <c r="H110" i="4"/>
  <c r="G110" i="4"/>
  <c r="F110" i="4"/>
  <c r="E110" i="4"/>
  <c r="D110" i="4"/>
  <c r="C110" i="4"/>
  <c r="N42" i="4"/>
  <c r="M42" i="4"/>
  <c r="P42" i="4" s="1"/>
  <c r="L42" i="4"/>
  <c r="K42" i="4"/>
  <c r="J42" i="4"/>
  <c r="I42" i="4"/>
  <c r="H42" i="4"/>
  <c r="G42" i="4"/>
  <c r="F42" i="4"/>
  <c r="E42" i="4"/>
  <c r="D42" i="4"/>
  <c r="C42" i="4"/>
  <c r="N33" i="4"/>
  <c r="M33" i="4"/>
  <c r="P33" i="4" s="1"/>
  <c r="L33" i="4"/>
  <c r="K33" i="4"/>
  <c r="J33" i="4"/>
  <c r="I33" i="4"/>
  <c r="H33" i="4"/>
  <c r="G33" i="4"/>
  <c r="F33" i="4"/>
  <c r="E33" i="4"/>
  <c r="D33" i="4"/>
  <c r="C33" i="4"/>
  <c r="N35" i="4"/>
  <c r="M35" i="4"/>
  <c r="P35" i="4" s="1"/>
  <c r="L35" i="4"/>
  <c r="K35" i="4"/>
  <c r="J35" i="4"/>
  <c r="I35" i="4"/>
  <c r="H35" i="4"/>
  <c r="G35" i="4"/>
  <c r="F35" i="4"/>
  <c r="E35" i="4"/>
  <c r="D35" i="4"/>
  <c r="C35" i="4"/>
  <c r="N96" i="4"/>
  <c r="M96" i="4"/>
  <c r="P96" i="4" s="1"/>
  <c r="L96" i="4"/>
  <c r="K96" i="4"/>
  <c r="J96" i="4"/>
  <c r="I96" i="4"/>
  <c r="H96" i="4"/>
  <c r="G96" i="4"/>
  <c r="F96" i="4"/>
  <c r="E96" i="4"/>
  <c r="D96" i="4"/>
  <c r="C96" i="4"/>
  <c r="N101" i="4"/>
  <c r="M101" i="4"/>
  <c r="P101" i="4" s="1"/>
  <c r="L101" i="4"/>
  <c r="K101" i="4"/>
  <c r="J101" i="4"/>
  <c r="I101" i="4"/>
  <c r="H101" i="4"/>
  <c r="G101" i="4"/>
  <c r="F101" i="4"/>
  <c r="E101" i="4"/>
  <c r="D101" i="4"/>
  <c r="C101" i="4"/>
  <c r="N116" i="4"/>
  <c r="M116" i="4"/>
  <c r="P116" i="4" s="1"/>
  <c r="L116" i="4"/>
  <c r="K116" i="4"/>
  <c r="J116" i="4"/>
  <c r="I116" i="4"/>
  <c r="H116" i="4"/>
  <c r="G116" i="4"/>
  <c r="F116" i="4"/>
  <c r="E116" i="4"/>
  <c r="D116" i="4"/>
  <c r="C116" i="4"/>
  <c r="N39" i="4"/>
  <c r="M39" i="4"/>
  <c r="P39" i="4" s="1"/>
  <c r="L39" i="4"/>
  <c r="K39" i="4"/>
  <c r="J39" i="4"/>
  <c r="I39" i="4"/>
  <c r="H39" i="4"/>
  <c r="G39" i="4"/>
  <c r="F39" i="4"/>
  <c r="E39" i="4"/>
  <c r="D39" i="4"/>
  <c r="C39" i="4"/>
  <c r="N122" i="4"/>
  <c r="M122" i="4"/>
  <c r="P122" i="4" s="1"/>
  <c r="L122" i="4"/>
  <c r="K122" i="4"/>
  <c r="J122" i="4"/>
  <c r="I122" i="4"/>
  <c r="H122" i="4"/>
  <c r="G122" i="4"/>
  <c r="F122" i="4"/>
  <c r="E122" i="4"/>
  <c r="D122" i="4"/>
  <c r="C122" i="4"/>
  <c r="N66" i="4"/>
  <c r="M66" i="4"/>
  <c r="P66" i="4" s="1"/>
  <c r="L66" i="4"/>
  <c r="K66" i="4"/>
  <c r="J66" i="4"/>
  <c r="I66" i="4"/>
  <c r="H66" i="4"/>
  <c r="G66" i="4"/>
  <c r="F66" i="4"/>
  <c r="E66" i="4"/>
  <c r="D66" i="4"/>
  <c r="C66" i="4"/>
  <c r="N34" i="4"/>
  <c r="M34" i="4"/>
  <c r="P34" i="4" s="1"/>
  <c r="L34" i="4"/>
  <c r="K34" i="4"/>
  <c r="J34" i="4"/>
  <c r="I34" i="4"/>
  <c r="H34" i="4"/>
  <c r="G34" i="4"/>
  <c r="F34" i="4"/>
  <c r="E34" i="4"/>
  <c r="D34" i="4"/>
  <c r="C34" i="4"/>
  <c r="N47" i="4"/>
  <c r="M47" i="4"/>
  <c r="P47" i="4" s="1"/>
  <c r="L47" i="4"/>
  <c r="K47" i="4"/>
  <c r="J47" i="4"/>
  <c r="I47" i="4"/>
  <c r="H47" i="4"/>
  <c r="G47" i="4"/>
  <c r="F47" i="4"/>
  <c r="E47" i="4"/>
  <c r="D47" i="4"/>
  <c r="C47" i="4"/>
  <c r="N108" i="4"/>
  <c r="M108" i="4"/>
  <c r="P108" i="4" s="1"/>
  <c r="L108" i="4"/>
  <c r="K108" i="4"/>
  <c r="J108" i="4"/>
  <c r="I108" i="4"/>
  <c r="H108" i="4"/>
  <c r="G108" i="4"/>
  <c r="F108" i="4"/>
  <c r="E108" i="4"/>
  <c r="D108" i="4"/>
  <c r="C108" i="4"/>
  <c r="N30" i="4"/>
  <c r="M30" i="4"/>
  <c r="P30" i="4" s="1"/>
  <c r="L30" i="4"/>
  <c r="K30" i="4"/>
  <c r="J30" i="4"/>
  <c r="I30" i="4"/>
  <c r="H30" i="4"/>
  <c r="G30" i="4"/>
  <c r="F30" i="4"/>
  <c r="E30" i="4"/>
  <c r="D30" i="4"/>
  <c r="C30" i="4"/>
  <c r="N69" i="4"/>
  <c r="M69" i="4"/>
  <c r="P69" i="4" s="1"/>
  <c r="L69" i="4"/>
  <c r="K69" i="4"/>
  <c r="J69" i="4"/>
  <c r="I69" i="4"/>
  <c r="H69" i="4"/>
  <c r="G69" i="4"/>
  <c r="F69" i="4"/>
  <c r="E69" i="4"/>
  <c r="D69" i="4"/>
  <c r="C69" i="4"/>
  <c r="N63" i="4"/>
  <c r="M63" i="4"/>
  <c r="P63" i="4" s="1"/>
  <c r="L63" i="4"/>
  <c r="K63" i="4"/>
  <c r="J63" i="4"/>
  <c r="I63" i="4"/>
  <c r="H63" i="4"/>
  <c r="G63" i="4"/>
  <c r="F63" i="4"/>
  <c r="E63" i="4"/>
  <c r="D63" i="4"/>
  <c r="C63" i="4"/>
  <c r="N27" i="4"/>
  <c r="M27" i="4"/>
  <c r="P27" i="4" s="1"/>
  <c r="L27" i="4"/>
  <c r="K27" i="4"/>
  <c r="J27" i="4"/>
  <c r="I27" i="4"/>
  <c r="H27" i="4"/>
  <c r="G27" i="4"/>
  <c r="F27" i="4"/>
  <c r="E27" i="4"/>
  <c r="D27" i="4"/>
  <c r="C27" i="4"/>
  <c r="N90" i="4"/>
  <c r="M90" i="4"/>
  <c r="P90" i="4" s="1"/>
  <c r="L90" i="4"/>
  <c r="K90" i="4"/>
  <c r="J90" i="4"/>
  <c r="I90" i="4"/>
  <c r="H90" i="4"/>
  <c r="G90" i="4"/>
  <c r="F90" i="4"/>
  <c r="E90" i="4"/>
  <c r="D90" i="4"/>
  <c r="C90" i="4"/>
  <c r="N46" i="4"/>
  <c r="M46" i="4"/>
  <c r="P46" i="4" s="1"/>
  <c r="L46" i="4"/>
  <c r="K46" i="4"/>
  <c r="J46" i="4"/>
  <c r="I46" i="4"/>
  <c r="H46" i="4"/>
  <c r="G46" i="4"/>
  <c r="F46" i="4"/>
  <c r="E46" i="4"/>
  <c r="D46" i="4"/>
  <c r="C46" i="4"/>
  <c r="N59" i="4"/>
  <c r="M59" i="4"/>
  <c r="P59" i="4" s="1"/>
  <c r="L59" i="4"/>
  <c r="K59" i="4"/>
  <c r="J59" i="4"/>
  <c r="I59" i="4"/>
  <c r="H59" i="4"/>
  <c r="G59" i="4"/>
  <c r="F59" i="4"/>
  <c r="E59" i="4"/>
  <c r="D59" i="4"/>
  <c r="C59" i="4"/>
  <c r="N120" i="4"/>
  <c r="M120" i="4"/>
  <c r="P120" i="4" s="1"/>
  <c r="L120" i="4"/>
  <c r="K120" i="4"/>
  <c r="J120" i="4"/>
  <c r="I120" i="4"/>
  <c r="H120" i="4"/>
  <c r="G120" i="4"/>
  <c r="F120" i="4"/>
  <c r="E120" i="4"/>
  <c r="D120" i="4"/>
  <c r="C120" i="4"/>
  <c r="N54" i="4"/>
  <c r="M54" i="4"/>
  <c r="P54" i="4" s="1"/>
  <c r="L54" i="4"/>
  <c r="K54" i="4"/>
  <c r="J54" i="4"/>
  <c r="I54" i="4"/>
  <c r="H54" i="4"/>
  <c r="G54" i="4"/>
  <c r="F54" i="4"/>
  <c r="E54" i="4"/>
  <c r="D54" i="4"/>
  <c r="C54" i="4"/>
  <c r="N105" i="4"/>
  <c r="M105" i="4"/>
  <c r="P105" i="4" s="1"/>
  <c r="L105" i="4"/>
  <c r="K105" i="4"/>
  <c r="J105" i="4"/>
  <c r="I105" i="4"/>
  <c r="H105" i="4"/>
  <c r="G105" i="4"/>
  <c r="F105" i="4"/>
  <c r="E105" i="4"/>
  <c r="D105" i="4"/>
  <c r="C105" i="4"/>
  <c r="N99" i="4"/>
  <c r="M99" i="4"/>
  <c r="P99" i="4" s="1"/>
  <c r="L99" i="4"/>
  <c r="K99" i="4"/>
  <c r="J99" i="4"/>
  <c r="I99" i="4"/>
  <c r="H99" i="4"/>
  <c r="G99" i="4"/>
  <c r="F99" i="4"/>
  <c r="E99" i="4"/>
  <c r="D99" i="4"/>
  <c r="C99" i="4"/>
  <c r="N51" i="4"/>
  <c r="M51" i="4"/>
  <c r="P51" i="4" s="1"/>
  <c r="L51" i="4"/>
  <c r="K51" i="4"/>
  <c r="J51" i="4"/>
  <c r="I51" i="4"/>
  <c r="H51" i="4"/>
  <c r="G51" i="4"/>
  <c r="F51" i="4"/>
  <c r="E51" i="4"/>
  <c r="D51" i="4"/>
  <c r="C51" i="4"/>
  <c r="N114" i="4"/>
  <c r="M114" i="4"/>
  <c r="P114" i="4" s="1"/>
  <c r="L114" i="4"/>
  <c r="K114" i="4"/>
  <c r="J114" i="4"/>
  <c r="I114" i="4"/>
  <c r="H114" i="4"/>
  <c r="G114" i="4"/>
  <c r="F114" i="4"/>
  <c r="E114" i="4"/>
  <c r="D114" i="4"/>
  <c r="C114" i="4"/>
  <c r="N58" i="4"/>
  <c r="M58" i="4"/>
  <c r="P58" i="4" s="1"/>
  <c r="L58" i="4"/>
  <c r="K58" i="4"/>
  <c r="J58" i="4"/>
  <c r="I58" i="4"/>
  <c r="H58" i="4"/>
  <c r="G58" i="4"/>
  <c r="F58" i="4"/>
  <c r="E58" i="4"/>
  <c r="D58" i="4"/>
  <c r="C58" i="4"/>
  <c r="N71" i="4"/>
  <c r="M71" i="4"/>
  <c r="P71" i="4" s="1"/>
  <c r="L71" i="4"/>
  <c r="K71" i="4"/>
  <c r="J71" i="4"/>
  <c r="I71" i="4"/>
  <c r="H71" i="4"/>
  <c r="G71" i="4"/>
  <c r="F71" i="4"/>
  <c r="E71" i="4"/>
  <c r="D71" i="4"/>
  <c r="C71" i="4"/>
  <c r="N75" i="4"/>
  <c r="M75" i="4"/>
  <c r="P75" i="4" s="1"/>
  <c r="L75" i="4"/>
  <c r="K75" i="4"/>
  <c r="J75" i="4"/>
  <c r="I75" i="4"/>
  <c r="H75" i="4"/>
  <c r="G75" i="4"/>
  <c r="F75" i="4"/>
  <c r="E75" i="4"/>
  <c r="D75" i="4"/>
  <c r="C75" i="4"/>
  <c r="N78" i="4"/>
  <c r="M78" i="4"/>
  <c r="P78" i="4" s="1"/>
  <c r="L78" i="4"/>
  <c r="K78" i="4"/>
  <c r="J78" i="4"/>
  <c r="I78" i="4"/>
  <c r="H78" i="4"/>
  <c r="G78" i="4"/>
  <c r="F78" i="4"/>
  <c r="E78" i="4"/>
  <c r="D78" i="4"/>
  <c r="C78" i="4"/>
  <c r="N25" i="4"/>
  <c r="M25" i="4"/>
  <c r="P25" i="4" s="1"/>
  <c r="L25" i="4"/>
  <c r="K25" i="4"/>
  <c r="J25" i="4"/>
  <c r="I25" i="4"/>
  <c r="H25" i="4"/>
  <c r="G25" i="4"/>
  <c r="F25" i="4"/>
  <c r="E25" i="4"/>
  <c r="D25" i="4"/>
  <c r="C25" i="4"/>
  <c r="N88" i="4"/>
  <c r="M88" i="4"/>
  <c r="P88" i="4" s="1"/>
  <c r="L88" i="4"/>
  <c r="K88" i="4"/>
  <c r="J88" i="4"/>
  <c r="I88" i="4"/>
  <c r="H88" i="4"/>
  <c r="G88" i="4"/>
  <c r="F88" i="4"/>
  <c r="E88" i="4"/>
  <c r="D88" i="4"/>
  <c r="C88" i="4"/>
  <c r="N87" i="4"/>
  <c r="M87" i="4"/>
  <c r="P87" i="4" s="1"/>
  <c r="L87" i="4"/>
  <c r="K87" i="4"/>
  <c r="J87" i="4"/>
  <c r="I87" i="4"/>
  <c r="H87" i="4"/>
  <c r="G87" i="4"/>
  <c r="F87" i="4"/>
  <c r="E87" i="4"/>
  <c r="D87" i="4"/>
  <c r="C87" i="4"/>
  <c r="N43" i="4"/>
  <c r="M43" i="4"/>
  <c r="P43" i="4" s="1"/>
  <c r="L43" i="4"/>
  <c r="K43" i="4"/>
  <c r="J43" i="4"/>
  <c r="I43" i="4"/>
  <c r="H43" i="4"/>
  <c r="G43" i="4"/>
  <c r="F43" i="4"/>
  <c r="E43" i="4"/>
  <c r="D43" i="4"/>
  <c r="C43" i="4"/>
  <c r="N70" i="4"/>
  <c r="M70" i="4"/>
  <c r="P70" i="4" s="1"/>
  <c r="L70" i="4"/>
  <c r="K70" i="4"/>
  <c r="J70" i="4"/>
  <c r="I70" i="4"/>
  <c r="H70" i="4"/>
  <c r="G70" i="4"/>
  <c r="F70" i="4"/>
  <c r="E70" i="4"/>
  <c r="D70" i="4"/>
  <c r="C70" i="4"/>
  <c r="N83" i="4"/>
  <c r="M83" i="4"/>
  <c r="P83" i="4" s="1"/>
  <c r="L83" i="4"/>
  <c r="K83" i="4"/>
  <c r="J83" i="4"/>
  <c r="I83" i="4"/>
  <c r="H83" i="4"/>
  <c r="G83" i="4"/>
  <c r="F83" i="4"/>
  <c r="E83" i="4"/>
  <c r="D83" i="4"/>
  <c r="C83" i="4"/>
  <c r="N111" i="4"/>
  <c r="M111" i="4"/>
  <c r="P111" i="4" s="1"/>
  <c r="L111" i="4"/>
  <c r="K111" i="4"/>
  <c r="J111" i="4"/>
  <c r="I111" i="4"/>
  <c r="H111" i="4"/>
  <c r="G111" i="4"/>
  <c r="F111" i="4"/>
  <c r="E111" i="4"/>
  <c r="D111" i="4"/>
  <c r="C111" i="4"/>
  <c r="N102" i="4"/>
  <c r="M102" i="4"/>
  <c r="P102" i="4" s="1"/>
  <c r="L102" i="4"/>
  <c r="K102" i="4"/>
  <c r="J102" i="4"/>
  <c r="I102" i="4"/>
  <c r="H102" i="4"/>
  <c r="G102" i="4"/>
  <c r="F102" i="4"/>
  <c r="E102" i="4"/>
  <c r="D102" i="4"/>
  <c r="C102" i="4"/>
  <c r="N37" i="4"/>
  <c r="M37" i="4"/>
  <c r="P37" i="4" s="1"/>
  <c r="L37" i="4"/>
  <c r="K37" i="4"/>
  <c r="J37" i="4"/>
  <c r="I37" i="4"/>
  <c r="H37" i="4"/>
  <c r="G37" i="4"/>
  <c r="F37" i="4"/>
  <c r="E37" i="4"/>
  <c r="D37" i="4"/>
  <c r="C37" i="4"/>
  <c r="N26" i="4"/>
  <c r="M26" i="4"/>
  <c r="P26" i="4" s="1"/>
  <c r="L26" i="4"/>
  <c r="K26" i="4"/>
  <c r="J26" i="4"/>
  <c r="I26" i="4"/>
  <c r="H26" i="4"/>
  <c r="G26" i="4"/>
  <c r="F26" i="4"/>
  <c r="E26" i="4"/>
  <c r="D26" i="4"/>
  <c r="C26" i="4"/>
  <c r="N40" i="4"/>
  <c r="M40" i="4"/>
  <c r="P40" i="4" s="1"/>
  <c r="L40" i="4"/>
  <c r="K40" i="4"/>
  <c r="J40" i="4"/>
  <c r="I40" i="4"/>
  <c r="H40" i="4"/>
  <c r="G40" i="4"/>
  <c r="F40" i="4"/>
  <c r="E40" i="4"/>
  <c r="D40" i="4"/>
  <c r="C40" i="4"/>
  <c r="N67" i="4"/>
  <c r="M67" i="4"/>
  <c r="P67" i="4" s="1"/>
  <c r="L67" i="4"/>
  <c r="K67" i="4"/>
  <c r="J67" i="4"/>
  <c r="I67" i="4"/>
  <c r="H67" i="4"/>
  <c r="G67" i="4"/>
  <c r="F67" i="4"/>
  <c r="E67" i="4"/>
  <c r="D67" i="4"/>
  <c r="C67" i="4"/>
  <c r="N82" i="4"/>
  <c r="M82" i="4"/>
  <c r="P82" i="4" s="1"/>
  <c r="L82" i="4"/>
  <c r="K82" i="4"/>
  <c r="J82" i="4"/>
  <c r="I82" i="4"/>
  <c r="H82" i="4"/>
  <c r="G82" i="4"/>
  <c r="F82" i="4"/>
  <c r="E82" i="4"/>
  <c r="D82" i="4"/>
  <c r="C82" i="4"/>
  <c r="N95" i="4"/>
  <c r="M95" i="4"/>
  <c r="P95" i="4" s="1"/>
  <c r="L95" i="4"/>
  <c r="K95" i="4"/>
  <c r="J95" i="4"/>
  <c r="I95" i="4"/>
  <c r="H95" i="4"/>
  <c r="G95" i="4"/>
  <c r="F95" i="4"/>
  <c r="E95" i="4"/>
  <c r="D95" i="4"/>
  <c r="C95" i="4"/>
  <c r="N28" i="4"/>
  <c r="M28" i="4"/>
  <c r="P28" i="4" s="1"/>
  <c r="L28" i="4"/>
  <c r="K28" i="4"/>
  <c r="J28" i="4"/>
  <c r="I28" i="4"/>
  <c r="H28" i="4"/>
  <c r="G28" i="4"/>
  <c r="F28" i="4"/>
  <c r="E28" i="4"/>
  <c r="D28" i="4"/>
  <c r="C28" i="4"/>
  <c r="N31" i="4"/>
  <c r="M31" i="4"/>
  <c r="P31" i="4" s="1"/>
  <c r="L31" i="4"/>
  <c r="K31" i="4"/>
  <c r="J31" i="4"/>
  <c r="I31" i="4"/>
  <c r="H31" i="4"/>
  <c r="G31" i="4"/>
  <c r="F31" i="4"/>
  <c r="E31" i="4"/>
  <c r="D31" i="4"/>
  <c r="C31" i="4"/>
  <c r="N49" i="4"/>
  <c r="M49" i="4"/>
  <c r="P49" i="4" s="1"/>
  <c r="L49" i="4"/>
  <c r="K49" i="4"/>
  <c r="J49" i="4"/>
  <c r="I49" i="4"/>
  <c r="H49" i="4"/>
  <c r="G49" i="4"/>
  <c r="F49" i="4"/>
  <c r="E49" i="4"/>
  <c r="D49" i="4"/>
  <c r="C49" i="4"/>
  <c r="N38" i="4"/>
  <c r="M38" i="4"/>
  <c r="P38" i="4" s="1"/>
  <c r="L38" i="4"/>
  <c r="K38" i="4"/>
  <c r="J38" i="4"/>
  <c r="I38" i="4"/>
  <c r="H38" i="4"/>
  <c r="G38" i="4"/>
  <c r="F38" i="4"/>
  <c r="E38" i="4"/>
  <c r="D38" i="4"/>
  <c r="C38" i="4"/>
  <c r="N64" i="4"/>
  <c r="M64" i="4"/>
  <c r="P64" i="4" s="1"/>
  <c r="L64" i="4"/>
  <c r="K64" i="4"/>
  <c r="J64" i="4"/>
  <c r="I64" i="4"/>
  <c r="H64" i="4"/>
  <c r="G64" i="4"/>
  <c r="F64" i="4"/>
  <c r="E64" i="4"/>
  <c r="D64" i="4"/>
  <c r="C64" i="4"/>
  <c r="N91" i="4"/>
  <c r="M91" i="4"/>
  <c r="P91" i="4" s="1"/>
  <c r="L91" i="4"/>
  <c r="K91" i="4"/>
  <c r="J91" i="4"/>
  <c r="I91" i="4"/>
  <c r="H91" i="4"/>
  <c r="G91" i="4"/>
  <c r="F91" i="4"/>
  <c r="E91" i="4"/>
  <c r="D91" i="4"/>
  <c r="C91" i="4"/>
  <c r="N94" i="4"/>
  <c r="M94" i="4"/>
  <c r="P94" i="4" s="1"/>
  <c r="L94" i="4"/>
  <c r="K94" i="4"/>
  <c r="J94" i="4"/>
  <c r="I94" i="4"/>
  <c r="H94" i="4"/>
  <c r="G94" i="4"/>
  <c r="F94" i="4"/>
  <c r="E94" i="4"/>
  <c r="D94" i="4"/>
  <c r="C94" i="4"/>
  <c r="N107" i="4"/>
  <c r="M107" i="4"/>
  <c r="P107" i="4" s="1"/>
  <c r="L107" i="4"/>
  <c r="K107" i="4"/>
  <c r="J107" i="4"/>
  <c r="I107" i="4"/>
  <c r="H107" i="4"/>
  <c r="G107" i="4"/>
  <c r="F107" i="4"/>
  <c r="E107" i="4"/>
  <c r="D107" i="4"/>
  <c r="C107" i="4"/>
  <c r="N24" i="4"/>
  <c r="M24" i="4"/>
  <c r="P24" i="4" s="1"/>
  <c r="L24" i="4"/>
  <c r="K24" i="4"/>
  <c r="J24" i="4"/>
  <c r="I24" i="4"/>
  <c r="H24" i="4"/>
  <c r="G24" i="4"/>
  <c r="F24" i="4"/>
  <c r="E24" i="4"/>
  <c r="D24" i="4"/>
  <c r="C24" i="4"/>
  <c r="N52" i="4"/>
  <c r="M52" i="4"/>
  <c r="P52" i="4" s="1"/>
  <c r="L52" i="4"/>
  <c r="K52" i="4"/>
  <c r="J52" i="4"/>
  <c r="I52" i="4"/>
  <c r="H52" i="4"/>
  <c r="G52" i="4"/>
  <c r="F52" i="4"/>
  <c r="E52" i="4"/>
  <c r="D52" i="4"/>
  <c r="C52" i="4"/>
  <c r="N55" i="4"/>
  <c r="M55" i="4"/>
  <c r="P55" i="4" s="1"/>
  <c r="L55" i="4"/>
  <c r="K55" i="4"/>
  <c r="J55" i="4"/>
  <c r="I55" i="4"/>
  <c r="H55" i="4"/>
  <c r="G55" i="4"/>
  <c r="F55" i="4"/>
  <c r="E55" i="4"/>
  <c r="D55" i="4"/>
  <c r="C55" i="4"/>
  <c r="N61" i="4"/>
  <c r="M61" i="4"/>
  <c r="P61" i="4" s="1"/>
  <c r="L61" i="4"/>
  <c r="K61" i="4"/>
  <c r="J61" i="4"/>
  <c r="I61" i="4"/>
  <c r="H61" i="4"/>
  <c r="G61" i="4"/>
  <c r="F61" i="4"/>
  <c r="E61" i="4"/>
  <c r="D61" i="4"/>
  <c r="C61" i="4"/>
  <c r="N50" i="4"/>
  <c r="M50" i="4"/>
  <c r="P50" i="4" s="1"/>
  <c r="L50" i="4"/>
  <c r="K50" i="4"/>
  <c r="J50" i="4"/>
  <c r="I50" i="4"/>
  <c r="H50" i="4"/>
  <c r="G50" i="4"/>
  <c r="F50" i="4"/>
  <c r="E50" i="4"/>
  <c r="D50" i="4"/>
  <c r="C50" i="4"/>
  <c r="N100" i="4"/>
  <c r="M100" i="4"/>
  <c r="P100" i="4" s="1"/>
  <c r="L100" i="4"/>
  <c r="K100" i="4"/>
  <c r="J100" i="4"/>
  <c r="I100" i="4"/>
  <c r="H100" i="4"/>
  <c r="G100" i="4"/>
  <c r="F100" i="4"/>
  <c r="E100" i="4"/>
  <c r="D100" i="4"/>
  <c r="C100" i="4"/>
  <c r="N115" i="4"/>
  <c r="M115" i="4"/>
  <c r="P115" i="4" s="1"/>
  <c r="L115" i="4"/>
  <c r="K115" i="4"/>
  <c r="J115" i="4"/>
  <c r="I115" i="4"/>
  <c r="H115" i="4"/>
  <c r="G115" i="4"/>
  <c r="F115" i="4"/>
  <c r="E115" i="4"/>
  <c r="D115" i="4"/>
  <c r="C115" i="4"/>
  <c r="N106" i="4"/>
  <c r="M106" i="4"/>
  <c r="P106" i="4" s="1"/>
  <c r="L106" i="4"/>
  <c r="K106" i="4"/>
  <c r="J106" i="4"/>
  <c r="I106" i="4"/>
  <c r="H106" i="4"/>
  <c r="G106" i="4"/>
  <c r="F106" i="4"/>
  <c r="E106" i="4"/>
  <c r="D106" i="4"/>
  <c r="C106" i="4"/>
  <c r="N119" i="4"/>
  <c r="M119" i="4"/>
  <c r="P119" i="4" s="1"/>
  <c r="L119" i="4"/>
  <c r="K119" i="4"/>
  <c r="J119" i="4"/>
  <c r="I119" i="4"/>
  <c r="H119" i="4"/>
  <c r="G119" i="4"/>
  <c r="F119" i="4"/>
  <c r="E119" i="4"/>
  <c r="D119" i="4"/>
  <c r="C119" i="4"/>
  <c r="N36" i="4"/>
  <c r="M36" i="4"/>
  <c r="P36" i="4" s="1"/>
  <c r="L36" i="4"/>
  <c r="K36" i="4"/>
  <c r="J36" i="4"/>
  <c r="I36" i="4"/>
  <c r="H36" i="4"/>
  <c r="G36" i="4"/>
  <c r="F36" i="4"/>
  <c r="E36" i="4"/>
  <c r="D36" i="4"/>
  <c r="C36" i="4"/>
  <c r="N76" i="4"/>
  <c r="M76" i="4"/>
  <c r="P76" i="4" s="1"/>
  <c r="L76" i="4"/>
  <c r="K76" i="4"/>
  <c r="J76" i="4"/>
  <c r="I76" i="4"/>
  <c r="H76" i="4"/>
  <c r="G76" i="4"/>
  <c r="F76" i="4"/>
  <c r="E76" i="4"/>
  <c r="D76" i="4"/>
  <c r="C76" i="4"/>
  <c r="N79" i="4"/>
  <c r="M79" i="4"/>
  <c r="P79" i="4" s="1"/>
  <c r="L79" i="4"/>
  <c r="K79" i="4"/>
  <c r="J79" i="4"/>
  <c r="I79" i="4"/>
  <c r="H79" i="4"/>
  <c r="G79" i="4"/>
  <c r="F79" i="4"/>
  <c r="E79" i="4"/>
  <c r="D79" i="4"/>
  <c r="C79" i="4"/>
  <c r="N73" i="4"/>
  <c r="M73" i="4"/>
  <c r="P73" i="4" s="1"/>
  <c r="L73" i="4"/>
  <c r="K73" i="4"/>
  <c r="J73" i="4"/>
  <c r="I73" i="4"/>
  <c r="H73" i="4"/>
  <c r="G73" i="4"/>
  <c r="F73" i="4"/>
  <c r="E73" i="4"/>
  <c r="D73" i="4"/>
  <c r="C73" i="4"/>
  <c r="N62" i="4"/>
  <c r="M62" i="4"/>
  <c r="P62" i="4" s="1"/>
  <c r="L62" i="4"/>
  <c r="K62" i="4"/>
  <c r="J62" i="4"/>
  <c r="I62" i="4"/>
  <c r="H62" i="4"/>
  <c r="G62" i="4"/>
  <c r="F62" i="4"/>
  <c r="E62" i="4"/>
  <c r="D62" i="4"/>
  <c r="C62" i="4"/>
  <c r="N41" i="4"/>
  <c r="M41" i="4"/>
  <c r="P41" i="4" s="1"/>
  <c r="L41" i="4"/>
  <c r="K41" i="4"/>
  <c r="J41" i="4"/>
  <c r="I41" i="4"/>
  <c r="H41" i="4"/>
  <c r="G41" i="4"/>
  <c r="F41" i="4"/>
  <c r="E41" i="4"/>
  <c r="D41" i="4"/>
  <c r="C41" i="4"/>
  <c r="N44" i="4"/>
  <c r="M44" i="4"/>
  <c r="P44" i="4" s="1"/>
  <c r="L44" i="4"/>
  <c r="K44" i="4"/>
  <c r="J44" i="4"/>
  <c r="I44" i="4"/>
  <c r="H44" i="4"/>
  <c r="G44" i="4"/>
  <c r="F44" i="4"/>
  <c r="E44" i="4"/>
  <c r="D44" i="4"/>
  <c r="C44" i="4"/>
  <c r="N118" i="4"/>
  <c r="M118" i="4"/>
  <c r="P118" i="4" s="1"/>
  <c r="L118" i="4"/>
  <c r="K118" i="4"/>
  <c r="J118" i="4"/>
  <c r="I118" i="4"/>
  <c r="H118" i="4"/>
  <c r="G118" i="4"/>
  <c r="F118" i="4"/>
  <c r="E118" i="4"/>
  <c r="D118" i="4"/>
  <c r="C118" i="4"/>
  <c r="N104" i="4"/>
  <c r="M104" i="4"/>
  <c r="P104" i="4" s="1"/>
  <c r="L104" i="4"/>
  <c r="K104" i="4"/>
  <c r="J104" i="4"/>
  <c r="I104" i="4"/>
  <c r="H104" i="4"/>
  <c r="G104" i="4"/>
  <c r="F104" i="4"/>
  <c r="E104" i="4"/>
  <c r="D104" i="4"/>
  <c r="C104" i="4"/>
  <c r="N48" i="4"/>
  <c r="M48" i="4"/>
  <c r="P48" i="4" s="1"/>
  <c r="L48" i="4"/>
  <c r="K48" i="4"/>
  <c r="J48" i="4"/>
  <c r="I48" i="4"/>
  <c r="H48" i="4"/>
  <c r="G48" i="4"/>
  <c r="F48" i="4"/>
  <c r="E48" i="4"/>
  <c r="D48" i="4"/>
  <c r="C48" i="4"/>
  <c r="N112" i="4"/>
  <c r="M112" i="4"/>
  <c r="P112" i="4" s="1"/>
  <c r="L112" i="4"/>
  <c r="K112" i="4"/>
  <c r="J112" i="4"/>
  <c r="I112" i="4"/>
  <c r="H112" i="4"/>
  <c r="G112" i="4"/>
  <c r="F112" i="4"/>
  <c r="E112" i="4"/>
  <c r="D112" i="4"/>
  <c r="C112" i="4"/>
  <c r="N103" i="4"/>
  <c r="M103" i="4"/>
  <c r="P103" i="4" s="1"/>
  <c r="L103" i="4"/>
  <c r="K103" i="4"/>
  <c r="J103" i="4"/>
  <c r="I103" i="4"/>
  <c r="H103" i="4"/>
  <c r="G103" i="4"/>
  <c r="F103" i="4"/>
  <c r="E103" i="4"/>
  <c r="D103" i="4"/>
  <c r="C103" i="4"/>
  <c r="N85" i="4"/>
  <c r="M85" i="4"/>
  <c r="P85" i="4" s="1"/>
  <c r="L85" i="4"/>
  <c r="K85" i="4"/>
  <c r="J85" i="4"/>
  <c r="I85" i="4"/>
  <c r="H85" i="4"/>
  <c r="G85" i="4"/>
  <c r="F85" i="4"/>
  <c r="E85" i="4"/>
  <c r="D85" i="4"/>
  <c r="C85" i="4"/>
  <c r="N74" i="4"/>
  <c r="M74" i="4"/>
  <c r="P74" i="4" s="1"/>
  <c r="L74" i="4"/>
  <c r="K74" i="4"/>
  <c r="J74" i="4"/>
  <c r="I74" i="4"/>
  <c r="H74" i="4"/>
  <c r="G74" i="4"/>
  <c r="F74" i="4"/>
  <c r="E74" i="4"/>
  <c r="D74" i="4"/>
  <c r="C74" i="4"/>
  <c r="N65" i="4"/>
  <c r="M65" i="4"/>
  <c r="P65" i="4" s="1"/>
  <c r="L65" i="4"/>
  <c r="K65" i="4"/>
  <c r="J65" i="4"/>
  <c r="I65" i="4"/>
  <c r="H65" i="4"/>
  <c r="G65" i="4"/>
  <c r="F65" i="4"/>
  <c r="E65" i="4"/>
  <c r="D65" i="4"/>
  <c r="C65" i="4"/>
  <c r="N80" i="4"/>
  <c r="M80" i="4"/>
  <c r="P80" i="4" s="1"/>
  <c r="L80" i="4"/>
  <c r="K80" i="4"/>
  <c r="J80" i="4"/>
  <c r="I80" i="4"/>
  <c r="H80" i="4"/>
  <c r="G80" i="4"/>
  <c r="F80" i="4"/>
  <c r="E80" i="4"/>
  <c r="D80" i="4"/>
  <c r="C80" i="4"/>
  <c r="N68" i="4"/>
  <c r="M68" i="4"/>
  <c r="P68" i="4" s="1"/>
  <c r="L68" i="4"/>
  <c r="K68" i="4"/>
  <c r="J68" i="4"/>
  <c r="I68" i="4"/>
  <c r="H68" i="4"/>
  <c r="G68" i="4"/>
  <c r="F68" i="4"/>
  <c r="E68" i="4"/>
  <c r="D68" i="4"/>
  <c r="C68" i="4"/>
  <c r="N81" i="4"/>
  <c r="M81" i="4"/>
  <c r="P81" i="4" s="1"/>
  <c r="L81" i="4"/>
  <c r="K81" i="4"/>
  <c r="J81" i="4"/>
  <c r="I81" i="4"/>
  <c r="H81" i="4"/>
  <c r="G81" i="4"/>
  <c r="F81" i="4"/>
  <c r="E81" i="4"/>
  <c r="D81" i="4"/>
  <c r="C8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<sst xmlns="http://schemas.openxmlformats.org/spreadsheetml/2006/main" count="401" uniqueCount="121">
  <si>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</si>
  <si>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</si>
  <si>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</si>
  <si>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</si>
  <si>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</si>
  <si>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</si>
  <si>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</si>
  <si>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</si>
  <si>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</si>
  <si>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</si>
  <si>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</si>
  <si>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</si>
  <si>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</si>
  <si>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</si>
  <si>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</si>
  <si>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</si>
  <si>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</si>
  <si>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</si>
  <si>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</si>
  <si>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</si>
  <si>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</si>
  <si>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</si>
  <si>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</si>
  <si>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</si>
  <si>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</si>
  <si>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</si>
  <si>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</si>
  <si>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</si>
  <si>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</si>
  <si>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</si>
  <si>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</si>
  <si>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</si>
  <si>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</si>
  <si>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</si>
  <si>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</si>
  <si>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</si>
  <si>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</si>
  <si>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</si>
  <si>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</si>
  <si>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</si>
  <si>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</si>
  <si>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</si>
  <si>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</si>
  <si>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</si>
  <si>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</si>
  <si>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</si>
  <si>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</si>
  <si>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</si>
  <si>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</si>
  <si>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</si>
  <si>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</si>
  <si>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</si>
  <si>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</si>
  <si>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</si>
  <si>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</si>
  <si>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</si>
  <si>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</si>
  <si>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</si>
  <si>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</si>
  <si>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</si>
  <si>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</si>
  <si>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</si>
  <si>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</si>
  <si>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</si>
  <si>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</si>
  <si>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</si>
  <si>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</si>
  <si>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</si>
  <si>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</si>
  <si>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</si>
  <si>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</si>
  <si>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</si>
  <si>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</si>
  <si>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</si>
  <si>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</si>
  <si>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</si>
  <si>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</si>
  <si>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</si>
  <si>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</si>
  <si>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</si>
  <si>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</si>
  <si>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St_REFPROP</t>
  </si>
  <si>
    <t>Ht_REFPROP</t>
  </si>
  <si>
    <t>Delta S</t>
  </si>
  <si>
    <t>H at Triple Point</t>
  </si>
  <si>
    <t>Delta H</t>
  </si>
  <si>
    <t>Sublimation Enthalpy</t>
  </si>
  <si>
    <t>Year</t>
  </si>
  <si>
    <t>Author</t>
  </si>
  <si>
    <t>Temperature</t>
  </si>
  <si>
    <t>Cell Volume</t>
  </si>
  <si>
    <t>Kogan, Lazarev</t>
  </si>
  <si>
    <t>Bolz, Mauer</t>
  </si>
  <si>
    <t>Clusius</t>
  </si>
  <si>
    <t>Batchelder</t>
  </si>
  <si>
    <t>Crawford</t>
  </si>
  <si>
    <t>Holste</t>
  </si>
  <si>
    <t xml:space="preserve">Anderson </t>
  </si>
  <si>
    <t>Peek</t>
  </si>
  <si>
    <t>Barrett</t>
  </si>
  <si>
    <t>Leake</t>
  </si>
  <si>
    <t>Fugate</t>
  </si>
  <si>
    <t>Thermal Expansion Coefficient</t>
  </si>
  <si>
    <t>Korpiun</t>
  </si>
  <si>
    <t>Heat Capacity</t>
  </si>
  <si>
    <t>Fenichel</t>
  </si>
  <si>
    <t>Beta T</t>
  </si>
  <si>
    <t>Schoknecht</t>
  </si>
  <si>
    <t>Anderson</t>
  </si>
  <si>
    <t>Beta S</t>
  </si>
  <si>
    <t>Balzer</t>
  </si>
  <si>
    <t>Rand</t>
  </si>
  <si>
    <t>McLaren</t>
  </si>
  <si>
    <t>Gewurtz</t>
  </si>
  <si>
    <t>Skalyo</t>
  </si>
  <si>
    <t>shakeel</t>
  </si>
  <si>
    <t>Pressure</t>
  </si>
  <si>
    <t>Enthalpy</t>
  </si>
  <si>
    <t>Entropy</t>
  </si>
  <si>
    <t>Change in Enthalpy</t>
  </si>
  <si>
    <t>Adjuted Enthalpy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</si>
</sst>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等线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3" fillId="3" borderId="1" xfId="2" applyBorder="1"/>
    <xf numFmtId="11" fontId="0" fillId="0" borderId="0" xfId="0" applyNumberFormat="1"/>
    <xf numFmtId="0" fontId="4" fillId="4" borderId="2" xfId="0" applyFont="1" applyFill="1" applyBorder="1"/>
    <xf numFmtId="0" fontId="4" fillId="4" borderId="3" xfId="0" applyFont="1" applyFill="1" applyBorder="1"/>
    <xf numFmtId="0" fontId="5" fillId="0" borderId="1" xfId="0" applyFont="1" applyBorder="1"/>
    <xf numFmtId="0" fontId="5" fillId="0" borderId="0" xfId="0" applyFont="1"/>
    <xf numFmtId="0" fontId="4" fillId="4" borderId="0" xfId="0" applyFont="1" applyFill="1" applyBorder="1"/>
    <xf numFmtId="0" fontId="4" fillId="4" borderId="0" xfId="0" applyFont="1" applyFill="1"/>
  </cellXfs>
  <cellStyles count="3">
    <cellStyle name="Good" xfId="2" builtinId="26"/>
    <cellStyle name="Neutral" xfId="1" builtinId="28"/>
    <cellStyle name="Normal" xfId="0" builtinId="0"/>
  </cellStyles>
  <dxfs count="5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Sweep!$C$23:$C$122</c:f>
              <c:numCache>
                <c:formatCode>General</c:formatCode>
                <c:ptCount val="100"/>
                <c:pt idx="0">
                  <c:v>0</c:v>
                </c:pt>
                <c:pt idx="1">
                  <c:v>13.380003782034132</c:v>
                </c:pt>
                <c:pt idx="2">
                  <c:v>13.380052803418225</c:v>
                </c:pt>
                <c:pt idx="3">
                  <c:v>13.380267518555604</c:v>
                </c:pt>
                <c:pt idx="4">
                  <c:v>13.380875387166316</c:v>
                </c:pt>
                <c:pt idx="5">
                  <c:v>13.382228155465871</c:v>
                </c:pt>
                <c:pt idx="6">
                  <c:v>13.384793222965262</c:v>
                </c:pt>
                <c:pt idx="7">
                  <c:v>13.389108749024784</c:v>
                </c:pt>
                <c:pt idx="8">
                  <c:v>13.395716968586976</c:v>
                </c:pt>
                <c:pt idx="9">
                  <c:v>13.405106477776727</c:v>
                </c:pt>
                <c:pt idx="10">
                  <c:v>13.417681398184097</c:v>
                </c:pt>
                <c:pt idx="11">
                  <c:v>13.433756206033211</c:v>
                </c:pt>
                <c:pt idx="12">
                  <c:v>13.453566500560921</c:v>
                </c:pt>
                <c:pt idx="13">
                  <c:v>13.477286348551637</c:v>
                </c:pt>
                <c:pt idx="14">
                  <c:v>13.505046143387082</c:v>
                </c:pt>
                <c:pt idx="15">
                  <c:v>13.53694790126338</c:v>
                </c:pt>
                <c:pt idx="16">
                  <c:v>13.573076758065135</c:v>
                </c:pt>
                <c:pt idx="17">
                  <c:v>13.61350829005335</c:v>
                </c:pt>
                <c:pt idx="18">
                  <c:v>13.658311504389371</c:v>
                </c:pt>
                <c:pt idx="19">
                  <c:v>13.707547196236982</c:v>
                </c:pt>
                <c:pt idx="20">
                  <c:v>13.761261004424609</c:v>
                </c:pt>
                <c:pt idx="21">
                  <c:v>13.819469999883745</c:v>
                </c:pt>
                <c:pt idx="22">
                  <c:v>13.88214104134039</c:v>
                </c:pt>
                <c:pt idx="23">
                  <c:v>13.949158298980551</c:v>
                </c:pt>
                <c:pt idx="24">
                  <c:v>14.020274726341739</c:v>
                </c:pt>
                <c:pt idx="25">
                  <c:v>13.800003545471194</c:v>
                </c:pt>
                <c:pt idx="26">
                  <c:v>13.756907116093041</c:v>
                </c:pt>
                <c:pt idx="27">
                  <c:v>13.720600112724915</c:v>
                </c:pt>
                <c:pt idx="28">
                  <c:v>13.682248196440865</c:v>
                </c:pt>
                <c:pt idx="29">
                  <c:v>13.641059381555134</c:v>
                </c:pt>
                <c:pt idx="30">
                  <c:v>13.597321378224009</c:v>
                </c:pt>
                <c:pt idx="31">
                  <c:v>13.551516103819067</c:v>
                </c:pt>
                <c:pt idx="32">
                  <c:v>13.504121994844887</c:v>
                </c:pt>
                <c:pt idx="33">
                  <c:v>13.455563501960695</c:v>
                </c:pt>
                <c:pt idx="34">
                  <c:v>13.406201606300391</c:v>
                </c:pt>
                <c:pt idx="35">
                  <c:v>13.356337079508188</c:v>
                </c:pt>
                <c:pt idx="36">
                  <c:v>13.306217515397828</c:v>
                </c:pt>
                <c:pt idx="37">
                  <c:v>13.256044998748266</c:v>
                </c:pt>
                <c:pt idx="38">
                  <c:v>13.20598329240369</c:v>
                </c:pt>
                <c:pt idx="39">
                  <c:v>13.15616418298128</c:v>
                </c:pt>
                <c:pt idx="40">
                  <c:v>13.106692924486996</c:v>
                </c:pt>
                <c:pt idx="41">
                  <c:v>13.057652835837549</c:v>
                </c:pt>
                <c:pt idx="42">
                  <c:v>13.009109148882025</c:v>
                </c:pt>
                <c:pt idx="43">
                  <c:v>12.961112211586411</c:v>
                </c:pt>
                <c:pt idx="44">
                  <c:v>12.913700145497753</c:v>
                </c:pt>
                <c:pt idx="45">
                  <c:v>12.866901045901818</c:v>
                </c:pt>
                <c:pt idx="46">
                  <c:v>12.820734801094467</c:v>
                </c:pt>
                <c:pt idx="47">
                  <c:v>12.775214595626394</c:v>
                </c:pt>
                <c:pt idx="48">
                  <c:v>12.73034815194892</c:v>
                </c:pt>
                <c:pt idx="49">
                  <c:v>12.686138755809464</c:v>
                </c:pt>
                <c:pt idx="50">
                  <c:v>12.642586103006289</c:v>
                </c:pt>
                <c:pt idx="51">
                  <c:v>12.599686998602147</c:v>
                </c:pt>
                <c:pt idx="52">
                  <c:v>12.557435934267096</c:v>
                </c:pt>
                <c:pt idx="53">
                  <c:v>12.515825564918135</c:v>
                </c:pt>
                <c:pt idx="54">
                  <c:v>12.474847102103478</c:v>
                </c:pt>
                <c:pt idx="55">
                  <c:v>12.434490638513399</c:v>
                </c:pt>
                <c:pt idx="56">
                  <c:v>12.394745415476354</c:v>
                </c:pt>
                <c:pt idx="57">
                  <c:v>12.355600043224422</c:v>
                </c:pt>
                <c:pt idx="58">
                  <c:v>12.317042682006235</c:v>
                </c:pt>
                <c:pt idx="59">
                  <c:v>12.279061190723098</c:v>
                </c:pt>
                <c:pt idx="60">
                  <c:v>12.241643248610368</c:v>
                </c:pt>
                <c:pt idx="61">
                  <c:v>12.204776454536436</c:v>
                </c:pt>
                <c:pt idx="62">
                  <c:v>12.168448407709386</c:v>
                </c:pt>
                <c:pt idx="63">
                  <c:v>12.132646772936242</c:v>
                </c:pt>
                <c:pt idx="64">
                  <c:v>12.0973593330471</c:v>
                </c:pt>
                <c:pt idx="65">
                  <c:v>12.062574030656283</c:v>
                </c:pt>
                <c:pt idx="66">
                  <c:v>12.028279001068418</c:v>
                </c:pt>
                <c:pt idx="67">
                  <c:v>11.994462597835561</c:v>
                </c:pt>
                <c:pt idx="68">
                  <c:v>11.961113412221181</c:v>
                </c:pt>
                <c:pt idx="69">
                  <c:v>11.92822028761884</c:v>
                </c:pt>
                <c:pt idx="70">
                  <c:v>11.895772329800606</c:v>
                </c:pt>
                <c:pt idx="71">
                  <c:v>11.863758913726182</c:v>
                </c:pt>
                <c:pt idx="72">
                  <c:v>11.832169687523761</c:v>
                </c:pt>
                <c:pt idx="73">
                  <c:v>11.800994574153522</c:v>
                </c:pt>
                <c:pt idx="74">
                  <c:v>11.770223771180895</c:v>
                </c:pt>
                <c:pt idx="75">
                  <c:v>11.739847749016874</c:v>
                </c:pt>
                <c:pt idx="76">
                  <c:v>11.70985724792402</c:v>
                </c:pt>
                <c:pt idx="77">
                  <c:v>11.680243274037666</c:v>
                </c:pt>
                <c:pt idx="78">
                  <c:v>11.650997094610787</c:v>
                </c:pt>
                <c:pt idx="79">
                  <c:v>11.622110232656372</c:v>
                </c:pt>
                <c:pt idx="80">
                  <c:v>11.593574461132123</c:v>
                </c:pt>
                <c:pt idx="81">
                  <c:v>11.56538179678803</c:v>
                </c:pt>
                <c:pt idx="82">
                  <c:v>11.537524493776743</c:v>
                </c:pt>
                <c:pt idx="83">
                  <c:v>11.509995037109579</c:v>
                </c:pt>
                <c:pt idx="84">
                  <c:v>11.482786136026427</c:v>
                </c:pt>
                <c:pt idx="85">
                  <c:v>11.455890717335606</c:v>
                </c:pt>
                <c:pt idx="86">
                  <c:v>11.429301918769653</c:v>
                </c:pt>
                <c:pt idx="87">
                  <c:v>11.403013082394176</c:v>
                </c:pt>
                <c:pt idx="88">
                  <c:v>11.377017748099835</c:v>
                </c:pt>
                <c:pt idx="89">
                  <c:v>11.351309647201408</c:v>
                </c:pt>
                <c:pt idx="90">
                  <c:v>11.325882696162763</c:v>
                </c:pt>
                <c:pt idx="91">
                  <c:v>11.300730990462315</c:v>
                </c:pt>
                <c:pt idx="92">
                  <c:v>11.275848798610001</c:v>
                </c:pt>
                <c:pt idx="93">
                  <c:v>11.251230556323794</c:v>
                </c:pt>
                <c:pt idx="94">
                  <c:v>11.226870860871312</c:v>
                </c:pt>
                <c:pt idx="95">
                  <c:v>11.202764465580024</c:v>
                </c:pt>
                <c:pt idx="96">
                  <c:v>11.178906274517846</c:v>
                </c:pt>
                <c:pt idx="97">
                  <c:v>11.155291337344567</c:v>
                </c:pt>
                <c:pt idx="98">
                  <c:v>11.131914844333281</c:v>
                </c:pt>
                <c:pt idx="99">
                  <c:v>11.108772121560238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ser>
          <c:idx val="1"/>
          <c:order val="1"/>
          <c:tx>
            <c:v>Experimental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Experimental!$C$2:$C$107</c:f>
              <c:numCache>
                <c:formatCode>General</c:formatCode>
                <c:ptCount val="10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3.5</c:v>
                </c:pt>
                <c:pt idx="9">
                  <c:v>3.5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4.2</c:v>
                </c:pt>
                <c:pt idx="14">
                  <c:v>4.2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4.25</c:v>
                </c:pt>
                <c:pt idx="19">
                  <c:v>4.5</c:v>
                </c:pt>
                <c:pt idx="20">
                  <c:v>4.5</c:v>
                </c:pt>
                <c:pt idx="21">
                  <c:v>4.7</c:v>
                </c:pt>
                <c:pt idx="22">
                  <c:v>4.7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5.5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6.5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7.5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8.5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9.4</c:v>
                </c:pt>
                <c:pt idx="43">
                  <c:v>9.5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11.4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13.5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17.8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19.899999999999999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21</c:v>
                </c:pt>
                <c:pt idx="83">
                  <c:v>21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23</c:v>
                </c:pt>
                <c:pt idx="88">
                  <c:v>23</c:v>
                </c:pt>
                <c:pt idx="89">
                  <c:v>23</c:v>
                </c:pt>
                <c:pt idx="90">
                  <c:v>23.5</c:v>
                </c:pt>
                <c:pt idx="91">
                  <c:v>23.5</c:v>
                </c:pt>
                <c:pt idx="92">
                  <c:v>24.553000000000001</c:v>
                </c:pt>
                <c:pt idx="93">
                  <c:v>24.553000000000001</c:v>
                </c:pt>
                <c:pt idx="94">
                  <c:v>24.57</c:v>
                </c:pt>
                <c:pt idx="95">
                  <c:v>25</c:v>
                </c:pt>
                <c:pt idx="96">
                  <c:v>30</c:v>
                </c:pt>
                <c:pt idx="97">
                  <c:v>31.75</c:v>
                </c:pt>
                <c:pt idx="98">
                  <c:v>35</c:v>
                </c:pt>
                <c:pt idx="99">
                  <c:v>36.200000000000003</c:v>
                </c:pt>
                <c:pt idx="100">
                  <c:v>40</c:v>
                </c:pt>
                <c:pt idx="101">
                  <c:v>41.8</c:v>
                </c:pt>
                <c:pt idx="102">
                  <c:v>45</c:v>
                </c:pt>
                <c:pt idx="103">
                  <c:v>46.8</c:v>
                </c:pt>
                <c:pt idx="104">
                  <c:v>50</c:v>
                </c:pt>
                <c:pt idx="105">
                  <c:v>51.1</c:v>
                </c:pt>
              </c:numCache>
            </c:numRef>
          </c:xVal>
          <c:yVal>
            <c:numRef>
              <c:f>Experimental!$D$2:$D$107</c:f>
              <c:numCache>
                <c:formatCode>General</c:formatCode>
                <c:ptCount val="106"/>
                <c:pt idx="0">
                  <c:v>13.391</c:v>
                </c:pt>
                <c:pt idx="1">
                  <c:v>13.391</c:v>
                </c:pt>
                <c:pt idx="2">
                  <c:v>13.391</c:v>
                </c:pt>
                <c:pt idx="3">
                  <c:v>13.391</c:v>
                </c:pt>
                <c:pt idx="4">
                  <c:v>13.391</c:v>
                </c:pt>
                <c:pt idx="5">
                  <c:v>13.3888667728237</c:v>
                </c:pt>
                <c:pt idx="6">
                  <c:v>13.389200000000001</c:v>
                </c:pt>
                <c:pt idx="7">
                  <c:v>13.391</c:v>
                </c:pt>
                <c:pt idx="8">
                  <c:v>13.3894</c:v>
                </c:pt>
                <c:pt idx="9">
                  <c:v>13.391</c:v>
                </c:pt>
                <c:pt idx="10">
                  <c:v>13.3888667728237</c:v>
                </c:pt>
                <c:pt idx="11">
                  <c:v>13.389699999999999</c:v>
                </c:pt>
                <c:pt idx="12">
                  <c:v>13.391999999999999</c:v>
                </c:pt>
                <c:pt idx="13">
                  <c:v>13.392555932965401</c:v>
                </c:pt>
                <c:pt idx="14">
                  <c:v>13.376361792117001</c:v>
                </c:pt>
                <c:pt idx="15">
                  <c:v>13.3781604960759</c:v>
                </c:pt>
                <c:pt idx="16">
                  <c:v>13.302753667575899</c:v>
                </c:pt>
                <c:pt idx="17">
                  <c:v>13.394</c:v>
                </c:pt>
                <c:pt idx="18">
                  <c:v>13.3083096995116</c:v>
                </c:pt>
                <c:pt idx="19">
                  <c:v>13.3902</c:v>
                </c:pt>
                <c:pt idx="20">
                  <c:v>13.391999999999999</c:v>
                </c:pt>
                <c:pt idx="21">
                  <c:v>13.39</c:v>
                </c:pt>
                <c:pt idx="22">
                  <c:v>13.3745632493901</c:v>
                </c:pt>
                <c:pt idx="23">
                  <c:v>13.390643662906401</c:v>
                </c:pt>
                <c:pt idx="24">
                  <c:v>13.391</c:v>
                </c:pt>
                <c:pt idx="25">
                  <c:v>13.393000000000001</c:v>
                </c:pt>
                <c:pt idx="26">
                  <c:v>13.394</c:v>
                </c:pt>
                <c:pt idx="27">
                  <c:v>13.392421024688</c:v>
                </c:pt>
                <c:pt idx="28">
                  <c:v>13.3935</c:v>
                </c:pt>
                <c:pt idx="29">
                  <c:v>13.395</c:v>
                </c:pt>
                <c:pt idx="30">
                  <c:v>13.397</c:v>
                </c:pt>
                <c:pt idx="31">
                  <c:v>13.3968664940582</c:v>
                </c:pt>
                <c:pt idx="32">
                  <c:v>13.3977</c:v>
                </c:pt>
                <c:pt idx="33">
                  <c:v>13.3995</c:v>
                </c:pt>
                <c:pt idx="34">
                  <c:v>13.401999999999999</c:v>
                </c:pt>
                <c:pt idx="35">
                  <c:v>13.403095111583401</c:v>
                </c:pt>
                <c:pt idx="36">
                  <c:v>13.404199999999999</c:v>
                </c:pt>
                <c:pt idx="37">
                  <c:v>13.406000000000001</c:v>
                </c:pt>
                <c:pt idx="38">
                  <c:v>13.41</c:v>
                </c:pt>
                <c:pt idx="39">
                  <c:v>13.4128946493851</c:v>
                </c:pt>
                <c:pt idx="40">
                  <c:v>13.413399999999999</c:v>
                </c:pt>
                <c:pt idx="41">
                  <c:v>13.414999999999999</c:v>
                </c:pt>
                <c:pt idx="42">
                  <c:v>13.42</c:v>
                </c:pt>
                <c:pt idx="43">
                  <c:v>13.42</c:v>
                </c:pt>
                <c:pt idx="44">
                  <c:v>13.4244944119212</c:v>
                </c:pt>
                <c:pt idx="45">
                  <c:v>13.4254</c:v>
                </c:pt>
                <c:pt idx="46">
                  <c:v>13.427</c:v>
                </c:pt>
                <c:pt idx="47">
                  <c:v>13.4396936396936</c:v>
                </c:pt>
                <c:pt idx="48">
                  <c:v>13.440799999999999</c:v>
                </c:pt>
                <c:pt idx="49">
                  <c:v>13.442</c:v>
                </c:pt>
                <c:pt idx="50">
                  <c:v>13.45</c:v>
                </c:pt>
                <c:pt idx="51">
                  <c:v>13.4585167400293</c:v>
                </c:pt>
                <c:pt idx="52">
                  <c:v>13.4597</c:v>
                </c:pt>
                <c:pt idx="53">
                  <c:v>13.461</c:v>
                </c:pt>
                <c:pt idx="54">
                  <c:v>13.4818947087119</c:v>
                </c:pt>
                <c:pt idx="55">
                  <c:v>13.4823</c:v>
                </c:pt>
                <c:pt idx="56">
                  <c:v>13.484</c:v>
                </c:pt>
                <c:pt idx="57">
                  <c:v>13.49</c:v>
                </c:pt>
                <c:pt idx="58">
                  <c:v>13.508066135618099</c:v>
                </c:pt>
                <c:pt idx="59">
                  <c:v>13.508699999999999</c:v>
                </c:pt>
                <c:pt idx="60">
                  <c:v>13.51</c:v>
                </c:pt>
                <c:pt idx="61">
                  <c:v>13.538879570613799</c:v>
                </c:pt>
                <c:pt idx="62">
                  <c:v>13.5395</c:v>
                </c:pt>
                <c:pt idx="63">
                  <c:v>13.541</c:v>
                </c:pt>
                <c:pt idx="64">
                  <c:v>13.5734848994417</c:v>
                </c:pt>
                <c:pt idx="65">
                  <c:v>13.5741</c:v>
                </c:pt>
                <c:pt idx="66">
                  <c:v>13.576000000000001</c:v>
                </c:pt>
                <c:pt idx="67">
                  <c:v>13.5370786778644</c:v>
                </c:pt>
                <c:pt idx="68">
                  <c:v>13.611939291736901</c:v>
                </c:pt>
                <c:pt idx="69">
                  <c:v>13.612500000000001</c:v>
                </c:pt>
                <c:pt idx="70">
                  <c:v>13.614000000000001</c:v>
                </c:pt>
                <c:pt idx="71">
                  <c:v>13.65</c:v>
                </c:pt>
                <c:pt idx="72">
                  <c:v>13.654306786656701</c:v>
                </c:pt>
                <c:pt idx="73">
                  <c:v>13.655099999999999</c:v>
                </c:pt>
                <c:pt idx="74">
                  <c:v>13.656000000000001</c:v>
                </c:pt>
                <c:pt idx="75">
                  <c:v>13.701588810429101</c:v>
                </c:pt>
                <c:pt idx="76">
                  <c:v>13.7027</c:v>
                </c:pt>
                <c:pt idx="77">
                  <c:v>13.704000000000001</c:v>
                </c:pt>
                <c:pt idx="78">
                  <c:v>13.759</c:v>
                </c:pt>
                <c:pt idx="79">
                  <c:v>13.754822438824799</c:v>
                </c:pt>
                <c:pt idx="80">
                  <c:v>13.7552</c:v>
                </c:pt>
                <c:pt idx="81">
                  <c:v>13.757</c:v>
                </c:pt>
                <c:pt idx="82">
                  <c:v>13.8131</c:v>
                </c:pt>
                <c:pt idx="83">
                  <c:v>13.811</c:v>
                </c:pt>
                <c:pt idx="84">
                  <c:v>13.8758853056453</c:v>
                </c:pt>
                <c:pt idx="85">
                  <c:v>13.8765</c:v>
                </c:pt>
                <c:pt idx="86">
                  <c:v>13.878</c:v>
                </c:pt>
                <c:pt idx="87">
                  <c:v>13.945888044229401</c:v>
                </c:pt>
                <c:pt idx="88">
                  <c:v>13.945499999999999</c:v>
                </c:pt>
                <c:pt idx="89">
                  <c:v>13.948</c:v>
                </c:pt>
                <c:pt idx="90">
                  <c:v>13.9826080931263</c:v>
                </c:pt>
                <c:pt idx="91">
                  <c:v>13.982100000000001</c:v>
                </c:pt>
                <c:pt idx="92">
                  <c:v>14.065</c:v>
                </c:pt>
                <c:pt idx="93">
                  <c:v>14.07</c:v>
                </c:pt>
                <c:pt idx="94">
                  <c:v>14.03</c:v>
                </c:pt>
                <c:pt idx="95">
                  <c:v>14.04</c:v>
                </c:pt>
                <c:pt idx="96">
                  <c:v>13.71</c:v>
                </c:pt>
                <c:pt idx="97">
                  <c:v>13.6</c:v>
                </c:pt>
                <c:pt idx="98">
                  <c:v>13.38</c:v>
                </c:pt>
                <c:pt idx="99">
                  <c:v>13.3</c:v>
                </c:pt>
                <c:pt idx="100">
                  <c:v>13.07</c:v>
                </c:pt>
                <c:pt idx="101">
                  <c:v>12.95</c:v>
                </c:pt>
                <c:pt idx="102">
                  <c:v>12.78</c:v>
                </c:pt>
                <c:pt idx="103">
                  <c:v>12.67</c:v>
                </c:pt>
                <c:pt idx="104">
                  <c:v>12.52</c:v>
                </c:pt>
                <c:pt idx="105">
                  <c:v>12.48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D-4AE6-AEDA-046665EA7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ax val="15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Sweep!$G$23:$G$122</c:f>
              <c:numCache>
                <c:formatCode>General</c:formatCode>
                <c:ptCount val="100"/>
                <c:pt idx="0">
                  <c:v>0</c:v>
                </c:pt>
                <c:pt idx="1">
                  <c:v>6.0232997868020395E-3</c:v>
                </c:pt>
                <c:pt idx="2">
                  <c:v>4.4909755385640501E-2</c:v>
                </c:pt>
                <c:pt idx="3">
                  <c:v>0.15598508882481646</c:v>
                </c:pt>
                <c:pt idx="4">
                  <c:v>0.38534435117408833</c:v>
                </c:pt>
                <c:pt idx="5">
                  <c:v>0.77748174244051349</c:v>
                </c:pt>
                <c:pt idx="6">
                  <c:v>1.364103904417908</c:v>
                </c:pt>
                <c:pt idx="7">
                  <c:v>2.1537109192383688</c:v>
                </c:pt>
                <c:pt idx="8">
                  <c:v>3.1303662918941781</c:v>
                </c:pt>
                <c:pt idx="9">
                  <c:v>4.2617079529196111</c:v>
                </c:pt>
                <c:pt idx="10">
                  <c:v>5.5092867470280202</c:v>
                </c:pt>
                <c:pt idx="11">
                  <c:v>6.8362798359321761</c:v>
                </c:pt>
                <c:pt idx="12">
                  <c:v>8.2115297624808914</c:v>
                </c:pt>
                <c:pt idx="13">
                  <c:v>9.6108038175964836</c:v>
                </c:pt>
                <c:pt idx="14">
                  <c:v>11.01646550131413</c:v>
                </c:pt>
                <c:pt idx="15">
                  <c:v>12.416431351040803</c:v>
                </c:pt>
                <c:pt idx="16">
                  <c:v>13.802910098020607</c:v>
                </c:pt>
                <c:pt idx="17">
                  <c:v>15.171151749614889</c:v>
                </c:pt>
                <c:pt idx="18">
                  <c:v>16.518274947883203</c:v>
                </c:pt>
                <c:pt idx="19">
                  <c:v>17.84215709360873</c:v>
                </c:pt>
                <c:pt idx="20">
                  <c:v>19.140333527606245</c:v>
                </c:pt>
                <c:pt idx="21">
                  <c:v>20.408843624404799</c:v>
                </c:pt>
                <c:pt idx="22">
                  <c:v>21.640982605795756</c:v>
                </c:pt>
                <c:pt idx="23">
                  <c:v>22.825979571698419</c:v>
                </c:pt>
                <c:pt idx="24">
                  <c:v>23.947743278852275</c:v>
                </c:pt>
                <c:pt idx="25">
                  <c:v>23.738652355078194</c:v>
                </c:pt>
                <c:pt idx="26">
                  <c:v>24.271907684558311</c:v>
                </c:pt>
                <c:pt idx="27">
                  <c:v>24.796296942271365</c:v>
                </c:pt>
                <c:pt idx="28">
                  <c:v>25.274134514670617</c:v>
                </c:pt>
                <c:pt idx="29">
                  <c:v>25.704946916718256</c:v>
                </c:pt>
                <c:pt idx="30">
                  <c:v>26.092956212071041</c:v>
                </c:pt>
                <c:pt idx="31">
                  <c:v>26.442962515146753</c:v>
                </c:pt>
                <c:pt idx="32">
                  <c:v>26.759463155960137</c:v>
                </c:pt>
                <c:pt idx="33">
                  <c:v>27.046460185353272</c:v>
                </c:pt>
                <c:pt idx="34">
                  <c:v>27.307453269904222</c:v>
                </c:pt>
                <c:pt idx="35">
                  <c:v>27.545484866416036</c:v>
                </c:pt>
                <c:pt idx="36">
                  <c:v>27.763196695451487</c:v>
                </c:pt>
                <c:pt idx="37">
                  <c:v>27.962884229355669</c:v>
                </c:pt>
                <c:pt idx="38">
                  <c:v>28.146545233783591</c:v>
                </c:pt>
                <c:pt idx="39">
                  <c:v>28.31592180856445</c:v>
                </c:pt>
                <c:pt idx="40">
                  <c:v>28.472536247906643</c:v>
                </c:pt>
                <c:pt idx="41">
                  <c:v>28.617721570578045</c:v>
                </c:pt>
                <c:pt idx="42">
                  <c:v>28.752647496699321</c:v>
                </c:pt>
                <c:pt idx="43">
                  <c:v>28.878342617937321</c:v>
                </c:pt>
                <c:pt idx="44">
                  <c:v>28.995713230670084</c:v>
                </c:pt>
                <c:pt idx="45">
                  <c:v>29.105559554117185</c:v>
                </c:pt>
                <c:pt idx="46">
                  <c:v>29.208589537526638</c:v>
                </c:pt>
                <c:pt idx="47">
                  <c:v>29.305430809314725</c:v>
                </c:pt>
                <c:pt idx="48">
                  <c:v>29.396640878657049</c:v>
                </c:pt>
                <c:pt idx="49">
                  <c:v>29.482715982313891</c:v>
                </c:pt>
                <c:pt idx="50">
                  <c:v>29.564098703012</c:v>
                </c:pt>
                <c:pt idx="51">
                  <c:v>29.641184561770363</c:v>
                </c:pt>
                <c:pt idx="52">
                  <c:v>29.714327727930307</c:v>
                </c:pt>
                <c:pt idx="53">
                  <c:v>29.783845957793286</c:v>
                </c:pt>
                <c:pt idx="54">
                  <c:v>29.850024910873497</c:v>
                </c:pt>
                <c:pt idx="55">
                  <c:v>29.913121904000228</c:v>
                </c:pt>
                <c:pt idx="56">
                  <c:v>29.973369133561164</c:v>
                </c:pt>
                <c:pt idx="57">
                  <c:v>30.030976558680564</c:v>
                </c:pt>
                <c:pt idx="58">
                  <c:v>30.086134368934982</c:v>
                </c:pt>
                <c:pt idx="59">
                  <c:v>30.139015176532453</c:v>
                </c:pt>
                <c:pt idx="60">
                  <c:v>30.189775920838137</c:v>
                </c:pt>
                <c:pt idx="61">
                  <c:v>30.238559537553186</c:v>
                </c:pt>
                <c:pt idx="62">
                  <c:v>30.285496446351573</c:v>
                </c:pt>
                <c:pt idx="63">
                  <c:v>30.330705855166418</c:v>
                </c:pt>
                <c:pt idx="64">
                  <c:v>30.374296889794273</c:v>
                </c:pt>
                <c:pt idx="65">
                  <c:v>30.416369636022864</c:v>
                </c:pt>
                <c:pt idx="66">
                  <c:v>30.457016017257001</c:v>
                </c:pt>
                <c:pt idx="67">
                  <c:v>30.496320601326659</c:v>
                </c:pt>
                <c:pt idx="68">
                  <c:v>30.534361295267349</c:v>
                </c:pt>
                <c:pt idx="69">
                  <c:v>30.571210013245949</c:v>
                </c:pt>
                <c:pt idx="70">
                  <c:v>30.606933195821156</c:v>
                </c:pt>
                <c:pt idx="71">
                  <c:v>30.641592325939804</c:v>
                </c:pt>
                <c:pt idx="72">
                  <c:v>30.675244401077862</c:v>
                </c:pt>
                <c:pt idx="73">
                  <c:v>30.707942299679541</c:v>
                </c:pt>
                <c:pt idx="74">
                  <c:v>30.739735166314343</c:v>
                </c:pt>
                <c:pt idx="75">
                  <c:v>30.770668723754923</c:v>
                </c:pt>
                <c:pt idx="76">
                  <c:v>30.800785554759024</c:v>
                </c:pt>
                <c:pt idx="77">
                  <c:v>30.830125413783684</c:v>
                </c:pt>
                <c:pt idx="78">
                  <c:v>30.858725390345313</c:v>
                </c:pt>
                <c:pt idx="79">
                  <c:v>30.886620185499044</c:v>
                </c:pt>
                <c:pt idx="80">
                  <c:v>30.913842265580968</c:v>
                </c:pt>
                <c:pt idx="81">
                  <c:v>30.940422058236397</c:v>
                </c:pt>
                <c:pt idx="82">
                  <c:v>30.966388120048656</c:v>
                </c:pt>
                <c:pt idx="83">
                  <c:v>30.991767236136127</c:v>
                </c:pt>
                <c:pt idx="84">
                  <c:v>31.016584625975721</c:v>
                </c:pt>
                <c:pt idx="85">
                  <c:v>31.040863975495263</c:v>
                </c:pt>
                <c:pt idx="86">
                  <c:v>31.064627631814712</c:v>
                </c:pt>
                <c:pt idx="87">
                  <c:v>31.087896639331987</c:v>
                </c:pt>
                <c:pt idx="88">
                  <c:v>31.110690868053165</c:v>
                </c:pt>
                <c:pt idx="89">
                  <c:v>31.133029080336634</c:v>
                </c:pt>
                <c:pt idx="90">
                  <c:v>31.154929001175983</c:v>
                </c:pt>
                <c:pt idx="91">
                  <c:v>31.176407415743761</c:v>
                </c:pt>
                <c:pt idx="92">
                  <c:v>31.197480209892003</c:v>
                </c:pt>
                <c:pt idx="93">
                  <c:v>31.218162441559354</c:v>
                </c:pt>
                <c:pt idx="94">
                  <c:v>31.238468379262535</c:v>
                </c:pt>
                <c:pt idx="95">
                  <c:v>31.258411587705403</c:v>
                </c:pt>
                <c:pt idx="96">
                  <c:v>31.278004927339929</c:v>
                </c:pt>
                <c:pt idx="97">
                  <c:v>31.297260629977519</c:v>
                </c:pt>
                <c:pt idx="98">
                  <c:v>31.316190340318681</c:v>
                </c:pt>
                <c:pt idx="99">
                  <c:v>31.334805128861856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ser>
          <c:idx val="1"/>
          <c:order val="1"/>
          <c:tx>
            <c:v>Experimental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Experimental!$M$2:$M$38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12.3</c:v>
                </c:pt>
                <c:pt idx="13">
                  <c:v>13</c:v>
                </c:pt>
                <c:pt idx="14">
                  <c:v>13.1</c:v>
                </c:pt>
                <c:pt idx="15">
                  <c:v>14</c:v>
                </c:pt>
                <c:pt idx="16">
                  <c:v>14.71</c:v>
                </c:pt>
                <c:pt idx="17">
                  <c:v>15</c:v>
                </c:pt>
                <c:pt idx="18">
                  <c:v>16</c:v>
                </c:pt>
                <c:pt idx="19">
                  <c:v>16.63</c:v>
                </c:pt>
                <c:pt idx="20">
                  <c:v>17</c:v>
                </c:pt>
                <c:pt idx="21">
                  <c:v>18</c:v>
                </c:pt>
                <c:pt idx="22">
                  <c:v>18.54</c:v>
                </c:pt>
                <c:pt idx="23">
                  <c:v>18.850000000000001</c:v>
                </c:pt>
                <c:pt idx="24">
                  <c:v>19</c:v>
                </c:pt>
                <c:pt idx="25">
                  <c:v>20</c:v>
                </c:pt>
                <c:pt idx="26">
                  <c:v>20</c:v>
                </c:pt>
                <c:pt idx="27">
                  <c:v>20.85</c:v>
                </c:pt>
                <c:pt idx="28">
                  <c:v>20.9</c:v>
                </c:pt>
                <c:pt idx="29">
                  <c:v>21</c:v>
                </c:pt>
                <c:pt idx="30">
                  <c:v>22</c:v>
                </c:pt>
                <c:pt idx="31">
                  <c:v>22.1</c:v>
                </c:pt>
                <c:pt idx="32">
                  <c:v>22.7</c:v>
                </c:pt>
                <c:pt idx="33">
                  <c:v>22.85</c:v>
                </c:pt>
                <c:pt idx="34">
                  <c:v>23</c:v>
                </c:pt>
                <c:pt idx="35">
                  <c:v>23.5</c:v>
                </c:pt>
                <c:pt idx="36">
                  <c:v>24</c:v>
                </c:pt>
              </c:numCache>
            </c:numRef>
          </c:xVal>
          <c:yVal>
            <c:numRef>
              <c:f>Experimental!$N$2:$N$38</c:f>
              <c:numCache>
                <c:formatCode>General</c:formatCode>
                <c:ptCount val="37"/>
                <c:pt idx="12">
                  <c:v>8.7027199999999993</c:v>
                </c:pt>
                <c:pt idx="13">
                  <c:v>9.74</c:v>
                </c:pt>
                <c:pt idx="14">
                  <c:v>9.7487200000000005</c:v>
                </c:pt>
                <c:pt idx="15">
                  <c:v>11.09</c:v>
                </c:pt>
                <c:pt idx="16">
                  <c:v>11.673360000000001</c:v>
                </c:pt>
                <c:pt idx="17">
                  <c:v>12.42</c:v>
                </c:pt>
                <c:pt idx="18">
                  <c:v>13.71</c:v>
                </c:pt>
                <c:pt idx="19">
                  <c:v>14.016400000000001</c:v>
                </c:pt>
                <c:pt idx="20">
                  <c:v>15.01</c:v>
                </c:pt>
                <c:pt idx="21">
                  <c:v>16.350000000000001</c:v>
                </c:pt>
                <c:pt idx="22">
                  <c:v>16.066559999999999</c:v>
                </c:pt>
                <c:pt idx="23">
                  <c:v>16.610479999999999</c:v>
                </c:pt>
                <c:pt idx="24">
                  <c:v>17.73</c:v>
                </c:pt>
                <c:pt idx="25">
                  <c:v>19.14</c:v>
                </c:pt>
                <c:pt idx="26">
                  <c:v>17.865679999999902</c:v>
                </c:pt>
                <c:pt idx="27">
                  <c:v>19.204560000000001</c:v>
                </c:pt>
                <c:pt idx="28">
                  <c:v>19.204560000000001</c:v>
                </c:pt>
                <c:pt idx="29">
                  <c:v>20.84</c:v>
                </c:pt>
                <c:pt idx="30">
                  <c:v>22.72</c:v>
                </c:pt>
                <c:pt idx="31">
                  <c:v>21.04552</c:v>
                </c:pt>
                <c:pt idx="32">
                  <c:v>22.1752</c:v>
                </c:pt>
                <c:pt idx="33">
                  <c:v>22.635439999999999</c:v>
                </c:pt>
                <c:pt idx="34">
                  <c:v>24.63</c:v>
                </c:pt>
                <c:pt idx="35">
                  <c:v>24.35088</c:v>
                </c:pt>
                <c:pt idx="36">
                  <c:v>26.48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5-4045-90A5-A59168013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Sweep!$F$23:$F$122</c:f>
              <c:numCache>
                <c:formatCode>General</c:formatCode>
                <c:ptCount val="100"/>
                <c:pt idx="0">
                  <c:v>0</c:v>
                </c:pt>
                <c:pt idx="1">
                  <c:v>1.0384347889571202E-6</c:v>
                </c:pt>
                <c:pt idx="2">
                  <c:v>7.7526251950919769E-6</c:v>
                </c:pt>
                <c:pt idx="3">
                  <c:v>2.7150957813936098E-5</c:v>
                </c:pt>
                <c:pt idx="4">
                  <c:v>6.8095540320497428E-5</c:v>
                </c:pt>
                <c:pt idx="5">
                  <c:v>1.3996525275317405E-4</c:v>
                </c:pt>
                <c:pt idx="6">
                  <c:v>2.5013328972936944E-4</c:v>
                </c:pt>
                <c:pt idx="7">
                  <c:v>4.01404424472167E-4</c:v>
                </c:pt>
                <c:pt idx="8">
                  <c:v>5.9152709746772411E-4</c:v>
                </c:pt>
                <c:pt idx="9">
                  <c:v>8.1480157430142866E-4</c:v>
                </c:pt>
                <c:pt idx="10">
                  <c:v>1.0642337569349452E-3</c:v>
                </c:pt>
                <c:pt idx="11">
                  <c:v>1.3331366726485811E-3</c:v>
                </c:pt>
                <c:pt idx="12">
                  <c:v>1.6159493131468815E-3</c:v>
                </c:pt>
                <c:pt idx="13">
                  <c:v>1.9084679662850293E-3</c:v>
                </c:pt>
                <c:pt idx="14">
                  <c:v>2.2077460785598474E-3</c:v>
                </c:pt>
                <c:pt idx="15">
                  <c:v>2.5118457657365449E-3</c:v>
                </c:pt>
                <c:pt idx="16">
                  <c:v>2.819540374105031E-3</c:v>
                </c:pt>
                <c:pt idx="17">
                  <c:v>3.1300082927970068E-3</c:v>
                </c:pt>
                <c:pt idx="18">
                  <c:v>3.4425234177478201E-3</c:v>
                </c:pt>
                <c:pt idx="19">
                  <c:v>3.7561294267268062E-3</c:v>
                </c:pt>
                <c:pt idx="20">
                  <c:v>4.0692773715484297E-3</c:v>
                </c:pt>
                <c:pt idx="21">
                  <c:v>4.379407090550529E-3</c:v>
                </c:pt>
                <c:pt idx="22">
                  <c:v>4.6824654243503606E-3</c:v>
                </c:pt>
                <c:pt idx="23">
                  <c:v>4.9723849961214777E-3</c:v>
                </c:pt>
                <c:pt idx="24">
                  <c:v>5.2406035493734304E-3</c:v>
                </c:pt>
                <c:pt idx="25">
                  <c:v>4.6887612484123875E-3</c:v>
                </c:pt>
                <c:pt idx="26">
                  <c:v>4.6262888561506071E-3</c:v>
                </c:pt>
                <c:pt idx="27">
                  <c:v>4.5754797820289133E-3</c:v>
                </c:pt>
                <c:pt idx="28">
                  <c:v>4.5139672240555075E-3</c:v>
                </c:pt>
                <c:pt idx="29">
                  <c:v>4.4414746941297024E-3</c:v>
                </c:pt>
                <c:pt idx="30">
                  <c:v>4.3602849968005413E-3</c:v>
                </c:pt>
                <c:pt idx="31">
                  <c:v>4.2728348382046243E-3</c:v>
                </c:pt>
                <c:pt idx="32">
                  <c:v>4.1812419820889853E-3</c:v>
                </c:pt>
                <c:pt idx="33">
                  <c:v>4.087234352539766E-3</c:v>
                </c:pt>
                <c:pt idx="34">
                  <c:v>3.9921808877618021E-3</c:v>
                </c:pt>
                <c:pt idx="35">
                  <c:v>3.897145900348553E-3</c:v>
                </c:pt>
                <c:pt idx="36">
                  <c:v>3.8029437982120152E-3</c:v>
                </c:pt>
                <c:pt idx="37">
                  <c:v>3.7101874295962091E-3</c:v>
                </c:pt>
                <c:pt idx="38">
                  <c:v>3.6193287018005142E-3</c:v>
                </c:pt>
                <c:pt idx="39">
                  <c:v>3.5306919329842253E-3</c:v>
                </c:pt>
                <c:pt idx="40">
                  <c:v>3.4445008876527075E-3</c:v>
                </c:pt>
                <c:pt idx="41">
                  <c:v>3.3609005456861083E-3</c:v>
                </c:pt>
                <c:pt idx="42">
                  <c:v>3.2799745497555342E-3</c:v>
                </c:pt>
                <c:pt idx="43">
                  <c:v>3.2017591469275884E-3</c:v>
                </c:pt>
                <c:pt idx="44">
                  <c:v>3.1262542833651796E-3</c:v>
                </c:pt>
                <c:pt idx="45">
                  <c:v>3.0534324314756456E-3</c:v>
                </c:pt>
                <c:pt idx="46">
                  <c:v>2.983245573182513E-3</c:v>
                </c:pt>
                <c:pt idx="47">
                  <c:v>2.9156307262132386E-3</c:v>
                </c:pt>
                <c:pt idx="48">
                  <c:v>2.8505142859771605E-3</c:v>
                </c:pt>
                <c:pt idx="49">
                  <c:v>2.7878154351152844E-3</c:v>
                </c:pt>
                <c:pt idx="50">
                  <c:v>2.7274488012863267E-3</c:v>
                </c:pt>
                <c:pt idx="51">
                  <c:v>2.6693265182598401E-3</c:v>
                </c:pt>
                <c:pt idx="52">
                  <c:v>2.6133598117626953E-3</c:v>
                </c:pt>
                <c:pt idx="53">
                  <c:v>2.5594602064467065E-3</c:v>
                </c:pt>
                <c:pt idx="54">
                  <c:v>2.5075404360918653E-3</c:v>
                </c:pt>
                <c:pt idx="55">
                  <c:v>2.4575151165951502E-3</c:v>
                </c:pt>
                <c:pt idx="56">
                  <c:v>2.4093012279124493E-3</c:v>
                </c:pt>
                <c:pt idx="57">
                  <c:v>2.3628184559307433E-3</c:v>
                </c:pt>
                <c:pt idx="58">
                  <c:v>2.3179894145738075E-3</c:v>
                </c:pt>
                <c:pt idx="59">
                  <c:v>2.2747397814831161E-3</c:v>
                </c:pt>
                <c:pt idx="60">
                  <c:v>2.232998363033803E-3</c:v>
                </c:pt>
                <c:pt idx="61">
                  <c:v>2.1926971063054891E-3</c:v>
                </c:pt>
                <c:pt idx="62">
                  <c:v>2.1537710725521588E-3</c:v>
                </c:pt>
                <c:pt idx="63">
                  <c:v>2.1161583800886879E-3</c:v>
                </c:pt>
                <c:pt idx="64">
                  <c:v>2.0798001237261905E-3</c:v>
                </c:pt>
                <c:pt idx="65">
                  <c:v>2.0446402819848399E-3</c:v>
                </c:pt>
                <c:pt idx="66">
                  <c:v>2.0106256102305473E-3</c:v>
                </c:pt>
                <c:pt idx="67">
                  <c:v>1.9777055293463191E-3</c:v>
                </c:pt>
                <c:pt idx="68">
                  <c:v>1.9458320091378634E-3</c:v>
                </c:pt>
                <c:pt idx="69">
                  <c:v>1.9149594537724217E-3</c:v>
                </c:pt>
                <c:pt idx="70">
                  <c:v>1.8850445822887662E-3</c:v>
                </c:pt>
                <c:pt idx="71">
                  <c:v>1.8560463146829653E-3</c:v>
                </c:pt>
                <c:pt idx="72">
                  <c:v>1.827925661177406E-3</c:v>
                </c:pt>
                <c:pt idx="73">
                  <c:v>1.8006456112245714E-3</c:v>
                </c:pt>
                <c:pt idx="74">
                  <c:v>1.7741710302036358E-3</c:v>
                </c:pt>
                <c:pt idx="75">
                  <c:v>1.748468558079431E-3</c:v>
                </c:pt>
                <c:pt idx="76">
                  <c:v>1.7235065126790126E-3</c:v>
                </c:pt>
                <c:pt idx="77">
                  <c:v>1.6992548008500463E-3</c:v>
                </c:pt>
                <c:pt idx="78">
                  <c:v>1.6756848270501644E-3</c:v>
                </c:pt>
                <c:pt idx="79">
                  <c:v>1.6527694142412415E-3</c:v>
                </c:pt>
                <c:pt idx="80">
                  <c:v>1.6304827233116341E-3</c:v>
                </c:pt>
                <c:pt idx="81">
                  <c:v>1.6088001801636165E-3</c:v>
                </c:pt>
                <c:pt idx="82">
                  <c:v>1.58769840616486E-3</c:v>
                </c:pt>
                <c:pt idx="83">
                  <c:v>1.5671551497342859E-3</c:v>
                </c:pt>
                <c:pt idx="84">
                  <c:v>1.5471492279748788E-3</c:v>
                </c:pt>
                <c:pt idx="85">
                  <c:v>1.5276604634183585E-3</c:v>
                </c:pt>
                <c:pt idx="86">
                  <c:v>1.5086696331424007E-3</c:v>
                </c:pt>
                <c:pt idx="87">
                  <c:v>1.490158413457102E-3</c:v>
                </c:pt>
                <c:pt idx="88">
                  <c:v>1.4721093327724024E-3</c:v>
                </c:pt>
                <c:pt idx="89">
                  <c:v>1.4545057246315364E-3</c:v>
                </c:pt>
                <c:pt idx="90">
                  <c:v>1.4373316840214981E-3</c:v>
                </c:pt>
                <c:pt idx="91">
                  <c:v>1.4205720278251312E-3</c:v>
                </c:pt>
                <c:pt idx="92">
                  <c:v>1.40421225522661E-3</c:v>
                </c:pt>
                <c:pt idx="93">
                  <c:v>1.3882385121030427E-3</c:v>
                </c:pt>
                <c:pt idx="94">
                  <c:v>1.3726375562376682E-3</c:v>
                </c:pt>
                <c:pt idx="95">
                  <c:v>1.3573967268590505E-3</c:v>
                </c:pt>
                <c:pt idx="96">
                  <c:v>1.3425039123483487E-3</c:v>
                </c:pt>
                <c:pt idx="97">
                  <c:v>1.3279475232963981E-3</c:v>
                </c:pt>
                <c:pt idx="98">
                  <c:v>1.3137164657914303E-3</c:v>
                </c:pt>
                <c:pt idx="99">
                  <c:v>1.2998001151677675E-3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ser>
          <c:idx val="1"/>
          <c:order val="1"/>
          <c:tx>
            <c:v>Experimental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Experimental!$H$2:$H$67</c:f>
              <c:numCache>
                <c:formatCode>General</c:formatCode>
                <c:ptCount val="6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2.5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3.5</c:v>
                </c:pt>
                <c:pt idx="11">
                  <c:v>3.5</c:v>
                </c:pt>
                <c:pt idx="12">
                  <c:v>3.7480000000000002</c:v>
                </c:pt>
                <c:pt idx="13">
                  <c:v>3.7496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4.2497999999999996</c:v>
                </c:pt>
                <c:pt idx="18">
                  <c:v>4.4980000000000002</c:v>
                </c:pt>
                <c:pt idx="19">
                  <c:v>4.5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6.0004</c:v>
                </c:pt>
                <c:pt idx="27">
                  <c:v>6.9999000000000002</c:v>
                </c:pt>
                <c:pt idx="28">
                  <c:v>7</c:v>
                </c:pt>
                <c:pt idx="29">
                  <c:v>7</c:v>
                </c:pt>
                <c:pt idx="30">
                  <c:v>7.0011000000000001</c:v>
                </c:pt>
                <c:pt idx="31">
                  <c:v>8</c:v>
                </c:pt>
                <c:pt idx="32">
                  <c:v>8</c:v>
                </c:pt>
                <c:pt idx="33">
                  <c:v>8.0000999999999998</c:v>
                </c:pt>
                <c:pt idx="34">
                  <c:v>8.0000999999999998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10</c:v>
                </c:pt>
                <c:pt idx="39">
                  <c:v>10</c:v>
                </c:pt>
                <c:pt idx="40">
                  <c:v>11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13</c:v>
                </c:pt>
                <c:pt idx="45">
                  <c:v>13</c:v>
                </c:pt>
                <c:pt idx="46">
                  <c:v>14</c:v>
                </c:pt>
                <c:pt idx="47">
                  <c:v>14</c:v>
                </c:pt>
                <c:pt idx="48">
                  <c:v>15</c:v>
                </c:pt>
                <c:pt idx="49">
                  <c:v>15</c:v>
                </c:pt>
                <c:pt idx="50">
                  <c:v>16</c:v>
                </c:pt>
                <c:pt idx="51">
                  <c:v>16</c:v>
                </c:pt>
                <c:pt idx="52">
                  <c:v>17</c:v>
                </c:pt>
                <c:pt idx="53">
                  <c:v>17</c:v>
                </c:pt>
                <c:pt idx="54">
                  <c:v>18</c:v>
                </c:pt>
                <c:pt idx="55">
                  <c:v>18</c:v>
                </c:pt>
                <c:pt idx="56">
                  <c:v>19</c:v>
                </c:pt>
                <c:pt idx="57">
                  <c:v>19</c:v>
                </c:pt>
                <c:pt idx="58">
                  <c:v>20</c:v>
                </c:pt>
                <c:pt idx="59">
                  <c:v>20</c:v>
                </c:pt>
                <c:pt idx="60">
                  <c:v>21</c:v>
                </c:pt>
                <c:pt idx="61">
                  <c:v>21</c:v>
                </c:pt>
                <c:pt idx="62">
                  <c:v>22</c:v>
                </c:pt>
                <c:pt idx="63">
                  <c:v>22</c:v>
                </c:pt>
                <c:pt idx="64">
                  <c:v>23</c:v>
                </c:pt>
                <c:pt idx="65">
                  <c:v>23</c:v>
                </c:pt>
              </c:numCache>
            </c:numRef>
          </c:xVal>
          <c:yVal>
            <c:numRef>
              <c:f>Experimental!$I$2:$I$67</c:f>
              <c:numCache>
                <c:formatCode>0.00E+00</c:formatCode>
                <c:ptCount val="66"/>
                <c:pt idx="0">
                  <c:v>1.0050000000000001E-7</c:v>
                </c:pt>
                <c:pt idx="1">
                  <c:v>8.0689999999999995E-7</c:v>
                </c:pt>
                <c:pt idx="2">
                  <c:v>2.734E-6</c:v>
                </c:pt>
                <c:pt idx="3">
                  <c:v>6.5369999999999901E-6</c:v>
                </c:pt>
                <c:pt idx="4">
                  <c:v>4.3239999999999996E-6</c:v>
                </c:pt>
                <c:pt idx="5">
                  <c:v>1.3019999999999901E-5</c:v>
                </c:pt>
                <c:pt idx="6">
                  <c:v>7.7309999999999993E-6</c:v>
                </c:pt>
                <c:pt idx="7">
                  <c:v>1.8E-5</c:v>
                </c:pt>
                <c:pt idx="8">
                  <c:v>2.319E-5</c:v>
                </c:pt>
                <c:pt idx="9">
                  <c:v>1.7999999999999999E-6</c:v>
                </c:pt>
                <c:pt idx="10">
                  <c:v>1.279E-5</c:v>
                </c:pt>
                <c:pt idx="11">
                  <c:v>3.8349999999999997E-5</c:v>
                </c:pt>
                <c:pt idx="12">
                  <c:v>1.6079999999999999E-5</c:v>
                </c:pt>
                <c:pt idx="13">
                  <c:v>1.6759999999999999E-5</c:v>
                </c:pt>
                <c:pt idx="14">
                  <c:v>6.0000000000000002E-5</c:v>
                </c:pt>
                <c:pt idx="15">
                  <c:v>5.9969999999999997E-5</c:v>
                </c:pt>
                <c:pt idx="16">
                  <c:v>6.0000000000000002E-5</c:v>
                </c:pt>
                <c:pt idx="17">
                  <c:v>2.5550000000000001E-5</c:v>
                </c:pt>
                <c:pt idx="18">
                  <c:v>2.9859999999999999E-5</c:v>
                </c:pt>
                <c:pt idx="19">
                  <c:v>8.9549999999999995E-5</c:v>
                </c:pt>
                <c:pt idx="20">
                  <c:v>4.4549999999999999E-5</c:v>
                </c:pt>
                <c:pt idx="21" formatCode="General">
                  <c:v>1.3799999999999999E-4</c:v>
                </c:pt>
                <c:pt idx="22" formatCode="General">
                  <c:v>1.283E-4</c:v>
                </c:pt>
                <c:pt idx="23" formatCode="General">
                  <c:v>1.3799999999999999E-4</c:v>
                </c:pt>
                <c:pt idx="24" formatCode="General">
                  <c:v>2.4600000000000002E-4</c:v>
                </c:pt>
                <c:pt idx="25" formatCode="General">
                  <c:v>2.4600000000000002E-4</c:v>
                </c:pt>
                <c:pt idx="26">
                  <c:v>8.1769999999999998E-5</c:v>
                </c:pt>
                <c:pt idx="27" formatCode="General">
                  <c:v>1.3229999999999999E-4</c:v>
                </c:pt>
                <c:pt idx="28" formatCode="General">
                  <c:v>3.9300000000000001E-4</c:v>
                </c:pt>
                <c:pt idx="29" formatCode="General">
                  <c:v>3.9300000000000001E-4</c:v>
                </c:pt>
                <c:pt idx="30" formatCode="General">
                  <c:v>1.325E-4</c:v>
                </c:pt>
                <c:pt idx="31" formatCode="General">
                  <c:v>5.7300000000000005E-4</c:v>
                </c:pt>
                <c:pt idx="32" formatCode="General">
                  <c:v>5.7300000000000005E-4</c:v>
                </c:pt>
                <c:pt idx="33" formatCode="General">
                  <c:v>1.972E-4</c:v>
                </c:pt>
                <c:pt idx="34" formatCode="General">
                  <c:v>1.952E-4</c:v>
                </c:pt>
                <c:pt idx="35" formatCode="General">
                  <c:v>1.972E-4</c:v>
                </c:pt>
                <c:pt idx="36" formatCode="General">
                  <c:v>7.8600000000000002E-4</c:v>
                </c:pt>
                <c:pt idx="37" formatCode="General">
                  <c:v>7.8600000000000002E-4</c:v>
                </c:pt>
                <c:pt idx="38" formatCode="General">
                  <c:v>1.0200000000000001E-3</c:v>
                </c:pt>
                <c:pt idx="39" formatCode="General">
                  <c:v>1.0169999999999999E-3</c:v>
                </c:pt>
                <c:pt idx="40" formatCode="General">
                  <c:v>1.2700000000000001E-3</c:v>
                </c:pt>
                <c:pt idx="41" formatCode="General">
                  <c:v>1.2689999999999999E-3</c:v>
                </c:pt>
                <c:pt idx="42" formatCode="General">
                  <c:v>1.5399999999999999E-3</c:v>
                </c:pt>
                <c:pt idx="43" formatCode="General">
                  <c:v>1.539E-3</c:v>
                </c:pt>
                <c:pt idx="44" formatCode="General">
                  <c:v>1.82E-3</c:v>
                </c:pt>
                <c:pt idx="45" formatCode="General">
                  <c:v>1.818E-3</c:v>
                </c:pt>
                <c:pt idx="46" formatCode="General">
                  <c:v>2.1099999999999999E-3</c:v>
                </c:pt>
                <c:pt idx="47" formatCode="General">
                  <c:v>2.1090000000000002E-3</c:v>
                </c:pt>
                <c:pt idx="48" formatCode="General">
                  <c:v>2.4099999999999998E-3</c:v>
                </c:pt>
                <c:pt idx="49" formatCode="General">
                  <c:v>2.4090000000000001E-3</c:v>
                </c:pt>
                <c:pt idx="50" formatCode="General">
                  <c:v>2.7000000000000001E-3</c:v>
                </c:pt>
                <c:pt idx="51" formatCode="General">
                  <c:v>2.7000000000000001E-3</c:v>
                </c:pt>
                <c:pt idx="52" formatCode="General">
                  <c:v>3.0000000000000001E-3</c:v>
                </c:pt>
                <c:pt idx="53" formatCode="General">
                  <c:v>2.9970000000000001E-3</c:v>
                </c:pt>
                <c:pt idx="54" formatCode="General">
                  <c:v>3.31E-3</c:v>
                </c:pt>
                <c:pt idx="55" formatCode="General">
                  <c:v>3.3119999999999998E-3</c:v>
                </c:pt>
                <c:pt idx="56" formatCode="General">
                  <c:v>3.65E-3</c:v>
                </c:pt>
                <c:pt idx="57" formatCode="General">
                  <c:v>3.6540000000000001E-3</c:v>
                </c:pt>
                <c:pt idx="58" formatCode="General">
                  <c:v>4.0099999999999997E-3</c:v>
                </c:pt>
                <c:pt idx="59" formatCode="General">
                  <c:v>4.0109999999999998E-3</c:v>
                </c:pt>
                <c:pt idx="60" formatCode="General">
                  <c:v>4.3899999999999998E-3</c:v>
                </c:pt>
                <c:pt idx="61" formatCode="General">
                  <c:v>4.3860000000000001E-3</c:v>
                </c:pt>
                <c:pt idx="62" formatCode="General">
                  <c:v>4.7600000000000003E-3</c:v>
                </c:pt>
                <c:pt idx="63" formatCode="General">
                  <c:v>4.764E-3</c:v>
                </c:pt>
                <c:pt idx="64" formatCode="General">
                  <c:v>5.1500000000000001E-3</c:v>
                </c:pt>
                <c:pt idx="65" formatCode="General">
                  <c:v>5.1539999999999997E-3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B-48E5-8AD8-BFAFF0EAD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  <c:max val="5.000000000000001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Sweep!$D$23:$D$122</c:f>
              <c:numCache>
                <c:formatCode>General</c:formatCode>
                <c:ptCount val="100"/>
                <c:pt idx="0">
                  <c:v>0</c:v>
                </c:pt>
                <c:pt idx="1">
                  <c:v>9.9010298853099954E-4</c:v>
                </c:pt>
                <c:pt idx="2">
                  <c:v>9.9015582434352047E-4</c:v>
                </c:pt>
                <c:pt idx="3">
                  <c:v>9.903947262316084E-4</c:v>
                </c:pt>
                <c:pt idx="4">
                  <c:v>9.9109164695042307E-4</c:v>
                </c:pt>
                <c:pt idx="5">
                  <c:v>9.9267681682431701E-4</c:v>
                </c:pt>
                <c:pt idx="6">
                  <c:v>9.9570903664760596E-4</c:v>
                </c:pt>
                <c:pt idx="7">
                  <c:v>1.0007837047116537E-3</c:v>
                </c:pt>
                <c:pt idx="8">
                  <c:v>1.0084321490483989E-3</c:v>
                </c:pt>
                <c:pt idx="9">
                  <c:v>1.019068134019808E-3</c:v>
                </c:pt>
                <c:pt idx="10">
                  <c:v>1.0329871730252662E-3</c:v>
                </c:pt>
                <c:pt idx="11">
                  <c:v>1.0503948189259035E-3</c:v>
                </c:pt>
                <c:pt idx="12">
                  <c:v>1.0714412018554397E-3</c:v>
                </c:pt>
                <c:pt idx="13">
                  <c:v>1.0962497256014122E-3</c:v>
                </c:pt>
                <c:pt idx="14">
                  <c:v>1.1249359037270117E-3</c:v>
                </c:pt>
                <c:pt idx="15">
                  <c:v>1.1576159727213196E-3</c:v>
                </c:pt>
                <c:pt idx="16">
                  <c:v>1.1944056685699316E-3</c:v>
                </c:pt>
                <c:pt idx="17">
                  <c:v>1.235408880419523E-3</c:v>
                </c:pt>
                <c:pt idx="18">
                  <c:v>1.2806946289729694E-3</c:v>
                </c:pt>
                <c:pt idx="19">
                  <c:v>1.3302593528232698E-3</c:v>
                </c:pt>
                <c:pt idx="20">
                  <c:v>1.383970120594308E-3</c:v>
                </c:pt>
                <c:pt idx="21">
                  <c:v>1.4414836293256343E-3</c:v>
                </c:pt>
                <c:pt idx="22">
                  <c:v>1.502136766204005E-3</c:v>
                </c:pt>
                <c:pt idx="23">
                  <c:v>1.5648089216794105E-3</c:v>
                </c:pt>
                <c:pt idx="24">
                  <c:v>1.6277656649455279E-3</c:v>
                </c:pt>
                <c:pt idx="25">
                  <c:v>1.4009326850267579E-3</c:v>
                </c:pt>
                <c:pt idx="26">
                  <c:v>1.3539382003174172E-3</c:v>
                </c:pt>
                <c:pt idx="27">
                  <c:v>1.3144538303390258E-3</c:v>
                </c:pt>
                <c:pt idx="28">
                  <c:v>1.2744582598959386E-3</c:v>
                </c:pt>
                <c:pt idx="29">
                  <c:v>1.2335244259748907E-3</c:v>
                </c:pt>
                <c:pt idx="30">
                  <c:v>1.1921246826606846E-3</c:v>
                </c:pt>
                <c:pt idx="31">
                  <c:v>1.1508095755752182E-3</c:v>
                </c:pt>
                <c:pt idx="32">
                  <c:v>1.1100456210484872E-3</c:v>
                </c:pt>
                <c:pt idx="33">
                  <c:v>1.0701899138913673E-3</c:v>
                </c:pt>
                <c:pt idx="34">
                  <c:v>1.0314993877811682E-3</c:v>
                </c:pt>
                <c:pt idx="35">
                  <c:v>9.9414807100459959E-4</c:v>
                </c:pt>
                <c:pt idx="36">
                  <c:v>9.5824442547958399E-4</c:v>
                </c:pt>
                <c:pt idx="37">
                  <c:v>9.2384646297360203E-4</c:v>
                </c:pt>
                <c:pt idx="38">
                  <c:v>8.9097418768426591E-4</c:v>
                </c:pt>
                <c:pt idx="39">
                  <c:v>8.5961954043492288E-4</c:v>
                </c:pt>
                <c:pt idx="40">
                  <c:v>8.2975420251366972E-4</c:v>
                </c:pt>
                <c:pt idx="41">
                  <c:v>8.0133564191432695E-4</c:v>
                </c:pt>
                <c:pt idx="42">
                  <c:v>7.743117482891306E-4</c:v>
                </c:pt>
                <c:pt idx="43">
                  <c:v>7.4862435114672013E-4</c:v>
                </c:pt>
                <c:pt idx="44">
                  <c:v>7.2421186183101204E-4</c:v>
                </c:pt>
                <c:pt idx="45">
                  <c:v>7.0101123551402893E-4</c:v>
                </c:pt>
                <c:pt idx="46">
                  <c:v>6.78959406149174E-4</c:v>
                </c:pt>
                <c:pt idx="47">
                  <c:v>6.5799431779988479E-4</c:v>
                </c:pt>
                <c:pt idx="48">
                  <c:v>6.3805564649810299E-4</c:v>
                </c:pt>
                <c:pt idx="49">
                  <c:v>6.1908528807890992E-4</c:v>
                </c:pt>
                <c:pt idx="50">
                  <c:v>6.0102766916311345E-4</c:v>
                </c:pt>
                <c:pt idx="51">
                  <c:v>5.8382992611822205E-4</c:v>
                </c:pt>
                <c:pt idx="52">
                  <c:v>5.6744198634968511E-4</c:v>
                </c:pt>
                <c:pt idx="53">
                  <c:v>5.5181657822786219E-4</c:v>
                </c:pt>
                <c:pt idx="54">
                  <c:v>5.3690919004955511E-4</c:v>
                </c:pt>
                <c:pt idx="55">
                  <c:v>5.2267799318903442E-4</c:v>
                </c:pt>
                <c:pt idx="56">
                  <c:v>5.0908374082534152E-4</c:v>
                </c:pt>
                <c:pt idx="57">
                  <c:v>4.9608965162198826E-4</c:v>
                </c:pt>
                <c:pt idx="58">
                  <c:v>4.8366128418621523E-4</c:v>
                </c:pt>
                <c:pt idx="59">
                  <c:v>4.7176640757945183E-4</c:v>
                </c:pt>
                <c:pt idx="60">
                  <c:v>4.6037487112094317E-4</c:v>
                </c:pt>
                <c:pt idx="61">
                  <c:v>4.4945847608294734E-4</c:v>
                </c:pt>
                <c:pt idx="62">
                  <c:v>4.3899085112858341E-4</c:v>
                </c:pt>
                <c:pt idx="63">
                  <c:v>4.2894733254796394E-4</c:v>
                </c:pt>
                <c:pt idx="64">
                  <c:v>4.1930484999945039E-4</c:v>
                </c:pt>
                <c:pt idx="65">
                  <c:v>4.100418184610062E-4</c:v>
                </c:pt>
                <c:pt idx="66">
                  <c:v>4.0113803621221941E-4</c:v>
                </c:pt>
                <c:pt idx="67">
                  <c:v>3.9257458918999467E-4</c:v>
                </c:pt>
                <c:pt idx="68">
                  <c:v>3.8433376141183202E-4</c:v>
                </c:pt>
                <c:pt idx="69">
                  <c:v>3.7639895155226451E-4</c:v>
                </c:pt>
                <c:pt idx="70">
                  <c:v>3.68754594963467E-4</c:v>
                </c:pt>
                <c:pt idx="71">
                  <c:v>3.6138609135670611E-4</c:v>
                </c:pt>
                <c:pt idx="72">
                  <c:v>3.542797376623375E-4</c:v>
                </c:pt>
                <c:pt idx="73">
                  <c:v>3.474226655447607E-4</c:v>
                </c:pt>
                <c:pt idx="74">
                  <c:v>3.4080278365794205E-4</c:v>
                </c:pt>
                <c:pt idx="75">
                  <c:v>3.3440872402051174E-4</c:v>
                </c:pt>
                <c:pt idx="76">
                  <c:v>3.2822979234805282E-4</c:v>
                </c:pt>
                <c:pt idx="77">
                  <c:v>3.222559222232044E-4</c:v>
                </c:pt>
                <c:pt idx="78">
                  <c:v>3.164776323012481E-4</c:v>
                </c:pt>
                <c:pt idx="79">
                  <c:v>3.1088598706430567E-4</c:v>
                </c:pt>
                <c:pt idx="80">
                  <c:v>3.0547256018802996E-4</c:v>
                </c:pt>
                <c:pt idx="81">
                  <c:v>3.0022940077261361E-4</c:v>
                </c:pt>
                <c:pt idx="82">
                  <c:v>2.9514900202047382E-4</c:v>
                </c:pt>
                <c:pt idx="83">
                  <c:v>2.9022427206876173E-4</c:v>
                </c:pt>
                <c:pt idx="84">
                  <c:v>2.8544850725171415E-4</c:v>
                </c:pt>
                <c:pt idx="85">
                  <c:v>2.8081536689573104E-4</c:v>
                </c:pt>
                <c:pt idx="86">
                  <c:v>2.7631885036063353E-4</c:v>
                </c:pt>
                <c:pt idx="87">
                  <c:v>2.7195327536575691E-4</c:v>
                </c:pt>
                <c:pt idx="88">
                  <c:v>2.6771325810290004E-4</c:v>
                </c:pt>
                <c:pt idx="89">
                  <c:v>2.6359369463196025E-4</c:v>
                </c:pt>
                <c:pt idx="90">
                  <c:v>2.5958974361151087E-4</c:v>
                </c:pt>
                <c:pt idx="91">
                  <c:v>2.5569681031223894E-4</c:v>
                </c:pt>
                <c:pt idx="92">
                  <c:v>2.5191053162642576E-4</c:v>
                </c:pt>
                <c:pt idx="93">
                  <c:v>2.4822676219029541E-4</c:v>
                </c:pt>
                <c:pt idx="94">
                  <c:v>2.446415613956835E-4</c:v>
                </c:pt>
                <c:pt idx="95">
                  <c:v>2.4115118139230634E-4</c:v>
                </c:pt>
                <c:pt idx="96">
                  <c:v>2.37752055728188E-4</c:v>
                </c:pt>
                <c:pt idx="97">
                  <c:v>2.3444078891368778E-4</c:v>
                </c:pt>
                <c:pt idx="98">
                  <c:v>2.3121414661522765E-4</c:v>
                </c:pt>
                <c:pt idx="99">
                  <c:v>2.2806904644446491E-4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ser>
          <c:idx val="1"/>
          <c:order val="1"/>
          <c:tx>
            <c:v>Experimental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Experimental!$R$2:$R$35</c:f>
              <c:numCache>
                <c:formatCode>General</c:formatCode>
                <c:ptCount val="3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4.2</c:v>
                </c:pt>
                <c:pt idx="5">
                  <c:v>4.7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12</c:v>
                </c:pt>
                <c:pt idx="17">
                  <c:v>12</c:v>
                </c:pt>
                <c:pt idx="18">
                  <c:v>13</c:v>
                </c:pt>
                <c:pt idx="19">
                  <c:v>13.5</c:v>
                </c:pt>
                <c:pt idx="20">
                  <c:v>14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16</c:v>
                </c:pt>
                <c:pt idx="25">
                  <c:v>17</c:v>
                </c:pt>
                <c:pt idx="26">
                  <c:v>18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</c:numCache>
            </c:numRef>
          </c:xVal>
          <c:yVal>
            <c:numRef>
              <c:f>Experimental!$S$2:$S$35</c:f>
              <c:numCache>
                <c:formatCode>General</c:formatCode>
                <c:ptCount val="34"/>
                <c:pt idx="0">
                  <c:v>8.8500000000000004E-4</c:v>
                </c:pt>
                <c:pt idx="1">
                  <c:v>8.8599999999999996E-4</c:v>
                </c:pt>
                <c:pt idx="2">
                  <c:v>8.9999999999999998E-4</c:v>
                </c:pt>
                <c:pt idx="3">
                  <c:v>8.8800000000000001E-4</c:v>
                </c:pt>
                <c:pt idx="4">
                  <c:v>9.1100000000000003E-4</c:v>
                </c:pt>
                <c:pt idx="5">
                  <c:v>8.8999999999999995E-4</c:v>
                </c:pt>
                <c:pt idx="6">
                  <c:v>8.9099999999999997E-4</c:v>
                </c:pt>
                <c:pt idx="7">
                  <c:v>9.1E-4</c:v>
                </c:pt>
                <c:pt idx="8">
                  <c:v>8.9599999999999999E-4</c:v>
                </c:pt>
                <c:pt idx="9">
                  <c:v>9.0300000000000005E-4</c:v>
                </c:pt>
                <c:pt idx="10">
                  <c:v>9.2000000000000003E-4</c:v>
                </c:pt>
                <c:pt idx="11">
                  <c:v>9.1299999999999997E-4</c:v>
                </c:pt>
                <c:pt idx="12">
                  <c:v>9.2599999999999996E-4</c:v>
                </c:pt>
                <c:pt idx="13">
                  <c:v>9.3999999999999997E-4</c:v>
                </c:pt>
                <c:pt idx="14">
                  <c:v>9.4200000000000002E-4</c:v>
                </c:pt>
                <c:pt idx="15">
                  <c:v>9.6199999999999996E-4</c:v>
                </c:pt>
                <c:pt idx="16">
                  <c:v>9.6000000000000002E-4</c:v>
                </c:pt>
                <c:pt idx="17">
                  <c:v>9.8700000000000003E-4</c:v>
                </c:pt>
                <c:pt idx="18">
                  <c:v>1.0200000000000001E-3</c:v>
                </c:pt>
                <c:pt idx="19">
                  <c:v>9.7400000000000004E-4</c:v>
                </c:pt>
                <c:pt idx="20">
                  <c:v>1E-3</c:v>
                </c:pt>
                <c:pt idx="21">
                  <c:v>1.0499999999999999E-3</c:v>
                </c:pt>
                <c:pt idx="22">
                  <c:v>1.1000000000000001E-3</c:v>
                </c:pt>
                <c:pt idx="23">
                  <c:v>1.07E-3</c:v>
                </c:pt>
                <c:pt idx="24">
                  <c:v>1.15E-3</c:v>
                </c:pt>
                <c:pt idx="25">
                  <c:v>1.1999999999999999E-3</c:v>
                </c:pt>
                <c:pt idx="26">
                  <c:v>1.24E-3</c:v>
                </c:pt>
                <c:pt idx="27">
                  <c:v>1.2600000000000001E-3</c:v>
                </c:pt>
                <c:pt idx="28">
                  <c:v>1.32E-3</c:v>
                </c:pt>
                <c:pt idx="29">
                  <c:v>1.39E-3</c:v>
                </c:pt>
                <c:pt idx="30">
                  <c:v>1.4599999999999999E-3</c:v>
                </c:pt>
                <c:pt idx="31">
                  <c:v>1.5399999999999999E-3</c:v>
                </c:pt>
                <c:pt idx="32">
                  <c:v>1.6199999999999999E-3</c:v>
                </c:pt>
                <c:pt idx="33">
                  <c:v>1.7099999999999999E-3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BA-424F-BEDC-CFB98448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Model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Sweep!$A$23:$A$122</c:f>
              <c:numCache>
                <c:formatCode>General</c:formatCode>
                <c:ptCount val="1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</c:numCache>
            </c:numRef>
          </c:xVal>
          <c:yVal>
            <c:numRef>
              <c:f>Sweep!$E$23:$E$122</c:f>
              <c:numCache>
                <c:formatCode>General</c:formatCode>
                <c:ptCount val="100"/>
                <c:pt idx="0">
                  <c:v>0</c:v>
                </c:pt>
                <c:pt idx="1">
                  <c:v>9.9010035357783243E-4</c:v>
                </c:pt>
                <c:pt idx="2">
                  <c:v>9.901182203465456E-4</c:v>
                </c:pt>
                <c:pt idx="3">
                  <c:v>9.9019870021457433E-4</c:v>
                </c:pt>
                <c:pt idx="4">
                  <c:v>9.9043147551908803E-4</c:v>
                </c:pt>
                <c:pt idx="5">
                  <c:v>9.9095713194666214E-4</c:v>
                </c:pt>
                <c:pt idx="6">
                  <c:v>9.9196416412034439E-4</c:v>
                </c:pt>
                <c:pt idx="7">
                  <c:v>9.9367178380391046E-4</c:v>
                </c:pt>
                <c:pt idx="8">
                  <c:v>9.9630370436444701E-4</c:v>
                </c:pt>
                <c:pt idx="9">
                  <c:v>1.0000647172027839E-3</c:v>
                </c:pt>
                <c:pt idx="10">
                  <c:v>1.0051274026318495E-3</c:v>
                </c:pt>
                <c:pt idx="11">
                  <c:v>1.0116289109663773E-3</c:v>
                </c:pt>
                <c:pt idx="12">
                  <c:v>1.0196740588284301E-3</c:v>
                </c:pt>
                <c:pt idx="13">
                  <c:v>1.029340841220973E-3</c:v>
                </c:pt>
                <c:pt idx="14">
                  <c:v>1.0406856630174846E-3</c:v>
                </c:pt>
                <c:pt idx="15">
                  <c:v>1.0537467573276775E-3</c:v>
                </c:pt>
                <c:pt idx="16">
                  <c:v>1.0685449643417174E-3</c:v>
                </c:pt>
                <c:pt idx="17">
                  <c:v>1.0850813252222572E-3</c:v>
                </c:pt>
                <c:pt idx="18">
                  <c:v>1.1033309436798357E-3</c:v>
                </c:pt>
                <c:pt idx="19">
                  <c:v>1.1232324164716855E-3</c:v>
                </c:pt>
                <c:pt idx="20">
                  <c:v>1.1446719519339972E-3</c:v>
                </c:pt>
                <c:pt idx="21">
                  <c:v>1.167461220935098E-3</c:v>
                </c:pt>
                <c:pt idx="22">
                  <c:v>1.1913082118113099E-3</c:v>
                </c:pt>
                <c:pt idx="23">
                  <c:v>1.2157810949375697E-3</c:v>
                </c:pt>
                <c:pt idx="24">
                  <c:v>1.2402657730090525E-3</c:v>
                </c:pt>
                <c:pt idx="25">
                  <c:v>1.0801483905715373E-3</c:v>
                </c:pt>
                <c:pt idx="26">
                  <c:v>1.0373294655700751E-3</c:v>
                </c:pt>
                <c:pt idx="27">
                  <c:v>1.0005266995960678E-3</c:v>
                </c:pt>
                <c:pt idx="28">
                  <c:v>9.6449922906670078E-4</c:v>
                </c:pt>
                <c:pt idx="29">
                  <c:v>9.2889015374242496E-4</c:v>
                </c:pt>
                <c:pt idx="30">
                  <c:v>8.9391185166243301E-4</c:v>
                </c:pt>
                <c:pt idx="31">
                  <c:v>8.5982472632082903E-4</c:v>
                </c:pt>
                <c:pt idx="32">
                  <c:v>8.2683822345740881E-4</c:v>
                </c:pt>
                <c:pt idx="33">
                  <c:v>7.9509755297224192E-4</c:v>
                </c:pt>
                <c:pt idx="34">
                  <c:v>7.6469108001190581E-4</c:v>
                </c:pt>
                <c:pt idx="35">
                  <c:v>7.356618506325159E-4</c:v>
                </c:pt>
                <c:pt idx="36">
                  <c:v>7.0801858022765817E-4</c:v>
                </c:pt>
                <c:pt idx="37">
                  <c:v>6.8174488842732799E-4</c:v>
                </c:pt>
                <c:pt idx="38">
                  <c:v>6.5680665682409599E-4</c:v>
                </c:pt>
                <c:pt idx="39">
                  <c:v>6.3315772307936567E-4</c:v>
                </c:pt>
                <c:pt idx="40">
                  <c:v>6.1074420279928646E-4</c:v>
                </c:pt>
                <c:pt idx="41">
                  <c:v>5.8950771882132968E-4</c:v>
                </c:pt>
                <c:pt idx="42">
                  <c:v>5.6938777814994181E-4</c:v>
                </c:pt>
                <c:pt idx="43">
                  <c:v>5.5032349286997478E-4</c:v>
                </c:pt>
                <c:pt idx="44">
                  <c:v>5.3225480123271203E-4</c:v>
                </c:pt>
                <c:pt idx="45">
                  <c:v>5.1512331119495612E-4</c:v>
                </c:pt>
                <c:pt idx="46">
                  <c:v>4.9887286110865024E-4</c:v>
                </c:pt>
                <c:pt idx="47">
                  <c:v>4.8344987034549522E-4</c:v>
                </c:pt>
                <c:pt idx="48">
                  <c:v>4.6880353544598188E-4</c:v>
                </c:pt>
                <c:pt idx="49">
                  <c:v>4.5488591403481727E-4</c:v>
                </c:pt>
                <c:pt idx="50">
                  <c:v>4.4165192843566509E-4</c:v>
                </c:pt>
                <c:pt idx="51">
                  <c:v>4.2905931300556545E-4</c:v>
                </c:pt>
                <c:pt idx="52">
                  <c:v>4.1706852315519645E-4</c:v>
                </c:pt>
                <c:pt idx="53">
                  <c:v>4.0564261940639657E-4</c:v>
                </c:pt>
                <c:pt idx="54">
                  <c:v>3.9474713633226279E-4</c:v>
                </c:pt>
                <c:pt idx="55">
                  <c:v>3.8434994356826104E-4</c:v>
                </c:pt>
                <c:pt idx="56">
                  <c:v>3.7442110407759013E-4</c:v>
                </c:pt>
                <c:pt idx="57">
                  <c:v>3.6493273334706417E-4</c:v>
                </c:pt>
                <c:pt idx="58">
                  <c:v>3.5585886205850918E-4</c:v>
                </c:pt>
                <c:pt idx="59">
                  <c:v>3.4717530394108066E-4</c:v>
                </c:pt>
                <c:pt idx="60">
                  <c:v>3.3885952988637995E-4</c:v>
                </c:pt>
                <c:pt idx="61">
                  <c:v>3.3089054895186289E-4</c:v>
                </c:pt>
                <c:pt idx="62">
                  <c:v>3.2324879654624763E-4</c:v>
                </c:pt>
                <c:pt idx="63">
                  <c:v>3.1591602985289041E-4</c:v>
                </c:pt>
                <c:pt idx="64">
                  <c:v>3.0887523038044195E-4</c:v>
                </c:pt>
                <c:pt idx="65">
                  <c:v>3.0211051341654085E-4</c:v>
                </c:pt>
                <c:pt idx="66">
                  <c:v>2.9560704408478425E-4</c:v>
                </c:pt>
                <c:pt idx="67">
                  <c:v>2.8935095966045002E-4</c:v>
                </c:pt>
                <c:pt idx="68">
                  <c:v>2.8332929777514929E-4</c:v>
                </c:pt>
                <c:pt idx="69">
                  <c:v>2.7752993013178495E-4</c:v>
                </c:pt>
                <c:pt idx="70">
                  <c:v>2.7194150135208809E-4</c:v>
                </c:pt>
                <c:pt idx="71">
                  <c:v>2.66553372588882E-4</c:v>
                </c:pt>
                <c:pt idx="72">
                  <c:v>2.6135556954871793E-4</c:v>
                </c:pt>
                <c:pt idx="73">
                  <c:v>2.5633873458787815E-4</c:v>
                </c:pt>
                <c:pt idx="74">
                  <c:v>2.514940825643732E-4</c:v>
                </c:pt>
                <c:pt idx="75">
                  <c:v>2.4681336014809865E-4</c:v>
                </c:pt>
                <c:pt idx="76">
                  <c:v>2.4228880831192207E-4</c:v>
                </c:pt>
                <c:pt idx="77">
                  <c:v>2.3791312774643067E-4</c:v>
                </c:pt>
                <c:pt idx="78">
                  <c:v>2.3367944695993397E-4</c:v>
                </c:pt>
                <c:pt idx="79">
                  <c:v>2.295812928446062E-4</c:v>
                </c:pt>
                <c:pt idx="80">
                  <c:v>2.2561256350616719E-4</c:v>
                </c:pt>
                <c:pt idx="81">
                  <c:v>2.2176750317161746E-4</c:v>
                </c:pt>
                <c:pt idx="82">
                  <c:v>2.1804067900439147E-4</c:v>
                </c:pt>
                <c:pt idx="83">
                  <c:v>2.1442695967056899E-4</c:v>
                </c:pt>
                <c:pt idx="84">
                  <c:v>2.1092149551317824E-4</c:v>
                </c:pt>
                <c:pt idx="85">
                  <c:v>2.0751970020311405E-4</c:v>
                </c:pt>
                <c:pt idx="86">
                  <c:v>2.0421723374711967E-4</c:v>
                </c:pt>
                <c:pt idx="87">
                  <c:v>2.0100998674264602E-4</c:v>
                </c:pt>
                <c:pt idx="88">
                  <c:v>1.9789406577948049E-4</c:v>
                </c:pt>
                <c:pt idx="89">
                  <c:v>1.9486577989608501E-4</c:v>
                </c:pt>
                <c:pt idx="90">
                  <c:v>1.9192162800667792E-4</c:v>
                </c:pt>
                <c:pt idx="91">
                  <c:v>1.8905828722218807E-4</c:v>
                </c:pt>
                <c:pt idx="92">
                  <c:v>1.8627260199461152E-4</c:v>
                </c:pt>
                <c:pt idx="93">
                  <c:v>1.8356157402044744E-4</c:v>
                </c:pt>
                <c:pt idx="94">
                  <c:v>1.8092235284415255E-4</c:v>
                </c:pt>
                <c:pt idx="95">
                  <c:v>1.7835222710764901E-4</c:v>
                </c:pt>
                <c:pt idx="96">
                  <c:v>1.7584861639625374E-4</c:v>
                </c:pt>
                <c:pt idx="97">
                  <c:v>1.7340906363575717E-4</c:v>
                </c:pt>
                <c:pt idx="98">
                  <c:v>1.71031227998922E-4</c:v>
                </c:pt>
                <c:pt idx="99">
                  <c:v>1.6871287828319311E-4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ser>
          <c:idx val="1"/>
          <c:order val="1"/>
          <c:tx>
            <c:v>Experimental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Experimental!$W$2:$W$40</c:f>
              <c:numCache>
                <c:formatCode>General</c:formatCode>
                <c:ptCount val="39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11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17</c:v>
                </c:pt>
                <c:pt idx="29">
                  <c:v>18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22</c:v>
                </c:pt>
                <c:pt idx="34">
                  <c:v>23</c:v>
                </c:pt>
                <c:pt idx="35">
                  <c:v>23.7</c:v>
                </c:pt>
                <c:pt idx="36">
                  <c:v>24.3</c:v>
                </c:pt>
                <c:pt idx="37">
                  <c:v>24.3</c:v>
                </c:pt>
                <c:pt idx="38">
                  <c:v>24.3</c:v>
                </c:pt>
              </c:numCache>
            </c:numRef>
          </c:xVal>
          <c:yVal>
            <c:numRef>
              <c:f>Experimental!$X$2:$X$40</c:f>
              <c:numCache>
                <c:formatCode>General</c:formatCode>
                <c:ptCount val="39"/>
                <c:pt idx="0">
                  <c:v>8.8500000000000004E-4</c:v>
                </c:pt>
                <c:pt idx="1">
                  <c:v>8.8500000000000004E-4</c:v>
                </c:pt>
                <c:pt idx="2">
                  <c:v>8.8500000000000004E-4</c:v>
                </c:pt>
                <c:pt idx="3">
                  <c:v>8.8500000000000004E-4</c:v>
                </c:pt>
                <c:pt idx="4">
                  <c:v>8.8500000000000004E-4</c:v>
                </c:pt>
                <c:pt idx="5">
                  <c:v>8.8599999999999996E-4</c:v>
                </c:pt>
                <c:pt idx="6">
                  <c:v>8.8699999999999998E-4</c:v>
                </c:pt>
                <c:pt idx="7">
                  <c:v>8.8699999999999998E-4</c:v>
                </c:pt>
                <c:pt idx="8">
                  <c:v>8.8800000000000001E-4</c:v>
                </c:pt>
                <c:pt idx="9">
                  <c:v>8.8900000000000003E-4</c:v>
                </c:pt>
                <c:pt idx="10">
                  <c:v>8.8999999999999995E-4</c:v>
                </c:pt>
                <c:pt idx="11">
                  <c:v>8.9800000000000004E-4</c:v>
                </c:pt>
                <c:pt idx="12">
                  <c:v>8.8999999999999995E-4</c:v>
                </c:pt>
                <c:pt idx="13">
                  <c:v>8.9099999999999997E-4</c:v>
                </c:pt>
                <c:pt idx="14">
                  <c:v>8.9300000000000002E-4</c:v>
                </c:pt>
                <c:pt idx="15">
                  <c:v>8.9400000000000005E-4</c:v>
                </c:pt>
                <c:pt idx="16">
                  <c:v>8.9800000000000004E-4</c:v>
                </c:pt>
                <c:pt idx="17">
                  <c:v>8.9999999999999998E-4</c:v>
                </c:pt>
                <c:pt idx="18">
                  <c:v>9.0300000000000005E-4</c:v>
                </c:pt>
                <c:pt idx="19">
                  <c:v>9.0700000000000004E-4</c:v>
                </c:pt>
                <c:pt idx="20">
                  <c:v>9.1200000000000005E-4</c:v>
                </c:pt>
                <c:pt idx="21">
                  <c:v>9.1699999999999995E-4</c:v>
                </c:pt>
                <c:pt idx="22">
                  <c:v>9.2800000000000001E-4</c:v>
                </c:pt>
                <c:pt idx="23">
                  <c:v>9.4200000000000002E-4</c:v>
                </c:pt>
                <c:pt idx="24">
                  <c:v>9.59E-4</c:v>
                </c:pt>
                <c:pt idx="25">
                  <c:v>9.7999999999999997E-4</c:v>
                </c:pt>
                <c:pt idx="26">
                  <c:v>1E-3</c:v>
                </c:pt>
                <c:pt idx="27">
                  <c:v>1.0300000000000001E-3</c:v>
                </c:pt>
                <c:pt idx="28">
                  <c:v>1.06E-3</c:v>
                </c:pt>
                <c:pt idx="29">
                  <c:v>1.09E-3</c:v>
                </c:pt>
                <c:pt idx="30">
                  <c:v>1.1299999999999999E-3</c:v>
                </c:pt>
                <c:pt idx="31">
                  <c:v>1.16E-3</c:v>
                </c:pt>
                <c:pt idx="32">
                  <c:v>1.1999999999999999E-3</c:v>
                </c:pt>
                <c:pt idx="33">
                  <c:v>1.24E-3</c:v>
                </c:pt>
                <c:pt idx="34">
                  <c:v>1.2800000000000001E-3</c:v>
                </c:pt>
                <c:pt idx="35">
                  <c:v>1.1199999999999999E-3</c:v>
                </c:pt>
                <c:pt idx="36">
                  <c:v>1.14E-3</c:v>
                </c:pt>
                <c:pt idx="37">
                  <c:v>1.14E-3</c:v>
                </c:pt>
                <c:pt idx="38">
                  <c:v>1.1299999999999999E-3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9A-424C-ABFF-CBE37AE23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  <c:max val="1.8000000000000004E-3"/>
          <c:min val="8.000000000000002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Sweep!$A$24:$A$122</c:f>
              <c:numCache>
                <c:formatCode>General</c:formatCode>
                <c:ptCount val="99"/>
                <c:pt idx="0">
                  <c:v>1.1000000000000001</c:v>
                </c:pt>
                <c:pt idx="1">
                  <c:v>2.1</c:v>
                </c:pt>
                <c:pt idx="2">
                  <c:v>3.1</c:v>
                </c:pt>
                <c:pt idx="3">
                  <c:v>4.0999999999999996</c:v>
                </c:pt>
                <c:pt idx="4">
                  <c:v>5.0999999999999996</c:v>
                </c:pt>
                <c:pt idx="5">
                  <c:v>6.1</c:v>
                </c:pt>
                <c:pt idx="6">
                  <c:v>7.1</c:v>
                </c:pt>
                <c:pt idx="7">
                  <c:v>8.1</c:v>
                </c:pt>
                <c:pt idx="8">
                  <c:v>9.1</c:v>
                </c:pt>
                <c:pt idx="9">
                  <c:v>10.1</c:v>
                </c:pt>
                <c:pt idx="10">
                  <c:v>11.1</c:v>
                </c:pt>
                <c:pt idx="11">
                  <c:v>12.1</c:v>
                </c:pt>
                <c:pt idx="12">
                  <c:v>13.1</c:v>
                </c:pt>
                <c:pt idx="13">
                  <c:v>14.1</c:v>
                </c:pt>
                <c:pt idx="14">
                  <c:v>15.1</c:v>
                </c:pt>
                <c:pt idx="15">
                  <c:v>16.100000000000001</c:v>
                </c:pt>
                <c:pt idx="16">
                  <c:v>17.100000000000001</c:v>
                </c:pt>
                <c:pt idx="17">
                  <c:v>18.100000000000001</c:v>
                </c:pt>
                <c:pt idx="18">
                  <c:v>19.100000000000001</c:v>
                </c:pt>
                <c:pt idx="19">
                  <c:v>20.100000000000001</c:v>
                </c:pt>
                <c:pt idx="20">
                  <c:v>21.1</c:v>
                </c:pt>
                <c:pt idx="21">
                  <c:v>22.1</c:v>
                </c:pt>
                <c:pt idx="22">
                  <c:v>23.1</c:v>
                </c:pt>
                <c:pt idx="23">
                  <c:v>24.1</c:v>
                </c:pt>
                <c:pt idx="24">
                  <c:v>25.1</c:v>
                </c:pt>
                <c:pt idx="25">
                  <c:v>26.1</c:v>
                </c:pt>
                <c:pt idx="26">
                  <c:v>27.1</c:v>
                </c:pt>
                <c:pt idx="27">
                  <c:v>28.1</c:v>
                </c:pt>
                <c:pt idx="28">
                  <c:v>29.1</c:v>
                </c:pt>
                <c:pt idx="29">
                  <c:v>30.1</c:v>
                </c:pt>
                <c:pt idx="30">
                  <c:v>31.1</c:v>
                </c:pt>
                <c:pt idx="31">
                  <c:v>32.1</c:v>
                </c:pt>
                <c:pt idx="32">
                  <c:v>33.1</c:v>
                </c:pt>
                <c:pt idx="33">
                  <c:v>34.1</c:v>
                </c:pt>
                <c:pt idx="34">
                  <c:v>35.1</c:v>
                </c:pt>
                <c:pt idx="35">
                  <c:v>36.1</c:v>
                </c:pt>
                <c:pt idx="36">
                  <c:v>37.1</c:v>
                </c:pt>
                <c:pt idx="37">
                  <c:v>38.1</c:v>
                </c:pt>
                <c:pt idx="38">
                  <c:v>39.1</c:v>
                </c:pt>
                <c:pt idx="39">
                  <c:v>40.1</c:v>
                </c:pt>
                <c:pt idx="40">
                  <c:v>41.1</c:v>
                </c:pt>
                <c:pt idx="41">
                  <c:v>42.1</c:v>
                </c:pt>
                <c:pt idx="42">
                  <c:v>43.1</c:v>
                </c:pt>
                <c:pt idx="43">
                  <c:v>44.1</c:v>
                </c:pt>
                <c:pt idx="44">
                  <c:v>45.1</c:v>
                </c:pt>
                <c:pt idx="45">
                  <c:v>46.1</c:v>
                </c:pt>
                <c:pt idx="46">
                  <c:v>47.1</c:v>
                </c:pt>
                <c:pt idx="47">
                  <c:v>48.1</c:v>
                </c:pt>
                <c:pt idx="48">
                  <c:v>49.1</c:v>
                </c:pt>
                <c:pt idx="49">
                  <c:v>50.1</c:v>
                </c:pt>
                <c:pt idx="50">
                  <c:v>51.1</c:v>
                </c:pt>
                <c:pt idx="51">
                  <c:v>52.1</c:v>
                </c:pt>
                <c:pt idx="52">
                  <c:v>53.1</c:v>
                </c:pt>
                <c:pt idx="53">
                  <c:v>54.1</c:v>
                </c:pt>
                <c:pt idx="54">
                  <c:v>55.1</c:v>
                </c:pt>
                <c:pt idx="55">
                  <c:v>56.1</c:v>
                </c:pt>
                <c:pt idx="56">
                  <c:v>57.1</c:v>
                </c:pt>
                <c:pt idx="57">
                  <c:v>58.1</c:v>
                </c:pt>
                <c:pt idx="58">
                  <c:v>59.1</c:v>
                </c:pt>
                <c:pt idx="59">
                  <c:v>60.1</c:v>
                </c:pt>
                <c:pt idx="60">
                  <c:v>61.1</c:v>
                </c:pt>
                <c:pt idx="61">
                  <c:v>62.1</c:v>
                </c:pt>
                <c:pt idx="62">
                  <c:v>63.1</c:v>
                </c:pt>
                <c:pt idx="63">
                  <c:v>64.099999999999994</c:v>
                </c:pt>
                <c:pt idx="64">
                  <c:v>65.099999999999994</c:v>
                </c:pt>
                <c:pt idx="65">
                  <c:v>66.099999999999994</c:v>
                </c:pt>
                <c:pt idx="66">
                  <c:v>67.099999999999994</c:v>
                </c:pt>
                <c:pt idx="67">
                  <c:v>68.099999999999994</c:v>
                </c:pt>
                <c:pt idx="68">
                  <c:v>69.099999999999994</c:v>
                </c:pt>
                <c:pt idx="69">
                  <c:v>70.099999999999994</c:v>
                </c:pt>
                <c:pt idx="70">
                  <c:v>71.099999999999994</c:v>
                </c:pt>
                <c:pt idx="71">
                  <c:v>72.099999999999994</c:v>
                </c:pt>
                <c:pt idx="72">
                  <c:v>73.099999999999994</c:v>
                </c:pt>
                <c:pt idx="73">
                  <c:v>74.099999999999994</c:v>
                </c:pt>
                <c:pt idx="74">
                  <c:v>75.099999999999994</c:v>
                </c:pt>
                <c:pt idx="75">
                  <c:v>76.099999999999994</c:v>
                </c:pt>
                <c:pt idx="76">
                  <c:v>77.099999999999994</c:v>
                </c:pt>
                <c:pt idx="77">
                  <c:v>78.099999999999994</c:v>
                </c:pt>
                <c:pt idx="78">
                  <c:v>79.099999999999994</c:v>
                </c:pt>
                <c:pt idx="79">
                  <c:v>80.099999999999994</c:v>
                </c:pt>
                <c:pt idx="80">
                  <c:v>81.099999999999994</c:v>
                </c:pt>
                <c:pt idx="81">
                  <c:v>82.1</c:v>
                </c:pt>
                <c:pt idx="82">
                  <c:v>83.1</c:v>
                </c:pt>
                <c:pt idx="83">
                  <c:v>84.1</c:v>
                </c:pt>
                <c:pt idx="84">
                  <c:v>85.1</c:v>
                </c:pt>
                <c:pt idx="85">
                  <c:v>86.1</c:v>
                </c:pt>
                <c:pt idx="86">
                  <c:v>87.1</c:v>
                </c:pt>
                <c:pt idx="87">
                  <c:v>88.1</c:v>
                </c:pt>
                <c:pt idx="88">
                  <c:v>89.1</c:v>
                </c:pt>
                <c:pt idx="89">
                  <c:v>90.1</c:v>
                </c:pt>
                <c:pt idx="90">
                  <c:v>91.1</c:v>
                </c:pt>
                <c:pt idx="91">
                  <c:v>92.1</c:v>
                </c:pt>
                <c:pt idx="92">
                  <c:v>93.1</c:v>
                </c:pt>
                <c:pt idx="93">
                  <c:v>94.1</c:v>
                </c:pt>
                <c:pt idx="94">
                  <c:v>95.1</c:v>
                </c:pt>
                <c:pt idx="95">
                  <c:v>96.1</c:v>
                </c:pt>
                <c:pt idx="96">
                  <c:v>97.1</c:v>
                </c:pt>
                <c:pt idx="97">
                  <c:v>98.1</c:v>
                </c:pt>
                <c:pt idx="98">
                  <c:v>99.1</c:v>
                </c:pt>
              </c:numCache>
            </c:numRef>
          </c:xVal>
          <c:yVal>
            <c:numRef>
              <c:f>Sweep!$P$24:$P$122</c:f>
              <c:numCache>
                <c:formatCode>General</c:formatCode>
                <c:ptCount val="99"/>
                <c:pt idx="0">
                  <c:v>-523.11882203426524</c:v>
                </c:pt>
                <c:pt idx="1">
                  <c:v>-523.0975793314484</c:v>
                </c:pt>
                <c:pt idx="2">
                  <c:v>-523.00502095056027</c:v>
                </c:pt>
                <c:pt idx="3">
                  <c:v>-522.74616703393542</c:v>
                </c:pt>
                <c:pt idx="4">
                  <c:v>-522.17993222502105</c:v>
                </c:pt>
                <c:pt idx="5">
                  <c:v>-521.12610230898269</c:v>
                </c:pt>
                <c:pt idx="6">
                  <c:v>-519.38377751814971</c:v>
                </c:pt>
                <c:pt idx="7">
                  <c:v>-516.75614622344006</c:v>
                </c:pt>
                <c:pt idx="8">
                  <c:v>-513.07141956402768</c:v>
                </c:pt>
                <c:pt idx="9">
                  <c:v>-508.19400771385943</c:v>
                </c:pt>
                <c:pt idx="10">
                  <c:v>-502.02643980735257</c:v>
                </c:pt>
                <c:pt idx="11">
                  <c:v>-494.50543274567661</c:v>
                </c:pt>
                <c:pt idx="12">
                  <c:v>-485.59540745409913</c:v>
                </c:pt>
                <c:pt idx="13">
                  <c:v>-475.28161506290616</c:v>
                </c:pt>
                <c:pt idx="14">
                  <c:v>-463.56397853200764</c:v>
                </c:pt>
                <c:pt idx="15">
                  <c:v>-450.4520710523766</c:v>
                </c:pt>
                <c:pt idx="16">
                  <c:v>-435.96129416472411</c:v>
                </c:pt>
                <c:pt idx="17">
                  <c:v>-420.1101689375721</c:v>
                </c:pt>
                <c:pt idx="18">
                  <c:v>-402.91861580108281</c:v>
                </c:pt>
                <c:pt idx="19">
                  <c:v>-384.40710591562038</c:v>
                </c:pt>
                <c:pt idx="20">
                  <c:v>-364.59656579635322</c:v>
                </c:pt>
                <c:pt idx="21">
                  <c:v>-343.50883218060324</c:v>
                </c:pt>
                <c:pt idx="22">
                  <c:v>-321.16708699752087</c:v>
                </c:pt>
                <c:pt idx="23">
                  <c:v>-297.59406509469886</c:v>
                </c:pt>
                <c:pt idx="24">
                  <c:v>-105.4955274988406</c:v>
                </c:pt>
                <c:pt idx="25">
                  <c:v>-12.88016500631295</c:v>
                </c:pt>
                <c:pt idx="26">
                  <c:v>77.130257232898657</c:v>
                </c:pt>
                <c:pt idx="27">
                  <c:v>170.16280888272149</c:v>
                </c:pt>
                <c:pt idx="28">
                  <c:v>266.84368984852426</c:v>
                </c:pt>
                <c:pt idx="29">
                  <c:v>367.10606197221796</c:v>
                </c:pt>
                <c:pt idx="30">
                  <c:v>470.73948399033998</c:v>
                </c:pt>
                <c:pt idx="31">
                  <c:v>577.5129332240665</c:v>
                </c:pt>
                <c:pt idx="32">
                  <c:v>687.20762941786802</c:v>
                </c:pt>
                <c:pt idx="33">
                  <c:v>799.62517539678583</c:v>
                </c:pt>
                <c:pt idx="34">
                  <c:v>914.58812367894689</c:v>
                </c:pt>
                <c:pt idx="35">
                  <c:v>1031.9382295496162</c:v>
                </c:pt>
                <c:pt idx="36">
                  <c:v>1151.5341552225591</c:v>
                </c:pt>
                <c:pt idx="37">
                  <c:v>1273.2492282620008</c:v>
                </c:pt>
                <c:pt idx="38">
                  <c:v>1396.9694429880931</c:v>
                </c:pt>
                <c:pt idx="39">
                  <c:v>1522.5917415256797</c:v>
                </c:pt>
                <c:pt idx="40">
                  <c:v>1650.0225570687937</c:v>
                </c:pt>
                <c:pt idx="41">
                  <c:v>1779.1765855945521</c:v>
                </c:pt>
                <c:pt idx="42">
                  <c:v>1909.9757503753365</c:v>
                </c:pt>
                <c:pt idx="43">
                  <c:v>2042.348326924279</c:v>
                </c:pt>
                <c:pt idx="44">
                  <c:v>2176.2282007169624</c:v>
                </c:pt>
                <c:pt idx="45">
                  <c:v>2311.5542347089449</c:v>
                </c:pt>
                <c:pt idx="46">
                  <c:v>2448.2697278078103</c:v>
                </c:pt>
                <c:pt idx="47">
                  <c:v>2586.3219489356652</c:v>
                </c:pt>
                <c:pt idx="48">
                  <c:v>2725.6617341702795</c:v>
                </c:pt>
                <c:pt idx="49">
                  <c:v>2866.243136763147</c:v>
                </c:pt>
                <c:pt idx="50">
                  <c:v>3008.0231216938701</c:v>
                </c:pt>
                <c:pt idx="51">
                  <c:v>3150.9612979169506</c:v>
                </c:pt>
                <c:pt idx="52">
                  <c:v>3295.0196826619303</c:v>
                </c:pt>
                <c:pt idx="53">
                  <c:v>3440.162493119773</c:v>
                </c:pt>
                <c:pt idx="54">
                  <c:v>3586.3559616349339</c:v>
                </c:pt>
                <c:pt idx="55">
                  <c:v>3733.5681711616462</c:v>
                </c:pt>
                <c:pt idx="56">
                  <c:v>3881.7689082641236</c:v>
                </c:pt>
                <c:pt idx="57">
                  <c:v>4030.9295313674611</c:v>
                </c:pt>
                <c:pt idx="58">
                  <c:v>4181.0228523173619</c:v>
                </c:pt>
                <c:pt idx="59">
                  <c:v>4332.0230295972788</c:v>
                </c:pt>
                <c:pt idx="60">
                  <c:v>4483.9054717926547</c:v>
                </c:pt>
                <c:pt idx="61">
                  <c:v>4636.6467500930166</c:v>
                </c:pt>
                <c:pt idx="62">
                  <c:v>4790.2245187910112</c:v>
                </c:pt>
                <c:pt idx="63">
                  <c:v>4944.6174428790646</c:v>
                </c:pt>
                <c:pt idx="64">
                  <c:v>5099.8051319638853</c:v>
                </c:pt>
                <c:pt idx="65">
                  <c:v>5255.768079820321</c:v>
                </c:pt>
                <c:pt idx="66">
                  <c:v>5412.4876089923446</c:v>
                </c:pt>
                <c:pt idx="67">
                  <c:v>5569.9458199225128</c:v>
                </c:pt>
                <c:pt idx="68">
                  <c:v>5728.125544154389</c:v>
                </c:pt>
                <c:pt idx="69">
                  <c:v>5887.0103012066893</c:v>
                </c:pt>
                <c:pt idx="70">
                  <c:v>6046.584258764683</c:v>
                </c:pt>
                <c:pt idx="71">
                  <c:v>6206.8321958750112</c:v>
                </c:pt>
                <c:pt idx="72">
                  <c:v>6367.7394688651448</c:v>
                </c:pt>
                <c:pt idx="73">
                  <c:v>6529.2919797394525</c:v>
                </c:pt>
                <c:pt idx="74">
                  <c:v>6691.4761468305742</c:v>
                </c:pt>
                <c:pt idx="75">
                  <c:v>6854.2788775081808</c:v>
                </c:pt>
                <c:pt idx="76">
                  <c:v>7017.6875427678178</c:v>
                </c:pt>
                <c:pt idx="77">
                  <c:v>7181.6899535406437</c:v>
                </c:pt>
                <c:pt idx="78">
                  <c:v>7346.2743385807635</c:v>
                </c:pt>
                <c:pt idx="79">
                  <c:v>7511.4293238010805</c:v>
                </c:pt>
                <c:pt idx="80">
                  <c:v>7677.1439129410237</c:v>
                </c:pt>
                <c:pt idx="81">
                  <c:v>7843.4074694606634</c:v>
                </c:pt>
                <c:pt idx="82">
                  <c:v>8010.2096995656202</c:v>
                </c:pt>
                <c:pt idx="83">
                  <c:v>8177.5406362759886</c:v>
                </c:pt>
                <c:pt idx="84">
                  <c:v>8345.390624460355</c:v>
                </c:pt>
                <c:pt idx="85">
                  <c:v>8513.7503067630987</c:v>
                </c:pt>
                <c:pt idx="86">
                  <c:v>8682.6106103594666</c:v>
                </c:pt>
                <c:pt idx="87">
                  <c:v>8851.9627344785604</c:v>
                </c:pt>
                <c:pt idx="88">
                  <c:v>9021.7981386395641</c:v>
                </c:pt>
                <c:pt idx="89">
                  <c:v>9192.1085315511373</c:v>
                </c:pt>
                <c:pt idx="90">
                  <c:v>9362.88586062795</c:v>
                </c:pt>
                <c:pt idx="91">
                  <c:v>9534.1223020823363</c:v>
                </c:pt>
                <c:pt idx="92">
                  <c:v>9705.8102515521296</c:v>
                </c:pt>
                <c:pt idx="93">
                  <c:v>9877.9423152291984</c:v>
                </c:pt>
                <c:pt idx="94">
                  <c:v>10050.511301455677</c:v>
                </c:pt>
                <c:pt idx="95">
                  <c:v>10223.510212757668</c:v>
                </c:pt>
                <c:pt idx="96">
                  <c:v>10396.932238288371</c:v>
                </c:pt>
                <c:pt idx="97">
                  <c:v>10570.770746654833</c:v>
                </c:pt>
                <c:pt idx="98">
                  <c:v>10745.019279104357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49-4FD6-8ECB-46049FA37476}"/>
            </c:ext>
          </c:extLst>
        </c:ser>
        <c:ser>
          <c:idx val="1"/>
          <c:order val="1"/>
          <c:tx>
            <c:v>Experimental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Experimental!$AB$2:$AB$3</c:f>
              <c:numCache>
                <c:formatCode>General</c:formatCode>
                <c:ptCount val="2"/>
                <c:pt idx="0">
                  <c:v>7.55</c:v>
                </c:pt>
                <c:pt idx="1">
                  <c:v>8.9</c:v>
                </c:pt>
              </c:numCache>
            </c:numRef>
          </c:xVal>
          <c:yVal>
            <c:numRef>
              <c:f>Experimental!$AG$2:$AG$3</c:f>
              <c:numCache>
                <c:formatCode>General</c:formatCode>
                <c:ptCount val="2"/>
                <c:pt idx="0">
                  <c:v>-521.90000000000009</c:v>
                </c:pt>
                <c:pt idx="1">
                  <c:v>-513.90000000000009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59-4B85-A362-98C180FCA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242496"/>
        <c:axId val="1274254496"/>
      </c:scatterChart>
      <c:valAx>
        <c:axId val="1274242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54496"/>
        <c:crosses val="autoZero"/>
        <c:crossBetween val="midCat"/>
      </c:valAx>
      <c:valAx>
        <c:axId val="12742544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24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6803</xdr:colOff>
      <xdr:row>20</xdr:row>
      <xdr:rowOff>179613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591909</xdr:colOff>
      <xdr:row>86</xdr:row>
      <xdr:rowOff>2721</xdr:rowOff>
    </xdr:from>
    <xdr:to>
      <xdr:col>47</xdr:col>
      <xdr:colOff>108856</xdr:colOff>
      <xdr:row>124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58654F-B1A5-A1F7-7BF3-D3888679A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30D451-F738-4D21-9C87-23CD59DBE3A3}" name="Table1" displayName="Table1" ref="A1:D107" totalsRowShown="0">
  <autoFilter ref="A1:D107" xr:uid="{C130D451-F738-4D21-9C87-23CD59DBE3A3}"/>
  <sortState xmlns:xlrd2="http://schemas.microsoft.com/office/spreadsheetml/2017/richdata2" ref="A2:D107">
    <sortCondition ref="C1:C107"/>
  </sortState>
  <tableColumns count="4">
    <tableColumn id="1" xr3:uid="{993D495A-486A-4DCD-B210-F13B495A6ABF}" name="Year"/>
    <tableColumn id="2" xr3:uid="{F99371CD-B035-4FEA-B333-A89E49177A0D}" name="Author"/>
    <tableColumn id="3" xr3:uid="{7D562E2B-780D-4001-A220-2191A2289DA6}" name="Temperature"/>
    <tableColumn id="4" xr3:uid="{381916DB-0FF3-4C83-899D-EECFFB96953F}" name="Cell Volum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C91848-53A8-4864-9737-1F967EFDB94D}" name="Table2" displayName="Table2" ref="F1:I67" totalsRowShown="0">
  <autoFilter ref="F1:I67" xr:uid="{01C91848-53A8-4864-9737-1F967EFDB94D}"/>
  <sortState xmlns:xlrd2="http://schemas.microsoft.com/office/spreadsheetml/2017/richdata2" ref="F2:I67">
    <sortCondition ref="H1:H67"/>
  </sortState>
  <tableColumns count="4">
    <tableColumn id="1" xr3:uid="{FF901649-4251-4F65-B008-4F2D37DC5E6E}" name="Year"/>
    <tableColumn id="2" xr3:uid="{E38A22A4-88DC-4601-A378-1B72B32BCA2B}" name="Author"/>
    <tableColumn id="3" xr3:uid="{2138A35C-0A7B-4D00-A3C9-7A3ABEE3F1C9}" name="Temperature"/>
    <tableColumn id="4" xr3:uid="{B84240CC-C53E-4CE3-883E-CCC823AC3CB1}" name="Thermal Expansion Coeffici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799D94-3E71-43A2-9654-17791D7DF54D}" name="Table3" displayName="Table3" ref="K1:N38" totalsRowShown="0">
  <autoFilter ref="K1:N38" xr:uid="{A9799D94-3E71-43A2-9654-17791D7DF54D}"/>
  <sortState xmlns:xlrd2="http://schemas.microsoft.com/office/spreadsheetml/2017/richdata2" ref="K2:N38">
    <sortCondition ref="M1:M38"/>
  </sortState>
  <tableColumns count="4">
    <tableColumn id="1" xr3:uid="{CB844DF4-88BD-46CF-A12D-E6EB2296D442}" name="Year"/>
    <tableColumn id="2" xr3:uid="{99C12204-507A-474C-A22A-91E21C5B677F}" name="Author"/>
    <tableColumn id="3" xr3:uid="{F16EB74E-043F-470E-BE11-1ED5333DE04A}" name="Temperature"/>
    <tableColumn id="4" xr3:uid="{858E9E94-D905-4ED9-8630-AA8B04C71BEB}" name="Heat Capacity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60B245-D697-43FD-8269-889A150127DE}" name="Table4" displayName="Table4" ref="P1:S35" totalsRowShown="0">
  <autoFilter ref="P1:S35" xr:uid="{4860B245-D697-43FD-8269-889A150127DE}"/>
  <sortState xmlns:xlrd2="http://schemas.microsoft.com/office/spreadsheetml/2017/richdata2" ref="P2:S35">
    <sortCondition ref="R1:R35"/>
  </sortState>
  <tableColumns count="4">
    <tableColumn id="1" xr3:uid="{9A41E871-E92E-41FE-9B6B-CBA83B4F18FB}" name="Year"/>
    <tableColumn id="2" xr3:uid="{719719B6-4617-47EA-BEB0-AD45C1282F85}" name="Author"/>
    <tableColumn id="3" xr3:uid="{1C338D1D-4B75-4509-BDB5-3F90B26B635E}" name="Temperature"/>
    <tableColumn id="4" xr3:uid="{D827D9C0-660C-43EF-9090-3EFC6E65F789}" name="Beta T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E3E63C-FC48-4E81-91FD-554C08E355CE}" name="Table5" displayName="Table5" ref="U1:X40" totalsRowShown="0">
  <autoFilter ref="U1:X40" xr:uid="{EAE3E63C-FC48-4E81-91FD-554C08E355CE}"/>
  <sortState xmlns:xlrd2="http://schemas.microsoft.com/office/spreadsheetml/2017/richdata2" ref="U2:X40">
    <sortCondition ref="W1:W40"/>
  </sortState>
  <tableColumns count="4">
    <tableColumn id="1" xr3:uid="{F76E3ADF-A9F7-4402-AFA3-F2C75746382B}" name="Year"/>
    <tableColumn id="2" xr3:uid="{319F6360-8AF1-4DCC-9DAB-57B0DD81A2A4}" name="Author"/>
    <tableColumn id="3" xr3:uid="{B051B53C-B8F3-4E9D-9D29-5457EE27E99A}" name="Temperature"/>
    <tableColumn id="4" xr3:uid="{DDC27246-7DB0-4F07-AA6D-FC25905DA7EB}" name="Beta S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711791-63AF-4532-869C-A160C5D06144}" name="Table6" displayName="Table6" ref="Z1:AG3" totalsRowShown="0" headerRowDxfId="2">
  <autoFilter ref="Z1:AG3" xr:uid="{38711791-63AF-4532-869C-A160C5D06144}"/>
  <tableColumns count="8">
    <tableColumn id="1" xr3:uid="{1B224093-D5F5-40AE-B224-ECA4E6F0C4A2}" name="Year" dataDxfId="4"/>
    <tableColumn id="2" xr3:uid="{26588BBD-370A-4290-BD3F-3740656CA9FE}" name="Author" dataDxfId="3"/>
    <tableColumn id="3" xr3:uid="{4A850876-CD21-4771-BF06-DDA832C79F38}" name="Temperature"/>
    <tableColumn id="4" xr3:uid="{B0DD97D4-5144-48A1-83F8-6CC418F848C0}" name="Pressure"/>
    <tableColumn id="7" xr3:uid="{EBDE230C-1291-472E-89C7-14E57D82628B}" name="Change in Enthalpy" dataDxfId="1"/>
    <tableColumn id="5" xr3:uid="{62CDF597-0D53-4A20-828D-546C87508623}" name="Enthalpy"/>
    <tableColumn id="6" xr3:uid="{AA190787-1AF7-4483-A0A1-B7F3B93BC2A0}" name="Entropy"/>
    <tableColumn id="8" xr3:uid="{4A5F9187-AEAE-41B7-8C7A-BAD308C19767}" name="Adjuted Enthalpy" dataDxfId="0">
      <calculatedColumnFormula>Table6[[#This Row],[Enthalpy]]-1000*Table6[[#This Row],[Change in Enthalpy]]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2"/>
  <sheetViews>
    <sheetView topLeftCell="A7" zoomScale="115" zoomScaleNormal="115" workbookViewId="0">
      <selection activeCell="K23" sqref="K23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13.38</v>
      </c>
      <c r="D2" s="3">
        <v>13.38</v>
      </c>
    </row>
    <row r="3" spans="1:4" x14ac:dyDescent="0.25">
      <c r="A3" s="2" t="s">
        <v>11</v>
      </c>
      <c r="B3" s="3">
        <v>1010</v>
      </c>
      <c r="D3" s="3">
        <v>997.79</v>
      </c>
    </row>
    <row r="4" spans="1:4" x14ac:dyDescent="0.25">
      <c r="A4" s="2" t="s">
        <v>12</v>
      </c>
      <c r="B4" s="3">
        <v>3900</v>
      </c>
      <c r="D4" s="3">
        <v>469.13</v>
      </c>
    </row>
    <row r="5" spans="1:4" x14ac:dyDescent="0.25">
      <c r="A5" s="2" t="s">
        <v>13</v>
      </c>
      <c r="B5" s="3">
        <v>7999.4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66.459999999999994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6" x14ac:dyDescent="0.25">
      <c r="A17" s="2" t="s">
        <v>25</v>
      </c>
      <c r="B17" s="3">
        <v>2.8</v>
      </c>
      <c r="D17" s="3">
        <v>2.69</v>
      </c>
    </row>
    <row r="18" spans="1:6" x14ac:dyDescent="0.25">
      <c r="A18" s="2" t="s">
        <v>26</v>
      </c>
      <c r="B18" s="2">
        <v>0</v>
      </c>
      <c r="D18" s="2">
        <v>0</v>
      </c>
    </row>
    <row r="19" spans="1:6" x14ac:dyDescent="0.25">
      <c r="A19" s="2" t="s">
        <v>27</v>
      </c>
      <c r="B19" s="2">
        <v>0</v>
      </c>
      <c r="D19" s="2">
        <v>0</v>
      </c>
    </row>
    <row r="20" spans="1:6" x14ac:dyDescent="0.25">
      <c r="A20" s="2" t="s">
        <v>28</v>
      </c>
      <c r="B20" s="2">
        <v>0</v>
      </c>
      <c r="D20" s="2">
        <v>0</v>
      </c>
    </row>
    <row r="21" spans="1:6" x14ac:dyDescent="0.25">
      <c r="A21" s="2" t="s">
        <v>29</v>
      </c>
      <c r="B21" s="2">
        <v>0</v>
      </c>
      <c r="D21" s="2">
        <v>0</v>
      </c>
    </row>
    <row r="22" spans="1:6" x14ac:dyDescent="0.25">
      <c r="A22" s="2" t="s">
        <v>30</v>
      </c>
      <c r="B22" s="2">
        <v>0</v>
      </c>
      <c r="D22" s="2">
        <v>0</v>
      </c>
    </row>
    <row r="23" spans="1:6" x14ac:dyDescent="0.25">
      <c r="A23" s="2" t="s">
        <v>31</v>
      </c>
      <c r="B23" s="3">
        <v>0</v>
      </c>
      <c r="D23" s="3">
        <v>0.2</v>
      </c>
    </row>
    <row r="24" spans="1:6" x14ac:dyDescent="0.25">
      <c r="A24" s="2" t="s">
        <v>32</v>
      </c>
      <c r="B24" s="2">
        <v>0</v>
      </c>
      <c r="D24" s="2">
        <v>0</v>
      </c>
    </row>
    <row r="25" spans="1:6" x14ac:dyDescent="0.25">
      <c r="A25" s="2" t="s">
        <v>33</v>
      </c>
      <c r="B25" s="2">
        <v>0</v>
      </c>
      <c r="D25" s="2">
        <v>0</v>
      </c>
    </row>
    <row r="26" spans="1:6" x14ac:dyDescent="0.25">
      <c r="A26" s="2" t="s">
        <v>34</v>
      </c>
      <c r="B26" s="2">
        <v>0</v>
      </c>
      <c r="D26" s="2">
        <v>0</v>
      </c>
    </row>
    <row r="27" spans="1:6" x14ac:dyDescent="0.25">
      <c r="A27" s="2" t="s">
        <v>35</v>
      </c>
      <c r="B27" s="2">
        <v>0</v>
      </c>
      <c r="D27" s="2">
        <v>0</v>
      </c>
    </row>
    <row r="28" spans="1:6" x14ac:dyDescent="0.25">
      <c r="A28" s="2" t="s">
        <v>36</v>
      </c>
      <c r="B28" s="2">
        <v>0</v>
      </c>
      <c r="D28" s="2">
        <v>0</v>
      </c>
    </row>
    <row r="29" spans="1:6" x14ac:dyDescent="0.25">
      <c r="A29" s="2" t="s">
        <v>37</v>
      </c>
      <c r="B29" s="3">
        <v>6.6</v>
      </c>
      <c r="D29" s="3">
        <v>0</v>
      </c>
      <c r="F29" s="3">
        <v>6.29</v>
      </c>
    </row>
    <row r="30" spans="1:6" x14ac:dyDescent="0.25">
      <c r="A30" s="2" t="s">
        <v>38</v>
      </c>
      <c r="B30" s="3">
        <v>100</v>
      </c>
      <c r="D30" s="3">
        <v>0</v>
      </c>
      <c r="F30" s="3">
        <v>9.32</v>
      </c>
    </row>
    <row r="31" spans="1:6" x14ac:dyDescent="0.25">
      <c r="A31" s="2" t="s">
        <v>39</v>
      </c>
      <c r="B31" s="3">
        <v>11.14</v>
      </c>
      <c r="D31" s="3">
        <v>0</v>
      </c>
      <c r="F31" s="3">
        <v>1.1399999999999999</v>
      </c>
    </row>
    <row r="32" spans="1:6" x14ac:dyDescent="0.25">
      <c r="A32" s="2" t="s">
        <v>40</v>
      </c>
      <c r="B32" s="3">
        <v>26.04149781557312</v>
      </c>
      <c r="D32" s="3">
        <v>69.25</v>
      </c>
    </row>
  </sheetData>
  <pageMargins left="0.75" right="0.75" top="1" bottom="1" header="0.5" footer="0.5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13.414887901542077</v>
      </c>
    </row>
    <row r="3" spans="1:2" x14ac:dyDescent="0.25">
      <c r="A3" t="s">
        <v>43</v>
      </c>
      <c r="B3">
        <f>INDEX(ComputeThermoProps(T_in,p_in,ParametersRange),1,2)</f>
        <v>1.0303845054975048E-3</v>
      </c>
    </row>
    <row r="4" spans="1:2" x14ac:dyDescent="0.25">
      <c r="A4" t="s">
        <v>44</v>
      </c>
      <c r="B4">
        <f>INDEX(ComputeThermoProps(T_in,p_in,ParametersRange),1,3)</f>
        <v>1.0035661897839284E-3</v>
      </c>
    </row>
    <row r="5" spans="1:2" x14ac:dyDescent="0.25">
      <c r="A5" t="s">
        <v>45</v>
      </c>
      <c r="B5">
        <f>INDEX(ComputeThermoProps(T_in,p_in,ParametersRange),1,4)</f>
        <v>1.03678453796682E-3</v>
      </c>
    </row>
    <row r="6" spans="1:2" x14ac:dyDescent="0.25">
      <c r="A6" t="s">
        <v>46</v>
      </c>
      <c r="B6">
        <f>INDEX(ComputeThermoProps(T_in,p_in,ParametersRange),1,5)</f>
        <v>5.3769075869640535</v>
      </c>
    </row>
    <row r="7" spans="1:2" x14ac:dyDescent="0.25">
      <c r="A7" t="s">
        <v>47</v>
      </c>
      <c r="B7">
        <f>INDEX(ComputeThermoProps(T_in,p_in,ParametersRange),1,6)</f>
        <v>5.2369602134733171</v>
      </c>
    </row>
    <row r="8" spans="1:2" x14ac:dyDescent="0.25">
      <c r="A8" t="s">
        <v>48</v>
      </c>
      <c r="B8">
        <f>INDEX(ComputeThermoProps(T_in,p_in,ParametersRange),1,7)</f>
        <v>2.5774898628429361</v>
      </c>
    </row>
    <row r="9" spans="1:2" x14ac:dyDescent="0.25">
      <c r="A9" t="s">
        <v>49</v>
      </c>
      <c r="B9">
        <f>INDEX(ComputeThermoProps(T_in,p_in,ParametersRange),1,8)</f>
        <v>14.368126287616448</v>
      </c>
    </row>
    <row r="10" spans="1:2" x14ac:dyDescent="0.25">
      <c r="A10" t="s">
        <v>50</v>
      </c>
      <c r="B10">
        <f>INDEX(ComputeThermoProps(T_in,p_in,ParametersRange),1,9)</f>
        <v>1.9164502204556426</v>
      </c>
    </row>
    <row r="11" spans="1:2" x14ac:dyDescent="0.25">
      <c r="A11" t="s">
        <v>51</v>
      </c>
      <c r="B11">
        <f>INDEX(ComputeThermoProps(T_in,p_in,ParametersRange),1,10)</f>
        <v>-4.7963759169399776</v>
      </c>
    </row>
    <row r="12" spans="1:2" x14ac:dyDescent="0.25">
      <c r="A12" t="s">
        <v>52</v>
      </c>
      <c r="B12">
        <f>INDEX(ComputeThermoProps(T_in,p_in,ParametersRange),1,11)</f>
        <v>15.709615077770655</v>
      </c>
    </row>
    <row r="13" spans="1:2" x14ac:dyDescent="0.25">
      <c r="A13" t="s">
        <v>53</v>
      </c>
      <c r="B13">
        <f>INDEX(ComputeThermoProps(T_in,p_in,ParametersRange),1,12)</f>
        <v>-3.454887126785771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13.414887901542077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F19B5-C3C8-45ED-A28F-6406FE2B8453}">
  <dimension ref="A1:AG107"/>
  <sheetViews>
    <sheetView topLeftCell="X1" zoomScale="205" zoomScaleNormal="205" workbookViewId="0">
      <selection activeCell="AE2" sqref="AE2"/>
    </sheetView>
  </sheetViews>
  <sheetFormatPr defaultRowHeight="15" x14ac:dyDescent="0.25"/>
  <cols>
    <col min="3" max="3" width="13" customWidth="1"/>
    <col min="4" max="4" width="12.28515625" customWidth="1"/>
    <col min="8" max="8" width="13" customWidth="1"/>
    <col min="9" max="9" width="27.42578125" customWidth="1"/>
    <col min="13" max="13" width="13" customWidth="1"/>
    <col min="14" max="14" width="13.85546875" customWidth="1"/>
    <col min="18" max="18" width="13" customWidth="1"/>
    <col min="23" max="23" width="12.7109375" customWidth="1"/>
    <col min="28" max="28" width="12.85546875" customWidth="1"/>
  </cols>
  <sheetData>
    <row r="1" spans="1:33" x14ac:dyDescent="0.25">
      <c r="A1" t="s">
        <v>87</v>
      </c>
      <c r="B1" t="s">
        <v>88</v>
      </c>
      <c r="C1" t="s">
        <v>89</v>
      </c>
      <c r="D1" t="s">
        <v>90</v>
      </c>
      <c r="F1" t="s">
        <v>87</v>
      </c>
      <c r="G1" t="s">
        <v>88</v>
      </c>
      <c r="H1" t="s">
        <v>89</v>
      </c>
      <c r="I1" t="s">
        <v>102</v>
      </c>
      <c r="K1" t="s">
        <v>87</v>
      </c>
      <c r="L1" t="s">
        <v>88</v>
      </c>
      <c r="M1" t="s">
        <v>89</v>
      </c>
      <c r="N1" t="s">
        <v>104</v>
      </c>
      <c r="P1" t="s">
        <v>87</v>
      </c>
      <c r="Q1" t="s">
        <v>88</v>
      </c>
      <c r="R1" t="s">
        <v>89</v>
      </c>
      <c r="S1" t="s">
        <v>106</v>
      </c>
      <c r="U1" t="s">
        <v>87</v>
      </c>
      <c r="V1" t="s">
        <v>88</v>
      </c>
      <c r="W1" t="s">
        <v>89</v>
      </c>
      <c r="X1" t="s">
        <v>109</v>
      </c>
      <c r="Z1" s="6" t="s">
        <v>87</v>
      </c>
      <c r="AA1" s="7" t="s">
        <v>88</v>
      </c>
      <c r="AB1" s="7" t="s">
        <v>89</v>
      </c>
      <c r="AC1" s="10" t="s">
        <v>116</v>
      </c>
      <c r="AD1" s="10" t="s">
        <v>119</v>
      </c>
      <c r="AE1" s="10" t="s">
        <v>117</v>
      </c>
      <c r="AF1" s="10" t="s">
        <v>118</v>
      </c>
      <c r="AG1" s="11" t="s">
        <v>120</v>
      </c>
    </row>
    <row r="2" spans="1:33" x14ac:dyDescent="0.25">
      <c r="A2">
        <v>1975</v>
      </c>
      <c r="B2" t="s">
        <v>96</v>
      </c>
      <c r="C2">
        <v>0.5</v>
      </c>
      <c r="D2">
        <v>13.391</v>
      </c>
      <c r="F2">
        <v>1975</v>
      </c>
      <c r="G2" t="s">
        <v>96</v>
      </c>
      <c r="H2">
        <v>0.5</v>
      </c>
      <c r="I2" s="5">
        <v>1.0050000000000001E-7</v>
      </c>
      <c r="K2">
        <v>1966</v>
      </c>
      <c r="L2" t="s">
        <v>105</v>
      </c>
      <c r="M2">
        <v>1</v>
      </c>
      <c r="P2">
        <v>1970</v>
      </c>
      <c r="Q2" t="s">
        <v>107</v>
      </c>
      <c r="R2">
        <v>2</v>
      </c>
      <c r="S2">
        <v>8.8500000000000004E-4</v>
      </c>
      <c r="U2">
        <v>1971</v>
      </c>
      <c r="V2" t="s">
        <v>110</v>
      </c>
      <c r="W2">
        <v>0.5</v>
      </c>
      <c r="X2">
        <v>8.8500000000000004E-4</v>
      </c>
      <c r="Z2" s="9">
        <v>2018</v>
      </c>
      <c r="AA2" s="9" t="s">
        <v>115</v>
      </c>
      <c r="AB2">
        <v>7.55</v>
      </c>
      <c r="AC2">
        <v>5.3292000000000004E-12</v>
      </c>
      <c r="AD2" s="8">
        <v>1.88</v>
      </c>
      <c r="AE2">
        <v>1358.1</v>
      </c>
      <c r="AF2">
        <v>234.91</v>
      </c>
      <c r="AG2">
        <f>Table6[[#This Row],[Enthalpy]]-1000*Table6[[#This Row],[Change in Enthalpy]]</f>
        <v>-521.90000000000009</v>
      </c>
    </row>
    <row r="3" spans="1:33" x14ac:dyDescent="0.25">
      <c r="A3">
        <v>1975</v>
      </c>
      <c r="B3" t="s">
        <v>96</v>
      </c>
      <c r="C3">
        <v>1</v>
      </c>
      <c r="D3">
        <v>13.391</v>
      </c>
      <c r="F3">
        <v>1975</v>
      </c>
      <c r="G3" t="s">
        <v>96</v>
      </c>
      <c r="H3">
        <v>1</v>
      </c>
      <c r="I3" s="5">
        <v>8.0689999999999995E-7</v>
      </c>
      <c r="K3">
        <v>1966</v>
      </c>
      <c r="L3" t="s">
        <v>105</v>
      </c>
      <c r="M3">
        <v>2</v>
      </c>
      <c r="P3">
        <v>1970</v>
      </c>
      <c r="Q3" t="s">
        <v>107</v>
      </c>
      <c r="R3">
        <v>3</v>
      </c>
      <c r="S3">
        <v>8.8599999999999996E-4</v>
      </c>
      <c r="U3">
        <v>1971</v>
      </c>
      <c r="V3" t="s">
        <v>110</v>
      </c>
      <c r="W3">
        <v>1</v>
      </c>
      <c r="X3">
        <v>8.8500000000000004E-4</v>
      </c>
      <c r="Z3" s="9">
        <v>2018</v>
      </c>
      <c r="AA3" s="9" t="s">
        <v>115</v>
      </c>
      <c r="AB3">
        <v>8.9</v>
      </c>
      <c r="AC3">
        <v>5.8483000000000004E-10</v>
      </c>
      <c r="AD3" s="8">
        <v>1.9</v>
      </c>
      <c r="AE3">
        <v>1386.1</v>
      </c>
      <c r="AF3">
        <v>199.26</v>
      </c>
      <c r="AG3">
        <f>Table6[[#This Row],[Enthalpy]]-1000*Table6[[#This Row],[Change in Enthalpy]]</f>
        <v>-513.90000000000009</v>
      </c>
    </row>
    <row r="4" spans="1:33" x14ac:dyDescent="0.25">
      <c r="A4">
        <v>1975</v>
      </c>
      <c r="B4" t="s">
        <v>96</v>
      </c>
      <c r="C4">
        <v>1.5</v>
      </c>
      <c r="D4">
        <v>13.391</v>
      </c>
      <c r="F4">
        <v>1975</v>
      </c>
      <c r="G4" t="s">
        <v>96</v>
      </c>
      <c r="H4">
        <v>1.5</v>
      </c>
      <c r="I4" s="5">
        <v>2.734E-6</v>
      </c>
      <c r="K4">
        <v>1966</v>
      </c>
      <c r="L4" t="s">
        <v>105</v>
      </c>
      <c r="M4">
        <v>3</v>
      </c>
      <c r="P4">
        <v>1967</v>
      </c>
      <c r="Q4" t="s">
        <v>94</v>
      </c>
      <c r="R4">
        <v>4</v>
      </c>
      <c r="S4">
        <v>8.9999999999999998E-4</v>
      </c>
      <c r="U4">
        <v>1971</v>
      </c>
      <c r="V4" t="s">
        <v>110</v>
      </c>
      <c r="W4">
        <v>1.5</v>
      </c>
      <c r="X4">
        <v>8.8500000000000004E-4</v>
      </c>
    </row>
    <row r="5" spans="1:33" x14ac:dyDescent="0.25">
      <c r="A5">
        <v>1975</v>
      </c>
      <c r="B5" t="s">
        <v>96</v>
      </c>
      <c r="C5">
        <v>2</v>
      </c>
      <c r="D5">
        <v>13.391</v>
      </c>
      <c r="F5">
        <v>1975</v>
      </c>
      <c r="G5" t="s">
        <v>96</v>
      </c>
      <c r="H5">
        <v>2</v>
      </c>
      <c r="I5" s="5">
        <v>6.5369999999999901E-6</v>
      </c>
      <c r="K5">
        <v>1966</v>
      </c>
      <c r="L5" t="s">
        <v>105</v>
      </c>
      <c r="M5">
        <v>4</v>
      </c>
      <c r="P5">
        <v>1970</v>
      </c>
      <c r="Q5" t="s">
        <v>107</v>
      </c>
      <c r="R5">
        <v>4</v>
      </c>
      <c r="S5">
        <v>8.8800000000000001E-4</v>
      </c>
      <c r="U5">
        <v>1971</v>
      </c>
      <c r="V5" t="s">
        <v>110</v>
      </c>
      <c r="W5">
        <v>2</v>
      </c>
      <c r="X5">
        <v>8.8500000000000004E-4</v>
      </c>
    </row>
    <row r="6" spans="1:33" x14ac:dyDescent="0.25">
      <c r="A6">
        <v>1975</v>
      </c>
      <c r="B6" t="s">
        <v>96</v>
      </c>
      <c r="C6">
        <v>2.5</v>
      </c>
      <c r="D6">
        <v>13.391</v>
      </c>
      <c r="F6">
        <v>1973</v>
      </c>
      <c r="G6" t="s">
        <v>96</v>
      </c>
      <c r="H6">
        <v>2.5</v>
      </c>
      <c r="I6" s="5">
        <v>4.3239999999999996E-6</v>
      </c>
      <c r="K6">
        <v>1966</v>
      </c>
      <c r="L6" t="s">
        <v>105</v>
      </c>
      <c r="M6">
        <v>5</v>
      </c>
      <c r="P6">
        <v>1972</v>
      </c>
      <c r="Q6" t="s">
        <v>108</v>
      </c>
      <c r="R6">
        <v>4.2</v>
      </c>
      <c r="S6">
        <v>9.1100000000000003E-4</v>
      </c>
      <c r="U6">
        <v>1971</v>
      </c>
      <c r="V6" t="s">
        <v>110</v>
      </c>
      <c r="W6">
        <v>2.5</v>
      </c>
      <c r="X6">
        <v>8.8500000000000004E-4</v>
      </c>
    </row>
    <row r="7" spans="1:33" x14ac:dyDescent="0.25">
      <c r="A7">
        <v>1967</v>
      </c>
      <c r="B7" t="s">
        <v>94</v>
      </c>
      <c r="C7">
        <v>3</v>
      </c>
      <c r="D7">
        <v>13.3888667728237</v>
      </c>
      <c r="F7">
        <v>1975</v>
      </c>
      <c r="G7" t="s">
        <v>96</v>
      </c>
      <c r="H7">
        <v>2.5</v>
      </c>
      <c r="I7" s="5">
        <v>1.3019999999999901E-5</v>
      </c>
      <c r="K7">
        <v>1966</v>
      </c>
      <c r="L7" t="s">
        <v>105</v>
      </c>
      <c r="M7">
        <v>6</v>
      </c>
      <c r="P7">
        <v>1969</v>
      </c>
      <c r="Q7" t="s">
        <v>100</v>
      </c>
      <c r="R7">
        <v>4.7</v>
      </c>
      <c r="S7">
        <v>8.8999999999999995E-4</v>
      </c>
      <c r="U7">
        <v>1971</v>
      </c>
      <c r="V7" t="s">
        <v>110</v>
      </c>
      <c r="W7">
        <v>3</v>
      </c>
      <c r="X7">
        <v>8.8599999999999996E-4</v>
      </c>
    </row>
    <row r="8" spans="1:33" x14ac:dyDescent="0.25">
      <c r="A8">
        <v>1965</v>
      </c>
      <c r="B8" t="s">
        <v>94</v>
      </c>
      <c r="C8">
        <v>3</v>
      </c>
      <c r="D8">
        <v>13.389200000000001</v>
      </c>
      <c r="F8">
        <v>1973</v>
      </c>
      <c r="G8" t="s">
        <v>96</v>
      </c>
      <c r="H8">
        <v>3</v>
      </c>
      <c r="I8" s="5">
        <v>7.7309999999999993E-6</v>
      </c>
      <c r="K8">
        <v>1966</v>
      </c>
      <c r="L8" t="s">
        <v>105</v>
      </c>
      <c r="M8">
        <v>7</v>
      </c>
      <c r="P8">
        <v>1970</v>
      </c>
      <c r="Q8" t="s">
        <v>107</v>
      </c>
      <c r="R8">
        <v>5</v>
      </c>
      <c r="S8">
        <v>8.9099999999999997E-4</v>
      </c>
      <c r="U8">
        <v>1971</v>
      </c>
      <c r="V8" t="s">
        <v>110</v>
      </c>
      <c r="W8">
        <v>3.5</v>
      </c>
      <c r="X8">
        <v>8.8699999999999998E-4</v>
      </c>
    </row>
    <row r="9" spans="1:33" x14ac:dyDescent="0.25">
      <c r="A9">
        <v>1975</v>
      </c>
      <c r="B9" t="s">
        <v>96</v>
      </c>
      <c r="C9">
        <v>3</v>
      </c>
      <c r="D9">
        <v>13.391</v>
      </c>
      <c r="F9">
        <v>1971</v>
      </c>
      <c r="G9" t="s">
        <v>103</v>
      </c>
      <c r="H9">
        <v>3</v>
      </c>
      <c r="I9" s="5">
        <v>1.8E-5</v>
      </c>
      <c r="K9">
        <v>1966</v>
      </c>
      <c r="L9" t="s">
        <v>105</v>
      </c>
      <c r="M9">
        <v>8</v>
      </c>
      <c r="P9">
        <v>1967</v>
      </c>
      <c r="Q9" t="s">
        <v>94</v>
      </c>
      <c r="R9">
        <v>6</v>
      </c>
      <c r="S9">
        <v>9.1E-4</v>
      </c>
      <c r="U9">
        <v>1971</v>
      </c>
      <c r="V9" t="s">
        <v>110</v>
      </c>
      <c r="W9">
        <v>4</v>
      </c>
      <c r="X9">
        <v>8.8699999999999998E-4</v>
      </c>
    </row>
    <row r="10" spans="1:33" x14ac:dyDescent="0.25">
      <c r="A10">
        <v>1965</v>
      </c>
      <c r="B10" t="s">
        <v>94</v>
      </c>
      <c r="C10">
        <v>3.5</v>
      </c>
      <c r="D10">
        <v>13.3894</v>
      </c>
      <c r="F10">
        <v>1975</v>
      </c>
      <c r="G10" t="s">
        <v>96</v>
      </c>
      <c r="H10">
        <v>3</v>
      </c>
      <c r="I10" s="5">
        <v>2.319E-5</v>
      </c>
      <c r="K10">
        <v>1966</v>
      </c>
      <c r="L10" t="s">
        <v>105</v>
      </c>
      <c r="M10">
        <v>9</v>
      </c>
      <c r="P10">
        <v>1970</v>
      </c>
      <c r="Q10" t="s">
        <v>107</v>
      </c>
      <c r="R10">
        <v>6</v>
      </c>
      <c r="S10">
        <v>8.9599999999999999E-4</v>
      </c>
      <c r="U10">
        <v>1971</v>
      </c>
      <c r="V10" t="s">
        <v>110</v>
      </c>
      <c r="W10">
        <v>4.5</v>
      </c>
      <c r="X10">
        <v>8.8800000000000001E-4</v>
      </c>
    </row>
    <row r="11" spans="1:33" x14ac:dyDescent="0.25">
      <c r="A11">
        <v>1975</v>
      </c>
      <c r="B11" t="s">
        <v>96</v>
      </c>
      <c r="C11">
        <v>3.5</v>
      </c>
      <c r="D11">
        <v>13.391</v>
      </c>
      <c r="F11">
        <v>1967</v>
      </c>
      <c r="G11" t="s">
        <v>94</v>
      </c>
      <c r="H11">
        <v>3</v>
      </c>
      <c r="I11" s="5">
        <v>1.7999999999999999E-6</v>
      </c>
      <c r="K11">
        <v>1966</v>
      </c>
      <c r="L11" t="s">
        <v>105</v>
      </c>
      <c r="M11">
        <v>10</v>
      </c>
      <c r="P11">
        <v>1970</v>
      </c>
      <c r="Q11" t="s">
        <v>107</v>
      </c>
      <c r="R11">
        <v>7</v>
      </c>
      <c r="S11">
        <v>9.0300000000000005E-4</v>
      </c>
      <c r="U11">
        <v>1971</v>
      </c>
      <c r="V11" t="s">
        <v>110</v>
      </c>
      <c r="W11">
        <v>5</v>
      </c>
      <c r="X11">
        <v>8.8900000000000003E-4</v>
      </c>
    </row>
    <row r="12" spans="1:33" x14ac:dyDescent="0.25">
      <c r="A12">
        <v>1967</v>
      </c>
      <c r="B12" t="s">
        <v>94</v>
      </c>
      <c r="C12">
        <v>4</v>
      </c>
      <c r="D12">
        <v>13.3888667728237</v>
      </c>
      <c r="F12">
        <v>1973</v>
      </c>
      <c r="G12" t="s">
        <v>96</v>
      </c>
      <c r="H12">
        <v>3.5</v>
      </c>
      <c r="I12" s="5">
        <v>1.279E-5</v>
      </c>
      <c r="K12">
        <v>1966</v>
      </c>
      <c r="L12" t="s">
        <v>105</v>
      </c>
      <c r="M12">
        <v>11</v>
      </c>
      <c r="P12">
        <v>1967</v>
      </c>
      <c r="Q12" t="s">
        <v>94</v>
      </c>
      <c r="R12">
        <v>8</v>
      </c>
      <c r="S12">
        <v>9.2000000000000003E-4</v>
      </c>
      <c r="U12">
        <v>1975</v>
      </c>
      <c r="V12" t="s">
        <v>112</v>
      </c>
      <c r="W12">
        <v>5</v>
      </c>
      <c r="X12">
        <v>8.8999999999999995E-4</v>
      </c>
    </row>
    <row r="13" spans="1:33" x14ac:dyDescent="0.25">
      <c r="A13">
        <v>1965</v>
      </c>
      <c r="B13" t="s">
        <v>94</v>
      </c>
      <c r="C13">
        <v>4</v>
      </c>
      <c r="D13">
        <v>13.389699999999999</v>
      </c>
      <c r="F13">
        <v>1975</v>
      </c>
      <c r="G13" t="s">
        <v>96</v>
      </c>
      <c r="H13">
        <v>3.5</v>
      </c>
      <c r="I13" s="5">
        <v>3.8349999999999997E-5</v>
      </c>
      <c r="K13">
        <v>1966</v>
      </c>
      <c r="L13" t="s">
        <v>105</v>
      </c>
      <c r="M13">
        <v>12</v>
      </c>
      <c r="P13">
        <v>1970</v>
      </c>
      <c r="Q13" t="s">
        <v>107</v>
      </c>
      <c r="R13">
        <v>8</v>
      </c>
      <c r="S13">
        <v>9.1299999999999997E-4</v>
      </c>
      <c r="U13">
        <v>1972</v>
      </c>
      <c r="V13" t="s">
        <v>114</v>
      </c>
      <c r="W13">
        <v>5</v>
      </c>
      <c r="X13">
        <v>8.9800000000000004E-4</v>
      </c>
    </row>
    <row r="14" spans="1:33" x14ac:dyDescent="0.25">
      <c r="A14">
        <v>1975</v>
      </c>
      <c r="B14" t="s">
        <v>96</v>
      </c>
      <c r="C14">
        <v>4</v>
      </c>
      <c r="D14">
        <v>13.391999999999999</v>
      </c>
      <c r="F14">
        <v>1973</v>
      </c>
      <c r="G14" t="s">
        <v>96</v>
      </c>
      <c r="H14">
        <v>3.7480000000000002</v>
      </c>
      <c r="I14" s="5">
        <v>1.6079999999999999E-5</v>
      </c>
      <c r="K14">
        <v>1936</v>
      </c>
      <c r="L14" t="s">
        <v>93</v>
      </c>
      <c r="M14">
        <v>12.3</v>
      </c>
      <c r="N14">
        <v>8.7027199999999993</v>
      </c>
      <c r="P14">
        <v>1970</v>
      </c>
      <c r="Q14" t="s">
        <v>107</v>
      </c>
      <c r="R14">
        <v>9</v>
      </c>
      <c r="S14">
        <v>9.2599999999999996E-4</v>
      </c>
      <c r="U14">
        <v>1971</v>
      </c>
      <c r="V14" t="s">
        <v>110</v>
      </c>
      <c r="W14">
        <v>5.5</v>
      </c>
      <c r="X14">
        <v>8.8999999999999995E-4</v>
      </c>
    </row>
    <row r="15" spans="1:33" x14ac:dyDescent="0.25">
      <c r="A15">
        <v>1961</v>
      </c>
      <c r="B15" t="s">
        <v>91</v>
      </c>
      <c r="C15">
        <v>4.2</v>
      </c>
      <c r="D15">
        <v>13.392555932965401</v>
      </c>
      <c r="F15">
        <v>1973</v>
      </c>
      <c r="G15" t="s">
        <v>96</v>
      </c>
      <c r="H15">
        <v>3.7496</v>
      </c>
      <c r="I15" s="5">
        <v>1.6759999999999999E-5</v>
      </c>
      <c r="K15">
        <v>1966</v>
      </c>
      <c r="L15" t="s">
        <v>105</v>
      </c>
      <c r="M15">
        <v>13</v>
      </c>
      <c r="N15">
        <v>9.74</v>
      </c>
      <c r="P15">
        <v>1967</v>
      </c>
      <c r="Q15" t="s">
        <v>94</v>
      </c>
      <c r="R15">
        <v>10</v>
      </c>
      <c r="S15">
        <v>9.3999999999999997E-4</v>
      </c>
      <c r="U15">
        <v>1971</v>
      </c>
      <c r="V15" t="s">
        <v>110</v>
      </c>
      <c r="W15">
        <v>6</v>
      </c>
      <c r="X15">
        <v>8.9099999999999997E-4</v>
      </c>
    </row>
    <row r="16" spans="1:33" x14ac:dyDescent="0.25">
      <c r="A16">
        <v>1962</v>
      </c>
      <c r="B16" t="s">
        <v>92</v>
      </c>
      <c r="C16">
        <v>4.2</v>
      </c>
      <c r="D16">
        <v>13.376361792117001</v>
      </c>
      <c r="F16">
        <v>1971</v>
      </c>
      <c r="G16" t="s">
        <v>103</v>
      </c>
      <c r="H16">
        <v>4</v>
      </c>
      <c r="I16" s="5">
        <v>6.0000000000000002E-5</v>
      </c>
      <c r="K16">
        <v>1936</v>
      </c>
      <c r="L16" t="s">
        <v>93</v>
      </c>
      <c r="M16">
        <v>13.1</v>
      </c>
      <c r="N16">
        <v>9.7487200000000005</v>
      </c>
      <c r="P16">
        <v>1970</v>
      </c>
      <c r="Q16" t="s">
        <v>107</v>
      </c>
      <c r="R16">
        <v>10</v>
      </c>
      <c r="S16">
        <v>9.4200000000000002E-4</v>
      </c>
      <c r="U16">
        <v>1971</v>
      </c>
      <c r="V16" t="s">
        <v>110</v>
      </c>
      <c r="W16">
        <v>6.5</v>
      </c>
      <c r="X16">
        <v>8.9300000000000002E-4</v>
      </c>
    </row>
    <row r="17" spans="1:24" x14ac:dyDescent="0.25">
      <c r="A17">
        <v>1962</v>
      </c>
      <c r="B17" t="s">
        <v>92</v>
      </c>
      <c r="C17">
        <v>4.2</v>
      </c>
      <c r="D17">
        <v>13.3781604960759</v>
      </c>
      <c r="F17">
        <v>1975</v>
      </c>
      <c r="G17" t="s">
        <v>96</v>
      </c>
      <c r="H17">
        <v>4</v>
      </c>
      <c r="I17" s="5">
        <v>5.9969999999999997E-5</v>
      </c>
      <c r="K17">
        <v>1966</v>
      </c>
      <c r="L17" t="s">
        <v>105</v>
      </c>
      <c r="M17">
        <v>14</v>
      </c>
      <c r="N17">
        <v>11.09</v>
      </c>
      <c r="P17">
        <v>1970</v>
      </c>
      <c r="Q17" t="s">
        <v>107</v>
      </c>
      <c r="R17">
        <v>11</v>
      </c>
      <c r="S17">
        <v>9.6199999999999996E-4</v>
      </c>
      <c r="U17">
        <v>1971</v>
      </c>
      <c r="V17" t="s">
        <v>110</v>
      </c>
      <c r="W17">
        <v>7</v>
      </c>
      <c r="X17">
        <v>8.9400000000000005E-4</v>
      </c>
    </row>
    <row r="18" spans="1:24" x14ac:dyDescent="0.25">
      <c r="A18">
        <v>1962</v>
      </c>
      <c r="B18" t="s">
        <v>92</v>
      </c>
      <c r="C18">
        <v>4.2</v>
      </c>
      <c r="D18">
        <v>13.302753667575899</v>
      </c>
      <c r="F18">
        <v>1967</v>
      </c>
      <c r="G18" t="s">
        <v>94</v>
      </c>
      <c r="H18">
        <v>4</v>
      </c>
      <c r="I18" s="5">
        <v>6.0000000000000002E-5</v>
      </c>
      <c r="K18">
        <v>1936</v>
      </c>
      <c r="L18" t="s">
        <v>93</v>
      </c>
      <c r="M18">
        <v>14.71</v>
      </c>
      <c r="N18">
        <v>11.673360000000001</v>
      </c>
      <c r="P18">
        <v>1967</v>
      </c>
      <c r="Q18" t="s">
        <v>94</v>
      </c>
      <c r="R18">
        <v>12</v>
      </c>
      <c r="S18">
        <v>9.6000000000000002E-4</v>
      </c>
      <c r="U18">
        <v>1971</v>
      </c>
      <c r="V18" t="s">
        <v>110</v>
      </c>
      <c r="W18">
        <v>7.5</v>
      </c>
      <c r="X18">
        <v>8.9800000000000004E-4</v>
      </c>
    </row>
    <row r="19" spans="1:24" x14ac:dyDescent="0.25">
      <c r="A19">
        <v>1973</v>
      </c>
      <c r="B19" t="s">
        <v>97</v>
      </c>
      <c r="C19">
        <v>4.2</v>
      </c>
      <c r="D19">
        <v>13.394</v>
      </c>
      <c r="F19">
        <v>1973</v>
      </c>
      <c r="G19" t="s">
        <v>96</v>
      </c>
      <c r="H19">
        <v>4.2497999999999996</v>
      </c>
      <c r="I19" s="5">
        <v>2.5550000000000001E-5</v>
      </c>
      <c r="K19">
        <v>1966</v>
      </c>
      <c r="L19" t="s">
        <v>105</v>
      </c>
      <c r="M19">
        <v>15</v>
      </c>
      <c r="N19">
        <v>12.42</v>
      </c>
      <c r="P19">
        <v>1970</v>
      </c>
      <c r="Q19" t="s">
        <v>107</v>
      </c>
      <c r="R19">
        <v>12</v>
      </c>
      <c r="S19">
        <v>9.8700000000000003E-4</v>
      </c>
      <c r="U19">
        <v>1971</v>
      </c>
      <c r="V19" t="s">
        <v>110</v>
      </c>
      <c r="W19">
        <v>8</v>
      </c>
      <c r="X19">
        <v>8.9999999999999998E-4</v>
      </c>
    </row>
    <row r="20" spans="1:24" x14ac:dyDescent="0.25">
      <c r="A20">
        <v>1965</v>
      </c>
      <c r="B20" t="s">
        <v>94</v>
      </c>
      <c r="C20">
        <v>4.25</v>
      </c>
      <c r="D20">
        <v>13.3083096995116</v>
      </c>
      <c r="F20">
        <v>1973</v>
      </c>
      <c r="G20" t="s">
        <v>96</v>
      </c>
      <c r="H20">
        <v>4.4980000000000002</v>
      </c>
      <c r="I20" s="5">
        <v>2.9859999999999999E-5</v>
      </c>
      <c r="K20">
        <v>1966</v>
      </c>
      <c r="L20" t="s">
        <v>105</v>
      </c>
      <c r="M20">
        <v>16</v>
      </c>
      <c r="N20">
        <v>13.71</v>
      </c>
      <c r="P20">
        <v>1970</v>
      </c>
      <c r="Q20" t="s">
        <v>107</v>
      </c>
      <c r="R20">
        <v>13</v>
      </c>
      <c r="S20">
        <v>1.0200000000000001E-3</v>
      </c>
      <c r="U20">
        <v>1971</v>
      </c>
      <c r="V20" t="s">
        <v>110</v>
      </c>
      <c r="W20">
        <v>8.5</v>
      </c>
      <c r="X20">
        <v>9.0300000000000005E-4</v>
      </c>
    </row>
    <row r="21" spans="1:24" x14ac:dyDescent="0.25">
      <c r="A21">
        <v>1965</v>
      </c>
      <c r="B21" t="s">
        <v>94</v>
      </c>
      <c r="C21">
        <v>4.5</v>
      </c>
      <c r="D21">
        <v>13.3902</v>
      </c>
      <c r="F21">
        <v>1975</v>
      </c>
      <c r="G21" t="s">
        <v>96</v>
      </c>
      <c r="H21">
        <v>4.5</v>
      </c>
      <c r="I21" s="5">
        <v>8.9549999999999995E-5</v>
      </c>
      <c r="K21">
        <v>1936</v>
      </c>
      <c r="L21" t="s">
        <v>93</v>
      </c>
      <c r="M21">
        <v>16.63</v>
      </c>
      <c r="N21">
        <v>14.016400000000001</v>
      </c>
      <c r="P21">
        <v>1972</v>
      </c>
      <c r="Q21" t="s">
        <v>108</v>
      </c>
      <c r="R21">
        <v>13.5</v>
      </c>
      <c r="S21">
        <v>9.7400000000000004E-4</v>
      </c>
      <c r="U21">
        <v>1971</v>
      </c>
      <c r="V21" t="s">
        <v>110</v>
      </c>
      <c r="W21">
        <v>9</v>
      </c>
      <c r="X21">
        <v>9.0700000000000004E-4</v>
      </c>
    </row>
    <row r="22" spans="1:24" x14ac:dyDescent="0.25">
      <c r="A22">
        <v>1975</v>
      </c>
      <c r="B22" t="s">
        <v>96</v>
      </c>
      <c r="C22">
        <v>4.5</v>
      </c>
      <c r="D22">
        <v>13.391999999999999</v>
      </c>
      <c r="F22">
        <v>1973</v>
      </c>
      <c r="G22" t="s">
        <v>96</v>
      </c>
      <c r="H22">
        <v>5</v>
      </c>
      <c r="I22" s="5">
        <v>4.4549999999999999E-5</v>
      </c>
      <c r="K22">
        <v>1966</v>
      </c>
      <c r="L22" t="s">
        <v>105</v>
      </c>
      <c r="M22">
        <v>17</v>
      </c>
      <c r="N22">
        <v>15.01</v>
      </c>
      <c r="P22">
        <v>1967</v>
      </c>
      <c r="Q22" t="s">
        <v>94</v>
      </c>
      <c r="R22">
        <v>14</v>
      </c>
      <c r="S22">
        <v>1E-3</v>
      </c>
      <c r="U22">
        <v>1971</v>
      </c>
      <c r="V22" t="s">
        <v>110</v>
      </c>
      <c r="W22">
        <v>9.5</v>
      </c>
      <c r="X22">
        <v>9.1200000000000005E-4</v>
      </c>
    </row>
    <row r="23" spans="1:24" x14ac:dyDescent="0.25">
      <c r="A23">
        <v>1992</v>
      </c>
      <c r="B23" t="s">
        <v>98</v>
      </c>
      <c r="C23">
        <v>4.7</v>
      </c>
      <c r="D23">
        <v>13.39</v>
      </c>
      <c r="F23">
        <v>1971</v>
      </c>
      <c r="G23" t="s">
        <v>103</v>
      </c>
      <c r="H23">
        <v>5</v>
      </c>
      <c r="I23">
        <v>1.3799999999999999E-4</v>
      </c>
      <c r="K23">
        <v>1966</v>
      </c>
      <c r="L23" t="s">
        <v>105</v>
      </c>
      <c r="M23">
        <v>18</v>
      </c>
      <c r="N23">
        <v>16.350000000000001</v>
      </c>
      <c r="P23">
        <v>1970</v>
      </c>
      <c r="Q23" t="s">
        <v>107</v>
      </c>
      <c r="R23">
        <v>14</v>
      </c>
      <c r="S23">
        <v>1.0499999999999999E-3</v>
      </c>
      <c r="U23">
        <v>1971</v>
      </c>
      <c r="V23" t="s">
        <v>110</v>
      </c>
      <c r="W23">
        <v>10</v>
      </c>
      <c r="X23">
        <v>9.1699999999999995E-4</v>
      </c>
    </row>
    <row r="24" spans="1:24" x14ac:dyDescent="0.25">
      <c r="A24">
        <v>1968</v>
      </c>
      <c r="B24" t="s">
        <v>100</v>
      </c>
      <c r="C24">
        <v>4.7</v>
      </c>
      <c r="D24">
        <v>13.3745632493901</v>
      </c>
      <c r="F24">
        <v>1975</v>
      </c>
      <c r="G24" t="s">
        <v>96</v>
      </c>
      <c r="H24">
        <v>5</v>
      </c>
      <c r="I24">
        <v>1.283E-4</v>
      </c>
      <c r="K24">
        <v>1936</v>
      </c>
      <c r="L24" t="s">
        <v>93</v>
      </c>
      <c r="M24">
        <v>18.54</v>
      </c>
      <c r="N24">
        <v>16.066559999999999</v>
      </c>
      <c r="P24">
        <v>1970</v>
      </c>
      <c r="Q24" t="s">
        <v>107</v>
      </c>
      <c r="R24">
        <v>15</v>
      </c>
      <c r="S24">
        <v>1.1000000000000001E-3</v>
      </c>
      <c r="U24">
        <v>1971</v>
      </c>
      <c r="V24" t="s">
        <v>110</v>
      </c>
      <c r="W24">
        <v>11</v>
      </c>
      <c r="X24">
        <v>9.2800000000000001E-4</v>
      </c>
    </row>
    <row r="25" spans="1:24" x14ac:dyDescent="0.25">
      <c r="A25">
        <v>1967</v>
      </c>
      <c r="B25" t="s">
        <v>94</v>
      </c>
      <c r="C25">
        <v>5</v>
      </c>
      <c r="D25">
        <v>13.390643662906401</v>
      </c>
      <c r="F25">
        <v>1967</v>
      </c>
      <c r="G25" t="s">
        <v>94</v>
      </c>
      <c r="H25">
        <v>5</v>
      </c>
      <c r="I25">
        <v>1.3799999999999999E-4</v>
      </c>
      <c r="K25">
        <v>1936</v>
      </c>
      <c r="L25" t="s">
        <v>93</v>
      </c>
      <c r="M25">
        <v>18.850000000000001</v>
      </c>
      <c r="N25">
        <v>16.610479999999999</v>
      </c>
      <c r="P25">
        <v>1967</v>
      </c>
      <c r="Q25" t="s">
        <v>94</v>
      </c>
      <c r="R25">
        <v>16</v>
      </c>
      <c r="S25">
        <v>1.07E-3</v>
      </c>
      <c r="U25">
        <v>1971</v>
      </c>
      <c r="V25" t="s">
        <v>110</v>
      </c>
      <c r="W25">
        <v>12</v>
      </c>
      <c r="X25">
        <v>9.4200000000000002E-4</v>
      </c>
    </row>
    <row r="26" spans="1:24" x14ac:dyDescent="0.25">
      <c r="A26">
        <v>1965</v>
      </c>
      <c r="B26" t="s">
        <v>94</v>
      </c>
      <c r="C26">
        <v>5</v>
      </c>
      <c r="D26">
        <v>13.391</v>
      </c>
      <c r="F26">
        <v>1971</v>
      </c>
      <c r="G26" t="s">
        <v>103</v>
      </c>
      <c r="H26">
        <v>6</v>
      </c>
      <c r="I26">
        <v>2.4600000000000002E-4</v>
      </c>
      <c r="K26">
        <v>1966</v>
      </c>
      <c r="L26" t="s">
        <v>105</v>
      </c>
      <c r="M26">
        <v>19</v>
      </c>
      <c r="N26">
        <v>17.73</v>
      </c>
      <c r="P26">
        <v>1970</v>
      </c>
      <c r="Q26" t="s">
        <v>107</v>
      </c>
      <c r="R26">
        <v>16</v>
      </c>
      <c r="S26">
        <v>1.15E-3</v>
      </c>
      <c r="U26">
        <v>1971</v>
      </c>
      <c r="V26" t="s">
        <v>110</v>
      </c>
      <c r="W26">
        <v>13</v>
      </c>
      <c r="X26">
        <v>9.59E-4</v>
      </c>
    </row>
    <row r="27" spans="1:24" x14ac:dyDescent="0.25">
      <c r="A27">
        <v>1975</v>
      </c>
      <c r="B27" t="s">
        <v>96</v>
      </c>
      <c r="C27">
        <v>5</v>
      </c>
      <c r="D27">
        <v>13.393000000000001</v>
      </c>
      <c r="F27">
        <v>1967</v>
      </c>
      <c r="G27" t="s">
        <v>94</v>
      </c>
      <c r="H27">
        <v>6</v>
      </c>
      <c r="I27">
        <v>2.4600000000000002E-4</v>
      </c>
      <c r="K27">
        <v>1966</v>
      </c>
      <c r="L27" t="s">
        <v>105</v>
      </c>
      <c r="M27">
        <v>20</v>
      </c>
      <c r="N27">
        <v>19.14</v>
      </c>
      <c r="P27">
        <v>1970</v>
      </c>
      <c r="Q27" t="s">
        <v>107</v>
      </c>
      <c r="R27">
        <v>17</v>
      </c>
      <c r="S27">
        <v>1.1999999999999999E-3</v>
      </c>
      <c r="U27">
        <v>1971</v>
      </c>
      <c r="V27" t="s">
        <v>110</v>
      </c>
      <c r="W27">
        <v>14</v>
      </c>
      <c r="X27">
        <v>9.7999999999999997E-4</v>
      </c>
    </row>
    <row r="28" spans="1:24" x14ac:dyDescent="0.25">
      <c r="A28">
        <v>1975</v>
      </c>
      <c r="B28" t="s">
        <v>96</v>
      </c>
      <c r="C28">
        <v>5.5</v>
      </c>
      <c r="D28">
        <v>13.394</v>
      </c>
      <c r="F28">
        <v>1973</v>
      </c>
      <c r="G28" t="s">
        <v>96</v>
      </c>
      <c r="H28">
        <v>6.0004</v>
      </c>
      <c r="I28" s="5">
        <v>8.1769999999999998E-5</v>
      </c>
      <c r="K28">
        <v>1936</v>
      </c>
      <c r="L28" t="s">
        <v>93</v>
      </c>
      <c r="M28">
        <v>20</v>
      </c>
      <c r="N28">
        <v>17.865679999999902</v>
      </c>
      <c r="P28">
        <v>1967</v>
      </c>
      <c r="Q28" t="s">
        <v>94</v>
      </c>
      <c r="R28">
        <v>18</v>
      </c>
      <c r="S28">
        <v>1.24E-3</v>
      </c>
      <c r="U28">
        <v>1971</v>
      </c>
      <c r="V28" t="s">
        <v>110</v>
      </c>
      <c r="W28">
        <v>15</v>
      </c>
      <c r="X28">
        <v>1E-3</v>
      </c>
    </row>
    <row r="29" spans="1:24" x14ac:dyDescent="0.25">
      <c r="A29">
        <v>1967</v>
      </c>
      <c r="B29" t="s">
        <v>94</v>
      </c>
      <c r="C29">
        <v>6</v>
      </c>
      <c r="D29">
        <v>13.392421024688</v>
      </c>
      <c r="F29">
        <v>1973</v>
      </c>
      <c r="G29" t="s">
        <v>96</v>
      </c>
      <c r="H29">
        <v>6.9999000000000002</v>
      </c>
      <c r="I29">
        <v>1.3229999999999999E-4</v>
      </c>
      <c r="K29">
        <v>1936</v>
      </c>
      <c r="L29" t="s">
        <v>93</v>
      </c>
      <c r="M29">
        <v>20.85</v>
      </c>
      <c r="N29">
        <v>19.204560000000001</v>
      </c>
      <c r="P29">
        <v>1970</v>
      </c>
      <c r="Q29" t="s">
        <v>107</v>
      </c>
      <c r="R29">
        <v>18</v>
      </c>
      <c r="S29">
        <v>1.2600000000000001E-3</v>
      </c>
      <c r="U29">
        <v>1971</v>
      </c>
      <c r="V29" t="s">
        <v>110</v>
      </c>
      <c r="W29">
        <v>16</v>
      </c>
      <c r="X29">
        <v>1.0300000000000001E-3</v>
      </c>
    </row>
    <row r="30" spans="1:24" x14ac:dyDescent="0.25">
      <c r="A30">
        <v>1965</v>
      </c>
      <c r="B30" t="s">
        <v>94</v>
      </c>
      <c r="C30">
        <v>6</v>
      </c>
      <c r="D30">
        <v>13.3935</v>
      </c>
      <c r="F30">
        <v>1971</v>
      </c>
      <c r="G30" t="s">
        <v>103</v>
      </c>
      <c r="H30">
        <v>7</v>
      </c>
      <c r="I30">
        <v>3.9300000000000001E-4</v>
      </c>
      <c r="K30">
        <v>1936</v>
      </c>
      <c r="L30" t="s">
        <v>93</v>
      </c>
      <c r="M30">
        <v>20.9</v>
      </c>
      <c r="N30">
        <v>19.204560000000001</v>
      </c>
      <c r="P30">
        <v>1970</v>
      </c>
      <c r="Q30" t="s">
        <v>107</v>
      </c>
      <c r="R30">
        <v>19</v>
      </c>
      <c r="S30">
        <v>1.32E-3</v>
      </c>
      <c r="U30">
        <v>1971</v>
      </c>
      <c r="V30" t="s">
        <v>110</v>
      </c>
      <c r="W30">
        <v>17</v>
      </c>
      <c r="X30">
        <v>1.06E-3</v>
      </c>
    </row>
    <row r="31" spans="1:24" x14ac:dyDescent="0.25">
      <c r="A31">
        <v>1975</v>
      </c>
      <c r="B31" t="s">
        <v>96</v>
      </c>
      <c r="C31">
        <v>6</v>
      </c>
      <c r="D31">
        <v>13.395</v>
      </c>
      <c r="F31">
        <v>1967</v>
      </c>
      <c r="G31" t="s">
        <v>94</v>
      </c>
      <c r="H31">
        <v>7</v>
      </c>
      <c r="I31">
        <v>3.9300000000000001E-4</v>
      </c>
      <c r="K31">
        <v>1966</v>
      </c>
      <c r="L31" t="s">
        <v>105</v>
      </c>
      <c r="M31">
        <v>21</v>
      </c>
      <c r="N31">
        <v>20.84</v>
      </c>
      <c r="P31">
        <v>1970</v>
      </c>
      <c r="Q31" t="s">
        <v>107</v>
      </c>
      <c r="R31">
        <v>20</v>
      </c>
      <c r="S31">
        <v>1.39E-3</v>
      </c>
      <c r="U31">
        <v>1971</v>
      </c>
      <c r="V31" t="s">
        <v>110</v>
      </c>
      <c r="W31">
        <v>18</v>
      </c>
      <c r="X31">
        <v>1.09E-3</v>
      </c>
    </row>
    <row r="32" spans="1:24" x14ac:dyDescent="0.25">
      <c r="A32">
        <v>1975</v>
      </c>
      <c r="B32" t="s">
        <v>96</v>
      </c>
      <c r="C32">
        <v>6.5</v>
      </c>
      <c r="D32">
        <v>13.397</v>
      </c>
      <c r="F32">
        <v>1973</v>
      </c>
      <c r="G32" t="s">
        <v>96</v>
      </c>
      <c r="H32">
        <v>7.0011000000000001</v>
      </c>
      <c r="I32">
        <v>1.325E-4</v>
      </c>
      <c r="K32">
        <v>1966</v>
      </c>
      <c r="L32" t="s">
        <v>105</v>
      </c>
      <c r="M32">
        <v>22</v>
      </c>
      <c r="N32">
        <v>22.72</v>
      </c>
      <c r="P32">
        <v>1970</v>
      </c>
      <c r="Q32" t="s">
        <v>107</v>
      </c>
      <c r="R32">
        <v>21</v>
      </c>
      <c r="S32">
        <v>1.4599999999999999E-3</v>
      </c>
      <c r="U32">
        <v>1971</v>
      </c>
      <c r="V32" t="s">
        <v>110</v>
      </c>
      <c r="W32">
        <v>19</v>
      </c>
      <c r="X32">
        <v>1.1299999999999999E-3</v>
      </c>
    </row>
    <row r="33" spans="1:24" x14ac:dyDescent="0.25">
      <c r="A33">
        <v>1967</v>
      </c>
      <c r="B33" t="s">
        <v>94</v>
      </c>
      <c r="C33">
        <v>7</v>
      </c>
      <c r="D33">
        <v>13.3968664940582</v>
      </c>
      <c r="F33">
        <v>1971</v>
      </c>
      <c r="G33" t="s">
        <v>103</v>
      </c>
      <c r="H33">
        <v>8</v>
      </c>
      <c r="I33">
        <v>5.7300000000000005E-4</v>
      </c>
      <c r="K33">
        <v>1936</v>
      </c>
      <c r="L33" t="s">
        <v>93</v>
      </c>
      <c r="M33">
        <v>22.1</v>
      </c>
      <c r="N33">
        <v>21.04552</v>
      </c>
      <c r="P33">
        <v>1970</v>
      </c>
      <c r="Q33" t="s">
        <v>107</v>
      </c>
      <c r="R33">
        <v>22</v>
      </c>
      <c r="S33">
        <v>1.5399999999999999E-3</v>
      </c>
      <c r="U33">
        <v>1971</v>
      </c>
      <c r="V33" t="s">
        <v>110</v>
      </c>
      <c r="W33">
        <v>20</v>
      </c>
      <c r="X33">
        <v>1.16E-3</v>
      </c>
    </row>
    <row r="34" spans="1:24" x14ac:dyDescent="0.25">
      <c r="A34">
        <v>1965</v>
      </c>
      <c r="B34" t="s">
        <v>94</v>
      </c>
      <c r="C34">
        <v>7</v>
      </c>
      <c r="D34">
        <v>13.3977</v>
      </c>
      <c r="F34">
        <v>1967</v>
      </c>
      <c r="G34" t="s">
        <v>94</v>
      </c>
      <c r="H34">
        <v>8</v>
      </c>
      <c r="I34">
        <v>5.7300000000000005E-4</v>
      </c>
      <c r="K34">
        <v>1936</v>
      </c>
      <c r="L34" t="s">
        <v>93</v>
      </c>
      <c r="M34">
        <v>22.7</v>
      </c>
      <c r="N34">
        <v>22.1752</v>
      </c>
      <c r="P34">
        <v>1970</v>
      </c>
      <c r="Q34" t="s">
        <v>107</v>
      </c>
      <c r="R34">
        <v>23</v>
      </c>
      <c r="S34">
        <v>1.6199999999999999E-3</v>
      </c>
      <c r="U34">
        <v>1971</v>
      </c>
      <c r="V34" t="s">
        <v>110</v>
      </c>
      <c r="W34">
        <v>21</v>
      </c>
      <c r="X34">
        <v>1.1999999999999999E-3</v>
      </c>
    </row>
    <row r="35" spans="1:24" x14ac:dyDescent="0.25">
      <c r="A35">
        <v>1975</v>
      </c>
      <c r="B35" t="s">
        <v>96</v>
      </c>
      <c r="C35">
        <v>7</v>
      </c>
      <c r="D35">
        <v>13.3995</v>
      </c>
      <c r="F35">
        <v>1973</v>
      </c>
      <c r="G35" t="s">
        <v>96</v>
      </c>
      <c r="H35">
        <v>8.0000999999999998</v>
      </c>
      <c r="I35">
        <v>1.972E-4</v>
      </c>
      <c r="K35">
        <v>1936</v>
      </c>
      <c r="L35" t="s">
        <v>93</v>
      </c>
      <c r="M35">
        <v>22.85</v>
      </c>
      <c r="N35">
        <v>22.635439999999999</v>
      </c>
      <c r="P35">
        <v>1970</v>
      </c>
      <c r="Q35" t="s">
        <v>107</v>
      </c>
      <c r="R35">
        <v>24</v>
      </c>
      <c r="S35">
        <v>1.7099999999999999E-3</v>
      </c>
      <c r="U35">
        <v>1971</v>
      </c>
      <c r="V35" t="s">
        <v>110</v>
      </c>
      <c r="W35">
        <v>22</v>
      </c>
      <c r="X35">
        <v>1.24E-3</v>
      </c>
    </row>
    <row r="36" spans="1:24" x14ac:dyDescent="0.25">
      <c r="A36">
        <v>1975</v>
      </c>
      <c r="B36" t="s">
        <v>96</v>
      </c>
      <c r="C36">
        <v>7.5</v>
      </c>
      <c r="D36">
        <v>13.401999999999999</v>
      </c>
      <c r="F36">
        <v>1973</v>
      </c>
      <c r="G36" t="s">
        <v>96</v>
      </c>
      <c r="H36">
        <v>8.0000999999999998</v>
      </c>
      <c r="I36">
        <v>1.952E-4</v>
      </c>
      <c r="K36">
        <v>1966</v>
      </c>
      <c r="L36" t="s">
        <v>105</v>
      </c>
      <c r="M36">
        <v>23</v>
      </c>
      <c r="N36">
        <v>24.63</v>
      </c>
      <c r="U36">
        <v>1971</v>
      </c>
      <c r="V36" t="s">
        <v>110</v>
      </c>
      <c r="W36">
        <v>23</v>
      </c>
      <c r="X36">
        <v>1.2800000000000001E-3</v>
      </c>
    </row>
    <row r="37" spans="1:24" x14ac:dyDescent="0.25">
      <c r="A37">
        <v>1967</v>
      </c>
      <c r="B37" t="s">
        <v>94</v>
      </c>
      <c r="C37">
        <v>8</v>
      </c>
      <c r="D37">
        <v>13.403095111583401</v>
      </c>
      <c r="F37">
        <v>1973</v>
      </c>
      <c r="G37" t="s">
        <v>96</v>
      </c>
      <c r="H37">
        <v>9</v>
      </c>
      <c r="I37">
        <v>1.972E-4</v>
      </c>
      <c r="K37">
        <v>1936</v>
      </c>
      <c r="L37" t="s">
        <v>93</v>
      </c>
      <c r="M37">
        <v>23.5</v>
      </c>
      <c r="N37">
        <v>24.35088</v>
      </c>
      <c r="U37">
        <v>1977</v>
      </c>
      <c r="V37" t="s">
        <v>111</v>
      </c>
      <c r="W37">
        <v>23.7</v>
      </c>
      <c r="X37">
        <v>1.1199999999999999E-3</v>
      </c>
    </row>
    <row r="38" spans="1:24" x14ac:dyDescent="0.25">
      <c r="A38">
        <v>1965</v>
      </c>
      <c r="B38" t="s">
        <v>94</v>
      </c>
      <c r="C38">
        <v>8</v>
      </c>
      <c r="D38">
        <v>13.404199999999999</v>
      </c>
      <c r="F38">
        <v>1971</v>
      </c>
      <c r="G38" t="s">
        <v>103</v>
      </c>
      <c r="H38">
        <v>9</v>
      </c>
      <c r="I38">
        <v>7.8600000000000002E-4</v>
      </c>
      <c r="K38">
        <v>1966</v>
      </c>
      <c r="L38" t="s">
        <v>105</v>
      </c>
      <c r="M38">
        <v>24</v>
      </c>
      <c r="N38">
        <v>26.48</v>
      </c>
      <c r="U38">
        <v>1977</v>
      </c>
      <c r="V38" t="s">
        <v>111</v>
      </c>
      <c r="W38">
        <v>24.3</v>
      </c>
      <c r="X38">
        <v>1.14E-3</v>
      </c>
    </row>
    <row r="39" spans="1:24" x14ac:dyDescent="0.25">
      <c r="A39">
        <v>1975</v>
      </c>
      <c r="B39" t="s">
        <v>96</v>
      </c>
      <c r="C39">
        <v>8</v>
      </c>
      <c r="D39">
        <v>13.406000000000001</v>
      </c>
      <c r="F39">
        <v>1967</v>
      </c>
      <c r="G39" t="s">
        <v>94</v>
      </c>
      <c r="H39">
        <v>9</v>
      </c>
      <c r="I39">
        <v>7.8600000000000002E-4</v>
      </c>
      <c r="U39">
        <v>1975</v>
      </c>
      <c r="V39" t="s">
        <v>112</v>
      </c>
      <c r="W39">
        <v>24.3</v>
      </c>
      <c r="X39">
        <v>1.14E-3</v>
      </c>
    </row>
    <row r="40" spans="1:24" x14ac:dyDescent="0.25">
      <c r="A40">
        <v>1975</v>
      </c>
      <c r="B40" t="s">
        <v>96</v>
      </c>
      <c r="C40">
        <v>8.5</v>
      </c>
      <c r="D40">
        <v>13.41</v>
      </c>
      <c r="F40">
        <v>1971</v>
      </c>
      <c r="G40" t="s">
        <v>103</v>
      </c>
      <c r="H40">
        <v>10</v>
      </c>
      <c r="I40">
        <v>1.0200000000000001E-3</v>
      </c>
      <c r="U40">
        <v>1972</v>
      </c>
      <c r="V40" t="s">
        <v>113</v>
      </c>
      <c r="W40">
        <v>24.3</v>
      </c>
      <c r="X40">
        <v>1.1299999999999999E-3</v>
      </c>
    </row>
    <row r="41" spans="1:24" x14ac:dyDescent="0.25">
      <c r="A41">
        <v>1967</v>
      </c>
      <c r="B41" t="s">
        <v>94</v>
      </c>
      <c r="C41">
        <v>9</v>
      </c>
      <c r="D41">
        <v>13.4128946493851</v>
      </c>
      <c r="F41">
        <v>1967</v>
      </c>
      <c r="G41" t="s">
        <v>94</v>
      </c>
      <c r="H41">
        <v>10</v>
      </c>
      <c r="I41">
        <v>1.0169999999999999E-3</v>
      </c>
    </row>
    <row r="42" spans="1:24" x14ac:dyDescent="0.25">
      <c r="A42">
        <v>1965</v>
      </c>
      <c r="B42" t="s">
        <v>94</v>
      </c>
      <c r="C42">
        <v>9</v>
      </c>
      <c r="D42">
        <v>13.413399999999999</v>
      </c>
      <c r="F42">
        <v>1971</v>
      </c>
      <c r="G42" t="s">
        <v>103</v>
      </c>
      <c r="H42">
        <v>11</v>
      </c>
      <c r="I42">
        <v>1.2700000000000001E-3</v>
      </c>
    </row>
    <row r="43" spans="1:24" x14ac:dyDescent="0.25">
      <c r="A43">
        <v>1975</v>
      </c>
      <c r="B43" t="s">
        <v>96</v>
      </c>
      <c r="C43">
        <v>9</v>
      </c>
      <c r="D43">
        <v>13.414999999999999</v>
      </c>
      <c r="F43">
        <v>1967</v>
      </c>
      <c r="G43" t="s">
        <v>94</v>
      </c>
      <c r="H43">
        <v>11</v>
      </c>
      <c r="I43">
        <v>1.2689999999999999E-3</v>
      </c>
    </row>
    <row r="44" spans="1:24" x14ac:dyDescent="0.25">
      <c r="A44">
        <v>1992</v>
      </c>
      <c r="B44" t="s">
        <v>98</v>
      </c>
      <c r="C44">
        <v>9.4</v>
      </c>
      <c r="D44">
        <v>13.42</v>
      </c>
      <c r="F44">
        <v>1971</v>
      </c>
      <c r="G44" t="s">
        <v>103</v>
      </c>
      <c r="H44">
        <v>12</v>
      </c>
      <c r="I44">
        <v>1.5399999999999999E-3</v>
      </c>
    </row>
    <row r="45" spans="1:24" x14ac:dyDescent="0.25">
      <c r="A45">
        <v>1975</v>
      </c>
      <c r="B45" t="s">
        <v>96</v>
      </c>
      <c r="C45">
        <v>9.5</v>
      </c>
      <c r="D45">
        <v>13.42</v>
      </c>
      <c r="F45">
        <v>1967</v>
      </c>
      <c r="G45" t="s">
        <v>94</v>
      </c>
      <c r="H45">
        <v>12</v>
      </c>
      <c r="I45">
        <v>1.539E-3</v>
      </c>
    </row>
    <row r="46" spans="1:24" x14ac:dyDescent="0.25">
      <c r="A46">
        <v>1967</v>
      </c>
      <c r="B46" t="s">
        <v>94</v>
      </c>
      <c r="C46">
        <v>10</v>
      </c>
      <c r="D46">
        <v>13.4244944119212</v>
      </c>
      <c r="F46">
        <v>1971</v>
      </c>
      <c r="G46" t="s">
        <v>103</v>
      </c>
      <c r="H46">
        <v>13</v>
      </c>
      <c r="I46">
        <v>1.82E-3</v>
      </c>
    </row>
    <row r="47" spans="1:24" x14ac:dyDescent="0.25">
      <c r="A47">
        <v>1965</v>
      </c>
      <c r="B47" t="s">
        <v>94</v>
      </c>
      <c r="C47">
        <v>10</v>
      </c>
      <c r="D47">
        <v>13.4254</v>
      </c>
      <c r="F47">
        <v>1967</v>
      </c>
      <c r="G47" t="s">
        <v>94</v>
      </c>
      <c r="H47">
        <v>13</v>
      </c>
      <c r="I47">
        <v>1.818E-3</v>
      </c>
    </row>
    <row r="48" spans="1:24" x14ac:dyDescent="0.25">
      <c r="A48">
        <v>1975</v>
      </c>
      <c r="B48" t="s">
        <v>96</v>
      </c>
      <c r="C48">
        <v>10</v>
      </c>
      <c r="D48">
        <v>13.427</v>
      </c>
      <c r="F48">
        <v>1971</v>
      </c>
      <c r="G48" t="s">
        <v>103</v>
      </c>
      <c r="H48">
        <v>14</v>
      </c>
      <c r="I48">
        <v>2.1099999999999999E-3</v>
      </c>
    </row>
    <row r="49" spans="1:9" x14ac:dyDescent="0.25">
      <c r="A49">
        <v>1967</v>
      </c>
      <c r="B49" t="s">
        <v>94</v>
      </c>
      <c r="C49">
        <v>11</v>
      </c>
      <c r="D49">
        <v>13.4396936396936</v>
      </c>
      <c r="F49">
        <v>1967</v>
      </c>
      <c r="G49" t="s">
        <v>94</v>
      </c>
      <c r="H49">
        <v>14</v>
      </c>
      <c r="I49">
        <v>2.1090000000000002E-3</v>
      </c>
    </row>
    <row r="50" spans="1:9" x14ac:dyDescent="0.25">
      <c r="A50">
        <v>1965</v>
      </c>
      <c r="B50" t="s">
        <v>94</v>
      </c>
      <c r="C50">
        <v>11</v>
      </c>
      <c r="D50">
        <v>13.440799999999999</v>
      </c>
      <c r="F50">
        <v>1971</v>
      </c>
      <c r="G50" t="s">
        <v>103</v>
      </c>
      <c r="H50">
        <v>15</v>
      </c>
      <c r="I50">
        <v>2.4099999999999998E-3</v>
      </c>
    </row>
    <row r="51" spans="1:9" x14ac:dyDescent="0.25">
      <c r="A51">
        <v>1975</v>
      </c>
      <c r="B51" t="s">
        <v>96</v>
      </c>
      <c r="C51">
        <v>11</v>
      </c>
      <c r="D51">
        <v>13.442</v>
      </c>
      <c r="F51">
        <v>1967</v>
      </c>
      <c r="G51" t="s">
        <v>94</v>
      </c>
      <c r="H51">
        <v>15</v>
      </c>
      <c r="I51">
        <v>2.4090000000000001E-3</v>
      </c>
    </row>
    <row r="52" spans="1:9" x14ac:dyDescent="0.25">
      <c r="A52">
        <v>1992</v>
      </c>
      <c r="B52" t="s">
        <v>98</v>
      </c>
      <c r="C52">
        <v>11.4</v>
      </c>
      <c r="D52">
        <v>13.45</v>
      </c>
      <c r="F52">
        <v>1971</v>
      </c>
      <c r="G52" t="s">
        <v>103</v>
      </c>
      <c r="H52">
        <v>16</v>
      </c>
      <c r="I52">
        <v>2.7000000000000001E-3</v>
      </c>
    </row>
    <row r="53" spans="1:9" x14ac:dyDescent="0.25">
      <c r="A53">
        <v>1967</v>
      </c>
      <c r="B53" t="s">
        <v>94</v>
      </c>
      <c r="C53">
        <v>12</v>
      </c>
      <c r="D53">
        <v>13.4585167400293</v>
      </c>
      <c r="F53">
        <v>1967</v>
      </c>
      <c r="G53" t="s">
        <v>94</v>
      </c>
      <c r="H53">
        <v>16</v>
      </c>
      <c r="I53">
        <v>2.7000000000000001E-3</v>
      </c>
    </row>
    <row r="54" spans="1:9" x14ac:dyDescent="0.25">
      <c r="A54">
        <v>1965</v>
      </c>
      <c r="B54" t="s">
        <v>94</v>
      </c>
      <c r="C54">
        <v>12</v>
      </c>
      <c r="D54">
        <v>13.4597</v>
      </c>
      <c r="F54">
        <v>1971</v>
      </c>
      <c r="G54" t="s">
        <v>103</v>
      </c>
      <c r="H54">
        <v>17</v>
      </c>
      <c r="I54">
        <v>3.0000000000000001E-3</v>
      </c>
    </row>
    <row r="55" spans="1:9" x14ac:dyDescent="0.25">
      <c r="A55">
        <v>1975</v>
      </c>
      <c r="B55" t="s">
        <v>96</v>
      </c>
      <c r="C55">
        <v>12</v>
      </c>
      <c r="D55">
        <v>13.461</v>
      </c>
      <c r="F55">
        <v>1967</v>
      </c>
      <c r="G55" t="s">
        <v>94</v>
      </c>
      <c r="H55">
        <v>17</v>
      </c>
      <c r="I55">
        <v>2.9970000000000001E-3</v>
      </c>
    </row>
    <row r="56" spans="1:9" x14ac:dyDescent="0.25">
      <c r="A56">
        <v>1967</v>
      </c>
      <c r="B56" t="s">
        <v>94</v>
      </c>
      <c r="C56">
        <v>13</v>
      </c>
      <c r="D56">
        <v>13.4818947087119</v>
      </c>
      <c r="F56">
        <v>1971</v>
      </c>
      <c r="G56" t="s">
        <v>103</v>
      </c>
      <c r="H56">
        <v>18</v>
      </c>
      <c r="I56">
        <v>3.31E-3</v>
      </c>
    </row>
    <row r="57" spans="1:9" x14ac:dyDescent="0.25">
      <c r="A57">
        <v>1965</v>
      </c>
      <c r="B57" t="s">
        <v>94</v>
      </c>
      <c r="C57">
        <v>13</v>
      </c>
      <c r="D57">
        <v>13.4823</v>
      </c>
      <c r="F57">
        <v>1967</v>
      </c>
      <c r="G57" t="s">
        <v>94</v>
      </c>
      <c r="H57">
        <v>18</v>
      </c>
      <c r="I57">
        <v>3.3119999999999998E-3</v>
      </c>
    </row>
    <row r="58" spans="1:9" x14ac:dyDescent="0.25">
      <c r="A58">
        <v>1975</v>
      </c>
      <c r="B58" t="s">
        <v>96</v>
      </c>
      <c r="C58">
        <v>13</v>
      </c>
      <c r="D58">
        <v>13.484</v>
      </c>
      <c r="F58">
        <v>1971</v>
      </c>
      <c r="G58" t="s">
        <v>103</v>
      </c>
      <c r="H58">
        <v>19</v>
      </c>
      <c r="I58">
        <v>3.65E-3</v>
      </c>
    </row>
    <row r="59" spans="1:9" x14ac:dyDescent="0.25">
      <c r="A59">
        <v>1973</v>
      </c>
      <c r="B59" t="s">
        <v>97</v>
      </c>
      <c r="C59">
        <v>13.5</v>
      </c>
      <c r="D59">
        <v>13.49</v>
      </c>
      <c r="F59">
        <v>1967</v>
      </c>
      <c r="G59" t="s">
        <v>94</v>
      </c>
      <c r="H59">
        <v>19</v>
      </c>
      <c r="I59">
        <v>3.6540000000000001E-3</v>
      </c>
    </row>
    <row r="60" spans="1:9" x14ac:dyDescent="0.25">
      <c r="A60">
        <v>1967</v>
      </c>
      <c r="B60" t="s">
        <v>94</v>
      </c>
      <c r="C60">
        <v>14</v>
      </c>
      <c r="D60">
        <v>13.508066135618099</v>
      </c>
      <c r="F60">
        <v>1971</v>
      </c>
      <c r="G60" t="s">
        <v>103</v>
      </c>
      <c r="H60">
        <v>20</v>
      </c>
      <c r="I60">
        <v>4.0099999999999997E-3</v>
      </c>
    </row>
    <row r="61" spans="1:9" x14ac:dyDescent="0.25">
      <c r="A61">
        <v>1965</v>
      </c>
      <c r="B61" t="s">
        <v>94</v>
      </c>
      <c r="C61">
        <v>14</v>
      </c>
      <c r="D61">
        <v>13.508699999999999</v>
      </c>
      <c r="F61">
        <v>1967</v>
      </c>
      <c r="G61" t="s">
        <v>94</v>
      </c>
      <c r="H61">
        <v>20</v>
      </c>
      <c r="I61">
        <v>4.0109999999999998E-3</v>
      </c>
    </row>
    <row r="62" spans="1:9" x14ac:dyDescent="0.25">
      <c r="A62">
        <v>1975</v>
      </c>
      <c r="B62" t="s">
        <v>96</v>
      </c>
      <c r="C62">
        <v>14</v>
      </c>
      <c r="D62">
        <v>13.51</v>
      </c>
      <c r="F62">
        <v>1971</v>
      </c>
      <c r="G62" t="s">
        <v>103</v>
      </c>
      <c r="H62">
        <v>21</v>
      </c>
      <c r="I62">
        <v>4.3899999999999998E-3</v>
      </c>
    </row>
    <row r="63" spans="1:9" x14ac:dyDescent="0.25">
      <c r="A63">
        <v>1967</v>
      </c>
      <c r="B63" t="s">
        <v>94</v>
      </c>
      <c r="C63">
        <v>15</v>
      </c>
      <c r="D63">
        <v>13.538879570613799</v>
      </c>
      <c r="F63">
        <v>1967</v>
      </c>
      <c r="G63" t="s">
        <v>94</v>
      </c>
      <c r="H63">
        <v>21</v>
      </c>
      <c r="I63">
        <v>4.3860000000000001E-3</v>
      </c>
    </row>
    <row r="64" spans="1:9" x14ac:dyDescent="0.25">
      <c r="A64">
        <v>1965</v>
      </c>
      <c r="B64" t="s">
        <v>94</v>
      </c>
      <c r="C64">
        <v>15</v>
      </c>
      <c r="D64">
        <v>13.5395</v>
      </c>
      <c r="F64">
        <v>1971</v>
      </c>
      <c r="G64" t="s">
        <v>103</v>
      </c>
      <c r="H64">
        <v>22</v>
      </c>
      <c r="I64">
        <v>4.7600000000000003E-3</v>
      </c>
    </row>
    <row r="65" spans="1:9" x14ac:dyDescent="0.25">
      <c r="A65">
        <v>1975</v>
      </c>
      <c r="B65" t="s">
        <v>96</v>
      </c>
      <c r="C65">
        <v>15</v>
      </c>
      <c r="D65">
        <v>13.541</v>
      </c>
      <c r="F65">
        <v>1967</v>
      </c>
      <c r="G65" t="s">
        <v>94</v>
      </c>
      <c r="H65">
        <v>22</v>
      </c>
      <c r="I65">
        <v>4.764E-3</v>
      </c>
    </row>
    <row r="66" spans="1:9" x14ac:dyDescent="0.25">
      <c r="A66">
        <v>1967</v>
      </c>
      <c r="B66" t="s">
        <v>94</v>
      </c>
      <c r="C66">
        <v>16</v>
      </c>
      <c r="D66">
        <v>13.5734848994417</v>
      </c>
      <c r="F66">
        <v>1971</v>
      </c>
      <c r="G66" t="s">
        <v>103</v>
      </c>
      <c r="H66">
        <v>23</v>
      </c>
      <c r="I66">
        <v>5.1500000000000001E-3</v>
      </c>
    </row>
    <row r="67" spans="1:9" x14ac:dyDescent="0.25">
      <c r="A67">
        <v>1965</v>
      </c>
      <c r="B67" t="s">
        <v>94</v>
      </c>
      <c r="C67">
        <v>16</v>
      </c>
      <c r="D67">
        <v>13.5741</v>
      </c>
      <c r="F67">
        <v>1967</v>
      </c>
      <c r="G67" t="s">
        <v>94</v>
      </c>
      <c r="H67">
        <v>23</v>
      </c>
      <c r="I67">
        <v>5.1539999999999997E-3</v>
      </c>
    </row>
    <row r="68" spans="1:9" x14ac:dyDescent="0.25">
      <c r="A68">
        <v>1975</v>
      </c>
      <c r="B68" t="s">
        <v>96</v>
      </c>
      <c r="C68">
        <v>16</v>
      </c>
      <c r="D68">
        <v>13.576000000000001</v>
      </c>
    </row>
    <row r="69" spans="1:9" x14ac:dyDescent="0.25">
      <c r="A69">
        <v>1966</v>
      </c>
      <c r="B69" t="s">
        <v>99</v>
      </c>
      <c r="C69">
        <v>16</v>
      </c>
      <c r="D69">
        <v>13.5370786778644</v>
      </c>
    </row>
    <row r="70" spans="1:9" x14ac:dyDescent="0.25">
      <c r="A70">
        <v>1967</v>
      </c>
      <c r="B70" t="s">
        <v>94</v>
      </c>
      <c r="C70">
        <v>17</v>
      </c>
      <c r="D70">
        <v>13.611939291736901</v>
      </c>
    </row>
    <row r="71" spans="1:9" x14ac:dyDescent="0.25">
      <c r="A71">
        <v>1965</v>
      </c>
      <c r="B71" t="s">
        <v>94</v>
      </c>
      <c r="C71">
        <v>17</v>
      </c>
      <c r="D71">
        <v>13.612500000000001</v>
      </c>
    </row>
    <row r="72" spans="1:9" x14ac:dyDescent="0.25">
      <c r="A72">
        <v>1975</v>
      </c>
      <c r="B72" t="s">
        <v>96</v>
      </c>
      <c r="C72">
        <v>17</v>
      </c>
      <c r="D72">
        <v>13.614000000000001</v>
      </c>
    </row>
    <row r="73" spans="1:9" x14ac:dyDescent="0.25">
      <c r="A73">
        <v>1992</v>
      </c>
      <c r="B73" t="s">
        <v>98</v>
      </c>
      <c r="C73">
        <v>17.8</v>
      </c>
      <c r="D73">
        <v>13.65</v>
      </c>
    </row>
    <row r="74" spans="1:9" x14ac:dyDescent="0.25">
      <c r="A74">
        <v>1967</v>
      </c>
      <c r="B74" t="s">
        <v>94</v>
      </c>
      <c r="C74">
        <v>18</v>
      </c>
      <c r="D74">
        <v>13.654306786656701</v>
      </c>
    </row>
    <row r="75" spans="1:9" x14ac:dyDescent="0.25">
      <c r="A75">
        <v>1965</v>
      </c>
      <c r="B75" t="s">
        <v>94</v>
      </c>
      <c r="C75">
        <v>18</v>
      </c>
      <c r="D75">
        <v>13.655099999999999</v>
      </c>
    </row>
    <row r="76" spans="1:9" x14ac:dyDescent="0.25">
      <c r="A76">
        <v>1975</v>
      </c>
      <c r="B76" t="s">
        <v>96</v>
      </c>
      <c r="C76">
        <v>18</v>
      </c>
      <c r="D76">
        <v>13.656000000000001</v>
      </c>
    </row>
    <row r="77" spans="1:9" x14ac:dyDescent="0.25">
      <c r="A77">
        <v>1967</v>
      </c>
      <c r="B77" t="s">
        <v>94</v>
      </c>
      <c r="C77">
        <v>19</v>
      </c>
      <c r="D77">
        <v>13.701588810429101</v>
      </c>
    </row>
    <row r="78" spans="1:9" x14ac:dyDescent="0.25">
      <c r="A78">
        <v>1965</v>
      </c>
      <c r="B78" t="s">
        <v>94</v>
      </c>
      <c r="C78">
        <v>19</v>
      </c>
      <c r="D78">
        <v>13.7027</v>
      </c>
    </row>
    <row r="79" spans="1:9" x14ac:dyDescent="0.25">
      <c r="A79">
        <v>1975</v>
      </c>
      <c r="B79" t="s">
        <v>96</v>
      </c>
      <c r="C79">
        <v>19</v>
      </c>
      <c r="D79">
        <v>13.704000000000001</v>
      </c>
    </row>
    <row r="80" spans="1:9" x14ac:dyDescent="0.25">
      <c r="A80">
        <v>1973</v>
      </c>
      <c r="B80" t="s">
        <v>97</v>
      </c>
      <c r="C80">
        <v>19.899999999999999</v>
      </c>
      <c r="D80">
        <v>13.759</v>
      </c>
    </row>
    <row r="81" spans="1:4" x14ac:dyDescent="0.25">
      <c r="A81">
        <v>1967</v>
      </c>
      <c r="B81" t="s">
        <v>94</v>
      </c>
      <c r="C81">
        <v>20</v>
      </c>
      <c r="D81">
        <v>13.754822438824799</v>
      </c>
    </row>
    <row r="82" spans="1:4" x14ac:dyDescent="0.25">
      <c r="A82">
        <v>1965</v>
      </c>
      <c r="B82" t="s">
        <v>94</v>
      </c>
      <c r="C82">
        <v>20</v>
      </c>
      <c r="D82">
        <v>13.7552</v>
      </c>
    </row>
    <row r="83" spans="1:4" x14ac:dyDescent="0.25">
      <c r="A83">
        <v>1975</v>
      </c>
      <c r="B83" t="s">
        <v>96</v>
      </c>
      <c r="C83">
        <v>20</v>
      </c>
      <c r="D83">
        <v>13.757</v>
      </c>
    </row>
    <row r="84" spans="1:4" x14ac:dyDescent="0.25">
      <c r="A84">
        <v>1965</v>
      </c>
      <c r="B84" t="s">
        <v>94</v>
      </c>
      <c r="C84">
        <v>21</v>
      </c>
      <c r="D84">
        <v>13.8131</v>
      </c>
    </row>
    <row r="85" spans="1:4" x14ac:dyDescent="0.25">
      <c r="A85">
        <v>1975</v>
      </c>
      <c r="B85" t="s">
        <v>96</v>
      </c>
      <c r="C85">
        <v>21</v>
      </c>
      <c r="D85">
        <v>13.811</v>
      </c>
    </row>
    <row r="86" spans="1:4" x14ac:dyDescent="0.25">
      <c r="A86">
        <v>1967</v>
      </c>
      <c r="B86" t="s">
        <v>94</v>
      </c>
      <c r="C86">
        <v>22</v>
      </c>
      <c r="D86">
        <v>13.8758853056453</v>
      </c>
    </row>
    <row r="87" spans="1:4" x14ac:dyDescent="0.25">
      <c r="A87">
        <v>1965</v>
      </c>
      <c r="B87" t="s">
        <v>94</v>
      </c>
      <c r="C87">
        <v>22</v>
      </c>
      <c r="D87">
        <v>13.8765</v>
      </c>
    </row>
    <row r="88" spans="1:4" x14ac:dyDescent="0.25">
      <c r="A88">
        <v>1975</v>
      </c>
      <c r="B88" t="s">
        <v>96</v>
      </c>
      <c r="C88">
        <v>22</v>
      </c>
      <c r="D88">
        <v>13.878</v>
      </c>
    </row>
    <row r="89" spans="1:4" x14ac:dyDescent="0.25">
      <c r="A89">
        <v>1967</v>
      </c>
      <c r="B89" t="s">
        <v>94</v>
      </c>
      <c r="C89">
        <v>23</v>
      </c>
      <c r="D89">
        <v>13.945888044229401</v>
      </c>
    </row>
    <row r="90" spans="1:4" x14ac:dyDescent="0.25">
      <c r="A90">
        <v>1965</v>
      </c>
      <c r="B90" t="s">
        <v>94</v>
      </c>
      <c r="C90">
        <v>23</v>
      </c>
      <c r="D90">
        <v>13.945499999999999</v>
      </c>
    </row>
    <row r="91" spans="1:4" x14ac:dyDescent="0.25">
      <c r="A91">
        <v>1975</v>
      </c>
      <c r="B91" t="s">
        <v>96</v>
      </c>
      <c r="C91">
        <v>23</v>
      </c>
      <c r="D91">
        <v>13.948</v>
      </c>
    </row>
    <row r="92" spans="1:4" x14ac:dyDescent="0.25">
      <c r="A92">
        <v>1967</v>
      </c>
      <c r="B92" t="s">
        <v>94</v>
      </c>
      <c r="C92">
        <v>23.5</v>
      </c>
      <c r="D92">
        <v>13.9826080931263</v>
      </c>
    </row>
    <row r="93" spans="1:4" x14ac:dyDescent="0.25">
      <c r="A93">
        <v>1965</v>
      </c>
      <c r="B93" t="s">
        <v>94</v>
      </c>
      <c r="C93">
        <v>23.5</v>
      </c>
      <c r="D93">
        <v>13.982100000000001</v>
      </c>
    </row>
    <row r="94" spans="1:4" x14ac:dyDescent="0.25">
      <c r="A94">
        <v>1977</v>
      </c>
      <c r="B94" t="s">
        <v>95</v>
      </c>
      <c r="C94">
        <v>24.553000000000001</v>
      </c>
      <c r="D94">
        <v>14.065</v>
      </c>
    </row>
    <row r="95" spans="1:4" x14ac:dyDescent="0.25">
      <c r="A95">
        <v>1973</v>
      </c>
      <c r="B95" t="s">
        <v>101</v>
      </c>
      <c r="C95">
        <v>24.553000000000001</v>
      </c>
      <c r="D95">
        <v>14.07</v>
      </c>
    </row>
    <row r="96" spans="1:4" x14ac:dyDescent="0.25">
      <c r="A96">
        <v>1940</v>
      </c>
      <c r="B96" t="s">
        <v>93</v>
      </c>
      <c r="C96">
        <v>24.57</v>
      </c>
      <c r="D96">
        <v>14.03</v>
      </c>
    </row>
    <row r="97" spans="1:4" x14ac:dyDescent="0.25">
      <c r="A97">
        <v>1973</v>
      </c>
      <c r="B97" t="s">
        <v>101</v>
      </c>
      <c r="C97">
        <v>25</v>
      </c>
      <c r="D97">
        <v>14.04</v>
      </c>
    </row>
    <row r="98" spans="1:4" x14ac:dyDescent="0.25">
      <c r="A98">
        <v>1973</v>
      </c>
      <c r="B98" t="s">
        <v>101</v>
      </c>
      <c r="C98">
        <v>30</v>
      </c>
      <c r="D98">
        <v>13.71</v>
      </c>
    </row>
    <row r="99" spans="1:4" x14ac:dyDescent="0.25">
      <c r="A99">
        <v>1970</v>
      </c>
      <c r="B99" t="s">
        <v>101</v>
      </c>
      <c r="C99">
        <v>31.75</v>
      </c>
      <c r="D99">
        <v>13.6</v>
      </c>
    </row>
    <row r="100" spans="1:4" x14ac:dyDescent="0.25">
      <c r="A100">
        <v>1973</v>
      </c>
      <c r="B100" t="s">
        <v>101</v>
      </c>
      <c r="C100">
        <v>35</v>
      </c>
      <c r="D100">
        <v>13.38</v>
      </c>
    </row>
    <row r="101" spans="1:4" x14ac:dyDescent="0.25">
      <c r="A101">
        <v>1970</v>
      </c>
      <c r="B101" t="s">
        <v>101</v>
      </c>
      <c r="C101">
        <v>36.200000000000003</v>
      </c>
      <c r="D101">
        <v>13.3</v>
      </c>
    </row>
    <row r="102" spans="1:4" x14ac:dyDescent="0.25">
      <c r="A102">
        <v>1973</v>
      </c>
      <c r="B102" t="s">
        <v>101</v>
      </c>
      <c r="C102">
        <v>40</v>
      </c>
      <c r="D102">
        <v>13.07</v>
      </c>
    </row>
    <row r="103" spans="1:4" x14ac:dyDescent="0.25">
      <c r="A103">
        <v>1970</v>
      </c>
      <c r="B103" t="s">
        <v>101</v>
      </c>
      <c r="C103">
        <v>41.8</v>
      </c>
      <c r="D103">
        <v>12.95</v>
      </c>
    </row>
    <row r="104" spans="1:4" x14ac:dyDescent="0.25">
      <c r="A104">
        <v>1973</v>
      </c>
      <c r="B104" t="s">
        <v>101</v>
      </c>
      <c r="C104">
        <v>45</v>
      </c>
      <c r="D104">
        <v>12.78</v>
      </c>
    </row>
    <row r="105" spans="1:4" x14ac:dyDescent="0.25">
      <c r="A105">
        <v>1970</v>
      </c>
      <c r="B105" t="s">
        <v>101</v>
      </c>
      <c r="C105">
        <v>46.8</v>
      </c>
      <c r="D105">
        <v>12.67</v>
      </c>
    </row>
    <row r="106" spans="1:4" x14ac:dyDescent="0.25">
      <c r="A106">
        <v>1973</v>
      </c>
      <c r="B106" t="s">
        <v>101</v>
      </c>
      <c r="C106">
        <v>50</v>
      </c>
      <c r="D106">
        <v>12.52</v>
      </c>
    </row>
    <row r="107" spans="1:4" x14ac:dyDescent="0.25">
      <c r="A107">
        <v>1970</v>
      </c>
      <c r="B107" t="s">
        <v>101</v>
      </c>
      <c r="C107">
        <v>51.1</v>
      </c>
      <c r="D107">
        <v>12.48</v>
      </c>
    </row>
  </sheetData>
  <pageMargins left="0.7" right="0.7" top="0.75" bottom="0.75" header="0.3" footer="0.3"/>
  <pageSetup paperSize="9" orientation="portrait" horizontalDpi="1200" verticalDpi="12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R124"/>
  <sheetViews>
    <sheetView tabSelected="1" zoomScale="70" zoomScaleNormal="70" workbookViewId="0">
      <selection activeCell="M14" sqref="M14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9" x14ac:dyDescent="0.25">
      <c r="A2" s="2" t="s">
        <v>55</v>
      </c>
      <c r="B2" s="3">
        <v>0.1</v>
      </c>
    </row>
    <row r="3" spans="1:9" x14ac:dyDescent="0.25">
      <c r="A3" s="2" t="s">
        <v>56</v>
      </c>
      <c r="B3" s="3">
        <v>100</v>
      </c>
    </row>
    <row r="4" spans="1:9" x14ac:dyDescent="0.25">
      <c r="A4" s="2" t="s">
        <v>57</v>
      </c>
      <c r="B4" s="3">
        <v>1</v>
      </c>
    </row>
    <row r="5" spans="1:9" x14ac:dyDescent="0.25">
      <c r="A5" s="2" t="s">
        <v>70</v>
      </c>
      <c r="B5" s="3">
        <v>24.556100000000001</v>
      </c>
    </row>
    <row r="6" spans="1:9" x14ac:dyDescent="0.25">
      <c r="A6" s="2" t="s">
        <v>71</v>
      </c>
      <c r="B6" s="3">
        <v>4.3332000000000002E-2</v>
      </c>
    </row>
    <row r="7" spans="1:9" x14ac:dyDescent="0.25">
      <c r="A7" s="2" t="s">
        <v>81</v>
      </c>
      <c r="B7" s="3">
        <v>69.25</v>
      </c>
    </row>
    <row r="8" spans="1:9" x14ac:dyDescent="0.25">
      <c r="A8" s="2" t="s">
        <v>82</v>
      </c>
      <c r="B8" s="3">
        <v>1.6950000000000001</v>
      </c>
    </row>
    <row r="9" spans="1:9" x14ac:dyDescent="0.25">
      <c r="A9" s="2" t="s">
        <v>83</v>
      </c>
      <c r="B9" s="4">
        <f>Parameters!B32-B7</f>
        <v>-43.208502184426877</v>
      </c>
    </row>
    <row r="10" spans="1:9" x14ac:dyDescent="0.25">
      <c r="A10" s="2" t="s">
        <v>84</v>
      </c>
      <c r="B10" s="4">
        <f>INDEX( ComputeThermoProps($B5, $B6, ParametersRange), 1, 12 )</f>
        <v>-114.6621633436273</v>
      </c>
    </row>
    <row r="11" spans="1:9" x14ac:dyDescent="0.25">
      <c r="A11" s="2" t="s">
        <v>85</v>
      </c>
      <c r="B11" s="4">
        <f>(B10+B5*Parameters!B32)-B8</f>
        <v>523.12046116536771</v>
      </c>
      <c r="E11">
        <f>B11+R124</f>
        <v>523.12046116536771</v>
      </c>
      <c r="G11">
        <f>E11+B8</f>
        <v>524.81546116536776</v>
      </c>
      <c r="H11">
        <f>G11-B10</f>
        <v>639.47762450899506</v>
      </c>
      <c r="I11">
        <f>H11/B5</f>
        <v>26.04149781557312</v>
      </c>
    </row>
    <row r="13" spans="1:9" x14ac:dyDescent="0.25">
      <c r="A13" s="2" t="s">
        <v>72</v>
      </c>
      <c r="B13" s="3">
        <v>-14.883845098313699</v>
      </c>
    </row>
    <row r="14" spans="1:9" x14ac:dyDescent="0.25">
      <c r="A14" s="2" t="s">
        <v>73</v>
      </c>
      <c r="B14" s="3">
        <v>5.8217591179742998</v>
      </c>
    </row>
    <row r="15" spans="1:9" x14ac:dyDescent="0.25">
      <c r="A15" s="2" t="s">
        <v>74</v>
      </c>
      <c r="B15" s="3">
        <v>-0.39834285015300502</v>
      </c>
    </row>
    <row r="17" spans="1:16" x14ac:dyDescent="0.25">
      <c r="A17" s="2" t="s">
        <v>75</v>
      </c>
      <c r="B17" s="3">
        <v>4151.2700000000004</v>
      </c>
    </row>
    <row r="18" spans="1:16" x14ac:dyDescent="0.25">
      <c r="A18" s="2" t="s">
        <v>76</v>
      </c>
      <c r="B18" s="3">
        <v>1.355</v>
      </c>
    </row>
    <row r="19" spans="1:16" x14ac:dyDescent="0.25">
      <c r="A19" s="2" t="s">
        <v>77</v>
      </c>
      <c r="B19" s="3">
        <v>558.6</v>
      </c>
    </row>
    <row r="20" spans="1:16" x14ac:dyDescent="0.25">
      <c r="A20" s="2" t="s">
        <v>78</v>
      </c>
      <c r="B20" s="3">
        <v>0.16850999999999999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P22" t="s">
        <v>86</v>
      </c>
    </row>
    <row r="23" spans="1:16" x14ac:dyDescent="0.25">
      <c r="A23" s="2" cm="1">
        <f t="array" ref="A23:A12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P23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2.6448036454247749E-90</v>
      </c>
      <c r="C24" s="2" cm="1">
        <f t="array" ref="C24">INDEX( ComputeThermoProps($A24, $B24, ParametersRange), 1, COLUMN()-2 )</f>
        <v>13.380003782034132</v>
      </c>
      <c r="D24" s="2" cm="1">
        <f t="array" ref="D24">INDEX( ComputeThermoProps($A24, $B24, ParametersRange), 1, COLUMN()-2 )</f>
        <v>9.9010298853099954E-4</v>
      </c>
      <c r="E24" s="2" cm="1">
        <f t="array" ref="E24">INDEX( ComputeThermoProps($A24, $B24, ParametersRange), 1, COLUMN()-2 )</f>
        <v>9.9010035357783243E-4</v>
      </c>
      <c r="F24" s="2" cm="1">
        <f t="array" ref="F24">INDEX( ComputeThermoProps($A24, $B24, ParametersRange), 1, COLUMN()-2 )</f>
        <v>1.0384347889571202E-6</v>
      </c>
      <c r="G24" s="2" cm="1">
        <f t="array" ref="G24">INDEX( ComputeThermoProps($A24, $B24, ParametersRange), 1, COLUMN()-2 )</f>
        <v>6.0232997868020395E-3</v>
      </c>
      <c r="H24" s="2" cm="1">
        <f t="array" ref="H24">INDEX( ComputeThermoProps($A24, $B24, ParametersRange), 1, COLUMN()-2 )</f>
        <v>6.0232837570424764E-3</v>
      </c>
      <c r="I24" s="2" cm="1">
        <f t="array" ref="I24">INDEX( ComputeThermoProps($A24, $B24, ParametersRange), 1, COLUMN()-2 )</f>
        <v>2.3298167897604904</v>
      </c>
      <c r="J24" s="2" cm="1">
        <f t="array" ref="J24">INDEX( ComputeThermoProps($A24, $B24, ParametersRange), 1, COLUMN()-2 )</f>
        <v>1.6391311024436101E-3</v>
      </c>
      <c r="K24" s="2" cm="1">
        <f t="array" ref="K24">INDEX( ComputeThermoProps($A24, $B24, ParametersRange), 1, COLUMN()-2 )</f>
        <v>1.9825198772906926E-3</v>
      </c>
      <c r="L24" s="2" cm="1">
        <f t="array" ref="L24">INDEX( ComputeThermoProps($A24, $B24, ParametersRange), 1, COLUMN()-2 )</f>
        <v>-5.4164076257615199E-4</v>
      </c>
      <c r="M24" s="2" cm="1">
        <f t="array" ref="M24">INDEX( ComputeThermoProps($A24, $B24, ParametersRange), 1, COLUMN()-2 )</f>
        <v>1.6391311024436101E-3</v>
      </c>
      <c r="N24" s="2" cm="1">
        <f t="array" ref="N24">INDEX( ComputeThermoProps($A24, $B24, ParametersRange), 1, COLUMN()-2 )</f>
        <v>-5.4164076257615199E-4</v>
      </c>
      <c r="P24">
        <f t="shared" ref="P24:P87" si="1">M24-$B$11</f>
        <v>-523.11882203426524</v>
      </c>
    </row>
    <row r="25" spans="1:16" x14ac:dyDescent="0.25">
      <c r="A25" s="2">
        <v>2.1</v>
      </c>
      <c r="B25" s="2">
        <f t="shared" si="0"/>
        <v>1.1915736706224596E-46</v>
      </c>
      <c r="C25" s="2" cm="1">
        <f t="array" ref="C25">INDEX( ComputeThermoProps($A25, $B25, ParametersRange), 1, COLUMN()-2 )</f>
        <v>13.380052803418225</v>
      </c>
      <c r="D25" s="2" cm="1">
        <f t="array" ref="D25">INDEX( ComputeThermoProps($A25, $B25, ParametersRange), 1, COLUMN()-2 )</f>
        <v>9.9015582434352047E-4</v>
      </c>
      <c r="E25" s="2" cm="1">
        <f t="array" ref="E25">INDEX( ComputeThermoProps($A25, $B25, ParametersRange), 1, COLUMN()-2 )</f>
        <v>9.901182203465456E-4</v>
      </c>
      <c r="F25" s="2" cm="1">
        <f t="array" ref="F25">INDEX( ComputeThermoProps($A25, $B25, ParametersRange), 1, COLUMN()-2 )</f>
        <v>7.7526251950919769E-6</v>
      </c>
      <c r="G25" s="2" cm="1">
        <f t="array" ref="G25">INDEX( ComputeThermoProps($A25, $B25, ParametersRange), 1, COLUMN()-2 )</f>
        <v>4.4909755385640501E-2</v>
      </c>
      <c r="H25" s="2" cm="1">
        <f t="array" ref="H25">INDEX( ComputeThermoProps($A25, $B25, ParametersRange), 1, COLUMN()-2 )</f>
        <v>4.4908049809342168E-2</v>
      </c>
      <c r="I25" s="2" cm="1">
        <f t="array" ref="I25">INDEX( ComputeThermoProps($A25, $B25, ParametersRange), 1, COLUMN()-2 )</f>
        <v>2.3328073421188544</v>
      </c>
      <c r="J25" s="2" cm="1">
        <f t="array" ref="J25">INDEX( ComputeThermoProps($A25, $B25, ParametersRange), 1, COLUMN()-2 )</f>
        <v>2.2881833919324319E-2</v>
      </c>
      <c r="K25" s="2" cm="1">
        <f t="array" ref="K25">INDEX( ComputeThermoProps($A25, $B25, ParametersRange), 1, COLUMN()-2 )</f>
        <v>1.4432814862544311E-2</v>
      </c>
      <c r="L25" s="2" cm="1">
        <f t="array" ref="L25">INDEX( ComputeThermoProps($A25, $B25, ParametersRange), 1, COLUMN()-2 )</f>
        <v>-7.4270772920187345E-3</v>
      </c>
      <c r="M25" s="2" cm="1">
        <f t="array" ref="M25">INDEX( ComputeThermoProps($A25, $B25, ParametersRange), 1, COLUMN()-2 )</f>
        <v>2.2881833919324319E-2</v>
      </c>
      <c r="N25" s="2" cm="1">
        <f t="array" ref="N25">INDEX( ComputeThermoProps($A25, $B25, ParametersRange), 1, COLUMN()-2 )</f>
        <v>-7.4270772920187345E-3</v>
      </c>
      <c r="P25">
        <f t="shared" si="1"/>
        <v>-523.0975793314484</v>
      </c>
    </row>
    <row r="26" spans="1:16" x14ac:dyDescent="0.25">
      <c r="A26" s="2">
        <v>3.1</v>
      </c>
      <c r="B26" s="2">
        <f t="shared" si="0"/>
        <v>3.6092035634128807E-31</v>
      </c>
      <c r="C26" s="2" cm="1">
        <f t="array" ref="C26">INDEX( ComputeThermoProps($A26, $B26, ParametersRange), 1, COLUMN()-2 )</f>
        <v>13.380267518555604</v>
      </c>
      <c r="D26" s="2" cm="1">
        <f t="array" ref="D26">INDEX( ComputeThermoProps($A26, $B26, ParametersRange), 1, COLUMN()-2 )</f>
        <v>9.903947262316084E-4</v>
      </c>
      <c r="E26" s="2" cm="1">
        <f t="array" ref="E26">INDEX( ComputeThermoProps($A26, $B26, ParametersRange), 1, COLUMN()-2 )</f>
        <v>9.9019870021457433E-4</v>
      </c>
      <c r="F26" s="2" cm="1">
        <f t="array" ref="F26">INDEX( ComputeThermoProps($A26, $B26, ParametersRange), 1, COLUMN()-2 )</f>
        <v>2.7150957813936098E-5</v>
      </c>
      <c r="G26" s="2" cm="1">
        <f t="array" ref="G26">INDEX( ComputeThermoProps($A26, $B26, ParametersRange), 1, COLUMN()-2 )</f>
        <v>0.15598508882481646</v>
      </c>
      <c r="H26" s="2" cm="1">
        <f t="array" ref="H26">INDEX( ComputeThermoProps($A26, $B26, ParametersRange), 1, COLUMN()-2 )</f>
        <v>0.15595421513893226</v>
      </c>
      <c r="I26" s="2" cm="1">
        <f t="array" ref="I26">INDEX( ComputeThermoProps($A26, $B26, ParametersRange), 1, COLUMN()-2 )</f>
        <v>2.3520389805195299</v>
      </c>
      <c r="J26" s="2" cm="1">
        <f t="array" ref="J26">INDEX( ComputeThermoProps($A26, $B26, ParametersRange), 1, COLUMN()-2 )</f>
        <v>0.1154402148074902</v>
      </c>
      <c r="K26" s="2" cm="1">
        <f t="array" ref="K26">INDEX( ComputeThermoProps($A26, $B26, ParametersRange), 1, COLUMN()-2 )</f>
        <v>4.9105546846369766E-2</v>
      </c>
      <c r="L26" s="2" cm="1">
        <f t="array" ref="L26">INDEX( ComputeThermoProps($A26, $B26, ParametersRange), 1, COLUMN()-2 )</f>
        <v>-3.6786980416256082E-2</v>
      </c>
      <c r="M26" s="2" cm="1">
        <f t="array" ref="M26">INDEX( ComputeThermoProps($A26, $B26, ParametersRange), 1, COLUMN()-2 )</f>
        <v>0.1154402148074902</v>
      </c>
      <c r="N26" s="2" cm="1">
        <f t="array" ref="N26">INDEX( ComputeThermoProps($A26, $B26, ParametersRange), 1, COLUMN()-2 )</f>
        <v>-3.6786980416256082E-2</v>
      </c>
      <c r="P26">
        <f t="shared" si="1"/>
        <v>-523.00502095056027</v>
      </c>
    </row>
    <row r="27" spans="1:16" x14ac:dyDescent="0.25">
      <c r="A27" s="2">
        <v>4.0999999999999996</v>
      </c>
      <c r="B27" s="2">
        <f t="shared" si="0"/>
        <v>3.0482837930433757E-23</v>
      </c>
      <c r="C27" s="2" cm="1">
        <f t="array" ref="C27">INDEX( ComputeThermoProps($A27, $B27, ParametersRange), 1, COLUMN()-2 )</f>
        <v>13.380875387166316</v>
      </c>
      <c r="D27" s="2" cm="1">
        <f t="array" ref="D27">INDEX( ComputeThermoProps($A27, $B27, ParametersRange), 1, COLUMN()-2 )</f>
        <v>9.9109164695042307E-4</v>
      </c>
      <c r="E27" s="2" cm="1">
        <f t="array" ref="E27">INDEX( ComputeThermoProps($A27, $B27, ParametersRange), 1, COLUMN()-2 )</f>
        <v>9.9043147551908803E-4</v>
      </c>
      <c r="F27" s="2" cm="1">
        <f t="array" ref="F27">INDEX( ComputeThermoProps($A27, $B27, ParametersRange), 1, COLUMN()-2 )</f>
        <v>6.8095540320497428E-5</v>
      </c>
      <c r="G27" s="2" cm="1">
        <f t="array" ref="G27">INDEX( ComputeThermoProps($A27, $B27, ParametersRange), 1, COLUMN()-2 )</f>
        <v>0.38534435117408833</v>
      </c>
      <c r="H27" s="2" cm="1">
        <f t="array" ref="H27">INDEX( ComputeThermoProps($A27, $B27, ParametersRange), 1, COLUMN()-2 )</f>
        <v>0.38508767124680388</v>
      </c>
      <c r="I27" s="2" cm="1">
        <f t="array" ref="I27">INDEX( ComputeThermoProps($A27, $B27, ParametersRange), 1, COLUMN()-2 )</f>
        <v>2.3874251573617684</v>
      </c>
      <c r="J27" s="2" cm="1">
        <f t="array" ref="J27">INDEX( ComputeThermoProps($A27, $B27, ParametersRange), 1, COLUMN()-2 )</f>
        <v>0.37429413143232049</v>
      </c>
      <c r="K27" s="2" cm="1">
        <f t="array" ref="K27">INDEX( ComputeThermoProps($A27, $B27, ParametersRange), 1, COLUMN()-2 )</f>
        <v>0.11999822218658186</v>
      </c>
      <c r="L27" s="2" cm="1">
        <f t="array" ref="L27">INDEX( ComputeThermoProps($A27, $B27, ParametersRange), 1, COLUMN()-2 )</f>
        <v>-0.1176985795326651</v>
      </c>
      <c r="M27" s="2" cm="1">
        <f t="array" ref="M27">INDEX( ComputeThermoProps($A27, $B27, ParametersRange), 1, COLUMN()-2 )</f>
        <v>0.37429413143232049</v>
      </c>
      <c r="N27" s="2" cm="1">
        <f t="array" ref="N27">INDEX( ComputeThermoProps($A27, $B27, ParametersRange), 1, COLUMN()-2 )</f>
        <v>-0.1176985795326651</v>
      </c>
      <c r="P27">
        <f t="shared" si="1"/>
        <v>-522.74616703393542</v>
      </c>
    </row>
    <row r="28" spans="1:16" x14ac:dyDescent="0.25">
      <c r="A28" s="2">
        <v>5.0999999999999996</v>
      </c>
      <c r="B28" s="2">
        <f t="shared" si="0"/>
        <v>2.0082309765629534E-18</v>
      </c>
      <c r="C28" s="2" cm="1">
        <f t="array" ref="C28">INDEX( ComputeThermoProps($A28, $B28, ParametersRange), 1, COLUMN()-2 )</f>
        <v>13.382228155465871</v>
      </c>
      <c r="D28" s="2" cm="1">
        <f t="array" ref="D28">INDEX( ComputeThermoProps($A28, $B28, ParametersRange), 1, COLUMN()-2 )</f>
        <v>9.9267681682431701E-4</v>
      </c>
      <c r="E28" s="2" cm="1">
        <f t="array" ref="E28">INDEX( ComputeThermoProps($A28, $B28, ParametersRange), 1, COLUMN()-2 )</f>
        <v>9.9095713194666214E-4</v>
      </c>
      <c r="F28" s="2" cm="1">
        <f t="array" ref="F28">INDEX( ComputeThermoProps($A28, $B28, ParametersRange), 1, COLUMN()-2 )</f>
        <v>1.3996525275317405E-4</v>
      </c>
      <c r="G28" s="2" cm="1">
        <f t="array" ref="G28">INDEX( ComputeThermoProps($A28, $B28, ParametersRange), 1, COLUMN()-2 )</f>
        <v>0.77748174244051349</v>
      </c>
      <c r="H28" s="2" cm="1">
        <f t="array" ref="H28">INDEX( ComputeThermoProps($A28, $B28, ParametersRange), 1, COLUMN()-2 )</f>
        <v>0.77613485534446458</v>
      </c>
      <c r="I28" s="2" cm="1">
        <f t="array" ref="I28">INDEX( ComputeThermoProps($A28, $B28, ParametersRange), 1, COLUMN()-2 )</f>
        <v>2.4311043239017334</v>
      </c>
      <c r="J28" s="2" cm="1">
        <f t="array" ref="J28">INDEX( ComputeThermoProps($A28, $B28, ParametersRange), 1, COLUMN()-2 )</f>
        <v>0.94052894034666046</v>
      </c>
      <c r="K28" s="2" cm="1">
        <f t="array" ref="K28">INDEX( ComputeThermoProps($A28, $B28, ParametersRange), 1, COLUMN()-2 )</f>
        <v>0.24203255304704793</v>
      </c>
      <c r="L28" s="2" cm="1">
        <f t="array" ref="L28">INDEX( ComputeThermoProps($A28, $B28, ParametersRange), 1, COLUMN()-2 )</f>
        <v>-0.29383708019328392</v>
      </c>
      <c r="M28" s="2" cm="1">
        <f t="array" ref="M28">INDEX( ComputeThermoProps($A28, $B28, ParametersRange), 1, COLUMN()-2 )</f>
        <v>0.94052894034666046</v>
      </c>
      <c r="N28" s="2" cm="1">
        <f t="array" ref="N28">INDEX( ComputeThermoProps($A28, $B28, ParametersRange), 1, COLUMN()-2 )</f>
        <v>-0.29383708019328392</v>
      </c>
      <c r="P28">
        <f t="shared" si="1"/>
        <v>-522.17993222502105</v>
      </c>
    </row>
    <row r="29" spans="1:16" x14ac:dyDescent="0.25">
      <c r="A29" s="2">
        <v>6.1</v>
      </c>
      <c r="B29" s="2">
        <f t="shared" si="0"/>
        <v>3.5024480627789821E-15</v>
      </c>
      <c r="C29" s="2" cm="1">
        <f t="array" ref="C29">INDEX( ComputeThermoProps($A29, $B29, ParametersRange), 1, COLUMN()-2 )</f>
        <v>13.384793222965262</v>
      </c>
      <c r="D29" s="2" cm="1">
        <f t="array" ref="D29">INDEX( ComputeThermoProps($A29, $B29, ParametersRange), 1, COLUMN()-2 )</f>
        <v>9.9570903664760596E-4</v>
      </c>
      <c r="E29" s="2" cm="1">
        <f t="array" ref="E29">INDEX( ComputeThermoProps($A29, $B29, ParametersRange), 1, COLUMN()-2 )</f>
        <v>9.9196416412034439E-4</v>
      </c>
      <c r="F29" s="2" cm="1">
        <f t="array" ref="F29">INDEX( ComputeThermoProps($A29, $B29, ParametersRange), 1, COLUMN()-2 )</f>
        <v>2.5013328972936944E-4</v>
      </c>
      <c r="G29" s="2" cm="1">
        <f t="array" ref="G29">INDEX( ComputeThermoProps($A29, $B29, ParametersRange), 1, COLUMN()-2 )</f>
        <v>1.364103904417908</v>
      </c>
      <c r="H29" s="2" cm="1">
        <f t="array" ref="H29">INDEX( ComputeThermoProps($A29, $B29, ParametersRange), 1, COLUMN()-2 )</f>
        <v>1.3589734947821932</v>
      </c>
      <c r="I29" s="2" cm="1">
        <f t="array" ref="I29">INDEX( ComputeThermoProps($A29, $B29, ParametersRange), 1, COLUMN()-2 )</f>
        <v>2.4742280505584602</v>
      </c>
      <c r="J29" s="2" cm="1">
        <f t="array" ref="J29">INDEX( ComputeThermoProps($A29, $B29, ParametersRange), 1, COLUMN()-2 )</f>
        <v>1.994358856385009</v>
      </c>
      <c r="K29" s="2" cm="1">
        <f t="array" ref="K29">INDEX( ComputeThermoProps($A29, $B29, ParametersRange), 1, COLUMN()-2 )</f>
        <v>0.4291556226614639</v>
      </c>
      <c r="L29" s="2" cm="1">
        <f t="array" ref="L29">INDEX( ComputeThermoProps($A29, $B29, ParametersRange), 1, COLUMN()-2 )</f>
        <v>-0.62349044184992064</v>
      </c>
      <c r="M29" s="2" cm="1">
        <f t="array" ref="M29">INDEX( ComputeThermoProps($A29, $B29, ParametersRange), 1, COLUMN()-2 )</f>
        <v>1.9943588563850558</v>
      </c>
      <c r="N29" s="2" cm="1">
        <f t="array" ref="N29">INDEX( ComputeThermoProps($A29, $B29, ParametersRange), 1, COLUMN()-2 )</f>
        <v>-0.62349044184987379</v>
      </c>
      <c r="P29">
        <f>M29-$B$11</f>
        <v>-521.12610230898269</v>
      </c>
    </row>
    <row r="30" spans="1:16" x14ac:dyDescent="0.25">
      <c r="A30" s="2">
        <v>7.1</v>
      </c>
      <c r="B30" s="2">
        <f t="shared" si="0"/>
        <v>7.5322523292031271E-13</v>
      </c>
      <c r="C30" s="2" cm="1">
        <f t="array" ref="C30">INDEX( ComputeThermoProps($A30, $B30, ParametersRange), 1, COLUMN()-2 )</f>
        <v>13.389108749024784</v>
      </c>
      <c r="D30" s="2" cm="1">
        <f t="array" ref="D30">INDEX( ComputeThermoProps($A30, $B30, ParametersRange), 1, COLUMN()-2 )</f>
        <v>1.0007837047116537E-3</v>
      </c>
      <c r="E30" s="2" cm="1">
        <f t="array" ref="E30">INDEX( ComputeThermoProps($A30, $B30, ParametersRange), 1, COLUMN()-2 )</f>
        <v>9.9367178380391046E-4</v>
      </c>
      <c r="F30" s="2" cm="1">
        <f t="array" ref="F30">INDEX( ComputeThermoProps($A30, $B30, ParametersRange), 1, COLUMN()-2 )</f>
        <v>4.01404424472167E-4</v>
      </c>
      <c r="G30" s="2" cm="1">
        <f t="array" ref="G30">INDEX( ComputeThermoProps($A30, $B30, ParametersRange), 1, COLUMN()-2 )</f>
        <v>2.1537109192383688</v>
      </c>
      <c r="H30" s="2" cm="1">
        <f t="array" ref="H30">INDEX( ComputeThermoProps($A30, $B30, ParametersRange), 1, COLUMN()-2 )</f>
        <v>2.1384058921444482</v>
      </c>
      <c r="I30" s="2" cm="1">
        <f t="array" ref="I30">INDEX( ComputeThermoProps($A30, $B30, ParametersRange), 1, COLUMN()-2 )</f>
        <v>2.5113281018665377</v>
      </c>
      <c r="J30" s="2" cm="1">
        <f t="array" ref="J30">INDEX( ComputeThermoProps($A30, $B30, ParametersRange), 1, COLUMN()-2 )</f>
        <v>3.7366836472079719</v>
      </c>
      <c r="K30" s="2" cm="1">
        <f t="array" ref="K30">INDEX( ComputeThermoProps($A30, $B30, ParametersRange), 1, COLUMN()-2 )</f>
        <v>0.69213588395992032</v>
      </c>
      <c r="L30" s="2" cm="1">
        <f t="array" ref="L30">INDEX( ComputeThermoProps($A30, $B30, ParametersRange), 1, COLUMN()-2 )</f>
        <v>-1.177481128907462</v>
      </c>
      <c r="M30" s="2" cm="1">
        <f t="array" ref="M30">INDEX( ComputeThermoProps($A30, $B30, ParametersRange), 1, COLUMN()-2 )</f>
        <v>3.7366836472180567</v>
      </c>
      <c r="N30" s="2" cm="1">
        <f t="array" ref="N30">INDEX( ComputeThermoProps($A30, $B30, ParametersRange), 1, COLUMN()-2 )</f>
        <v>-1.1774811288973772</v>
      </c>
      <c r="P30">
        <f t="shared" si="1"/>
        <v>-519.38377751814971</v>
      </c>
    </row>
    <row r="31" spans="1:16" x14ac:dyDescent="0.25">
      <c r="A31" s="2">
        <v>8.1</v>
      </c>
      <c r="B31" s="2">
        <f t="shared" si="0"/>
        <v>4.3510060810813322E-11</v>
      </c>
      <c r="C31" s="2" cm="1">
        <f t="array" ref="C31">INDEX( ComputeThermoProps($A31, $B31, ParametersRange), 1, COLUMN()-2 )</f>
        <v>13.395716968586976</v>
      </c>
      <c r="D31" s="2" cm="1">
        <f t="array" ref="D31">INDEX( ComputeThermoProps($A31, $B31, ParametersRange), 1, COLUMN()-2 )</f>
        <v>1.0084321490483989E-3</v>
      </c>
      <c r="E31" s="2" cm="1">
        <f t="array" ref="E31">INDEX( ComputeThermoProps($A31, $B31, ParametersRange), 1, COLUMN()-2 )</f>
        <v>9.9630370436444701E-4</v>
      </c>
      <c r="F31" s="2" cm="1">
        <f t="array" ref="F31">INDEX( ComputeThermoProps($A31, $B31, ParametersRange), 1, COLUMN()-2 )</f>
        <v>5.9152709746772411E-4</v>
      </c>
      <c r="G31" s="2" cm="1">
        <f t="array" ref="G31">INDEX( ComputeThermoProps($A31, $B31, ParametersRange), 1, COLUMN()-2 )</f>
        <v>3.1303662918941781</v>
      </c>
      <c r="H31" s="2" cm="1">
        <f t="array" ref="H31">INDEX( ComputeThermoProps($A31, $B31, ParametersRange), 1, COLUMN()-2 )</f>
        <v>3.092717279565909</v>
      </c>
      <c r="I31" s="2" cm="1">
        <f t="array" ref="I31">INDEX( ComputeThermoProps($A31, $B31, ParametersRange), 1, COLUMN()-2 )</f>
        <v>2.5407018491657443</v>
      </c>
      <c r="J31" s="2" cm="1">
        <f t="array" ref="J31">INDEX( ComputeThermoProps($A31, $B31, ParametersRange), 1, COLUMN()-2 )</f>
        <v>6.3643149413447819</v>
      </c>
      <c r="K31" s="2" cm="1">
        <f t="array" ref="K31">INDEX( ComputeThermoProps($A31, $B31, ParametersRange), 1, COLUMN()-2 )</f>
        <v>1.0369636822223303</v>
      </c>
      <c r="L31" s="2" cm="1">
        <f t="array" ref="L31">INDEX( ComputeThermoProps($A31, $B31, ParametersRange), 1, COLUMN()-2 )</f>
        <v>-2.0350908846560927</v>
      </c>
      <c r="M31" s="2" cm="1">
        <f t="array" ref="M31">INDEX( ComputeThermoProps($A31, $B31, ParametersRange), 1, COLUMN()-2 )</f>
        <v>6.3643149419276304</v>
      </c>
      <c r="N31" s="2" cm="1">
        <f t="array" ref="N31">INDEX( ComputeThermoProps($A31, $B31, ParametersRange), 1, COLUMN()-2 )</f>
        <v>-2.0350908840732442</v>
      </c>
      <c r="P31">
        <f t="shared" si="1"/>
        <v>-516.75614622344006</v>
      </c>
    </row>
    <row r="32" spans="1:16" x14ac:dyDescent="0.25">
      <c r="A32" s="2">
        <v>9.1</v>
      </c>
      <c r="B32" s="2">
        <f t="shared" si="0"/>
        <v>1.0441802197839621E-9</v>
      </c>
      <c r="C32" s="2" cm="1">
        <f t="array" ref="C32">INDEX( ComputeThermoProps($A32, $B32, ParametersRange), 1, COLUMN()-2 )</f>
        <v>13.405106477776727</v>
      </c>
      <c r="D32" s="2" cm="1">
        <f t="array" ref="D32">INDEX( ComputeThermoProps($A32, $B32, ParametersRange), 1, COLUMN()-2 )</f>
        <v>1.019068134019808E-3</v>
      </c>
      <c r="E32" s="2" cm="1">
        <f t="array" ref="E32">INDEX( ComputeThermoProps($A32, $B32, ParametersRange), 1, COLUMN()-2 )</f>
        <v>1.0000647172027839E-3</v>
      </c>
      <c r="F32" s="2" cm="1">
        <f t="array" ref="F32">INDEX( ComputeThermoProps($A32, $B32, ParametersRange), 1, COLUMN()-2 )</f>
        <v>8.1480157430142866E-4</v>
      </c>
      <c r="G32" s="2" cm="1">
        <f t="array" ref="G32">INDEX( ComputeThermoProps($A32, $B32, ParametersRange), 1, COLUMN()-2 )</f>
        <v>4.2617079529196111</v>
      </c>
      <c r="H32" s="2" cm="1">
        <f t="array" ref="H32">INDEX( ComputeThermoProps($A32, $B32, ParametersRange), 1, COLUMN()-2 )</f>
        <v>4.1822363161583898</v>
      </c>
      <c r="I32" s="2" cm="1">
        <f t="array" ref="I32">INDEX( ComputeThermoProps($A32, $B32, ParametersRange), 1, COLUMN()-2 )</f>
        <v>2.5627741634112891</v>
      </c>
      <c r="J32" s="2" cm="1">
        <f t="array" ref="J32">INDEX( ComputeThermoProps($A32, $B32, ParametersRange), 1, COLUMN()-2 )</f>
        <v>10.049041587342698</v>
      </c>
      <c r="K32" s="2" cm="1">
        <f t="array" ref="K32">INDEX( ComputeThermoProps($A32, $B32, ParametersRange), 1, COLUMN()-2 )</f>
        <v>1.4646256033728215</v>
      </c>
      <c r="L32" s="2" cm="1">
        <f t="array" ref="L32">INDEX( ComputeThermoProps($A32, $B32, ParametersRange), 1, COLUMN()-2 )</f>
        <v>-3.2790514033499778</v>
      </c>
      <c r="M32" s="2" cm="1">
        <f t="array" ref="M32">INDEX( ComputeThermoProps($A32, $B32, ParametersRange), 1, COLUMN()-2 )</f>
        <v>10.049041601340045</v>
      </c>
      <c r="N32" s="2" cm="1">
        <f t="array" ref="N32">INDEX( ComputeThermoProps($A32, $B32, ParametersRange), 1, COLUMN()-2 )</f>
        <v>-3.2790513893526305</v>
      </c>
      <c r="P32">
        <f t="shared" si="1"/>
        <v>-513.07141956402768</v>
      </c>
    </row>
    <row r="33" spans="1:16" x14ac:dyDescent="0.25">
      <c r="A33" s="2">
        <v>10.1</v>
      </c>
      <c r="B33" s="2">
        <f t="shared" si="0"/>
        <v>1.354599329384741E-8</v>
      </c>
      <c r="C33" s="2" cm="1">
        <f t="array" ref="C33">INDEX( ComputeThermoProps($A33, $B33, ParametersRange), 1, COLUMN()-2 )</f>
        <v>13.417681398184097</v>
      </c>
      <c r="D33" s="2" cm="1">
        <f t="array" ref="D33">INDEX( ComputeThermoProps($A33, $B33, ParametersRange), 1, COLUMN()-2 )</f>
        <v>1.0329871730252662E-3</v>
      </c>
      <c r="E33" s="2" cm="1">
        <f t="array" ref="E33">INDEX( ComputeThermoProps($A33, $B33, ParametersRange), 1, COLUMN()-2 )</f>
        <v>1.0051274026318495E-3</v>
      </c>
      <c r="F33" s="2" cm="1">
        <f t="array" ref="F33">INDEX( ComputeThermoProps($A33, $B33, ParametersRange), 1, COLUMN()-2 )</f>
        <v>1.0642337569349452E-3</v>
      </c>
      <c r="G33" s="2" cm="1">
        <f t="array" ref="G33">INDEX( ComputeThermoProps($A33, $B33, ParametersRange), 1, COLUMN()-2 )</f>
        <v>5.5092867470280202</v>
      </c>
      <c r="H33" s="2" cm="1">
        <f t="array" ref="H33">INDEX( ComputeThermoProps($A33, $B33, ParametersRange), 1, COLUMN()-2 )</f>
        <v>5.3607007163281608</v>
      </c>
      <c r="I33" s="2" cm="1">
        <f t="array" ref="I33">INDEX( ComputeThermoProps($A33, $B33, ParametersRange), 1, COLUMN()-2 )</f>
        <v>2.5786833458554024</v>
      </c>
      <c r="J33" s="2" cm="1">
        <f t="array" ref="J33">INDEX( ComputeThermoProps($A33, $B33, ParametersRange), 1, COLUMN()-2 )</f>
        <v>14.926453269752457</v>
      </c>
      <c r="K33" s="2" cm="1">
        <f t="array" ref="K33">INDEX( ComputeThermoProps($A33, $B33, ParametersRange), 1, COLUMN()-2 )</f>
        <v>1.9720182161509863</v>
      </c>
      <c r="L33" s="2" cm="1">
        <f t="array" ref="L33">INDEX( ComputeThermoProps($A33, $B33, ParametersRange), 1, COLUMN()-2 )</f>
        <v>-4.9909307133725038</v>
      </c>
      <c r="M33" s="2" cm="1">
        <f t="array" ref="M33">INDEX( ComputeThermoProps($A33, $B33, ParametersRange), 1, COLUMN()-2 )</f>
        <v>14.92645345150828</v>
      </c>
      <c r="N33" s="2" cm="1">
        <f t="array" ref="N33">INDEX( ComputeThermoProps($A33, $B33, ParametersRange), 1, COLUMN()-2 )</f>
        <v>-4.990930531616681</v>
      </c>
      <c r="P33">
        <f t="shared" si="1"/>
        <v>-508.19400771385943</v>
      </c>
    </row>
    <row r="34" spans="1:16" x14ac:dyDescent="0.25">
      <c r="A34" s="2">
        <v>11.1</v>
      </c>
      <c r="B34" s="2">
        <f t="shared" si="0"/>
        <v>1.1240179060268277E-7</v>
      </c>
      <c r="C34" s="2" cm="1">
        <f t="array" ref="C34">INDEX( ComputeThermoProps($A34, $B34, ParametersRange), 1, COLUMN()-2 )</f>
        <v>13.433756206033211</v>
      </c>
      <c r="D34" s="2" cm="1">
        <f t="array" ref="D34">INDEX( ComputeThermoProps($A34, $B34, ParametersRange), 1, COLUMN()-2 )</f>
        <v>1.0503948189259035E-3</v>
      </c>
      <c r="E34" s="2" cm="1">
        <f t="array" ref="E34">INDEX( ComputeThermoProps($A34, $B34, ParametersRange), 1, COLUMN()-2 )</f>
        <v>1.0116289109663773E-3</v>
      </c>
      <c r="F34" s="2" cm="1">
        <f t="array" ref="F34">INDEX( ComputeThermoProps($A34, $B34, ParametersRange), 1, COLUMN()-2 )</f>
        <v>1.3331366726485811E-3</v>
      </c>
      <c r="G34" s="2" cm="1">
        <f t="array" ref="G34">INDEX( ComputeThermoProps($A34, $B34, ParametersRange), 1, COLUMN()-2 )</f>
        <v>6.8362798359321761</v>
      </c>
      <c r="H34" s="2" cm="1">
        <f t="array" ref="H34">INDEX( ComputeThermoProps($A34, $B34, ParametersRange), 1, COLUMN()-2 )</f>
        <v>6.5839798529826155</v>
      </c>
      <c r="I34" s="2" cm="1">
        <f t="array" ref="I34">INDEX( ComputeThermoProps($A34, $B34, ParametersRange), 1, COLUMN()-2 )</f>
        <v>2.5895903840188761</v>
      </c>
      <c r="J34" s="2" cm="1">
        <f t="array" ref="J34">INDEX( ComputeThermoProps($A34, $B34, ParametersRange), 1, COLUMN()-2 )</f>
        <v>21.094019848036893</v>
      </c>
      <c r="K34" s="2" cm="1">
        <f t="array" ref="K34">INDEX( ComputeThermoProps($A34, $B34, ParametersRange), 1, COLUMN()-2 )</f>
        <v>2.5533092916526292</v>
      </c>
      <c r="L34" s="2" cm="1">
        <f t="array" ref="L34">INDEX( ComputeThermoProps($A34, $B34, ParametersRange), 1, COLUMN()-2 )</f>
        <v>-7.2477132893072902</v>
      </c>
      <c r="M34" s="2" cm="1">
        <f t="array" ref="M34">INDEX( ComputeThermoProps($A34, $B34, ParametersRange), 1, COLUMN()-2 )</f>
        <v>21.094021358015144</v>
      </c>
      <c r="N34" s="2" cm="1">
        <f t="array" ref="N34">INDEX( ComputeThermoProps($A34, $B34, ParametersRange), 1, COLUMN()-2 )</f>
        <v>-7.2477117793290393</v>
      </c>
      <c r="P34">
        <f t="shared" si="1"/>
        <v>-502.02643980735257</v>
      </c>
    </row>
    <row r="35" spans="1:16" x14ac:dyDescent="0.25">
      <c r="A35" s="2">
        <v>12.1</v>
      </c>
      <c r="B35" s="2">
        <f t="shared" si="0"/>
        <v>6.6764251838809963E-7</v>
      </c>
      <c r="C35" s="2" cm="1">
        <f t="array" ref="C35">INDEX( ComputeThermoProps($A35, $B35, ParametersRange), 1, COLUMN()-2 )</f>
        <v>13.453566500560921</v>
      </c>
      <c r="D35" s="2" cm="1">
        <f t="array" ref="D35">INDEX( ComputeThermoProps($A35, $B35, ParametersRange), 1, COLUMN()-2 )</f>
        <v>1.0714412018554397E-3</v>
      </c>
      <c r="E35" s="2" cm="1">
        <f t="array" ref="E35">INDEX( ComputeThermoProps($A35, $B35, ParametersRange), 1, COLUMN()-2 )</f>
        <v>1.0196740588284301E-3</v>
      </c>
      <c r="F35" s="2" cm="1">
        <f t="array" ref="F35">INDEX( ComputeThermoProps($A35, $B35, ParametersRange), 1, COLUMN()-2 )</f>
        <v>1.6159493131468815E-3</v>
      </c>
      <c r="G35" s="2" cm="1">
        <f t="array" ref="G35">INDEX( ComputeThermoProps($A35, $B35, ParametersRange), 1, COLUMN()-2 )</f>
        <v>8.2115297624808914</v>
      </c>
      <c r="H35" s="2" cm="1">
        <f t="array" ref="H35">INDEX( ComputeThermoProps($A35, $B35, ParametersRange), 1, COLUMN()-2 )</f>
        <v>7.8147861661465701</v>
      </c>
      <c r="I35" s="2" cm="1">
        <f t="array" ref="I35">INDEX( ComputeThermoProps($A35, $B35, ParametersRange), 1, COLUMN()-2 )</f>
        <v>2.5964485549267509</v>
      </c>
      <c r="J35" s="2" cm="1">
        <f t="array" ref="J35">INDEX( ComputeThermoProps($A35, $B35, ParametersRange), 1, COLUMN()-2 )</f>
        <v>28.615019437518082</v>
      </c>
      <c r="K35" s="2" cm="1">
        <f t="array" ref="K35">INDEX( ComputeThermoProps($A35, $B35, ParametersRange), 1, COLUMN()-2 )</f>
        <v>3.2012191335637947</v>
      </c>
      <c r="L35" s="2" cm="1">
        <f t="array" ref="L35">INDEX( ComputeThermoProps($A35, $B35, ParametersRange), 1, COLUMN()-2 )</f>
        <v>-10.119732078603832</v>
      </c>
      <c r="M35" s="2" cm="1">
        <f t="array" ref="M35">INDEX( ComputeThermoProps($A35, $B35, ParametersRange), 1, COLUMN()-2 )</f>
        <v>28.615028419691104</v>
      </c>
      <c r="N35" s="2" cm="1">
        <f t="array" ref="N35">INDEX( ComputeThermoProps($A35, $B35, ParametersRange), 1, COLUMN()-2 )</f>
        <v>-10.11972309643081</v>
      </c>
      <c r="P35">
        <f t="shared" si="1"/>
        <v>-494.50543274567661</v>
      </c>
    </row>
    <row r="36" spans="1:16" x14ac:dyDescent="0.25">
      <c r="A36" s="2">
        <v>13.1</v>
      </c>
      <c r="B36" s="2">
        <f t="shared" si="0"/>
        <v>3.0694002160721521E-6</v>
      </c>
      <c r="C36" s="2" cm="1">
        <f t="array" ref="C36">INDEX( ComputeThermoProps($A36, $B36, ParametersRange), 1, COLUMN()-2 )</f>
        <v>13.477286348551637</v>
      </c>
      <c r="D36" s="2" cm="1">
        <f t="array" ref="D36">INDEX( ComputeThermoProps($A36, $B36, ParametersRange), 1, COLUMN()-2 )</f>
        <v>1.0962497256014122E-3</v>
      </c>
      <c r="E36" s="2" cm="1">
        <f t="array" ref="E36">INDEX( ComputeThermoProps($A36, $B36, ParametersRange), 1, COLUMN()-2 )</f>
        <v>1.029340841220973E-3</v>
      </c>
      <c r="F36" s="2" cm="1">
        <f t="array" ref="F36">INDEX( ComputeThermoProps($A36, $B36, ParametersRange), 1, COLUMN()-2 )</f>
        <v>1.9084679662850293E-3</v>
      </c>
      <c r="G36" s="2" cm="1">
        <f t="array" ref="G36">INDEX( ComputeThermoProps($A36, $B36, ParametersRange), 1, COLUMN()-2 )</f>
        <v>9.6108038175964836</v>
      </c>
      <c r="H36" s="2" cm="1">
        <f t="array" ref="H36">INDEX( ComputeThermoProps($A36, $B36, ParametersRange), 1, COLUMN()-2 )</f>
        <v>9.0242146979669524</v>
      </c>
      <c r="I36" s="2" cm="1">
        <f t="array" ref="I36">INDEX( ComputeThermoProps($A36, $B36, ParametersRange), 1, COLUMN()-2 )</f>
        <v>2.5999704597053905</v>
      </c>
      <c r="J36" s="2" cm="1">
        <f t="array" ref="J36">INDEX( ComputeThermoProps($A36, $B36, ParametersRange), 1, COLUMN()-2 )</f>
        <v>37.525012344082974</v>
      </c>
      <c r="K36" s="2" cm="1">
        <f t="array" ref="K36">INDEX( ComputeThermoProps($A36, $B36, ParametersRange), 1, COLUMN()-2 )</f>
        <v>3.907996165719648</v>
      </c>
      <c r="L36" s="2" cm="1">
        <f t="array" ref="L36">INDEX( ComputeThermoProps($A36, $B36, ParametersRange), 1, COLUMN()-2 )</f>
        <v>-13.669737426844414</v>
      </c>
      <c r="M36" s="2" cm="1">
        <f t="array" ref="M36">INDEX( ComputeThermoProps($A36, $B36, ParametersRange), 1, COLUMN()-2 )</f>
        <v>37.525053711268605</v>
      </c>
      <c r="N36" s="2" cm="1">
        <f t="array" ref="N36">INDEX( ComputeThermoProps($A36, $B36, ParametersRange), 1, COLUMN()-2 )</f>
        <v>-13.669696059658783</v>
      </c>
      <c r="P36">
        <f t="shared" si="1"/>
        <v>-485.59540745409913</v>
      </c>
    </row>
    <row r="37" spans="1:16" x14ac:dyDescent="0.25">
      <c r="A37" s="2">
        <v>14.1</v>
      </c>
      <c r="B37" s="2">
        <f t="shared" si="0"/>
        <v>1.155031065365764E-5</v>
      </c>
      <c r="C37" s="2" cm="1">
        <f t="array" ref="C37">INDEX( ComputeThermoProps($A37, $B37, ParametersRange), 1, COLUMN()-2 )</f>
        <v>13.505046143387082</v>
      </c>
      <c r="D37" s="2" cm="1">
        <f t="array" ref="D37">INDEX( ComputeThermoProps($A37, $B37, ParametersRange), 1, COLUMN()-2 )</f>
        <v>1.1249359037270117E-3</v>
      </c>
      <c r="E37" s="2" cm="1">
        <f t="array" ref="E37">INDEX( ComputeThermoProps($A37, $B37, ParametersRange), 1, COLUMN()-2 )</f>
        <v>1.0406856630174846E-3</v>
      </c>
      <c r="F37" s="2" cm="1">
        <f t="array" ref="F37">INDEX( ComputeThermoProps($A37, $B37, ParametersRange), 1, COLUMN()-2 )</f>
        <v>2.2077460785598474E-3</v>
      </c>
      <c r="G37" s="2" cm="1">
        <f t="array" ref="G37">INDEX( ComputeThermoProps($A37, $B37, ParametersRange), 1, COLUMN()-2 )</f>
        <v>11.01646550131413</v>
      </c>
      <c r="H37" s="2" cm="1">
        <f t="array" ref="H37">INDEX( ComputeThermoProps($A37, $B37, ParametersRange), 1, COLUMN()-2 )</f>
        <v>10.191405275945817</v>
      </c>
      <c r="I37" s="2" cm="1">
        <f t="array" ref="I37">INDEX( ComputeThermoProps($A37, $B37, ParametersRange), 1, COLUMN()-2 )</f>
        <v>2.6006585996337663</v>
      </c>
      <c r="J37" s="2" cm="1">
        <f t="array" ref="J37">INDEX( ComputeThermoProps($A37, $B37, ParametersRange), 1, COLUMN()-2 )</f>
        <v>47.83869011498323</v>
      </c>
      <c r="K37" s="2" cm="1">
        <f t="array" ref="K37">INDEX( ComputeThermoProps($A37, $B37, ParametersRange), 1, COLUMN()-2 )</f>
        <v>4.6660612252414042</v>
      </c>
      <c r="L37" s="2" cm="1">
        <f t="array" ref="L37">INDEX( ComputeThermoProps($A37, $B37, ParametersRange), 1, COLUMN()-2 )</f>
        <v>-17.952773160920568</v>
      </c>
      <c r="M37" s="2" cm="1">
        <f t="array" ref="M37">INDEX( ComputeThermoProps($A37, $B37, ParametersRange), 1, COLUMN()-2 )</f>
        <v>47.838846102461581</v>
      </c>
      <c r="N37" s="2" cm="1">
        <f t="array" ref="N37">INDEX( ComputeThermoProps($A37, $B37, ParametersRange), 1, COLUMN()-2 )</f>
        <v>-17.952617173442217</v>
      </c>
      <c r="P37">
        <f t="shared" si="1"/>
        <v>-475.28161506290616</v>
      </c>
    </row>
    <row r="38" spans="1:16" x14ac:dyDescent="0.25">
      <c r="A38" s="2">
        <v>15.1</v>
      </c>
      <c r="B38" s="2">
        <f t="shared" si="0"/>
        <v>3.7069889444936479E-5</v>
      </c>
      <c r="C38" s="2" cm="1">
        <f t="array" ref="C38">INDEX( ComputeThermoProps($A38, $B38, ParametersRange), 1, COLUMN()-2 )</f>
        <v>13.53694790126338</v>
      </c>
      <c r="D38" s="2" cm="1">
        <f t="array" ref="D38">INDEX( ComputeThermoProps($A38, $B38, ParametersRange), 1, COLUMN()-2 )</f>
        <v>1.1576159727213196E-3</v>
      </c>
      <c r="E38" s="2" cm="1">
        <f t="array" ref="E38">INDEX( ComputeThermoProps($A38, $B38, ParametersRange), 1, COLUMN()-2 )</f>
        <v>1.0537467573276775E-3</v>
      </c>
      <c r="F38" s="2" cm="1">
        <f t="array" ref="F38">INDEX( ComputeThermoProps($A38, $B38, ParametersRange), 1, COLUMN()-2 )</f>
        <v>2.5118457657365449E-3</v>
      </c>
      <c r="G38" s="2" cm="1">
        <f t="array" ref="G38">INDEX( ComputeThermoProps($A38, $B38, ParametersRange), 1, COLUMN()-2 )</f>
        <v>12.416431351040803</v>
      </c>
      <c r="H38" s="2" cm="1">
        <f t="array" ref="H38">INDEX( ComputeThermoProps($A38, $B38, ParametersRange), 1, COLUMN()-2 )</f>
        <v>11.302344285198199</v>
      </c>
      <c r="I38" s="2" cm="1">
        <f t="array" ref="I38">INDEX( ComputeThermoProps($A38, $B38, ParametersRange), 1, COLUMN()-2 )</f>
        <v>2.5988468277863714</v>
      </c>
      <c r="J38" s="2" cm="1">
        <f t="array" ref="J38">INDEX( ComputeThermoProps($A38, $B38, ParametersRange), 1, COLUMN()-2 )</f>
        <v>59.555980820197966</v>
      </c>
      <c r="K38" s="2" cm="1">
        <f t="array" ref="K38">INDEX( ComputeThermoProps($A38, $B38, ParametersRange), 1, COLUMN()-2 )</f>
        <v>5.4683798398955066</v>
      </c>
      <c r="L38" s="2" cm="1">
        <f t="array" ref="L38">INDEX( ComputeThermoProps($A38, $B38, ParametersRange), 1, COLUMN()-2 )</f>
        <v>-23.016554762224182</v>
      </c>
      <c r="M38" s="2" cm="1">
        <f t="array" ref="M38">INDEX( ComputeThermoProps($A38, $B38, ParametersRange), 1, COLUMN()-2 )</f>
        <v>59.556482633360091</v>
      </c>
      <c r="N38" s="2" cm="1">
        <f t="array" ref="N38">INDEX( ComputeThermoProps($A38, $B38, ParametersRange), 1, COLUMN()-2 )</f>
        <v>-23.016052949062058</v>
      </c>
      <c r="P38">
        <f t="shared" si="1"/>
        <v>-463.56397853200764</v>
      </c>
    </row>
    <row r="39" spans="1:16" x14ac:dyDescent="0.25">
      <c r="A39" s="2">
        <v>16.100000000000001</v>
      </c>
      <c r="B39" s="2">
        <f t="shared" si="0"/>
        <v>1.0465760776566444E-4</v>
      </c>
      <c r="C39" s="2" cm="1">
        <f t="array" ref="C39">INDEX( ComputeThermoProps($A39, $B39, ParametersRange), 1, COLUMN()-2 )</f>
        <v>13.573076758065135</v>
      </c>
      <c r="D39" s="2" cm="1">
        <f t="array" ref="D39">INDEX( ComputeThermoProps($A39, $B39, ParametersRange), 1, COLUMN()-2 )</f>
        <v>1.1944056685699316E-3</v>
      </c>
      <c r="E39" s="2" cm="1">
        <f t="array" ref="E39">INDEX( ComputeThermoProps($A39, $B39, ParametersRange), 1, COLUMN()-2 )</f>
        <v>1.0685449643417174E-3</v>
      </c>
      <c r="F39" s="2" cm="1">
        <f t="array" ref="F39">INDEX( ComputeThermoProps($A39, $B39, ParametersRange), 1, COLUMN()-2 )</f>
        <v>2.819540374105031E-3</v>
      </c>
      <c r="G39" s="2" cm="1">
        <f t="array" ref="G39">INDEX( ComputeThermoProps($A39, $B39, ParametersRange), 1, COLUMN()-2 )</f>
        <v>13.802910098020607</v>
      </c>
      <c r="H39" s="2" cm="1">
        <f t="array" ref="H39">INDEX( ComputeThermoProps($A39, $B39, ParametersRange), 1, COLUMN()-2 )</f>
        <v>12.348426055412524</v>
      </c>
      <c r="I39" s="2" cm="1">
        <f t="array" ref="I39">INDEX( ComputeThermoProps($A39, $B39, ParametersRange), 1, COLUMN()-2 )</f>
        <v>2.5947359057850568</v>
      </c>
      <c r="J39" s="2" cm="1">
        <f t="array" ref="J39">INDEX( ComputeThermoProps($A39, $B39, ParametersRange), 1, COLUMN()-2 )</f>
        <v>72.666969587247593</v>
      </c>
      <c r="K39" s="2" cm="1">
        <f t="array" ref="K39">INDEX( ComputeThermoProps($A39, $B39, ParametersRange), 1, COLUMN()-2 )</f>
        <v>6.3086388670257252</v>
      </c>
      <c r="L39" s="2" cm="1">
        <f t="array" ref="L39">INDEX( ComputeThermoProps($A39, $B39, ParametersRange), 1, COLUMN()-2 )</f>
        <v>-28.902116171866592</v>
      </c>
      <c r="M39" s="2" cm="1">
        <f t="array" ref="M39">INDEX( ComputeThermoProps($A39, $B39, ParametersRange), 1, COLUMN()-2 )</f>
        <v>72.668390112991105</v>
      </c>
      <c r="N39" s="2" cm="1">
        <f t="array" ref="N39">INDEX( ComputeThermoProps($A39, $B39, ParametersRange), 1, COLUMN()-2 )</f>
        <v>-28.900695646123079</v>
      </c>
      <c r="P39">
        <f t="shared" si="1"/>
        <v>-450.4520710523766</v>
      </c>
    </row>
    <row r="40" spans="1:16" x14ac:dyDescent="0.25">
      <c r="A40" s="2">
        <v>17.100000000000001</v>
      </c>
      <c r="B40" s="2">
        <f t="shared" si="0"/>
        <v>2.6617333259291922E-4</v>
      </c>
      <c r="C40" s="2" cm="1">
        <f t="array" ref="C40">INDEX( ComputeThermoProps($A40, $B40, ParametersRange), 1, COLUMN()-2 )</f>
        <v>13.61350829005335</v>
      </c>
      <c r="D40" s="2" cm="1">
        <f t="array" ref="D40">INDEX( ComputeThermoProps($A40, $B40, ParametersRange), 1, COLUMN()-2 )</f>
        <v>1.235408880419523E-3</v>
      </c>
      <c r="E40" s="2" cm="1">
        <f t="array" ref="E40">INDEX( ComputeThermoProps($A40, $B40, ParametersRange), 1, COLUMN()-2 )</f>
        <v>1.0850813252222572E-3</v>
      </c>
      <c r="F40" s="2" cm="1">
        <f t="array" ref="F40">INDEX( ComputeThermoProps($A40, $B40, ParametersRange), 1, COLUMN()-2 )</f>
        <v>3.1300082927970068E-3</v>
      </c>
      <c r="G40" s="2" cm="1">
        <f t="array" ref="G40">INDEX( ComputeThermoProps($A40, $B40, ParametersRange), 1, COLUMN()-2 )</f>
        <v>15.171151749614889</v>
      </c>
      <c r="H40" s="2" cm="1">
        <f t="array" ref="H40">INDEX( ComputeThermoProps($A40, $B40, ParametersRange), 1, COLUMN()-2 )</f>
        <v>13.32508913164839</v>
      </c>
      <c r="I40" s="2" cm="1">
        <f t="array" ref="I40">INDEX( ComputeThermoProps($A40, $B40, ParametersRange), 1, COLUMN()-2 )</f>
        <v>2.5884197614263122</v>
      </c>
      <c r="J40" s="2" cm="1">
        <f t="array" ref="J40">INDEX( ComputeThermoProps($A40, $B40, ParametersRange), 1, COLUMN()-2 )</f>
        <v>87.155543447773795</v>
      </c>
      <c r="K40" s="2" cm="1">
        <f t="array" ref="K40">INDEX( ComputeThermoProps($A40, $B40, ParametersRange), 1, COLUMN()-2 )</f>
        <v>7.1812928332899233</v>
      </c>
      <c r="L40" s="2" cm="1">
        <f t="array" ref="L40">INDEX( ComputeThermoProps($A40, $B40, ParametersRange), 1, COLUMN()-2 )</f>
        <v>-35.644564001483907</v>
      </c>
      <c r="M40" s="2" cm="1">
        <f t="array" ref="M40">INDEX( ComputeThermoProps($A40, $B40, ParametersRange), 1, COLUMN()-2 )</f>
        <v>87.159167000643635</v>
      </c>
      <c r="N40" s="2" cm="1">
        <f t="array" ref="N40">INDEX( ComputeThermoProps($A40, $B40, ParametersRange), 1, COLUMN()-2 )</f>
        <v>-35.640940448614067</v>
      </c>
      <c r="P40">
        <f t="shared" si="1"/>
        <v>-435.96129416472411</v>
      </c>
    </row>
    <row r="41" spans="1:16" x14ac:dyDescent="0.25">
      <c r="A41" s="2">
        <v>18.100000000000001</v>
      </c>
      <c r="B41" s="2">
        <f t="shared" si="0"/>
        <v>6.2129069033045018E-4</v>
      </c>
      <c r="C41" s="2" cm="1">
        <f t="array" ref="C41">INDEX( ComputeThermoProps($A41, $B41, ParametersRange), 1, COLUMN()-2 )</f>
        <v>13.658311504389371</v>
      </c>
      <c r="D41" s="2" cm="1">
        <f t="array" ref="D41">INDEX( ComputeThermoProps($A41, $B41, ParametersRange), 1, COLUMN()-2 )</f>
        <v>1.2806946289729694E-3</v>
      </c>
      <c r="E41" s="2" cm="1">
        <f t="array" ref="E41">INDEX( ComputeThermoProps($A41, $B41, ParametersRange), 1, COLUMN()-2 )</f>
        <v>1.1033309436798357E-3</v>
      </c>
      <c r="F41" s="2" cm="1">
        <f t="array" ref="F41">INDEX( ComputeThermoProps($A41, $B41, ParametersRange), 1, COLUMN()-2 )</f>
        <v>3.4425234177478201E-3</v>
      </c>
      <c r="G41" s="2" cm="1">
        <f t="array" ref="G41">INDEX( ComputeThermoProps($A41, $B41, ParametersRange), 1, COLUMN()-2 )</f>
        <v>16.518274947883203</v>
      </c>
      <c r="H41" s="2" cm="1">
        <f t="array" ref="H41">INDEX( ComputeThermoProps($A41, $B41, ParametersRange), 1, COLUMN()-2 )</f>
        <v>14.230655359916891</v>
      </c>
      <c r="I41" s="2" cm="1">
        <f t="array" ref="I41">INDEX( ComputeThermoProps($A41, $B41, ParametersRange), 1, COLUMN()-2 )</f>
        <v>2.5799032969169144</v>
      </c>
      <c r="J41" s="2" cm="1">
        <f t="array" ref="J41">INDEX( ComputeThermoProps($A41, $B41, ParametersRange), 1, COLUMN()-2 )</f>
        <v>103.00180644601234</v>
      </c>
      <c r="K41" s="2" cm="1">
        <f t="array" ref="K41">INDEX( ComputeThermoProps($A41, $B41, ParametersRange), 1, COLUMN()-2 )</f>
        <v>8.081527125479985</v>
      </c>
      <c r="L41" s="2" cm="1">
        <f t="array" ref="L41">INDEX( ComputeThermoProps($A41, $B41, ParametersRange), 1, COLUMN()-2 )</f>
        <v>-43.273834525175403</v>
      </c>
      <c r="M41" s="2" cm="1">
        <f t="array" ref="M41">INDEX( ComputeThermoProps($A41, $B41, ParametersRange), 1, COLUMN()-2 )</f>
        <v>103.01029222779565</v>
      </c>
      <c r="N41" s="2" cm="1">
        <f t="array" ref="N41">INDEX( ComputeThermoProps($A41, $B41, ParametersRange), 1, COLUMN()-2 )</f>
        <v>-43.265348743392096</v>
      </c>
      <c r="P41">
        <f t="shared" si="1"/>
        <v>-420.1101689375721</v>
      </c>
    </row>
    <row r="42" spans="1:16" x14ac:dyDescent="0.25">
      <c r="A42" s="2">
        <v>19.100000000000001</v>
      </c>
      <c r="B42" s="2">
        <f t="shared" si="0"/>
        <v>1.3509482334256285E-3</v>
      </c>
      <c r="C42" s="2" cm="1">
        <f t="array" ref="C42">INDEX( ComputeThermoProps($A42, $B42, ParametersRange), 1, COLUMN()-2 )</f>
        <v>13.707547196236982</v>
      </c>
      <c r="D42" s="2" cm="1">
        <f t="array" ref="D42">INDEX( ComputeThermoProps($A42, $B42, ParametersRange), 1, COLUMN()-2 )</f>
        <v>1.3302593528232698E-3</v>
      </c>
      <c r="E42" s="2" cm="1">
        <f t="array" ref="E42">INDEX( ComputeThermoProps($A42, $B42, ParametersRange), 1, COLUMN()-2 )</f>
        <v>1.1232324164716855E-3</v>
      </c>
      <c r="F42" s="2" cm="1">
        <f t="array" ref="F42">INDEX( ComputeThermoProps($A42, $B42, ParametersRange), 1, COLUMN()-2 )</f>
        <v>3.7561294267268062E-3</v>
      </c>
      <c r="G42" s="2" cm="1">
        <f t="array" ref="G42">INDEX( ComputeThermoProps($A42, $B42, ParametersRange), 1, COLUMN()-2 )</f>
        <v>17.84215709360873</v>
      </c>
      <c r="H42" s="2" cm="1">
        <f t="array" ref="H42">INDEX( ComputeThermoProps($A42, $B42, ParametersRange), 1, COLUMN()-2 )</f>
        <v>15.065399979927125</v>
      </c>
      <c r="I42" s="2" cm="1">
        <f t="array" ref="I42">INDEX( ComputeThermoProps($A42, $B42, ParametersRange), 1, COLUMN()-2 )</f>
        <v>2.569113616068496</v>
      </c>
      <c r="J42" s="2" cm="1">
        <f t="array" ref="J42">INDEX( ComputeThermoProps($A42, $B42, ParametersRange), 1, COLUMN()-2 )</f>
        <v>120.18332717761557</v>
      </c>
      <c r="K42" s="2" cm="1">
        <f t="array" ref="K42">INDEX( ComputeThermoProps($A42, $B42, ParametersRange), 1, COLUMN()-2 )</f>
        <v>9.0051683163725826</v>
      </c>
      <c r="L42" s="2" cm="1">
        <f t="array" ref="L42">INDEX( ComputeThermoProps($A42, $B42, ParametersRange), 1, COLUMN()-2 )</f>
        <v>-51.815387665100772</v>
      </c>
      <c r="M42" s="2" cm="1">
        <f t="array" ref="M42">INDEX( ComputeThermoProps($A42, $B42, ParametersRange), 1, COLUMN()-2 )</f>
        <v>120.20184536428492</v>
      </c>
      <c r="N42" s="2" cm="1">
        <f t="array" ref="N42">INDEX( ComputeThermoProps($A42, $B42, ParametersRange), 1, COLUMN()-2 )</f>
        <v>-51.796869478431418</v>
      </c>
      <c r="P42">
        <f t="shared" si="1"/>
        <v>-402.91861580108281</v>
      </c>
    </row>
    <row r="43" spans="1:16" x14ac:dyDescent="0.25">
      <c r="A43" s="2">
        <v>20.100000000000001</v>
      </c>
      <c r="B43" s="2">
        <f t="shared" si="0"/>
        <v>2.770164685567214E-3</v>
      </c>
      <c r="C43" s="2" cm="1">
        <f t="array" ref="C43">INDEX( ComputeThermoProps($A43, $B43, ParametersRange), 1, COLUMN()-2 )</f>
        <v>13.761261004424609</v>
      </c>
      <c r="D43" s="2" cm="1">
        <f t="array" ref="D43">INDEX( ComputeThermoProps($A43, $B43, ParametersRange), 1, COLUMN()-2 )</f>
        <v>1.383970120594308E-3</v>
      </c>
      <c r="E43" s="2" cm="1">
        <f t="array" ref="E43">INDEX( ComputeThermoProps($A43, $B43, ParametersRange), 1, COLUMN()-2 )</f>
        <v>1.1446719519339972E-3</v>
      </c>
      <c r="F43" s="2" cm="1">
        <f t="array" ref="F43">INDEX( ComputeThermoProps($A43, $B43, ParametersRange), 1, COLUMN()-2 )</f>
        <v>4.0692773715484297E-3</v>
      </c>
      <c r="G43" s="2" cm="1">
        <f t="array" ref="G43">INDEX( ComputeThermoProps($A43, $B43, ParametersRange), 1, COLUMN()-2 )</f>
        <v>19.140333527606245</v>
      </c>
      <c r="H43" s="2" cm="1">
        <f t="array" ref="H43">INDEX( ComputeThermoProps($A43, $B43, ParametersRange), 1, COLUMN()-2 )</f>
        <v>15.830835228078753</v>
      </c>
      <c r="I43" s="2" cm="1">
        <f t="array" ref="I43">INDEX( ComputeThermoProps($A43, $B43, ParametersRange), 1, COLUMN()-2 )</f>
        <v>2.5559066197908455</v>
      </c>
      <c r="J43" s="2" cm="1">
        <f t="array" ref="J43">INDEX( ComputeThermoProps($A43, $B43, ParametersRange), 1, COLUMN()-2 )</f>
        <v>138.67523429048398</v>
      </c>
      <c r="K43" s="2" cm="1">
        <f t="array" ref="K43">INDEX( ComputeThermoProps($A43, $B43, ParametersRange), 1, COLUMN()-2 )</f>
        <v>9.9485587292773214</v>
      </c>
      <c r="L43" s="2" cm="1">
        <f t="array" ref="L43">INDEX( ComputeThermoProps($A43, $B43, ParametersRange), 1, COLUMN()-2 )</f>
        <v>-61.290796167990187</v>
      </c>
      <c r="M43" s="2" cm="1">
        <f t="array" ref="M43">INDEX( ComputeThermoProps($A43, $B43, ParametersRange), 1, COLUMN()-2 )</f>
        <v>138.71335524974731</v>
      </c>
      <c r="N43" s="2" cm="1">
        <f t="array" ref="N43">INDEX( ComputeThermoProps($A43, $B43, ParametersRange), 1, COLUMN()-2 )</f>
        <v>-61.252675208726863</v>
      </c>
      <c r="P43">
        <f t="shared" si="1"/>
        <v>-384.40710591562038</v>
      </c>
    </row>
    <row r="44" spans="1:16" x14ac:dyDescent="0.25">
      <c r="A44" s="2">
        <v>21.1</v>
      </c>
      <c r="B44" s="2">
        <f t="shared" si="0"/>
        <v>5.4123951021896833E-3</v>
      </c>
      <c r="C44" s="2" cm="1">
        <f t="array" ref="C44">INDEX( ComputeThermoProps($A44, $B44, ParametersRange), 1, COLUMN()-2 )</f>
        <v>13.819469999883745</v>
      </c>
      <c r="D44" s="2" cm="1">
        <f t="array" ref="D44">INDEX( ComputeThermoProps($A44, $B44, ParametersRange), 1, COLUMN()-2 )</f>
        <v>1.4414836293256343E-3</v>
      </c>
      <c r="E44" s="2" cm="1">
        <f t="array" ref="E44">INDEX( ComputeThermoProps($A44, $B44, ParametersRange), 1, COLUMN()-2 )</f>
        <v>1.167461220935098E-3</v>
      </c>
      <c r="F44" s="2" cm="1">
        <f t="array" ref="F44">INDEX( ComputeThermoProps($A44, $B44, ParametersRange), 1, COLUMN()-2 )</f>
        <v>4.379407090550529E-3</v>
      </c>
      <c r="G44" s="2" cm="1">
        <f t="array" ref="G44">INDEX( ComputeThermoProps($A44, $B44, ParametersRange), 1, COLUMN()-2 )</f>
        <v>20.408843624404799</v>
      </c>
      <c r="H44" s="2" cm="1">
        <f t="array" ref="H44">INDEX( ComputeThermoProps($A44, $B44, ParametersRange), 1, COLUMN()-2 )</f>
        <v>16.529173839294884</v>
      </c>
      <c r="I44" s="2" cm="1">
        <f t="array" ref="I44">INDEX( ComputeThermoProps($A44, $B44, ParametersRange), 1, COLUMN()-2 )</f>
        <v>2.5400709220358832</v>
      </c>
      <c r="J44" s="2" cm="1">
        <f t="array" ref="J44">INDEX( ComputeThermoProps($A44, $B44, ParametersRange), 1, COLUMN()-2 )</f>
        <v>158.44909893727228</v>
      </c>
      <c r="K44" s="2" cm="1">
        <f t="array" ref="K44">INDEX( ComputeThermoProps($A44, $B44, ParametersRange), 1, COLUMN()-2 )</f>
        <v>10.908402850933657</v>
      </c>
      <c r="L44" s="2" cm="1">
        <f t="array" ref="L44">INDEX( ComputeThermoProps($A44, $B44, ParametersRange), 1, COLUMN()-2 )</f>
        <v>-71.71820121742789</v>
      </c>
      <c r="M44" s="2" cm="1">
        <f t="array" ref="M44">INDEX( ComputeThermoProps($A44, $B44, ParametersRange), 1, COLUMN()-2 )</f>
        <v>158.5238953690145</v>
      </c>
      <c r="N44" s="2" cm="1">
        <f t="array" ref="N44">INDEX( ComputeThermoProps($A44, $B44, ParametersRange), 1, COLUMN()-2 )</f>
        <v>-71.643404785685675</v>
      </c>
      <c r="P44">
        <f t="shared" si="1"/>
        <v>-364.59656579635322</v>
      </c>
    </row>
    <row r="45" spans="1:16" x14ac:dyDescent="0.25">
      <c r="A45" s="2">
        <v>22.1</v>
      </c>
      <c r="B45" s="2">
        <f t="shared" si="0"/>
        <v>1.0169380105608659E-2</v>
      </c>
      <c r="C45" s="2" cm="1">
        <f t="array" ref="C45">INDEX( ComputeThermoProps($A45, $B45, ParametersRange), 1, COLUMN()-2 )</f>
        <v>13.88214104134039</v>
      </c>
      <c r="D45" s="2" cm="1">
        <f t="array" ref="D45">INDEX( ComputeThermoProps($A45, $B45, ParametersRange), 1, COLUMN()-2 )</f>
        <v>1.502136766204005E-3</v>
      </c>
      <c r="E45" s="2" cm="1">
        <f t="array" ref="E45">INDEX( ComputeThermoProps($A45, $B45, ParametersRange), 1, COLUMN()-2 )</f>
        <v>1.1913082118113099E-3</v>
      </c>
      <c r="F45" s="2" cm="1">
        <f t="array" ref="F45">INDEX( ComputeThermoProps($A45, $B45, ParametersRange), 1, COLUMN()-2 )</f>
        <v>4.6824654243503606E-3</v>
      </c>
      <c r="G45" s="2" cm="1">
        <f t="array" ref="G45">INDEX( ComputeThermoProps($A45, $B45, ParametersRange), 1, COLUMN()-2 )</f>
        <v>21.640982605795756</v>
      </c>
      <c r="H45" s="2" cm="1">
        <f t="array" ref="H45">INDEX( ComputeThermoProps($A45, $B45, ParametersRange), 1, COLUMN()-2 )</f>
        <v>17.162938069281555</v>
      </c>
      <c r="I45" s="2" cm="1">
        <f t="array" ref="I45">INDEX( ComputeThermoProps($A45, $B45, ParametersRange), 1, COLUMN()-2 )</f>
        <v>2.5213313294466699</v>
      </c>
      <c r="J45" s="2" cm="1">
        <f t="array" ref="J45">INDEX( ComputeThermoProps($A45, $B45, ParametersRange), 1, COLUMN()-2 )</f>
        <v>179.47045621583544</v>
      </c>
      <c r="K45" s="2" cm="1">
        <f t="array" ref="K45">INDEX( ComputeThermoProps($A45, $B45, ParametersRange), 1, COLUMN()-2 )</f>
        <v>11.881586776640953</v>
      </c>
      <c r="L45" s="2" cm="1">
        <f t="array" ref="L45">INDEX( ComputeThermoProps($A45, $B45, ParametersRange), 1, COLUMN()-2 )</f>
        <v>-83.112611547929632</v>
      </c>
      <c r="M45" s="2" cm="1">
        <f t="array" ref="M45">INDEX( ComputeThermoProps($A45, $B45, ParametersRange), 1, COLUMN()-2 )</f>
        <v>179.61162898476451</v>
      </c>
      <c r="N45" s="2" cm="1">
        <f t="array" ref="N45">INDEX( ComputeThermoProps($A45, $B45, ParametersRange), 1, COLUMN()-2 )</f>
        <v>-82.971438779000565</v>
      </c>
      <c r="P45">
        <f t="shared" si="1"/>
        <v>-343.50883218060324</v>
      </c>
    </row>
    <row r="46" spans="1:16" x14ac:dyDescent="0.25">
      <c r="A46" s="2">
        <v>23.1</v>
      </c>
      <c r="B46" s="2">
        <f t="shared" si="0"/>
        <v>1.8542300916479761E-2</v>
      </c>
      <c r="C46" s="2" cm="1">
        <f t="array" ref="C46">INDEX( ComputeThermoProps($A46, $B46, ParametersRange), 1, COLUMN()-2 )</f>
        <v>13.949158298980551</v>
      </c>
      <c r="D46" s="2" cm="1">
        <f t="array" ref="D46">INDEX( ComputeThermoProps($A46, $B46, ParametersRange), 1, COLUMN()-2 )</f>
        <v>1.5648089216794105E-3</v>
      </c>
      <c r="E46" s="2" cm="1">
        <f t="array" ref="E46">INDEX( ComputeThermoProps($A46, $B46, ParametersRange), 1, COLUMN()-2 )</f>
        <v>1.2157810949375697E-3</v>
      </c>
      <c r="F46" s="2" cm="1">
        <f t="array" ref="F46">INDEX( ComputeThermoProps($A46, $B46, ParametersRange), 1, COLUMN()-2 )</f>
        <v>4.9723849961214777E-3</v>
      </c>
      <c r="G46" s="2" cm="1">
        <f t="array" ref="G46">INDEX( ComputeThermoProps($A46, $B46, ParametersRange), 1, COLUMN()-2 )</f>
        <v>22.825979571698419</v>
      </c>
      <c r="H46" s="2" cm="1">
        <f t="array" ref="H46">INDEX( ComputeThermoProps($A46, $B46, ParametersRange), 1, COLUMN()-2 )</f>
        <v>17.734685719275095</v>
      </c>
      <c r="I46" s="2" cm="1">
        <f t="array" ref="I46">INDEX( ComputeThermoProps($A46, $B46, ParametersRange), 1, COLUMN()-2 )</f>
        <v>2.499354963678607</v>
      </c>
      <c r="J46" s="2" cm="1">
        <f t="array" ref="J46">INDEX( ComputeThermoProps($A46, $B46, ParametersRange), 1, COLUMN()-2 )</f>
        <v>201.69472467713553</v>
      </c>
      <c r="K46" s="2" cm="1">
        <f t="array" ref="K46">INDEX( ComputeThermoProps($A46, $B46, ParametersRange), 1, COLUMN()-2 )</f>
        <v>12.864967524107893</v>
      </c>
      <c r="L46" s="2" cm="1">
        <f t="array" ref="L46">INDEX( ComputeThermoProps($A46, $B46, ParametersRange), 1, COLUMN()-2 )</f>
        <v>-95.486025129756825</v>
      </c>
      <c r="M46" s="2" cm="1">
        <f t="array" ref="M46">INDEX( ComputeThermoProps($A46, $B46, ParametersRange), 1, COLUMN()-2 )</f>
        <v>201.95337416784685</v>
      </c>
      <c r="N46" s="2" cm="1">
        <f t="array" ref="N46">INDEX( ComputeThermoProps($A46, $B46, ParametersRange), 1, COLUMN()-2 )</f>
        <v>-95.227375639045505</v>
      </c>
      <c r="P46">
        <f t="shared" si="1"/>
        <v>-321.16708699752087</v>
      </c>
    </row>
    <row r="47" spans="1:16" x14ac:dyDescent="0.25">
      <c r="A47" s="2">
        <v>24.1</v>
      </c>
      <c r="B47" s="2">
        <f t="shared" si="0"/>
        <v>3.3189241114309674E-2</v>
      </c>
      <c r="C47" s="2" cm="1">
        <f t="array" ref="C47">INDEX( ComputeThermoProps($A47, $B47, ParametersRange), 1, COLUMN()-2 )</f>
        <v>14.020274726341739</v>
      </c>
      <c r="D47" s="2" cm="1">
        <f t="array" ref="D47">INDEX( ComputeThermoProps($A47, $B47, ParametersRange), 1, COLUMN()-2 )</f>
        <v>1.6277656649455279E-3</v>
      </c>
      <c r="E47" s="2" cm="1">
        <f t="array" ref="E47">INDEX( ComputeThermoProps($A47, $B47, ParametersRange), 1, COLUMN()-2 )</f>
        <v>1.2402657730090525E-3</v>
      </c>
      <c r="F47" s="2" cm="1">
        <f t="array" ref="F47">INDEX( ComputeThermoProps($A47, $B47, ParametersRange), 1, COLUMN()-2 )</f>
        <v>5.2406035493734304E-3</v>
      </c>
      <c r="G47" s="2" cm="1">
        <f t="array" ref="G47">INDEX( ComputeThermoProps($A47, $B47, ParametersRange), 1, COLUMN()-2 )</f>
        <v>23.947743278852275</v>
      </c>
      <c r="H47" s="2" cm="1">
        <f t="array" ref="H47">INDEX( ComputeThermoProps($A47, $B47, ParametersRange), 1, COLUMN()-2 )</f>
        <v>18.246831819346678</v>
      </c>
      <c r="I47" s="2" cm="1">
        <f t="array" ref="I47">INDEX( ComputeThermoProps($A47, $B47, ParametersRange), 1, COLUMN()-2 )</f>
        <v>2.4737652108573371</v>
      </c>
      <c r="J47" s="2" cm="1">
        <f t="array" ref="J47">INDEX( ComputeThermoProps($A47, $B47, ParametersRange), 1, COLUMN()-2 )</f>
        <v>225.06107379228743</v>
      </c>
      <c r="K47" s="2" cm="1">
        <f t="array" ref="K47">INDEX( ComputeThermoProps($A47, $B47, ParametersRange), 1, COLUMN()-2 )</f>
        <v>13.855121493868779</v>
      </c>
      <c r="L47" s="2" cm="1">
        <f t="array" ref="L47">INDEX( ComputeThermoProps($A47, $B47, ParametersRange), 1, COLUMN()-2 )</f>
        <v>-108.84735420995017</v>
      </c>
      <c r="M47" s="2" cm="1">
        <f t="array" ref="M47">INDEX( ComputeThermoProps($A47, $B47, ParametersRange), 1, COLUMN()-2 )</f>
        <v>225.52639607066885</v>
      </c>
      <c r="N47" s="2" cm="1">
        <f t="array" ref="N47">INDEX( ComputeThermoProps($A47, $B47, ParametersRange), 1, COLUMN()-2 )</f>
        <v>-108.38203193156875</v>
      </c>
      <c r="P47">
        <f t="shared" si="1"/>
        <v>-297.59406509469886</v>
      </c>
    </row>
    <row r="48" spans="1:16" x14ac:dyDescent="0.25">
      <c r="A48" s="2">
        <v>25.1</v>
      </c>
      <c r="B48" s="2">
        <f t="shared" si="0"/>
        <v>13.81116381471697</v>
      </c>
      <c r="C48" s="2" cm="1">
        <f t="array" ref="C48">INDEX( ComputeThermoProps($A48, $B48, ParametersRange), 1, COLUMN()-2 )</f>
        <v>13.800003545471194</v>
      </c>
      <c r="D48" s="2" cm="1">
        <f t="array" ref="D48">INDEX( ComputeThermoProps($A48, $B48, ParametersRange), 1, COLUMN()-2 )</f>
        <v>1.4009326850267579E-3</v>
      </c>
      <c r="E48" s="2" cm="1">
        <f t="array" ref="E48">INDEX( ComputeThermoProps($A48, $B48, ParametersRange), 1, COLUMN()-2 )</f>
        <v>1.0801483905715373E-3</v>
      </c>
      <c r="F48" s="2" cm="1">
        <f t="array" ref="F48">INDEX( ComputeThermoProps($A48, $B48, ParametersRange), 1, COLUMN()-2 )</f>
        <v>4.6887612484123875E-3</v>
      </c>
      <c r="G48" s="2" cm="1">
        <f t="array" ref="G48">INDEX( ComputeThermoProps($A48, $B48, ParametersRange), 1, COLUMN()-2 )</f>
        <v>23.738652355078194</v>
      </c>
      <c r="H48" s="2" cm="1">
        <f t="array" ref="H48">INDEX( ComputeThermoProps($A48, $B48, ParametersRange), 1, COLUMN()-2 )</f>
        <v>18.302997288684999</v>
      </c>
      <c r="I48" s="2" cm="1">
        <f t="array" ref="I48">INDEX( ComputeThermoProps($A48, $B48, ParametersRange), 1, COLUMN()-2 )</f>
        <v>2.5234681854678818</v>
      </c>
      <c r="J48" s="2" cm="1">
        <f t="array" ref="J48">INDEX( ComputeThermoProps($A48, $B48, ParametersRange), 1, COLUMN()-2 )</f>
        <v>227.03082405634945</v>
      </c>
      <c r="K48" s="2" cm="1">
        <f t="array" ref="K48">INDEX( ComputeThermoProps($A48, $B48, ParametersRange), 1, COLUMN()-2 )</f>
        <v>13.874794792291848</v>
      </c>
      <c r="L48" s="2" cm="1">
        <f t="array" ref="L48">INDEX( ComputeThermoProps($A48, $B48, ParametersRange), 1, COLUMN()-2 )</f>
        <v>-121.22652523017595</v>
      </c>
      <c r="M48" s="2" cm="1">
        <f t="array" ref="M48">INDEX( ComputeThermoProps($A48, $B48, ParametersRange), 1, COLUMN()-2 )</f>
        <v>417.62493366652711</v>
      </c>
      <c r="N48" s="2" cm="1">
        <f t="array" ref="N48">INDEX( ComputeThermoProps($A48, $B48, ParametersRange), 1, COLUMN()-2 )</f>
        <v>69.367584380001716</v>
      </c>
      <c r="P48">
        <f t="shared" si="1"/>
        <v>-105.4955274988406</v>
      </c>
    </row>
    <row r="49" spans="1:16" x14ac:dyDescent="0.25">
      <c r="A49" s="2">
        <v>26.1</v>
      </c>
      <c r="B49" s="2">
        <f t="shared" si="0"/>
        <v>19.464628332074657</v>
      </c>
      <c r="C49" s="2" cm="1">
        <f t="array" ref="C49">INDEX( ComputeThermoProps($A49, $B49, ParametersRange), 1, COLUMN()-2 )</f>
        <v>13.756907116093041</v>
      </c>
      <c r="D49" s="2" cm="1">
        <f t="array" ref="D49">INDEX( ComputeThermoProps($A49, $B49, ParametersRange), 1, COLUMN()-2 )</f>
        <v>1.3539382003174172E-3</v>
      </c>
      <c r="E49" s="2" cm="1">
        <f t="array" ref="E49">INDEX( ComputeThermoProps($A49, $B49, ParametersRange), 1, COLUMN()-2 )</f>
        <v>1.0373294655700751E-3</v>
      </c>
      <c r="F49" s="2" cm="1">
        <f t="array" ref="F49">INDEX( ComputeThermoProps($A49, $B49, ParametersRange), 1, COLUMN()-2 )</f>
        <v>4.6262888561506071E-3</v>
      </c>
      <c r="G49" s="2" cm="1">
        <f t="array" ref="G49">INDEX( ComputeThermoProps($A49, $B49, ParametersRange), 1, COLUMN()-2 )</f>
        <v>24.271907684558311</v>
      </c>
      <c r="H49" s="2" cm="1">
        <f t="array" ref="H49">INDEX( ComputeThermoProps($A49, $B49, ParametersRange), 1, COLUMN()-2 )</f>
        <v>18.596096203568486</v>
      </c>
      <c r="I49" s="2" cm="1">
        <f t="array" ref="I49">INDEX( ComputeThermoProps($A49, $B49, ParametersRange), 1, COLUMN()-2 )</f>
        <v>2.5277430490734392</v>
      </c>
      <c r="J49" s="2" cm="1">
        <f t="array" ref="J49">INDEX( ComputeThermoProps($A49, $B49, ParametersRange), 1, COLUMN()-2 )</f>
        <v>242.46721214543069</v>
      </c>
      <c r="K49" s="2" cm="1">
        <f t="array" ref="K49">INDEX( ComputeThermoProps($A49, $B49, ParametersRange), 1, COLUMN()-2 )</f>
        <v>14.449852964272139</v>
      </c>
      <c r="L49" s="2" cm="1">
        <f t="array" ref="L49">INDEX( ComputeThermoProps($A49, $B49, ParametersRange), 1, COLUMN()-2 )</f>
        <v>-134.67395022207216</v>
      </c>
      <c r="M49" s="2" cm="1">
        <f t="array" ref="M49">INDEX( ComputeThermoProps($A49, $B49, ParametersRange), 1, COLUMN()-2 )</f>
        <v>510.24029615905476</v>
      </c>
      <c r="N49" s="2" cm="1">
        <f t="array" ref="N49">INDEX( ComputeThermoProps($A49, $B49, ParametersRange), 1, COLUMN()-2 )</f>
        <v>133.09913379155191</v>
      </c>
      <c r="P49">
        <f t="shared" si="1"/>
        <v>-12.88016500631295</v>
      </c>
    </row>
    <row r="50" spans="1:16" x14ac:dyDescent="0.25">
      <c r="A50" s="2">
        <v>27.1</v>
      </c>
      <c r="B50" s="2">
        <f t="shared" si="0"/>
        <v>24.894887153870684</v>
      </c>
      <c r="C50" s="2" cm="1">
        <f t="array" ref="C50">INDEX( ComputeThermoProps($A50, $B50, ParametersRange), 1, COLUMN()-2 )</f>
        <v>13.720600112724915</v>
      </c>
      <c r="D50" s="2" cm="1">
        <f t="array" ref="D50">INDEX( ComputeThermoProps($A50, $B50, ParametersRange), 1, COLUMN()-2 )</f>
        <v>1.3144538303390258E-3</v>
      </c>
      <c r="E50" s="2" cm="1">
        <f t="array" ref="E50">INDEX( ComputeThermoProps($A50, $B50, ParametersRange), 1, COLUMN()-2 )</f>
        <v>1.0005266995960678E-3</v>
      </c>
      <c r="F50" s="2" cm="1">
        <f t="array" ref="F50">INDEX( ComputeThermoProps($A50, $B50, ParametersRange), 1, COLUMN()-2 )</f>
        <v>4.5754797820289133E-3</v>
      </c>
      <c r="G50" s="2" cm="1">
        <f t="array" ref="G50">INDEX( ComputeThermoProps($A50, $B50, ParametersRange), 1, COLUMN()-2 )</f>
        <v>24.796296942271365</v>
      </c>
      <c r="H50" s="2" cm="1">
        <f t="array" ref="H50">INDEX( ComputeThermoProps($A50, $B50, ParametersRange), 1, COLUMN()-2 )</f>
        <v>18.874270491079912</v>
      </c>
      <c r="I50" s="2" cm="1">
        <f t="array" ref="I50">INDEX( ComputeThermoProps($A50, $B50, ParametersRange), 1, COLUMN()-2 )</f>
        <v>2.5304294687735287</v>
      </c>
      <c r="J50" s="2" cm="1">
        <f t="array" ref="J50">INDEX( ComputeThermoProps($A50, $B50, ParametersRange), 1, COLUMN()-2 )</f>
        <v>258.67792690859426</v>
      </c>
      <c r="K50" s="2" cm="1">
        <f t="array" ref="K50">INDEX( ComputeThermoProps($A50, $B50, ParametersRange), 1, COLUMN()-2 )</f>
        <v>15.029074000503071</v>
      </c>
      <c r="L50" s="2" cm="1">
        <f t="array" ref="L50">INDEX( ComputeThermoProps($A50, $B50, ParametersRange), 1, COLUMN()-2 )</f>
        <v>-148.60997850503898</v>
      </c>
      <c r="M50" s="2" cm="1">
        <f t="array" ref="M50">INDEX( ComputeThermoProps($A50, $B50, ParametersRange), 1, COLUMN()-2 )</f>
        <v>600.25071839826637</v>
      </c>
      <c r="N50" s="2" cm="1">
        <f t="array" ref="N50">INDEX( ComputeThermoProps($A50, $B50, ParametersRange), 1, COLUMN()-2 )</f>
        <v>192.96281298463313</v>
      </c>
      <c r="P50">
        <f t="shared" si="1"/>
        <v>77.130257232898657</v>
      </c>
    </row>
    <row r="51" spans="1:16" x14ac:dyDescent="0.25">
      <c r="A51" s="2">
        <v>28.1</v>
      </c>
      <c r="B51" s="2">
        <f t="shared" si="0"/>
        <v>30.569319726806857</v>
      </c>
      <c r="C51" s="2" cm="1">
        <f t="array" ref="C51">INDEX( ComputeThermoProps($A51, $B51, ParametersRange), 1, COLUMN()-2 )</f>
        <v>13.682248196440865</v>
      </c>
      <c r="D51" s="2" cm="1">
        <f t="array" ref="D51">INDEX( ComputeThermoProps($A51, $B51, ParametersRange), 1, COLUMN()-2 )</f>
        <v>1.2744582598959386E-3</v>
      </c>
      <c r="E51" s="2" cm="1">
        <f t="array" ref="E51">INDEX( ComputeThermoProps($A51, $B51, ParametersRange), 1, COLUMN()-2 )</f>
        <v>9.6449922906670078E-4</v>
      </c>
      <c r="F51" s="2" cm="1">
        <f t="array" ref="F51">INDEX( ComputeThermoProps($A51, $B51, ParametersRange), 1, COLUMN()-2 )</f>
        <v>4.5139672240555075E-3</v>
      </c>
      <c r="G51" s="2" cm="1">
        <f t="array" ref="G51">INDEX( ComputeThermoProps($A51, $B51, ParametersRange), 1, COLUMN()-2 )</f>
        <v>25.274134514670617</v>
      </c>
      <c r="H51" s="2" cm="1">
        <f t="array" ref="H51">INDEX( ComputeThermoProps($A51, $B51, ParametersRange), 1, COLUMN()-2 )</f>
        <v>19.127251179429223</v>
      </c>
      <c r="I51" s="2" cm="1">
        <f t="array" ref="I51">INDEX( ComputeThermoProps($A51, $B51, ParametersRange), 1, COLUMN()-2 )</f>
        <v>2.5335978871764926</v>
      </c>
      <c r="J51" s="2" cm="1">
        <f t="array" ref="J51">INDEX( ComputeThermoProps($A51, $B51, ParametersRange), 1, COLUMN()-2 )</f>
        <v>275.02625034956196</v>
      </c>
      <c r="K51" s="2" cm="1">
        <f t="array" ref="K51">INDEX( ComputeThermoProps($A51, $B51, ParametersRange), 1, COLUMN()-2 )</f>
        <v>15.582936642257996</v>
      </c>
      <c r="L51" s="2" cm="1">
        <f t="array" ref="L51">INDEX( ComputeThermoProps($A51, $B51, ParametersRange), 1, COLUMN()-2 )</f>
        <v>-162.85426929788775</v>
      </c>
      <c r="M51" s="2" cm="1">
        <f t="array" ref="M51">INDEX( ComputeThermoProps($A51, $B51, ParametersRange), 1, COLUMN()-2 )</f>
        <v>693.28327004808921</v>
      </c>
      <c r="N51" s="2" cm="1">
        <f t="array" ref="N51">INDEX( ComputeThermoProps($A51, $B51, ParametersRange), 1, COLUMN()-2 )</f>
        <v>255.40275040063949</v>
      </c>
      <c r="P51">
        <f t="shared" si="1"/>
        <v>170.16280888272149</v>
      </c>
    </row>
    <row r="52" spans="1:16" x14ac:dyDescent="0.25">
      <c r="A52" s="2">
        <v>29.1</v>
      </c>
      <c r="B52" s="2">
        <f t="shared" si="0"/>
        <v>36.545553895931427</v>
      </c>
      <c r="C52" s="2" cm="1">
        <f t="array" ref="C52">INDEX( ComputeThermoProps($A52, $B52, ParametersRange), 1, COLUMN()-2 )</f>
        <v>13.641059381555134</v>
      </c>
      <c r="D52" s="2" cm="1">
        <f t="array" ref="D52">INDEX( ComputeThermoProps($A52, $B52, ParametersRange), 1, COLUMN()-2 )</f>
        <v>1.2335244259748907E-3</v>
      </c>
      <c r="E52" s="2" cm="1">
        <f t="array" ref="E52">INDEX( ComputeThermoProps($A52, $B52, ParametersRange), 1, COLUMN()-2 )</f>
        <v>9.2889015374242496E-4</v>
      </c>
      <c r="F52" s="2" cm="1">
        <f t="array" ref="F52">INDEX( ComputeThermoProps($A52, $B52, ParametersRange), 1, COLUMN()-2 )</f>
        <v>4.4414746941297024E-3</v>
      </c>
      <c r="G52" s="2" cm="1">
        <f t="array" ref="G52">INDEX( ComputeThermoProps($A52, $B52, ParametersRange), 1, COLUMN()-2 )</f>
        <v>25.704946916718256</v>
      </c>
      <c r="H52" s="2" cm="1">
        <f t="array" ref="H52">INDEX( ComputeThermoProps($A52, $B52, ParametersRange), 1, COLUMN()-2 )</f>
        <v>19.356789043346701</v>
      </c>
      <c r="I52" s="2" cm="1">
        <f t="array" ref="I52">INDEX( ComputeThermoProps($A52, $B52, ParametersRange), 1, COLUMN()-2 )</f>
        <v>2.5374308796016947</v>
      </c>
      <c r="J52" s="2" cm="1">
        <f t="array" ref="J52">INDEX( ComputeThermoProps($A52, $B52, ParametersRange), 1, COLUMN()-2 )</f>
        <v>291.44408018766779</v>
      </c>
      <c r="K52" s="2" cm="1">
        <f t="array" ref="K52">INDEX( ComputeThermoProps($A52, $B52, ParametersRange), 1, COLUMN()-2 )</f>
        <v>16.108725233835511</v>
      </c>
      <c r="L52" s="2" cm="1">
        <f t="array" ref="L52">INDEX( ComputeThermoProps($A52, $B52, ParametersRange), 1, COLUMN()-2 )</f>
        <v>-177.3198241169456</v>
      </c>
      <c r="M52" s="2" cm="1">
        <f t="array" ref="M52">INDEX( ComputeThermoProps($A52, $B52, ParametersRange), 1, COLUMN()-2 )</f>
        <v>789.96415101389198</v>
      </c>
      <c r="N52" s="2" cm="1">
        <f t="array" ref="N52">INDEX( ComputeThermoProps($A52, $B52, ParametersRange), 1, COLUMN()-2 )</f>
        <v>321.20024670927859</v>
      </c>
      <c r="P52">
        <f t="shared" si="1"/>
        <v>266.84368984852426</v>
      </c>
    </row>
    <row r="53" spans="1:16" x14ac:dyDescent="0.25">
      <c r="A53" s="2">
        <v>30.1</v>
      </c>
      <c r="B53" s="2">
        <f t="shared" si="0"/>
        <v>42.823401186547635</v>
      </c>
      <c r="C53" s="2" cm="1">
        <f t="array" ref="C53">INDEX( ComputeThermoProps($A53, $B53, ParametersRange), 1, COLUMN()-2 )</f>
        <v>13.597321378224009</v>
      </c>
      <c r="D53" s="2" cm="1">
        <f t="array" ref="D53">INDEX( ComputeThermoProps($A53, $B53, ParametersRange), 1, COLUMN()-2 )</f>
        <v>1.1921246826606846E-3</v>
      </c>
      <c r="E53" s="2" cm="1">
        <f t="array" ref="E53">INDEX( ComputeThermoProps($A53, $B53, ParametersRange), 1, COLUMN()-2 )</f>
        <v>8.9391185166243301E-4</v>
      </c>
      <c r="F53" s="2" cm="1">
        <f t="array" ref="F53">INDEX( ComputeThermoProps($A53, $B53, ParametersRange), 1, COLUMN()-2 )</f>
        <v>4.3602849968005413E-3</v>
      </c>
      <c r="G53" s="2" cm="1">
        <f t="array" ref="G53">INDEX( ComputeThermoProps($A53, $B53, ParametersRange), 1, COLUMN()-2 )</f>
        <v>26.092956212071041</v>
      </c>
      <c r="H53" s="2" cm="1">
        <f t="array" ref="H53">INDEX( ComputeThermoProps($A53, $B53, ParametersRange), 1, COLUMN()-2 )</f>
        <v>19.565741018649948</v>
      </c>
      <c r="I53" s="2" cm="1">
        <f t="array" ref="I53">INDEX( ComputeThermoProps($A53, $B53, ParametersRange), 1, COLUMN()-2 )</f>
        <v>2.54185198919782</v>
      </c>
      <c r="J53" s="2" cm="1">
        <f t="array" ref="J53">INDEX( ComputeThermoProps($A53, $B53, ParametersRange), 1, COLUMN()-2 )</f>
        <v>307.94297469547809</v>
      </c>
      <c r="K53" s="2" cm="1">
        <f t="array" ref="K53">INDEX( ComputeThermoProps($A53, $B53, ParametersRange), 1, COLUMN()-2 )</f>
        <v>16.607547437777388</v>
      </c>
      <c r="L53" s="2" cm="1">
        <f t="array" ref="L53">INDEX( ComputeThermoProps($A53, $B53, ParametersRange), 1, COLUMN()-2 )</f>
        <v>-191.9442031816213</v>
      </c>
      <c r="M53" s="2" cm="1">
        <f t="array" ref="M53">INDEX( ComputeThermoProps($A53, $B53, ParametersRange), 1, COLUMN()-2 )</f>
        <v>890.22652313758567</v>
      </c>
      <c r="N53" s="2" cm="1">
        <f t="array" ref="N53">INDEX( ComputeThermoProps($A53, $B53, ParametersRange), 1, COLUMN()-2 )</f>
        <v>390.33934526048625</v>
      </c>
      <c r="P53">
        <f t="shared" si="1"/>
        <v>367.10606197221796</v>
      </c>
    </row>
    <row r="54" spans="1:16" x14ac:dyDescent="0.25">
      <c r="A54" s="2">
        <v>31.1</v>
      </c>
      <c r="B54" s="2">
        <f t="shared" si="0"/>
        <v>49.389975184962736</v>
      </c>
      <c r="C54" s="2" cm="1">
        <f t="array" ref="C54">INDEX( ComputeThermoProps($A54, $B54, ParametersRange), 1, COLUMN()-2 )</f>
        <v>13.551516103819067</v>
      </c>
      <c r="D54" s="2" cm="1">
        <f t="array" ref="D54">INDEX( ComputeThermoProps($A54, $B54, ParametersRange), 1, COLUMN()-2 )</f>
        <v>1.1508095755752182E-3</v>
      </c>
      <c r="E54" s="2" cm="1">
        <f t="array" ref="E54">INDEX( ComputeThermoProps($A54, $B54, ParametersRange), 1, COLUMN()-2 )</f>
        <v>8.5982472632082903E-4</v>
      </c>
      <c r="F54" s="2" cm="1">
        <f t="array" ref="F54">INDEX( ComputeThermoProps($A54, $B54, ParametersRange), 1, COLUMN()-2 )</f>
        <v>4.2728348382046243E-3</v>
      </c>
      <c r="G54" s="2" cm="1">
        <f t="array" ref="G54">INDEX( ComputeThermoProps($A54, $B54, ParametersRange), 1, COLUMN()-2 )</f>
        <v>26.442962515146753</v>
      </c>
      <c r="H54" s="2" cm="1">
        <f t="array" ref="H54">INDEX( ComputeThermoProps($A54, $B54, ParametersRange), 1, COLUMN()-2 )</f>
        <v>19.756798596617106</v>
      </c>
      <c r="I54" s="2" cm="1">
        <f t="array" ref="I54">INDEX( ComputeThermoProps($A54, $B54, ParametersRange), 1, COLUMN()-2 )</f>
        <v>2.5467361440390239</v>
      </c>
      <c r="J54" s="2" cm="1">
        <f t="array" ref="J54">INDEX( ComputeThermoProps($A54, $B54, ParametersRange), 1, COLUMN()-2 )</f>
        <v>324.55090106946113</v>
      </c>
      <c r="K54" s="2" cm="1">
        <f t="array" ref="K54">INDEX( ComputeThermoProps($A54, $B54, ParametersRange), 1, COLUMN()-2 )</f>
        <v>17.081338176475956</v>
      </c>
      <c r="L54" s="2" cm="1">
        <f t="array" ref="L54">INDEX( ComputeThermoProps($A54, $B54, ParametersRange), 1, COLUMN()-2 )</f>
        <v>-206.67871621894113</v>
      </c>
      <c r="M54" s="2" cm="1">
        <f t="array" ref="M54">INDEX( ComputeThermoProps($A54, $B54, ParametersRange), 1, COLUMN()-2 )</f>
        <v>993.85994515570769</v>
      </c>
      <c r="N54" s="2" cm="1">
        <f t="array" ref="N54">INDEX( ComputeThermoProps($A54, $B54, ParametersRange), 1, COLUMN()-2 )</f>
        <v>462.63032786730543</v>
      </c>
      <c r="P54">
        <f t="shared" si="1"/>
        <v>470.73948399033998</v>
      </c>
    </row>
    <row r="55" spans="1:16" x14ac:dyDescent="0.25">
      <c r="A55" s="2">
        <v>32.1</v>
      </c>
      <c r="B55" s="2">
        <f t="shared" si="0"/>
        <v>56.229948618360389</v>
      </c>
      <c r="C55" s="2" cm="1">
        <f t="array" ref="C55">INDEX( ComputeThermoProps($A55, $B55, ParametersRange), 1, COLUMN()-2 )</f>
        <v>13.504121994844887</v>
      </c>
      <c r="D55" s="2" cm="1">
        <f t="array" ref="D55">INDEX( ComputeThermoProps($A55, $B55, ParametersRange), 1, COLUMN()-2 )</f>
        <v>1.1100456210484872E-3</v>
      </c>
      <c r="E55" s="2" cm="1">
        <f t="array" ref="E55">INDEX( ComputeThermoProps($A55, $B55, ParametersRange), 1, COLUMN()-2 )</f>
        <v>8.2683822345740881E-4</v>
      </c>
      <c r="F55" s="2" cm="1">
        <f t="array" ref="F55">INDEX( ComputeThermoProps($A55, $B55, ParametersRange), 1, COLUMN()-2 )</f>
        <v>4.1812419820889853E-3</v>
      </c>
      <c r="G55" s="2" cm="1">
        <f t="array" ref="G55">INDEX( ComputeThermoProps($A55, $B55, ParametersRange), 1, COLUMN()-2 )</f>
        <v>26.759463155960137</v>
      </c>
      <c r="H55" s="2" cm="1">
        <f t="array" ref="H55">INDEX( ComputeThermoProps($A55, $B55, ParametersRange), 1, COLUMN()-2 )</f>
        <v>19.932286166445412</v>
      </c>
      <c r="I55" s="2" cm="1">
        <f t="array" ref="I55">INDEX( ComputeThermoProps($A55, $B55, ParametersRange), 1, COLUMN()-2 )</f>
        <v>2.5519591214680828</v>
      </c>
      <c r="J55" s="2" cm="1">
        <f t="array" ref="J55">INDEX( ComputeThermoProps($A55, $B55, ParametersRange), 1, COLUMN()-2 )</f>
        <v>341.29730848323589</v>
      </c>
      <c r="K55" s="2" cm="1">
        <f t="array" ref="K55">INDEX( ComputeThermoProps($A55, $B55, ParametersRange), 1, COLUMN()-2 )</f>
        <v>17.532146752749021</v>
      </c>
      <c r="L55" s="2" cm="1">
        <f t="array" ref="L55">INDEX( ComputeThermoProps($A55, $B55, ParametersRange), 1, COLUMN()-2 )</f>
        <v>-221.48460228000772</v>
      </c>
      <c r="M55" s="2" cm="1">
        <f t="array" ref="M55">INDEX( ComputeThermoProps($A55, $B55, ParametersRange), 1, COLUMN()-2 )</f>
        <v>1100.6333943894342</v>
      </c>
      <c r="N55" s="2" cm="1">
        <f t="array" ref="N55">INDEX( ComputeThermoProps($A55, $B55, ParametersRange), 1, COLUMN()-2 )</f>
        <v>537.85148362619066</v>
      </c>
      <c r="P55">
        <f t="shared" si="1"/>
        <v>577.5129332240665</v>
      </c>
    </row>
    <row r="56" spans="1:16" x14ac:dyDescent="0.25">
      <c r="A56" s="2">
        <v>33.1</v>
      </c>
      <c r="B56" s="2">
        <f t="shared" si="0"/>
        <v>63.328395862429993</v>
      </c>
      <c r="C56" s="2" cm="1">
        <f t="array" ref="C56">INDEX( ComputeThermoProps($A56, $B56, ParametersRange), 1, COLUMN()-2 )</f>
        <v>13.455563501960695</v>
      </c>
      <c r="D56" s="2" cm="1">
        <f t="array" ref="D56">INDEX( ComputeThermoProps($A56, $B56, ParametersRange), 1, COLUMN()-2 )</f>
        <v>1.0701899138913673E-3</v>
      </c>
      <c r="E56" s="2" cm="1">
        <f t="array" ref="E56">INDEX( ComputeThermoProps($A56, $B56, ParametersRange), 1, COLUMN()-2 )</f>
        <v>7.9509755297224192E-4</v>
      </c>
      <c r="F56" s="2" cm="1">
        <f t="array" ref="F56">INDEX( ComputeThermoProps($A56, $B56, ParametersRange), 1, COLUMN()-2 )</f>
        <v>4.087234352539766E-3</v>
      </c>
      <c r="G56" s="2" cm="1">
        <f t="array" ref="G56">INDEX( ComputeThermoProps($A56, $B56, ParametersRange), 1, COLUMN()-2 )</f>
        <v>27.046460185353272</v>
      </c>
      <c r="H56" s="2" cm="1">
        <f t="array" ref="H56">INDEX( ComputeThermoProps($A56, $B56, ParametersRange), 1, COLUMN()-2 )</f>
        <v>20.094166494002707</v>
      </c>
      <c r="I56" s="2" cm="1">
        <f t="array" ref="I56">INDEX( ComputeThermoProps($A56, $B56, ParametersRange), 1, COLUMN()-2 )</f>
        <v>2.5574113016775564</v>
      </c>
      <c r="J56" s="2" cm="1">
        <f t="array" ref="J56">INDEX( ComputeThermoProps($A56, $B56, ParametersRange), 1, COLUMN()-2 )</f>
        <v>358.20883857900412</v>
      </c>
      <c r="K56" s="2" cm="1">
        <f t="array" ref="K56">INDEX( ComputeThermoProps($A56, $B56, ParametersRange), 1, COLUMN()-2 )</f>
        <v>17.961925316211619</v>
      </c>
      <c r="L56" s="2" cm="1">
        <f t="array" ref="L56">INDEX( ComputeThermoProps($A56, $B56, ParametersRange), 1, COLUMN()-2 )</f>
        <v>-236.33088938760051</v>
      </c>
      <c r="M56" s="2" cm="1">
        <f t="array" ref="M56">INDEX( ComputeThermoProps($A56, $B56, ParametersRange), 1, COLUMN()-2 )</f>
        <v>1210.3280905832357</v>
      </c>
      <c r="N56" s="2" cm="1">
        <f t="array" ref="N56">INDEX( ComputeThermoProps($A56, $B56, ParametersRange), 1, COLUMN()-2 )</f>
        <v>615.78836261663116</v>
      </c>
      <c r="P56">
        <f t="shared" si="1"/>
        <v>687.20762941786802</v>
      </c>
    </row>
    <row r="57" spans="1:16" x14ac:dyDescent="0.25">
      <c r="A57" s="2">
        <v>34.1</v>
      </c>
      <c r="B57" s="2">
        <f t="shared" si="0"/>
        <v>70.671580782986652</v>
      </c>
      <c r="C57" s="2" cm="1">
        <f t="array" ref="C57">INDEX( ComputeThermoProps($A57, $B57, ParametersRange), 1, COLUMN()-2 )</f>
        <v>13.406201606300391</v>
      </c>
      <c r="D57" s="2" cm="1">
        <f t="array" ref="D57">INDEX( ComputeThermoProps($A57, $B57, ParametersRange), 1, COLUMN()-2 )</f>
        <v>1.0314993877811682E-3</v>
      </c>
      <c r="E57" s="2" cm="1">
        <f t="array" ref="E57">INDEX( ComputeThermoProps($A57, $B57, ParametersRange), 1, COLUMN()-2 )</f>
        <v>7.6469108001190581E-4</v>
      </c>
      <c r="F57" s="2" cm="1">
        <f t="array" ref="F57">INDEX( ComputeThermoProps($A57, $B57, ParametersRange), 1, COLUMN()-2 )</f>
        <v>3.9921808877618021E-3</v>
      </c>
      <c r="G57" s="2" cm="1">
        <f t="array" ref="G57">INDEX( ComputeThermoProps($A57, $B57, ParametersRange), 1, COLUMN()-2 )</f>
        <v>27.307453269904222</v>
      </c>
      <c r="H57" s="2" cm="1">
        <f t="array" ref="H57">INDEX( ComputeThermoProps($A57, $B57, ParametersRange), 1, COLUMN()-2 )</f>
        <v>20.244089507659268</v>
      </c>
      <c r="I57" s="2" cm="1">
        <f t="array" ref="I57">INDEX( ComputeThermoProps($A57, $B57, ParametersRange), 1, COLUMN()-2 )</f>
        <v>2.5630007539117861</v>
      </c>
      <c r="J57" s="2" cm="1">
        <f t="array" ref="J57">INDEX( ComputeThermoProps($A57, $B57, ParametersRange), 1, COLUMN()-2 )</f>
        <v>375.30817674949009</v>
      </c>
      <c r="K57" s="2" cm="1">
        <f t="array" ref="K57">INDEX( ComputeThermoProps($A57, $B57, ParametersRange), 1, COLUMN()-2 )</f>
        <v>18.372464934074504</v>
      </c>
      <c r="L57" s="2" cm="1">
        <f t="array" ref="L57">INDEX( ComputeThermoProps($A57, $B57, ParametersRange), 1, COLUMN()-2 )</f>
        <v>-251.19287750245053</v>
      </c>
      <c r="M57" s="2" cm="1">
        <f t="array" ref="M57">INDEX( ComputeThermoProps($A57, $B57, ParametersRange), 1, COLUMN()-2 )</f>
        <v>1322.7456365621535</v>
      </c>
      <c r="N57" s="2" cm="1">
        <f t="array" ref="N57">INDEX( ComputeThermoProps($A57, $B57, ParametersRange), 1, COLUMN()-2 )</f>
        <v>696.24458231021299</v>
      </c>
      <c r="P57">
        <f t="shared" si="1"/>
        <v>799.62517539678583</v>
      </c>
    </row>
    <row r="58" spans="1:16" x14ac:dyDescent="0.25">
      <c r="A58" s="2">
        <v>35.1</v>
      </c>
      <c r="B58" s="2">
        <f t="shared" si="0"/>
        <v>78.247096922875286</v>
      </c>
      <c r="C58" s="2" cm="1">
        <f t="array" ref="C58">INDEX( ComputeThermoProps($A58, $B58, ParametersRange), 1, COLUMN()-2 )</f>
        <v>13.356337079508188</v>
      </c>
      <c r="D58" s="2" cm="1">
        <f t="array" ref="D58">INDEX( ComputeThermoProps($A58, $B58, ParametersRange), 1, COLUMN()-2 )</f>
        <v>9.9414807100459959E-4</v>
      </c>
      <c r="E58" s="2" cm="1">
        <f t="array" ref="E58">INDEX( ComputeThermoProps($A58, $B58, ParametersRange), 1, COLUMN()-2 )</f>
        <v>7.356618506325159E-4</v>
      </c>
      <c r="F58" s="2" cm="1">
        <f t="array" ref="F58">INDEX( ComputeThermoProps($A58, $B58, ParametersRange), 1, COLUMN()-2 )</f>
        <v>3.897145900348553E-3</v>
      </c>
      <c r="G58" s="2" cm="1">
        <f t="array" ref="G58">INDEX( ComputeThermoProps($A58, $B58, ParametersRange), 1, COLUMN()-2 )</f>
        <v>27.545484866416036</v>
      </c>
      <c r="H58" s="2" cm="1">
        <f t="array" ref="H58">INDEX( ComputeThermoProps($A58, $B58, ParametersRange), 1, COLUMN()-2 )</f>
        <v>20.38344484531402</v>
      </c>
      <c r="I58" s="2" cm="1">
        <f t="array" ref="I58">INDEX( ComputeThermoProps($A58, $B58, ParametersRange), 1, COLUMN()-2 )</f>
        <v>2.568652645687989</v>
      </c>
      <c r="J58" s="2" cm="1">
        <f t="array" ref="J58">INDEX( ComputeThermoProps($A58, $B58, ParametersRange), 1, COLUMN()-2 )</f>
        <v>392.61398284944431</v>
      </c>
      <c r="K58" s="2" cm="1">
        <f t="array" ref="K58">INDEX( ComputeThermoProps($A58, $B58, ParametersRange), 1, COLUMN()-2 )</f>
        <v>18.76538279301543</v>
      </c>
      <c r="L58" s="2" cm="1">
        <f t="array" ref="L58">INDEX( ComputeThermoProps($A58, $B58, ParametersRange), 1, COLUMN()-2 )</f>
        <v>-266.0509531853973</v>
      </c>
      <c r="M58" s="2" cm="1">
        <f t="array" ref="M58">INDEX( ComputeThermoProps($A58, $B58, ParametersRange), 1, COLUMN()-2 )</f>
        <v>1437.7085848443146</v>
      </c>
      <c r="N58" s="2" cm="1">
        <f t="array" ref="N58">INDEX( ComputeThermoProps($A58, $B58, ParametersRange), 1, COLUMN()-2 )</f>
        <v>779.04364880947298</v>
      </c>
      <c r="P58">
        <f t="shared" si="1"/>
        <v>914.58812367894689</v>
      </c>
    </row>
    <row r="59" spans="1:16" x14ac:dyDescent="0.25">
      <c r="A59" s="2">
        <v>36.1</v>
      </c>
      <c r="B59" s="2">
        <f t="shared" si="0"/>
        <v>86.043797153300162</v>
      </c>
      <c r="C59" s="2" cm="1">
        <f t="array" ref="C59">INDEX( ComputeThermoProps($A59, $B59, ParametersRange), 1, COLUMN()-2 )</f>
        <v>13.306217515397828</v>
      </c>
      <c r="D59" s="2" cm="1">
        <f t="array" ref="D59">INDEX( ComputeThermoProps($A59, $B59, ParametersRange), 1, COLUMN()-2 )</f>
        <v>9.5824442547958399E-4</v>
      </c>
      <c r="E59" s="2" cm="1">
        <f t="array" ref="E59">INDEX( ComputeThermoProps($A59, $B59, ParametersRange), 1, COLUMN()-2 )</f>
        <v>7.0801858022765817E-4</v>
      </c>
      <c r="F59" s="2" cm="1">
        <f t="array" ref="F59">INDEX( ComputeThermoProps($A59, $B59, ParametersRange), 1, COLUMN()-2 )</f>
        <v>3.8029437982120152E-3</v>
      </c>
      <c r="G59" s="2" cm="1">
        <f t="array" ref="G59">INDEX( ComputeThermoProps($A59, $B59, ParametersRange), 1, COLUMN()-2 )</f>
        <v>27.763196695451487</v>
      </c>
      <c r="H59" s="2" cm="1">
        <f t="array" ref="H59">INDEX( ComputeThermoProps($A59, $B59, ParametersRange), 1, COLUMN()-2 )</f>
        <v>20.513408253908569</v>
      </c>
      <c r="I59" s="2" cm="1">
        <f t="array" ref="I59">INDEX( ComputeThermoProps($A59, $B59, ParametersRange), 1, COLUMN()-2 )</f>
        <v>2.5743073754897594</v>
      </c>
      <c r="J59" s="2" cm="1">
        <f t="array" ref="J59">INDEX( ComputeThermoProps($A59, $B59, ParametersRange), 1, COLUMN()-2 )</f>
        <v>410.14120994240352</v>
      </c>
      <c r="K59" s="2" cm="1">
        <f t="array" ref="K59">INDEX( ComputeThermoProps($A59, $B59, ParametersRange), 1, COLUMN()-2 )</f>
        <v>19.142128533304259</v>
      </c>
      <c r="L59" s="2" cm="1">
        <f t="array" ref="L59">INDEX( ComputeThermoProps($A59, $B59, ParametersRange), 1, COLUMN()-2 )</f>
        <v>-280.88963010988027</v>
      </c>
      <c r="M59" s="2" cm="1">
        <f t="array" ref="M59">INDEX( ComputeThermoProps($A59, $B59, ParametersRange), 1, COLUMN()-2 )</f>
        <v>1555.0586907149839</v>
      </c>
      <c r="N59" s="2" cm="1">
        <f t="array" ref="N59">INDEX( ComputeThermoProps($A59, $B59, ParametersRange), 1, COLUMN()-2 )</f>
        <v>864.02785066270008</v>
      </c>
      <c r="P59">
        <f t="shared" si="1"/>
        <v>1031.9382295496162</v>
      </c>
    </row>
    <row r="60" spans="1:16" x14ac:dyDescent="0.25">
      <c r="A60" s="2">
        <v>37.1</v>
      </c>
      <c r="B60" s="2">
        <f t="shared" si="0"/>
        <v>94.051662389014894</v>
      </c>
      <c r="C60" s="2" cm="1">
        <f t="array" ref="C60">INDEX( ComputeThermoProps($A60, $B60, ParametersRange), 1, COLUMN()-2 )</f>
        <v>13.256044998748266</v>
      </c>
      <c r="D60" s="2" cm="1">
        <f t="array" ref="D60">INDEX( ComputeThermoProps($A60, $B60, ParametersRange), 1, COLUMN()-2 )</f>
        <v>9.2384646297360203E-4</v>
      </c>
      <c r="E60" s="2" cm="1">
        <f t="array" ref="E60">INDEX( ComputeThermoProps($A60, $B60, ParametersRange), 1, COLUMN()-2 )</f>
        <v>6.8174488842732799E-4</v>
      </c>
      <c r="F60" s="2" cm="1">
        <f t="array" ref="F60">INDEX( ComputeThermoProps($A60, $B60, ParametersRange), 1, COLUMN()-2 )</f>
        <v>3.7101874295962091E-3</v>
      </c>
      <c r="G60" s="2" cm="1">
        <f t="array" ref="G60">INDEX( ComputeThermoProps($A60, $B60, ParametersRange), 1, COLUMN()-2 )</f>
        <v>27.962884229355669</v>
      </c>
      <c r="H60" s="2" cm="1">
        <f t="array" ref="H60">INDEX( ComputeThermoProps($A60, $B60, ParametersRange), 1, COLUMN()-2 )</f>
        <v>20.634980110967952</v>
      </c>
      <c r="I60" s="2" cm="1">
        <f t="array" ref="I60">INDEX( ComputeThermoProps($A60, $B60, ParametersRange), 1, COLUMN()-2 )</f>
        <v>2.5799183665712513</v>
      </c>
      <c r="J60" s="2" cm="1">
        <f t="array" ref="J60">INDEX( ComputeThermoProps($A60, $B60, ParametersRange), 1, COLUMN()-2 )</f>
        <v>427.90154755206555</v>
      </c>
      <c r="K60" s="2" cm="1">
        <f t="array" ref="K60">INDEX( ComputeThermoProps($A60, $B60, ParametersRange), 1, COLUMN()-2 )</f>
        <v>19.503997615328242</v>
      </c>
      <c r="L60" s="2" cm="1">
        <f t="array" ref="L60">INDEX( ComputeThermoProps($A60, $B60, ParametersRange), 1, COLUMN()-2 )</f>
        <v>-295.69676397661226</v>
      </c>
      <c r="M60" s="2" cm="1">
        <f t="array" ref="M60">INDEX( ComputeThermoProps($A60, $B60, ParametersRange), 1, COLUMN()-2 )</f>
        <v>1674.6546163879268</v>
      </c>
      <c r="N60" s="2" cm="1">
        <f t="array" ref="N60">INDEX( ComputeThermoProps($A60, $B60, ParametersRange), 1, COLUMN()-2 )</f>
        <v>951.05630485924905</v>
      </c>
      <c r="P60">
        <f t="shared" si="1"/>
        <v>1151.5341552225591</v>
      </c>
    </row>
    <row r="61" spans="1:16" x14ac:dyDescent="0.25">
      <c r="A61" s="2">
        <v>38.1</v>
      </c>
      <c r="B61" s="2">
        <f t="shared" si="0"/>
        <v>102.2616626143449</v>
      </c>
      <c r="C61" s="2" cm="1">
        <f t="array" ref="C61">INDEX( ComputeThermoProps($A61, $B61, ParametersRange), 1, COLUMN()-2 )</f>
        <v>13.20598329240369</v>
      </c>
      <c r="D61" s="2" cm="1">
        <f t="array" ref="D61">INDEX( ComputeThermoProps($A61, $B61, ParametersRange), 1, COLUMN()-2 )</f>
        <v>8.9097418768426591E-4</v>
      </c>
      <c r="E61" s="2" cm="1">
        <f t="array" ref="E61">INDEX( ComputeThermoProps($A61, $B61, ParametersRange), 1, COLUMN()-2 )</f>
        <v>6.5680665682409599E-4</v>
      </c>
      <c r="F61" s="2" cm="1">
        <f t="array" ref="F61">INDEX( ComputeThermoProps($A61, $B61, ParametersRange), 1, COLUMN()-2 )</f>
        <v>3.6193287018005142E-3</v>
      </c>
      <c r="G61" s="2" cm="1">
        <f t="array" ref="G61">INDEX( ComputeThermoProps($A61, $B61, ParametersRange), 1, COLUMN()-2 )</f>
        <v>28.146545233783591</v>
      </c>
      <c r="H61" s="2" cm="1">
        <f t="array" ref="H61">INDEX( ComputeThermoProps($A61, $B61, ParametersRange), 1, COLUMN()-2 )</f>
        <v>20.749016673758863</v>
      </c>
      <c r="I61" s="2" cm="1">
        <f t="array" ref="I61">INDEX( ComputeThermoProps($A61, $B61, ParametersRange), 1, COLUMN()-2 )</f>
        <v>2.5854499104564983</v>
      </c>
      <c r="J61" s="2" cm="1">
        <f t="array" ref="J61">INDEX( ComputeThermoProps($A61, $B61, ParametersRange), 1, COLUMN()-2 )</f>
        <v>445.90388148890656</v>
      </c>
      <c r="K61" s="2" cm="1">
        <f t="array" ref="K61">INDEX( ComputeThermoProps($A61, $B61, ParametersRange), 1, COLUMN()-2 )</f>
        <v>19.852146736605391</v>
      </c>
      <c r="L61" s="2" cm="1">
        <f t="array" ref="L61">INDEX( ComputeThermoProps($A61, $B61, ParametersRange), 1, COLUMN()-2 )</f>
        <v>-310.46290917575885</v>
      </c>
      <c r="M61" s="2" cm="1">
        <f t="array" ref="M61">INDEX( ComputeThermoProps($A61, $B61, ParametersRange), 1, COLUMN()-2 )</f>
        <v>1796.3696894273685</v>
      </c>
      <c r="N61" s="2" cm="1">
        <f t="array" ref="N61">INDEX( ComputeThermoProps($A61, $B61, ParametersRange), 1, COLUMN()-2 )</f>
        <v>1040.0028987627031</v>
      </c>
      <c r="P61">
        <f t="shared" si="1"/>
        <v>1273.2492282620008</v>
      </c>
    </row>
    <row r="62" spans="1:16" x14ac:dyDescent="0.25">
      <c r="A62" s="2">
        <v>39.1</v>
      </c>
      <c r="B62" s="2">
        <f t="shared" si="0"/>
        <v>110.66562854929161</v>
      </c>
      <c r="C62" s="2" cm="1">
        <f t="array" ref="C62">INDEX( ComputeThermoProps($A62, $B62, ParametersRange), 1, COLUMN()-2 )</f>
        <v>13.15616418298128</v>
      </c>
      <c r="D62" s="2" cm="1">
        <f t="array" ref="D62">INDEX( ComputeThermoProps($A62, $B62, ParametersRange), 1, COLUMN()-2 )</f>
        <v>8.5961954043492288E-4</v>
      </c>
      <c r="E62" s="2" cm="1">
        <f t="array" ref="E62">INDEX( ComputeThermoProps($A62, $B62, ParametersRange), 1, COLUMN()-2 )</f>
        <v>6.3315772307936567E-4</v>
      </c>
      <c r="F62" s="2" cm="1">
        <f t="array" ref="F62">INDEX( ComputeThermoProps($A62, $B62, ParametersRange), 1, COLUMN()-2 )</f>
        <v>3.5306919329842253E-3</v>
      </c>
      <c r="G62" s="2" cm="1">
        <f t="array" ref="G62">INDEX( ComputeThermoProps($A62, $B62, ParametersRange), 1, COLUMN()-2 )</f>
        <v>28.31592180856445</v>
      </c>
      <c r="H62" s="2" cm="1">
        <f t="array" ref="H62">INDEX( ComputeThermoProps($A62, $B62, ParametersRange), 1, COLUMN()-2 )</f>
        <v>20.856255280252423</v>
      </c>
      <c r="I62" s="2" cm="1">
        <f t="array" ref="I62">INDEX( ComputeThermoProps($A62, $B62, ParametersRange), 1, COLUMN()-2 )</f>
        <v>2.5908752175717349</v>
      </c>
      <c r="J62" s="2" cm="1">
        <f t="array" ref="J62">INDEX( ComputeThermoProps($A62, $B62, ParametersRange), 1, COLUMN()-2 )</f>
        <v>464.1547255461598</v>
      </c>
      <c r="K62" s="2" cm="1">
        <f t="array" ref="K62">INDEX( ComputeThermoProps($A62, $B62, ParametersRange), 1, COLUMN()-2 )</f>
        <v>20.187609159244698</v>
      </c>
      <c r="L62" s="2" cm="1">
        <f t="array" ref="L62">INDEX( ComputeThermoProps($A62, $B62, ParametersRange), 1, COLUMN()-2 )</f>
        <v>-325.18079258030792</v>
      </c>
      <c r="M62" s="2" cm="1">
        <f t="array" ref="M62">INDEX( ComputeThermoProps($A62, $B62, ParametersRange), 1, COLUMN()-2 )</f>
        <v>1920.0899041534608</v>
      </c>
      <c r="N62" s="2" cm="1">
        <f t="array" ref="N62">INDEX( ComputeThermoProps($A62, $B62, ParametersRange), 1, COLUMN()-2 )</f>
        <v>1130.7543860269932</v>
      </c>
      <c r="P62">
        <f t="shared" si="1"/>
        <v>1396.9694429880931</v>
      </c>
    </row>
    <row r="63" spans="1:16" x14ac:dyDescent="0.25">
      <c r="A63" s="2">
        <v>40.1</v>
      </c>
      <c r="B63" s="2">
        <f t="shared" si="0"/>
        <v>119.25613910377641</v>
      </c>
      <c r="C63" s="2" cm="1">
        <f t="array" ref="C63">INDEX( ComputeThermoProps($A63, $B63, ParametersRange), 1, COLUMN()-2 )</f>
        <v>13.106692924486996</v>
      </c>
      <c r="D63" s="2" cm="1">
        <f t="array" ref="D63">INDEX( ComputeThermoProps($A63, $B63, ParametersRange), 1, COLUMN()-2 )</f>
        <v>8.2975420251366972E-4</v>
      </c>
      <c r="E63" s="2" cm="1">
        <f t="array" ref="E63">INDEX( ComputeThermoProps($A63, $B63, ParametersRange), 1, COLUMN()-2 )</f>
        <v>6.1074420279928646E-4</v>
      </c>
      <c r="F63" s="2" cm="1">
        <f t="array" ref="F63">INDEX( ComputeThermoProps($A63, $B63, ParametersRange), 1, COLUMN()-2 )</f>
        <v>3.4445008876527075E-3</v>
      </c>
      <c r="G63" s="2" cm="1">
        <f t="array" ref="G63">INDEX( ComputeThermoProps($A63, $B63, ParametersRange), 1, COLUMN()-2 )</f>
        <v>28.472536247906643</v>
      </c>
      <c r="H63" s="2" cm="1">
        <f t="array" ref="H63">INDEX( ComputeThermoProps($A63, $B63, ParametersRange), 1, COLUMN()-2 )</f>
        <v>20.957334593451545</v>
      </c>
      <c r="I63" s="2" cm="1">
        <f t="array" ref="I63">INDEX( ComputeThermoProps($A63, $B63, ParametersRange), 1, COLUMN()-2 )</f>
        <v>2.5961747257400125</v>
      </c>
      <c r="J63" s="2" cm="1">
        <f t="array" ref="J63">INDEX( ComputeThermoProps($A63, $B63, ParametersRange), 1, COLUMN()-2 )</f>
        <v>482.65860809794424</v>
      </c>
      <c r="K63" s="2" cm="1">
        <f t="array" ref="K63">INDEX( ComputeThermoProps($A63, $B63, ParametersRange), 1, COLUMN()-2 )</f>
        <v>20.511309039235101</v>
      </c>
      <c r="L63" s="2" cm="1">
        <f t="array" ref="L63">INDEX( ComputeThermoProps($A63, $B63, ParametersRange), 1, COLUMN()-2 )</f>
        <v>-339.84488437538334</v>
      </c>
      <c r="M63" s="2" cm="1">
        <f t="array" ref="M63">INDEX( ComputeThermoProps($A63, $B63, ParametersRange), 1, COLUMN()-2 )</f>
        <v>2045.7122026910474</v>
      </c>
      <c r="N63" s="2" cm="1">
        <f t="array" ref="N63">INDEX( ComputeThermoProps($A63, $B63, ParametersRange), 1, COLUMN()-2 )</f>
        <v>1223.2087102177197</v>
      </c>
      <c r="P63">
        <f t="shared" si="1"/>
        <v>1522.5917415256797</v>
      </c>
    </row>
    <row r="64" spans="1:16" x14ac:dyDescent="0.25">
      <c r="A64" s="2">
        <v>41.1</v>
      </c>
      <c r="B64" s="2">
        <f t="shared" si="0"/>
        <v>128.02642480325255</v>
      </c>
      <c r="C64" s="2" cm="1">
        <f t="array" ref="C64">INDEX( ComputeThermoProps($A64, $B64, ParametersRange), 1, COLUMN()-2 )</f>
        <v>13.057652835837549</v>
      </c>
      <c r="D64" s="2" cm="1">
        <f t="array" ref="D64">INDEX( ComputeThermoProps($A64, $B64, ParametersRange), 1, COLUMN()-2 )</f>
        <v>8.0133564191432695E-4</v>
      </c>
      <c r="E64" s="2" cm="1">
        <f t="array" ref="E64">INDEX( ComputeThermoProps($A64, $B64, ParametersRange), 1, COLUMN()-2 )</f>
        <v>5.8950771882132968E-4</v>
      </c>
      <c r="F64" s="2" cm="1">
        <f t="array" ref="F64">INDEX( ComputeThermoProps($A64, $B64, ParametersRange), 1, COLUMN()-2 )</f>
        <v>3.3609005456861083E-3</v>
      </c>
      <c r="G64" s="2" cm="1">
        <f t="array" ref="G64">INDEX( ComputeThermoProps($A64, $B64, ParametersRange), 1, COLUMN()-2 )</f>
        <v>28.617721570578045</v>
      </c>
      <c r="H64" s="2" cm="1">
        <f t="array" ref="H64">INDEX( ComputeThermoProps($A64, $B64, ParametersRange), 1, COLUMN()-2 )</f>
        <v>21.052810930303135</v>
      </c>
      <c r="I64" s="2" cm="1">
        <f t="array" ref="I64">INDEX( ComputeThermoProps($A64, $B64, ParametersRange), 1, COLUMN()-2 )</f>
        <v>2.6013346693583186</v>
      </c>
      <c r="J64" s="2" cm="1">
        <f t="array" ref="J64">INDEX( ComputeThermoProps($A64, $B64, ParametersRange), 1, COLUMN()-2 )</f>
        <v>501.41840933982803</v>
      </c>
      <c r="K64" s="2" cm="1">
        <f t="array" ref="K64">INDEX( ComputeThermoProps($A64, $B64, ParametersRange), 1, COLUMN()-2 )</f>
        <v>20.824074413796939</v>
      </c>
      <c r="L64" s="2" cm="1">
        <f t="array" ref="L64">INDEX( ComputeThermoProps($A64, $B64, ParametersRange), 1, COLUMN()-2 )</f>
        <v>-354.45104906722622</v>
      </c>
      <c r="M64" s="2" cm="1">
        <f t="array" ref="M64">INDEX( ComputeThermoProps($A64, $B64, ParametersRange), 1, COLUMN()-2 )</f>
        <v>2173.1430182341614</v>
      </c>
      <c r="N64" s="2" cm="1">
        <f t="array" ref="N64">INDEX( ComputeThermoProps($A64, $B64, ParametersRange), 1, COLUMN()-2 )</f>
        <v>1317.2735598271072</v>
      </c>
      <c r="P64">
        <f t="shared" si="1"/>
        <v>1650.0225570687937</v>
      </c>
    </row>
    <row r="65" spans="1:16" x14ac:dyDescent="0.25">
      <c r="A65" s="2">
        <v>42.1</v>
      </c>
      <c r="B65" s="2">
        <f t="shared" si="0"/>
        <v>136.97028563658151</v>
      </c>
      <c r="C65" s="2" cm="1">
        <f t="array" ref="C65">INDEX( ComputeThermoProps($A65, $B65, ParametersRange), 1, COLUMN()-2 )</f>
        <v>13.009109148882025</v>
      </c>
      <c r="D65" s="2" cm="1">
        <f t="array" ref="D65">INDEX( ComputeThermoProps($A65, $B65, ParametersRange), 1, COLUMN()-2 )</f>
        <v>7.743117482891306E-4</v>
      </c>
      <c r="E65" s="2" cm="1">
        <f t="array" ref="E65">INDEX( ComputeThermoProps($A65, $B65, ParametersRange), 1, COLUMN()-2 )</f>
        <v>5.6938777814994181E-4</v>
      </c>
      <c r="F65" s="2" cm="1">
        <f t="array" ref="F65">INDEX( ComputeThermoProps($A65, $B65, ParametersRange), 1, COLUMN()-2 )</f>
        <v>3.2799745497555342E-3</v>
      </c>
      <c r="G65" s="2" cm="1">
        <f t="array" ref="G65">INDEX( ComputeThermoProps($A65, $B65, ParametersRange), 1, COLUMN()-2 )</f>
        <v>28.752647496699321</v>
      </c>
      <c r="H65" s="2" cm="1">
        <f t="array" ref="H65">INDEX( ComputeThermoProps($A65, $B65, ParametersRange), 1, COLUMN()-2 )</f>
        <v>21.143171481315267</v>
      </c>
      <c r="I65" s="2" cm="1">
        <f t="array" ref="I65">INDEX( ComputeThermoProps($A65, $B65, ParametersRange), 1, COLUMN()-2 )</f>
        <v>2.6063458893061577</v>
      </c>
      <c r="J65" s="2" cm="1">
        <f t="array" ref="J65">INDEX( ComputeThermoProps($A65, $B65, ParametersRange), 1, COLUMN()-2 )</f>
        <v>520.43565076008315</v>
      </c>
      <c r="K65" s="2" cm="1">
        <f t="array" ref="K65">INDEX( ComputeThermoProps($A65, $B65, ParametersRange), 1, COLUMN()-2 )</f>
        <v>21.126648770390819</v>
      </c>
      <c r="L65" s="2" cm="1">
        <f t="array" ref="L65">INDEX( ComputeThermoProps($A65, $B65, ParametersRange), 1, COLUMN()-2 )</f>
        <v>-368.99626247337034</v>
      </c>
      <c r="M65" s="2" cm="1">
        <f t="array" ref="M65">INDEX( ComputeThermoProps($A65, $B65, ParametersRange), 1, COLUMN()-2 )</f>
        <v>2302.2970467599198</v>
      </c>
      <c r="N65" s="2" cm="1">
        <f t="array" ref="N65">INDEX( ComputeThermoProps($A65, $B65, ParametersRange), 1, COLUMN()-2 )</f>
        <v>1412.8651335264663</v>
      </c>
      <c r="P65">
        <f t="shared" si="1"/>
        <v>1779.1765855945521</v>
      </c>
    </row>
    <row r="66" spans="1:16" x14ac:dyDescent="0.25">
      <c r="A66" s="2">
        <v>43.1</v>
      </c>
      <c r="B66" s="2">
        <f t="shared" si="0"/>
        <v>146.0820213313919</v>
      </c>
      <c r="C66" s="2" cm="1">
        <f t="array" ref="C66">INDEX( ComputeThermoProps($A66, $B66, ParametersRange), 1, COLUMN()-2 )</f>
        <v>12.961112211586411</v>
      </c>
      <c r="D66" s="2" cm="1">
        <f t="array" ref="D66">INDEX( ComputeThermoProps($A66, $B66, ParametersRange), 1, COLUMN()-2 )</f>
        <v>7.4862435114672013E-4</v>
      </c>
      <c r="E66" s="2" cm="1">
        <f t="array" ref="E66">INDEX( ComputeThermoProps($A66, $B66, ParametersRange), 1, COLUMN()-2 )</f>
        <v>5.5032349286997478E-4</v>
      </c>
      <c r="F66" s="2" cm="1">
        <f t="array" ref="F66">INDEX( ComputeThermoProps($A66, $B66, ParametersRange), 1, COLUMN()-2 )</f>
        <v>3.2017591469275884E-3</v>
      </c>
      <c r="G66" s="2" cm="1">
        <f t="array" ref="G66">INDEX( ComputeThermoProps($A66, $B66, ParametersRange), 1, COLUMN()-2 )</f>
        <v>28.878342617937321</v>
      </c>
      <c r="H66" s="2" cm="1">
        <f t="array" ref="H66">INDEX( ComputeThermoProps($A66, $B66, ParametersRange), 1, COLUMN()-2 )</f>
        <v>21.228845085596767</v>
      </c>
      <c r="I66" s="2" cm="1">
        <f t="array" ref="I66">INDEX( ComputeThermoProps($A66, $B66, ParametersRange), 1, COLUMN()-2 )</f>
        <v>2.6112028551512587</v>
      </c>
      <c r="J66" s="2" cm="1">
        <f t="array" ref="J66">INDEX( ComputeThermoProps($A66, $B66, ParametersRange), 1, COLUMN()-2 )</f>
        <v>539.71074096917391</v>
      </c>
      <c r="K66" s="2" cm="1">
        <f t="array" ref="K66">INDEX( ComputeThermoProps($A66, $B66, ParametersRange), 1, COLUMN()-2 )</f>
        <v>21.419701247121878</v>
      </c>
      <c r="L66" s="2" cm="1">
        <f t="array" ref="L66">INDEX( ComputeThermoProps($A66, $B66, ParametersRange), 1, COLUMN()-2 )</f>
        <v>-383.47838278177909</v>
      </c>
      <c r="M66" s="2" cm="1">
        <f t="array" ref="M66">INDEX( ComputeThermoProps($A66, $B66, ParametersRange), 1, COLUMN()-2 )</f>
        <v>2433.0962115407042</v>
      </c>
      <c r="N66" s="2" cm="1">
        <f t="array" ref="N66">INDEX( ComputeThermoProps($A66, $B66, ParametersRange), 1, COLUMN()-2 )</f>
        <v>1509.9070877897511</v>
      </c>
      <c r="P66">
        <f t="shared" si="1"/>
        <v>1909.9757503753365</v>
      </c>
    </row>
    <row r="67" spans="1:16" x14ac:dyDescent="0.25">
      <c r="A67" s="2">
        <v>44.1</v>
      </c>
      <c r="B67" s="2">
        <f t="shared" si="0"/>
        <v>155.35637211373628</v>
      </c>
      <c r="C67" s="2" cm="1">
        <f t="array" ref="C67">INDEX( ComputeThermoProps($A67, $B67, ParametersRange), 1, COLUMN()-2 )</f>
        <v>12.913700145497753</v>
      </c>
      <c r="D67" s="2" cm="1">
        <f t="array" ref="D67">INDEX( ComputeThermoProps($A67, $B67, ParametersRange), 1, COLUMN()-2 )</f>
        <v>7.2421186183101204E-4</v>
      </c>
      <c r="E67" s="2" cm="1">
        <f t="array" ref="E67">INDEX( ComputeThermoProps($A67, $B67, ParametersRange), 1, COLUMN()-2 )</f>
        <v>5.3225480123271203E-4</v>
      </c>
      <c r="F67" s="2" cm="1">
        <f t="array" ref="F67">INDEX( ComputeThermoProps($A67, $B67, ParametersRange), 1, COLUMN()-2 )</f>
        <v>3.1262542833651796E-3</v>
      </c>
      <c r="G67" s="2" cm="1">
        <f t="array" ref="G67">INDEX( ComputeThermoProps($A67, $B67, ParametersRange), 1, COLUMN()-2 )</f>
        <v>28.995713230670084</v>
      </c>
      <c r="H67" s="2" cm="1">
        <f t="array" ref="H67">INDEX( ComputeThermoProps($A67, $B67, ParametersRange), 1, COLUMN()-2 )</f>
        <v>21.310210997057919</v>
      </c>
      <c r="I67" s="2" cm="1">
        <f t="array" ref="I67">INDEX( ComputeThermoProps($A67, $B67, ParametersRange), 1, COLUMN()-2 )</f>
        <v>2.6159028684891985</v>
      </c>
      <c r="J67" s="2" cm="1">
        <f t="array" ref="J67">INDEX( ComputeThermoProps($A67, $B67, ParametersRange), 1, COLUMN()-2 )</f>
        <v>559.24318292048736</v>
      </c>
      <c r="K67" s="2" cm="1">
        <f t="array" ref="K67">INDEX( ComputeThermoProps($A67, $B67, ParametersRange), 1, COLUMN()-2 )</f>
        <v>21.703835570822513</v>
      </c>
      <c r="L67" s="2" cm="1">
        <f t="array" ref="L67">INDEX( ComputeThermoProps($A67, $B67, ParametersRange), 1, COLUMN()-2 )</f>
        <v>-397.89596575278546</v>
      </c>
      <c r="M67" s="2" cm="1">
        <f t="array" ref="M67">INDEX( ComputeThermoProps($A67, $B67, ParametersRange), 1, COLUMN()-2 )</f>
        <v>2565.4687880896468</v>
      </c>
      <c r="N67" s="2" cm="1">
        <f t="array" ref="N67">INDEX( ComputeThermoProps($A67, $B67, ParametersRange), 1, COLUMN()-2 )</f>
        <v>1608.329639416374</v>
      </c>
      <c r="P67">
        <f t="shared" si="1"/>
        <v>2042.348326924279</v>
      </c>
    </row>
    <row r="68" spans="1:16" x14ac:dyDescent="0.25">
      <c r="A68" s="2">
        <v>45.1</v>
      </c>
      <c r="B68" s="2">
        <f t="shared" si="0"/>
        <v>164.78846823158216</v>
      </c>
      <c r="C68" s="2" cm="1">
        <f t="array" ref="C68">INDEX( ComputeThermoProps($A68, $B68, ParametersRange), 1, COLUMN()-2 )</f>
        <v>12.866901045901818</v>
      </c>
      <c r="D68" s="2" cm="1">
        <f t="array" ref="D68">INDEX( ComputeThermoProps($A68, $B68, ParametersRange), 1, COLUMN()-2 )</f>
        <v>7.0101123551402893E-4</v>
      </c>
      <c r="E68" s="2" cm="1">
        <f t="array" ref="E68">INDEX( ComputeThermoProps($A68, $B68, ParametersRange), 1, COLUMN()-2 )</f>
        <v>5.1512331119495612E-4</v>
      </c>
      <c r="F68" s="2" cm="1">
        <f t="array" ref="F68">INDEX( ComputeThermoProps($A68, $B68, ParametersRange), 1, COLUMN()-2 )</f>
        <v>3.0534324314756456E-3</v>
      </c>
      <c r="G68" s="2" cm="1">
        <f t="array" ref="G68">INDEX( ComputeThermoProps($A68, $B68, ParametersRange), 1, COLUMN()-2 )</f>
        <v>29.105559554117185</v>
      </c>
      <c r="H68" s="2" cm="1">
        <f t="array" ref="H68">INDEX( ComputeThermoProps($A68, $B68, ParametersRange), 1, COLUMN()-2 )</f>
        <v>21.387606149714543</v>
      </c>
      <c r="I68" s="2" cm="1">
        <f t="array" ref="I68">INDEX( ComputeThermoProps($A68, $B68, ParametersRange), 1, COLUMN()-2 )</f>
        <v>2.6204454193810047</v>
      </c>
      <c r="J68" s="2" cm="1">
        <f t="array" ref="J68">INDEX( ComputeThermoProps($A68, $B68, ParametersRange), 1, COLUMN()-2 )</f>
        <v>579.03174764082689</v>
      </c>
      <c r="K68" s="2" cm="1">
        <f t="array" ref="K68">INDEX( ComputeThermoProps($A68, $B68, ParametersRange), 1, COLUMN()-2 )</f>
        <v>21.979597860015478</v>
      </c>
      <c r="L68" s="2" cm="1">
        <f t="array" ref="L68">INDEX( ComputeThermoProps($A68, $B68, ParametersRange), 1, COLUMN()-2 )</f>
        <v>-412.24811584587115</v>
      </c>
      <c r="M68" s="2" cm="1">
        <f t="array" ref="M68">INDEX( ComputeThermoProps($A68, $B68, ParametersRange), 1, COLUMN()-2 )</f>
        <v>2699.3486618823299</v>
      </c>
      <c r="N68" s="2" cm="1">
        <f t="array" ref="N68">INDEX( ComputeThermoProps($A68, $B68, ParametersRange), 1, COLUMN()-2 )</f>
        <v>1708.0687983956318</v>
      </c>
      <c r="P68">
        <f t="shared" si="1"/>
        <v>2176.2282007169624</v>
      </c>
    </row>
    <row r="69" spans="1:16" x14ac:dyDescent="0.25">
      <c r="A69" s="2">
        <v>46.1</v>
      </c>
      <c r="B69" s="2">
        <f t="shared" si="0"/>
        <v>174.37378678181665</v>
      </c>
      <c r="C69" s="2" cm="1">
        <f t="array" ref="C69">INDEX( ComputeThermoProps($A69, $B69, ParametersRange), 1, COLUMN()-2 )</f>
        <v>12.820734801094467</v>
      </c>
      <c r="D69" s="2" cm="1">
        <f t="array" ref="D69">INDEX( ComputeThermoProps($A69, $B69, ParametersRange), 1, COLUMN()-2 )</f>
        <v>6.78959406149174E-4</v>
      </c>
      <c r="E69" s="2" cm="1">
        <f t="array" ref="E69">INDEX( ComputeThermoProps($A69, $B69, ParametersRange), 1, COLUMN()-2 )</f>
        <v>4.9887286110865024E-4</v>
      </c>
      <c r="F69" s="2" cm="1">
        <f t="array" ref="F69">INDEX( ComputeThermoProps($A69, $B69, ParametersRange), 1, COLUMN()-2 )</f>
        <v>2.983245573182513E-3</v>
      </c>
      <c r="G69" s="2" cm="1">
        <f t="array" ref="G69">INDEX( ComputeThermoProps($A69, $B69, ParametersRange), 1, COLUMN()-2 )</f>
        <v>29.208589537526638</v>
      </c>
      <c r="H69" s="2" cm="1">
        <f t="array" ref="H69">INDEX( ComputeThermoProps($A69, $B69, ParametersRange), 1, COLUMN()-2 )</f>
        <v>21.461331118715851</v>
      </c>
      <c r="I69" s="2" cm="1">
        <f t="array" ref="I69">INDEX( ComputeThermoProps($A69, $B69, ParametersRange), 1, COLUMN()-2 )</f>
        <v>2.6248316687434334</v>
      </c>
      <c r="J69" s="2" cm="1">
        <f t="array" ref="J69">INDEX( ComputeThermoProps($A69, $B69, ParametersRange), 1, COLUMN()-2 )</f>
        <v>599.07461928204987</v>
      </c>
      <c r="K69" s="2" cm="1">
        <f t="array" ref="K69">INDEX( ComputeThermoProps($A69, $B69, ParametersRange), 1, COLUMN()-2 )</f>
        <v>22.247483422760631</v>
      </c>
      <c r="L69" s="2" cm="1">
        <f t="array" ref="L69">INDEX( ComputeThermoProps($A69, $B69, ParametersRange), 1, COLUMN()-2 )</f>
        <v>-426.53436650721522</v>
      </c>
      <c r="M69" s="2" cm="1">
        <f t="array" ref="M69">INDEX( ComputeThermoProps($A69, $B69, ParametersRange), 1, COLUMN()-2 )</f>
        <v>2834.6746958743129</v>
      </c>
      <c r="N69" s="2" cm="1">
        <f t="array" ref="N69">INDEX( ComputeThermoProps($A69, $B69, ParametersRange), 1, COLUMN()-2 )</f>
        <v>1809.0657100850478</v>
      </c>
      <c r="P69">
        <f t="shared" si="1"/>
        <v>2311.5542347089449</v>
      </c>
    </row>
    <row r="70" spans="1:16" x14ac:dyDescent="0.25">
      <c r="A70" s="2">
        <v>47.1</v>
      </c>
      <c r="B70" s="2">
        <f t="shared" si="0"/>
        <v>184.1081146259485</v>
      </c>
      <c r="C70" s="2" cm="1">
        <f t="array" ref="C70">INDEX( ComputeThermoProps($A70, $B70, ParametersRange), 1, COLUMN()-2 )</f>
        <v>12.775214595626394</v>
      </c>
      <c r="D70" s="2" cm="1">
        <f t="array" ref="D70">INDEX( ComputeThermoProps($A70, $B70, ParametersRange), 1, COLUMN()-2 )</f>
        <v>6.5799431779988479E-4</v>
      </c>
      <c r="E70" s="2" cm="1">
        <f t="array" ref="E70">INDEX( ComputeThermoProps($A70, $B70, ParametersRange), 1, COLUMN()-2 )</f>
        <v>4.8344987034549522E-4</v>
      </c>
      <c r="F70" s="2" cm="1">
        <f t="array" ref="F70">INDEX( ComputeThermoProps($A70, $B70, ParametersRange), 1, COLUMN()-2 )</f>
        <v>2.9156307262132386E-3</v>
      </c>
      <c r="G70" s="2" cm="1">
        <f t="array" ref="G70">INDEX( ComputeThermoProps($A70, $B70, ParametersRange), 1, COLUMN()-2 )</f>
        <v>29.305430809314725</v>
      </c>
      <c r="H70" s="2" cm="1">
        <f t="array" ref="H70">INDEX( ComputeThermoProps($A70, $B70, ParametersRange), 1, COLUMN()-2 )</f>
        <v>21.531655125160057</v>
      </c>
      <c r="I70" s="2" cm="1">
        <f t="array" ref="I70">INDEX( ComputeThermoProps($A70, $B70, ParametersRange), 1, COLUMN()-2 )</f>
        <v>2.6290640349556953</v>
      </c>
      <c r="J70" s="2" cm="1">
        <f t="array" ref="J70">INDEX( ComputeThermoProps($A70, $B70, ParametersRange), 1, COLUMN()-2 )</f>
        <v>619.36951583050302</v>
      </c>
      <c r="K70" s="2" cm="1">
        <f t="array" ref="K70">INDEX( ComputeThermoProps($A70, $B70, ParametersRange), 1, COLUMN()-2 )</f>
        <v>22.5079426732391</v>
      </c>
      <c r="L70" s="2" cm="1">
        <f t="array" ref="L70">INDEX( ComputeThermoProps($A70, $B70, ParametersRange), 1, COLUMN()-2 )</f>
        <v>-440.75458407905865</v>
      </c>
      <c r="M70" s="2" cm="1">
        <f t="array" ref="M70">INDEX( ComputeThermoProps($A70, $B70, ParametersRange), 1, COLUMN()-2 )</f>
        <v>2971.3901889731778</v>
      </c>
      <c r="N70" s="2" cm="1">
        <f t="array" ref="N70">INDEX( ComputeThermoProps($A70, $B70, ParametersRange), 1, COLUMN()-2 )</f>
        <v>1911.2660890636162</v>
      </c>
      <c r="P70">
        <f t="shared" si="1"/>
        <v>2448.2697278078103</v>
      </c>
    </row>
    <row r="71" spans="1:16" x14ac:dyDescent="0.25">
      <c r="A71" s="2">
        <v>48.1</v>
      </c>
      <c r="B71" s="2">
        <f t="shared" si="0"/>
        <v>193.98751639330558</v>
      </c>
      <c r="C71" s="2" cm="1">
        <f t="array" ref="C71">INDEX( ComputeThermoProps($A71, $B71, ParametersRange), 1, COLUMN()-2 )</f>
        <v>12.73034815194892</v>
      </c>
      <c r="D71" s="2" cm="1">
        <f t="array" ref="D71">INDEX( ComputeThermoProps($A71, $B71, ParametersRange), 1, COLUMN()-2 )</f>
        <v>6.3805564649810299E-4</v>
      </c>
      <c r="E71" s="2" cm="1">
        <f t="array" ref="E71">INDEX( ComputeThermoProps($A71, $B71, ParametersRange), 1, COLUMN()-2 )</f>
        <v>4.6880353544598188E-4</v>
      </c>
      <c r="F71" s="2" cm="1">
        <f t="array" ref="F71">INDEX( ComputeThermoProps($A71, $B71, ParametersRange), 1, COLUMN()-2 )</f>
        <v>2.8505142859771605E-3</v>
      </c>
      <c r="G71" s="2" cm="1">
        <f t="array" ref="G71">INDEX( ComputeThermoProps($A71, $B71, ParametersRange), 1, COLUMN()-2 )</f>
        <v>29.396640878657049</v>
      </c>
      <c r="H71" s="2" cm="1">
        <f t="array" ref="H71">INDEX( ComputeThermoProps($A71, $B71, ParametersRange), 1, COLUMN()-2 )</f>
        <v>21.598820180946824</v>
      </c>
      <c r="I71" s="2" cm="1">
        <f t="array" ref="I71">INDEX( ComputeThermoProps($A71, $B71, ParametersRange), 1, COLUMN()-2 )</f>
        <v>2.6331458646476964</v>
      </c>
      <c r="J71" s="2" cm="1">
        <f t="array" ref="J71">INDEX( ComputeThermoProps($A71, $B71, ParametersRange), 1, COLUMN()-2 )</f>
        <v>639.91378928235474</v>
      </c>
      <c r="K71" s="2" cm="1">
        <f t="array" ref="K71">INDEX( ComputeThermoProps($A71, $B71, ParametersRange), 1, COLUMN()-2 )</f>
        <v>22.761386280553335</v>
      </c>
      <c r="L71" s="2" cm="1">
        <f t="array" ref="L71">INDEX( ComputeThermoProps($A71, $B71, ParametersRange), 1, COLUMN()-2 )</f>
        <v>-454.90889081226072</v>
      </c>
      <c r="M71" s="2" cm="1">
        <f t="array" ref="M71">INDEX( ComputeThermoProps($A71, $B71, ParametersRange), 1, COLUMN()-2 )</f>
        <v>3109.4424101010331</v>
      </c>
      <c r="N71" s="2" cm="1">
        <f t="array" ref="N71">INDEX( ComputeThermoProps($A71, $B71, ParametersRange), 1, COLUMN()-2 )</f>
        <v>2014.6197300064177</v>
      </c>
      <c r="P71">
        <f t="shared" si="1"/>
        <v>2586.3219489356652</v>
      </c>
    </row>
    <row r="72" spans="1:16" x14ac:dyDescent="0.25">
      <c r="A72" s="2">
        <v>49.1</v>
      </c>
      <c r="B72" s="2">
        <f t="shared" si="0"/>
        <v>204.00830674947045</v>
      </c>
      <c r="C72" s="2" cm="1">
        <f t="array" ref="C72">INDEX( ComputeThermoProps($A72, $B72, ParametersRange), 1, COLUMN()-2 )</f>
        <v>12.686138755809464</v>
      </c>
      <c r="D72" s="2" cm="1">
        <f t="array" ref="D72">INDEX( ComputeThermoProps($A72, $B72, ParametersRange), 1, COLUMN()-2 )</f>
        <v>6.1908528807890992E-4</v>
      </c>
      <c r="E72" s="2" cm="1">
        <f t="array" ref="E72">INDEX( ComputeThermoProps($A72, $B72, ParametersRange), 1, COLUMN()-2 )</f>
        <v>4.5488591403481727E-4</v>
      </c>
      <c r="F72" s="2" cm="1">
        <f t="array" ref="F72">INDEX( ComputeThermoProps($A72, $B72, ParametersRange), 1, COLUMN()-2 )</f>
        <v>2.7878154351152844E-3</v>
      </c>
      <c r="G72" s="2" cm="1">
        <f t="array" ref="G72">INDEX( ComputeThermoProps($A72, $B72, ParametersRange), 1, COLUMN()-2 )</f>
        <v>29.482715982313891</v>
      </c>
      <c r="H72" s="2" cm="1">
        <f t="array" ref="H72">INDEX( ComputeThermoProps($A72, $B72, ParametersRange), 1, COLUMN()-2 )</f>
        <v>21.663044601593473</v>
      </c>
      <c r="I72" s="2" cm="1">
        <f t="array" ref="I72">INDEX( ComputeThermoProps($A72, $B72, ParametersRange), 1, COLUMN()-2 )</f>
        <v>2.637081172267548</v>
      </c>
      <c r="J72" s="2" cm="1">
        <f t="array" ref="J72">INDEX( ComputeThermoProps($A72, $B72, ParametersRange), 1, COLUMN()-2 )</f>
        <v>660.70450857412447</v>
      </c>
      <c r="K72" s="2" cm="1">
        <f t="array" ref="K72">INDEX( ComputeThermoProps($A72, $B72, ParametersRange), 1, COLUMN()-2 )</f>
        <v>23.008189651359224</v>
      </c>
      <c r="L72" s="2" cm="1">
        <f t="array" ref="L72">INDEX( ComputeThermoProps($A72, $B72, ParametersRange), 1, COLUMN()-2 )</f>
        <v>-468.99760330761347</v>
      </c>
      <c r="M72" s="2" cm="1">
        <f t="array" ref="M72">INDEX( ComputeThermoProps($A72, $B72, ParametersRange), 1, COLUMN()-2 )</f>
        <v>3248.782195335647</v>
      </c>
      <c r="N72" s="2" cm="1">
        <f t="array" ref="N72">INDEX( ComputeThermoProps($A72, $B72, ParametersRange), 1, COLUMN()-2 )</f>
        <v>2119.0800834539091</v>
      </c>
      <c r="P72">
        <f t="shared" si="1"/>
        <v>2725.6617341702795</v>
      </c>
    </row>
    <row r="73" spans="1:16" x14ac:dyDescent="0.25">
      <c r="A73" s="2">
        <v>50.1</v>
      </c>
      <c r="B73" s="2">
        <f t="shared" si="0"/>
        <v>214.16702625478231</v>
      </c>
      <c r="C73" s="2" cm="1">
        <f t="array" ref="C73">INDEX( ComputeThermoProps($A73, $B73, ParametersRange), 1, COLUMN()-2 )</f>
        <v>12.642586103006289</v>
      </c>
      <c r="D73" s="2" cm="1">
        <f t="array" ref="D73">INDEX( ComputeThermoProps($A73, $B73, ParametersRange), 1, COLUMN()-2 )</f>
        <v>6.0102766916311345E-4</v>
      </c>
      <c r="E73" s="2" cm="1">
        <f t="array" ref="E73">INDEX( ComputeThermoProps($A73, $B73, ParametersRange), 1, COLUMN()-2 )</f>
        <v>4.4165192843566509E-4</v>
      </c>
      <c r="F73" s="2" cm="1">
        <f t="array" ref="F73">INDEX( ComputeThermoProps($A73, $B73, ParametersRange), 1, COLUMN()-2 )</f>
        <v>2.7274488012863267E-3</v>
      </c>
      <c r="G73" s="2" cm="1">
        <f t="array" ref="G73">INDEX( ComputeThermoProps($A73, $B73, ParametersRange), 1, COLUMN()-2 )</f>
        <v>29.564098703012</v>
      </c>
      <c r="H73" s="2" cm="1">
        <f t="array" ref="H73">INDEX( ComputeThermoProps($A73, $B73, ParametersRange), 1, COLUMN()-2 )</f>
        <v>21.724525965382856</v>
      </c>
      <c r="I73" s="2" cm="1">
        <f t="array" ref="I73">INDEX( ComputeThermoProps($A73, $B73, ParametersRange), 1, COLUMN()-2 )</f>
        <v>2.640874434824481</v>
      </c>
      <c r="J73" s="2" cm="1">
        <f t="array" ref="J73">INDEX( ComputeThermoProps($A73, $B73, ParametersRange), 1, COLUMN()-2 )</f>
        <v>681.73852807762103</v>
      </c>
      <c r="K73" s="2" cm="1">
        <f t="array" ref="K73">INDEX( ComputeThermoProps($A73, $B73, ParametersRange), 1, COLUMN()-2 )</f>
        <v>23.248696835982496</v>
      </c>
      <c r="L73" s="2" cm="1">
        <f t="array" ref="L73">INDEX( ComputeThermoProps($A73, $B73, ParametersRange), 1, COLUMN()-2 )</f>
        <v>-483.02118340510208</v>
      </c>
      <c r="M73" s="2" cm="1">
        <f t="array" ref="M73">INDEX( ComputeThermoProps($A73, $B73, ParametersRange), 1, COLUMN()-2 )</f>
        <v>3389.363597928515</v>
      </c>
      <c r="N73" s="2" cm="1">
        <f t="array" ref="N73">INDEX( ComputeThermoProps($A73, $B73, ParametersRange), 1, COLUMN()-2 )</f>
        <v>2224.6038864457919</v>
      </c>
      <c r="P73">
        <f t="shared" si="1"/>
        <v>2866.243136763147</v>
      </c>
    </row>
    <row r="74" spans="1:16" x14ac:dyDescent="0.25">
      <c r="A74" s="2">
        <v>51.1</v>
      </c>
      <c r="B74" s="2">
        <f t="shared" si="0"/>
        <v>224.46042025753471</v>
      </c>
      <c r="C74" s="2" cm="1">
        <f t="array" ref="C74">INDEX( ComputeThermoProps($A74, $B74, ParametersRange), 1, COLUMN()-2 )</f>
        <v>12.599686998602147</v>
      </c>
      <c r="D74" s="2" cm="1">
        <f t="array" ref="D74">INDEX( ComputeThermoProps($A74, $B74, ParametersRange), 1, COLUMN()-2 )</f>
        <v>5.8382992611822205E-4</v>
      </c>
      <c r="E74" s="2" cm="1">
        <f t="array" ref="E74">INDEX( ComputeThermoProps($A74, $B74, ParametersRange), 1, COLUMN()-2 )</f>
        <v>4.2905931300556545E-4</v>
      </c>
      <c r="F74" s="2" cm="1">
        <f t="array" ref="F74">INDEX( ComputeThermoProps($A74, $B74, ParametersRange), 1, COLUMN()-2 )</f>
        <v>2.6693265182598401E-3</v>
      </c>
      <c r="G74" s="2" cm="1">
        <f t="array" ref="G74">INDEX( ComputeThermoProps($A74, $B74, ParametersRange), 1, COLUMN()-2 )</f>
        <v>29.641184561770363</v>
      </c>
      <c r="H74" s="2" cm="1">
        <f t="array" ref="H74">INDEX( ComputeThermoProps($A74, $B74, ParametersRange), 1, COLUMN()-2 )</f>
        <v>21.783443629385111</v>
      </c>
      <c r="I74" s="2" cm="1">
        <f t="array" ref="I74">INDEX( ComputeThermoProps($A74, $B74, ParametersRange), 1, COLUMN()-2 )</f>
        <v>2.6445304310758226</v>
      </c>
      <c r="J74" s="2" cm="1">
        <f t="array" ref="J74">INDEX( ComputeThermoProps($A74, $B74, ParametersRange), 1, COLUMN()-2 )</f>
        <v>703.01254403960411</v>
      </c>
      <c r="K74" s="2" cm="1">
        <f t="array" ref="K74">INDEX( ComputeThermoProps($A74, $B74, ParametersRange), 1, COLUMN()-2 )</f>
        <v>23.483223936339868</v>
      </c>
      <c r="L74" s="2" cm="1">
        <f t="array" ref="L74">INDEX( ComputeThermoProps($A74, $B74, ParametersRange), 1, COLUMN()-2 )</f>
        <v>-496.98019910736321</v>
      </c>
      <c r="M74" s="2" cm="1">
        <f t="array" ref="M74">INDEX( ComputeThermoProps($A74, $B74, ParametersRange), 1, COLUMN()-2 )</f>
        <v>3531.143582859238</v>
      </c>
      <c r="N74" s="2" cm="1">
        <f t="array" ref="N74">INDEX( ComputeThermoProps($A74, $B74, ParametersRange), 1, COLUMN()-2 )</f>
        <v>2331.1508397122707</v>
      </c>
      <c r="P74">
        <f t="shared" si="1"/>
        <v>3008.0231216938701</v>
      </c>
    </row>
    <row r="75" spans="1:16" x14ac:dyDescent="0.25">
      <c r="A75" s="2">
        <v>52.1</v>
      </c>
      <c r="B75" s="2">
        <f t="shared" si="0"/>
        <v>234.88542036369782</v>
      </c>
      <c r="C75" s="2" cm="1">
        <f t="array" ref="C75">INDEX( ComputeThermoProps($A75, $B75, ParametersRange), 1, COLUMN()-2 )</f>
        <v>12.557435934267096</v>
      </c>
      <c r="D75" s="2" cm="1">
        <f t="array" ref="D75">INDEX( ComputeThermoProps($A75, $B75, ParametersRange), 1, COLUMN()-2 )</f>
        <v>5.6744198634968511E-4</v>
      </c>
      <c r="E75" s="2" cm="1">
        <f t="array" ref="E75">INDEX( ComputeThermoProps($A75, $B75, ParametersRange), 1, COLUMN()-2 )</f>
        <v>4.1706852315519645E-4</v>
      </c>
      <c r="F75" s="2" cm="1">
        <f t="array" ref="F75">INDEX( ComputeThermoProps($A75, $B75, ParametersRange), 1, COLUMN()-2 )</f>
        <v>2.6133598117626953E-3</v>
      </c>
      <c r="G75" s="2" cm="1">
        <f t="array" ref="G75">INDEX( ComputeThermoProps($A75, $B75, ParametersRange), 1, COLUMN()-2 )</f>
        <v>29.714327727930307</v>
      </c>
      <c r="H75" s="2" cm="1">
        <f t="array" ref="H75">INDEX( ComputeThermoProps($A75, $B75, ParametersRange), 1, COLUMN()-2 )</f>
        <v>21.83996087734031</v>
      </c>
      <c r="I75" s="2" cm="1">
        <f t="array" ref="I75">INDEX( ComputeThermoProps($A75, $B75, ParametersRange), 1, COLUMN()-2 )</f>
        <v>2.6480541163069056</v>
      </c>
      <c r="J75" s="2" cm="1">
        <f t="array" ref="J75">INDEX( ComputeThermoProps($A75, $B75, ParametersRange), 1, COLUMN()-2 )</f>
        <v>724.52314097178714</v>
      </c>
      <c r="K75" s="2" cm="1">
        <f t="array" ref="K75">INDEX( ComputeThermoProps($A75, $B75, ParametersRange), 1, COLUMN()-2 )</f>
        <v>23.712062083630592</v>
      </c>
      <c r="L75" s="2" cm="1">
        <f t="array" ref="L75">INDEX( ComputeThermoProps($A75, $B75, ParametersRange), 1, COLUMN()-2 )</f>
        <v>-510.87529358536671</v>
      </c>
      <c r="M75" s="2" cm="1">
        <f t="array" ref="M75">INDEX( ComputeThermoProps($A75, $B75, ParametersRange), 1, COLUMN()-2 )</f>
        <v>3674.0817590823185</v>
      </c>
      <c r="N75" s="2" cm="1">
        <f t="array" ref="N75">INDEX( ComputeThermoProps($A75, $B75, ParametersRange), 1, COLUMN()-2 )</f>
        <v>2438.6833245251646</v>
      </c>
      <c r="P75">
        <f t="shared" si="1"/>
        <v>3150.9612979169506</v>
      </c>
    </row>
    <row r="76" spans="1:16" x14ac:dyDescent="0.25">
      <c r="A76" s="2">
        <v>53.1</v>
      </c>
      <c r="B76" s="2">
        <f t="shared" si="0"/>
        <v>245.43912810381755</v>
      </c>
      <c r="C76" s="2" cm="1">
        <f t="array" ref="C76">INDEX( ComputeThermoProps($A76, $B76, ParametersRange), 1, COLUMN()-2 )</f>
        <v>12.515825564918135</v>
      </c>
      <c r="D76" s="2" cm="1">
        <f t="array" ref="D76">INDEX( ComputeThermoProps($A76, $B76, ParametersRange), 1, COLUMN()-2 )</f>
        <v>5.5181657822786219E-4</v>
      </c>
      <c r="E76" s="2" cm="1">
        <f t="array" ref="E76">INDEX( ComputeThermoProps($A76, $B76, ParametersRange), 1, COLUMN()-2 )</f>
        <v>4.0564261940639657E-4</v>
      </c>
      <c r="F76" s="2" cm="1">
        <f t="array" ref="F76">INDEX( ComputeThermoProps($A76, $B76, ParametersRange), 1, COLUMN()-2 )</f>
        <v>2.5594602064467065E-3</v>
      </c>
      <c r="G76" s="2" cm="1">
        <f t="array" ref="G76">INDEX( ComputeThermoProps($A76, $B76, ParametersRange), 1, COLUMN()-2 )</f>
        <v>29.783845957793286</v>
      </c>
      <c r="H76" s="2" cm="1">
        <f t="array" ref="H76">INDEX( ComputeThermoProps($A76, $B76, ParametersRange), 1, COLUMN()-2 )</f>
        <v>21.89422675396138</v>
      </c>
      <c r="I76" s="2" cm="1">
        <f t="array" ref="I76">INDEX( ComputeThermoProps($A76, $B76, ParametersRange), 1, COLUMN()-2 )</f>
        <v>2.6514505254957714</v>
      </c>
      <c r="J76" s="2" cm="1">
        <f t="array" ref="J76">INDEX( ComputeThermoProps($A76, $B76, ParametersRange), 1, COLUMN()-2 )</f>
        <v>746.26682967432157</v>
      </c>
      <c r="K76" s="2" cm="1">
        <f t="array" ref="K76">INDEX( ComputeThermoProps($A76, $B76, ParametersRange), 1, COLUMN()-2 )</f>
        <v>23.935480044512065</v>
      </c>
      <c r="L76" s="2" cm="1">
        <f t="array" ref="L76">INDEX( ComputeThermoProps($A76, $B76, ParametersRange), 1, COLUMN()-2 )</f>
        <v>-524.70716068926913</v>
      </c>
      <c r="M76" s="2" cm="1">
        <f t="array" ref="M76">INDEX( ComputeThermoProps($A76, $B76, ParametersRange), 1, COLUMN()-2 )</f>
        <v>3818.1401438272983</v>
      </c>
      <c r="N76" s="2" cm="1">
        <f t="array" ref="N76">INDEX( ComputeThermoProps($A76, $B76, ParametersRange), 1, COLUMN()-2 )</f>
        <v>2547.1661534637078</v>
      </c>
      <c r="P76">
        <f t="shared" si="1"/>
        <v>3295.0196826619303</v>
      </c>
    </row>
    <row r="77" spans="1:16" x14ac:dyDescent="0.25">
      <c r="A77" s="2">
        <v>54.1</v>
      </c>
      <c r="B77" s="2">
        <f t="shared" si="0"/>
        <v>256.11880048174714</v>
      </c>
      <c r="C77" s="2" cm="1">
        <f t="array" ref="C77">INDEX( ComputeThermoProps($A77, $B77, ParametersRange), 1, COLUMN()-2 )</f>
        <v>12.474847102103478</v>
      </c>
      <c r="D77" s="2" cm="1">
        <f t="array" ref="D77">INDEX( ComputeThermoProps($A77, $B77, ParametersRange), 1, COLUMN()-2 )</f>
        <v>5.3690919004955511E-4</v>
      </c>
      <c r="E77" s="2" cm="1">
        <f t="array" ref="E77">INDEX( ComputeThermoProps($A77, $B77, ParametersRange), 1, COLUMN()-2 )</f>
        <v>3.9474713633226279E-4</v>
      </c>
      <c r="F77" s="2" cm="1">
        <f t="array" ref="F77">INDEX( ComputeThermoProps($A77, $B77, ParametersRange), 1, COLUMN()-2 )</f>
        <v>2.5075404360918653E-3</v>
      </c>
      <c r="G77" s="2" cm="1">
        <f t="array" ref="G77">INDEX( ComputeThermoProps($A77, $B77, ParametersRange), 1, COLUMN()-2 )</f>
        <v>29.850024910873497</v>
      </c>
      <c r="H77" s="2" cm="1">
        <f t="array" ref="H77">INDEX( ComputeThermoProps($A77, $B77, ParametersRange), 1, COLUMN()-2 )</f>
        <v>21.946377658252533</v>
      </c>
      <c r="I77" s="2" cm="1">
        <f t="array" ref="I77">INDEX( ComputeThermoProps($A77, $B77, ParametersRange), 1, COLUMN()-2 )</f>
        <v>2.6547246992411924</v>
      </c>
      <c r="J77" s="2" cm="1">
        <f t="array" ref="J77">INDEX( ComputeThermoProps($A77, $B77, ParametersRange), 1, COLUMN()-2 )</f>
        <v>768.24007830119831</v>
      </c>
      <c r="K77" s="2" cm="1">
        <f t="array" ref="K77">INDEX( ComputeThermoProps($A77, $B77, ParametersRange), 1, COLUMN()-2 )</f>
        <v>24.153726506326922</v>
      </c>
      <c r="L77" s="2" cm="1">
        <f t="array" ref="L77">INDEX( ComputeThermoProps($A77, $B77, ParametersRange), 1, COLUMN()-2 )</f>
        <v>-538.47652569108823</v>
      </c>
      <c r="M77" s="2" cm="1">
        <f t="array" ref="M77">INDEX( ComputeThermoProps($A77, $B77, ParametersRange), 1, COLUMN()-2 )</f>
        <v>3963.2829542851405</v>
      </c>
      <c r="N77" s="2" cm="1">
        <f t="array" ref="N77">INDEX( ComputeThermoProps($A77, $B77, ParametersRange), 1, COLUMN()-2 )</f>
        <v>2656.5663502928537</v>
      </c>
      <c r="P77">
        <f t="shared" si="1"/>
        <v>3440.162493119773</v>
      </c>
    </row>
    <row r="78" spans="1:16" x14ac:dyDescent="0.25">
      <c r="A78" s="2">
        <v>55.1</v>
      </c>
      <c r="B78" s="2">
        <f t="shared" si="0"/>
        <v>266.92183714196375</v>
      </c>
      <c r="C78" s="2" cm="1">
        <f t="array" ref="C78">INDEX( ComputeThermoProps($A78, $B78, ParametersRange), 1, COLUMN()-2 )</f>
        <v>12.434490638513399</v>
      </c>
      <c r="D78" s="2" cm="1">
        <f t="array" ref="D78">INDEX( ComputeThermoProps($A78, $B78, ParametersRange), 1, COLUMN()-2 )</f>
        <v>5.2267799318903442E-4</v>
      </c>
      <c r="E78" s="2" cm="1">
        <f t="array" ref="E78">INDEX( ComputeThermoProps($A78, $B78, ParametersRange), 1, COLUMN()-2 )</f>
        <v>3.8434994356826104E-4</v>
      </c>
      <c r="F78" s="2" cm="1">
        <f t="array" ref="F78">INDEX( ComputeThermoProps($A78, $B78, ParametersRange), 1, COLUMN()-2 )</f>
        <v>2.4575151165951502E-3</v>
      </c>
      <c r="G78" s="2" cm="1">
        <f t="array" ref="G78">INDEX( ComputeThermoProps($A78, $B78, ParametersRange), 1, COLUMN()-2 )</f>
        <v>29.913121904000228</v>
      </c>
      <c r="H78" s="2" cm="1">
        <f t="array" ref="H78">INDEX( ComputeThermoProps($A78, $B78, ParametersRange), 1, COLUMN()-2 )</f>
        <v>21.996538720915495</v>
      </c>
      <c r="I78" s="2" cm="1">
        <f t="array" ref="I78">INDEX( ComputeThermoProps($A78, $B78, ParametersRange), 1, COLUMN()-2 )</f>
        <v>2.6578816276827237</v>
      </c>
      <c r="J78" s="2" cm="1">
        <f t="array" ref="J78">INDEX( ComputeThermoProps($A78, $B78, ParametersRange), 1, COLUMN()-2 )</f>
        <v>790.4393376437547</v>
      </c>
      <c r="K78" s="2" cm="1">
        <f t="array" ref="K78">INDEX( ComputeThermoProps($A78, $B78, ParametersRange), 1, COLUMN()-2 )</f>
        <v>24.367032084850123</v>
      </c>
      <c r="L78" s="2" cm="1">
        <f t="array" ref="L78">INDEX( ComputeThermoProps($A78, $B78, ParametersRange), 1, COLUMN()-2 )</f>
        <v>-552.18413023148719</v>
      </c>
      <c r="M78" s="2" cm="1">
        <f t="array" ref="M78">INDEX( ComputeThermoProps($A78, $B78, ParametersRange), 1, COLUMN()-2 )</f>
        <v>4109.4764228003014</v>
      </c>
      <c r="N78" s="2" cm="1">
        <f t="array" ref="N78">INDEX( ComputeThermoProps($A78, $B78, ParametersRange), 1, COLUMN()-2 )</f>
        <v>2766.8529549250597</v>
      </c>
      <c r="P78">
        <f t="shared" si="1"/>
        <v>3586.3559616349339</v>
      </c>
    </row>
    <row r="79" spans="1:16" x14ac:dyDescent="0.25">
      <c r="A79" s="2">
        <v>56.1</v>
      </c>
      <c r="B79" s="2">
        <f t="shared" si="0"/>
        <v>277.84576893478209</v>
      </c>
      <c r="C79" s="2" cm="1">
        <f t="array" ref="C79">INDEX( ComputeThermoProps($A79, $B79, ParametersRange), 1, COLUMN()-2 )</f>
        <v>12.394745415476354</v>
      </c>
      <c r="D79" s="2" cm="1">
        <f t="array" ref="D79">INDEX( ComputeThermoProps($A79, $B79, ParametersRange), 1, COLUMN()-2 )</f>
        <v>5.0908374082534152E-4</v>
      </c>
      <c r="E79" s="2" cm="1">
        <f t="array" ref="E79">INDEX( ComputeThermoProps($A79, $B79, ParametersRange), 1, COLUMN()-2 )</f>
        <v>3.7442110407759013E-4</v>
      </c>
      <c r="F79" s="2" cm="1">
        <f t="array" ref="F79">INDEX( ComputeThermoProps($A79, $B79, ParametersRange), 1, COLUMN()-2 )</f>
        <v>2.4093012279124493E-3</v>
      </c>
      <c r="G79" s="2" cm="1">
        <f t="array" ref="G79">INDEX( ComputeThermoProps($A79, $B79, ParametersRange), 1, COLUMN()-2 )</f>
        <v>29.973369133561164</v>
      </c>
      <c r="H79" s="2" cm="1">
        <f t="array" ref="H79">INDEX( ComputeThermoProps($A79, $B79, ParametersRange), 1, COLUMN()-2 )</f>
        <v>22.044824974607565</v>
      </c>
      <c r="I79" s="2" cm="1">
        <f t="array" ref="I79">INDEX( ComputeThermoProps($A79, $B79, ParametersRange), 1, COLUMN()-2 )</f>
        <v>2.660926208522886</v>
      </c>
      <c r="J79" s="2" cm="1">
        <f t="array" ref="J79">INDEX( ComputeThermoProps($A79, $B79, ParametersRange), 1, COLUMN()-2 )</f>
        <v>812.86106161312057</v>
      </c>
      <c r="K79" s="2" cm="1">
        <f t="array" ref="K79">INDEX( ComputeThermoProps($A79, $B79, ParametersRange), 1, COLUMN()-2 )</f>
        <v>24.575611091880631</v>
      </c>
      <c r="L79" s="2" cm="1">
        <f t="array" ref="L79">INDEX( ComputeThermoProps($A79, $B79, ParametersRange), 1, COLUMN()-2 )</f>
        <v>-565.83072064138287</v>
      </c>
      <c r="M79" s="2" cm="1">
        <f t="array" ref="M79">INDEX( ComputeThermoProps($A79, $B79, ParametersRange), 1, COLUMN()-2 )</f>
        <v>4256.6886323270137</v>
      </c>
      <c r="N79" s="2" cm="1">
        <f t="array" ref="N79">INDEX( ComputeThermoProps($A79, $B79, ParametersRange), 1, COLUMN()-2 )</f>
        <v>2877.9968500725104</v>
      </c>
      <c r="P79">
        <f t="shared" si="1"/>
        <v>3733.5681711616462</v>
      </c>
    </row>
    <row r="80" spans="1:16" x14ac:dyDescent="0.25">
      <c r="A80" s="2">
        <v>57.1</v>
      </c>
      <c r="B80" s="2">
        <f t="shared" si="0"/>
        <v>288.88824769365237</v>
      </c>
      <c r="C80" s="2" cm="1">
        <f t="array" ref="C80">INDEX( ComputeThermoProps($A80, $B80, ParametersRange), 1, COLUMN()-2 )</f>
        <v>12.355600043224422</v>
      </c>
      <c r="D80" s="2" cm="1">
        <f t="array" ref="D80">INDEX( ComputeThermoProps($A80, $B80, ParametersRange), 1, COLUMN()-2 )</f>
        <v>4.9608965162198826E-4</v>
      </c>
      <c r="E80" s="2" cm="1">
        <f t="array" ref="E80">INDEX( ComputeThermoProps($A80, $B80, ParametersRange), 1, COLUMN()-2 )</f>
        <v>3.6493273334706417E-4</v>
      </c>
      <c r="F80" s="2" cm="1">
        <f t="array" ref="F80">INDEX( ComputeThermoProps($A80, $B80, ParametersRange), 1, COLUMN()-2 )</f>
        <v>2.3628184559307433E-3</v>
      </c>
      <c r="G80" s="2" cm="1">
        <f t="array" ref="G80">INDEX( ComputeThermoProps($A80, $B80, ParametersRange), 1, COLUMN()-2 )</f>
        <v>30.030976558680564</v>
      </c>
      <c r="H80" s="2" cm="1">
        <f t="array" ref="H80">INDEX( ComputeThermoProps($A80, $B80, ParametersRange), 1, COLUMN()-2 )</f>
        <v>22.0913424112134</v>
      </c>
      <c r="I80" s="2" cm="1">
        <f t="array" ref="I80">INDEX( ComputeThermoProps($A80, $B80, ParametersRange), 1, COLUMN()-2 )</f>
        <v>2.663863216593791</v>
      </c>
      <c r="J80" s="2" cm="1">
        <f t="array" ref="J80">INDEX( ComputeThermoProps($A80, $B80, ParametersRange), 1, COLUMN()-2 )</f>
        <v>835.5017237387724</v>
      </c>
      <c r="K80" s="2" cm="1">
        <f t="array" ref="K80">INDEX( ComputeThermoProps($A80, $B80, ParametersRange), 1, COLUMN()-2 )</f>
        <v>24.779663094712667</v>
      </c>
      <c r="L80" s="2" cm="1">
        <f t="array" ref="L80">INDEX( ComputeThermoProps($A80, $B80, ParametersRange), 1, COLUMN()-2 )</f>
        <v>-579.41703896932097</v>
      </c>
      <c r="M80" s="2" cm="1">
        <f t="array" ref="M80">INDEX( ComputeThermoProps($A80, $B80, ParametersRange), 1, COLUMN()-2 )</f>
        <v>4404.8893694294911</v>
      </c>
      <c r="N80" s="2" cm="1">
        <f t="array" ref="N80">INDEX( ComputeThermoProps($A80, $B80, ParametersRange), 1, COLUMN()-2 )</f>
        <v>2989.9706067213979</v>
      </c>
      <c r="P80">
        <f t="shared" si="1"/>
        <v>3881.7689082641236</v>
      </c>
    </row>
    <row r="81" spans="1:16" x14ac:dyDescent="0.25">
      <c r="A81" s="2">
        <v>58.1</v>
      </c>
      <c r="B81" s="2">
        <f t="shared" si="0"/>
        <v>300.04703706744527</v>
      </c>
      <c r="C81" s="2" cm="1">
        <f t="array" ref="C81">INDEX( ComputeThermoProps($A81, $B81, ParametersRange), 1, COLUMN()-2 )</f>
        <v>12.317042682006235</v>
      </c>
      <c r="D81" s="2" cm="1">
        <f t="array" ref="D81">INDEX( ComputeThermoProps($A81, $B81, ParametersRange), 1, COLUMN()-2 )</f>
        <v>4.8366128418621523E-4</v>
      </c>
      <c r="E81" s="2" cm="1">
        <f t="array" ref="E81">INDEX( ComputeThermoProps($A81, $B81, ParametersRange), 1, COLUMN()-2 )</f>
        <v>3.5585886205850918E-4</v>
      </c>
      <c r="F81" s="2" cm="1">
        <f t="array" ref="F81">INDEX( ComputeThermoProps($A81, $B81, ParametersRange), 1, COLUMN()-2 )</f>
        <v>2.3179894145738075E-3</v>
      </c>
      <c r="G81" s="2" cm="1">
        <f t="array" ref="G81">INDEX( ComputeThermoProps($A81, $B81, ParametersRange), 1, COLUMN()-2 )</f>
        <v>30.086134368934982</v>
      </c>
      <c r="H81" s="2" cm="1">
        <f t="array" ref="H81">INDEX( ComputeThermoProps($A81, $B81, ParametersRange), 1, COLUMN()-2 )</f>
        <v>22.136188879129946</v>
      </c>
      <c r="I81" s="2" cm="1">
        <f t="array" ref="I81">INDEX( ComputeThermoProps($A81, $B81, ParametersRange), 1, COLUMN()-2 )</f>
        <v>2.6666972821076751</v>
      </c>
      <c r="J81" s="2" cm="1">
        <f t="array" ref="J81">INDEX( ComputeThermoProps($A81, $B81, ParametersRange), 1, COLUMN()-2 )</f>
        <v>858.35783036359828</v>
      </c>
      <c r="K81" s="2" cm="1">
        <f t="array" ref="K81">INDEX( ComputeThermoProps($A81, $B81, ParametersRange), 1, COLUMN()-2 )</f>
        <v>24.979374294981596</v>
      </c>
      <c r="L81" s="2" cm="1">
        <f t="array" ref="L81">INDEX( ComputeThermoProps($A81, $B81, ParametersRange), 1, COLUMN()-2 )</f>
        <v>-592.94381617483248</v>
      </c>
      <c r="M81" s="2" cm="1">
        <f t="array" ref="M81">INDEX( ComputeThermoProps($A81, $B81, ParametersRange), 1, COLUMN()-2 )</f>
        <v>4554.0499925328286</v>
      </c>
      <c r="N81" s="2" cm="1">
        <f t="array" ref="N81">INDEX( ComputeThermoProps($A81, $B81, ParametersRange), 1, COLUMN()-2 )</f>
        <v>3102.7483459943978</v>
      </c>
      <c r="P81">
        <f t="shared" si="1"/>
        <v>4030.9295313674611</v>
      </c>
    </row>
    <row r="82" spans="1:16" x14ac:dyDescent="0.25">
      <c r="A82" s="2">
        <v>59.1</v>
      </c>
      <c r="B82" s="2">
        <f t="shared" si="0"/>
        <v>311.3200042743502</v>
      </c>
      <c r="C82" s="2" cm="1">
        <f t="array" ref="C82">INDEX( ComputeThermoProps($A82, $B82, ParametersRange), 1, COLUMN()-2 )</f>
        <v>12.279061190723098</v>
      </c>
      <c r="D82" s="2" cm="1">
        <f t="array" ref="D82">INDEX( ComputeThermoProps($A82, $B82, ParametersRange), 1, COLUMN()-2 )</f>
        <v>4.7176640757945183E-4</v>
      </c>
      <c r="E82" s="2" cm="1">
        <f t="array" ref="E82">INDEX( ComputeThermoProps($A82, $B82, ParametersRange), 1, COLUMN()-2 )</f>
        <v>3.4717530394108066E-4</v>
      </c>
      <c r="F82" s="2" cm="1">
        <f t="array" ref="F82">INDEX( ComputeThermoProps($A82, $B82, ParametersRange), 1, COLUMN()-2 )</f>
        <v>2.2747397814831161E-3</v>
      </c>
      <c r="G82" s="2" cm="1">
        <f t="array" ref="G82">INDEX( ComputeThermoProps($A82, $B82, ParametersRange), 1, COLUMN()-2 )</f>
        <v>30.139015176532453</v>
      </c>
      <c r="H82" s="2" cm="1">
        <f t="array" ref="H82">INDEX( ComputeThermoProps($A82, $B82, ParametersRange), 1, COLUMN()-2 )</f>
        <v>22.179454887608333</v>
      </c>
      <c r="I82" s="2" cm="1">
        <f t="array" ref="I82">INDEX( ComputeThermoProps($A82, $B82, ParametersRange), 1, COLUMN()-2 )</f>
        <v>2.6694328759879</v>
      </c>
      <c r="J82" s="2" cm="1">
        <f t="array" ref="J82">INDEX( ComputeThermoProps($A82, $B82, ParametersRange), 1, COLUMN()-2 )</f>
        <v>881.42593110180667</v>
      </c>
      <c r="K82" s="2" cm="1">
        <f t="array" ref="K82">INDEX( ComputeThermoProps($A82, $B82, ParametersRange), 1, COLUMN()-2 )</f>
        <v>25.174918750492544</v>
      </c>
      <c r="L82" s="2" cm="1">
        <f t="array" ref="L82">INDEX( ComputeThermoProps($A82, $B82, ParametersRange), 1, COLUMN()-2 )</f>
        <v>-606.41176705230271</v>
      </c>
      <c r="M82" s="2" cm="1">
        <f t="array" ref="M82">INDEX( ComputeThermoProps($A82, $B82, ParametersRange), 1, COLUMN()-2 )</f>
        <v>4704.1433134827294</v>
      </c>
      <c r="N82" s="2" cm="1">
        <f t="array" ref="N82">INDEX( ComputeThermoProps($A82, $B82, ParametersRange), 1, COLUMN()-2 )</f>
        <v>3216.3056153286198</v>
      </c>
      <c r="P82">
        <f t="shared" si="1"/>
        <v>4181.0228523173619</v>
      </c>
    </row>
    <row r="83" spans="1:16" x14ac:dyDescent="0.25">
      <c r="A83" s="2">
        <v>60.1</v>
      </c>
      <c r="B83" s="2">
        <f t="shared" si="0"/>
        <v>322.70511266370062</v>
      </c>
      <c r="C83" s="2" cm="1">
        <f t="array" ref="C83">INDEX( ComputeThermoProps($A83, $B83, ParametersRange), 1, COLUMN()-2 )</f>
        <v>12.241643248610368</v>
      </c>
      <c r="D83" s="2" cm="1">
        <f t="array" ref="D83">INDEX( ComputeThermoProps($A83, $B83, ParametersRange), 1, COLUMN()-2 )</f>
        <v>4.6037487112094317E-4</v>
      </c>
      <c r="E83" s="2" cm="1">
        <f t="array" ref="E83">INDEX( ComputeThermoProps($A83, $B83, ParametersRange), 1, COLUMN()-2 )</f>
        <v>3.3885952988637995E-4</v>
      </c>
      <c r="F83" s="2" cm="1">
        <f t="array" ref="F83">INDEX( ComputeThermoProps($A83, $B83, ParametersRange), 1, COLUMN()-2 )</f>
        <v>2.232998363033803E-3</v>
      </c>
      <c r="G83" s="2" cm="1">
        <f t="array" ref="G83">INDEX( ComputeThermoProps($A83, $B83, ParametersRange), 1, COLUMN()-2 )</f>
        <v>30.189775920838137</v>
      </c>
      <c r="H83" s="2" cm="1">
        <f t="array" ref="H83">INDEX( ComputeThermoProps($A83, $B83, ParametersRange), 1, COLUMN()-2 )</f>
        <v>22.221224305752472</v>
      </c>
      <c r="I83" s="2" cm="1">
        <f t="array" ref="I83">INDEX( ComputeThermoProps($A83, $B83, ParametersRange), 1, COLUMN()-2 )</f>
        <v>2.6720743005696788</v>
      </c>
      <c r="J83" s="2" cm="1">
        <f t="array" ref="J83">INDEX( ComputeThermoProps($A83, $B83, ParametersRange), 1, COLUMN()-2 )</f>
        <v>904.70262703100707</v>
      </c>
      <c r="K83" s="2" cm="1">
        <f t="array" ref="K83">INDEX( ComputeThermoProps($A83, $B83, ParametersRange), 1, COLUMN()-2 )</f>
        <v>25.366459460317529</v>
      </c>
      <c r="L83" s="2" cm="1">
        <f t="array" ref="L83">INDEX( ComputeThermoProps($A83, $B83, ParametersRange), 1, COLUMN()-2 )</f>
        <v>-619.82158653407646</v>
      </c>
      <c r="M83" s="2" cm="1">
        <f t="array" ref="M83">INDEX( ComputeThermoProps($A83, $B83, ParametersRange), 1, COLUMN()-2 )</f>
        <v>4855.1434907626463</v>
      </c>
      <c r="N83" s="2" cm="1">
        <f t="array" ref="N83">INDEX( ComputeThermoProps($A83, $B83, ParametersRange), 1, COLUMN()-2 )</f>
        <v>3330.619277197563</v>
      </c>
      <c r="P83">
        <f t="shared" si="1"/>
        <v>4332.0230295972788</v>
      </c>
    </row>
    <row r="84" spans="1:16" x14ac:dyDescent="0.25">
      <c r="A84" s="2">
        <v>61.1</v>
      </c>
      <c r="B84" s="2">
        <f t="shared" si="0"/>
        <v>334.20041498844677</v>
      </c>
      <c r="C84" s="2" cm="1">
        <f t="array" ref="C84">INDEX( ComputeThermoProps($A84, $B84, ParametersRange), 1, COLUMN()-2 )</f>
        <v>12.204776454536436</v>
      </c>
      <c r="D84" s="2" cm="1">
        <f t="array" ref="D84">INDEX( ComputeThermoProps($A84, $B84, ParametersRange), 1, COLUMN()-2 )</f>
        <v>4.4945847608294734E-4</v>
      </c>
      <c r="E84" s="2" cm="1">
        <f t="array" ref="E84">INDEX( ComputeThermoProps($A84, $B84, ParametersRange), 1, COLUMN()-2 )</f>
        <v>3.3089054895186289E-4</v>
      </c>
      <c r="F84" s="2" cm="1">
        <f t="array" ref="F84">INDEX( ComputeThermoProps($A84, $B84, ParametersRange), 1, COLUMN()-2 )</f>
        <v>2.1926971063054891E-3</v>
      </c>
      <c r="G84" s="2" cm="1">
        <f t="array" ref="G84">INDEX( ComputeThermoProps($A84, $B84, ParametersRange), 1, COLUMN()-2 )</f>
        <v>30.238559537553186</v>
      </c>
      <c r="H84" s="2" cm="1">
        <f t="array" ref="H84">INDEX( ComputeThermoProps($A84, $B84, ParametersRange), 1, COLUMN()-2 )</f>
        <v>22.261574978170007</v>
      </c>
      <c r="I84" s="2" cm="1">
        <f t="array" ref="I84">INDEX( ComputeThermoProps($A84, $B84, ParametersRange), 1, COLUMN()-2 )</f>
        <v>2.6746256845091372</v>
      </c>
      <c r="J84" s="2" cm="1">
        <f t="array" ref="J84">INDEX( ComputeThermoProps($A84, $B84, ParametersRange), 1, COLUMN()-2 )</f>
        <v>928.18457701072134</v>
      </c>
      <c r="K84" s="2" cm="1">
        <f t="array" ref="K84">INDEX( ComputeThermoProps($A84, $B84, ParametersRange), 1, COLUMN()-2 )</f>
        <v>25.554149330608947</v>
      </c>
      <c r="L84" s="2" cm="1">
        <f t="array" ref="L84">INDEX( ComputeThermoProps($A84, $B84, ParametersRange), 1, COLUMN()-2 )</f>
        <v>-633.17394708948541</v>
      </c>
      <c r="M84" s="2" cm="1">
        <f t="array" ref="M84">INDEX( ComputeThermoProps($A84, $B84, ParametersRange), 1, COLUMN()-2 )</f>
        <v>5007.0259329580222</v>
      </c>
      <c r="N84" s="2" cm="1">
        <f t="array" ref="N84">INDEX( ComputeThermoProps($A84, $B84, ParametersRange), 1, COLUMN()-2 )</f>
        <v>3445.6674088578156</v>
      </c>
      <c r="P84">
        <f t="shared" si="1"/>
        <v>4483.9054717926547</v>
      </c>
    </row>
    <row r="85" spans="1:16" x14ac:dyDescent="0.25">
      <c r="A85" s="2">
        <v>62.1</v>
      </c>
      <c r="B85" s="2">
        <f t="shared" si="0"/>
        <v>345.80404730472151</v>
      </c>
      <c r="C85" s="2" cm="1">
        <f t="array" ref="C85">INDEX( ComputeThermoProps($A85, $B85, ParametersRange), 1, COLUMN()-2 )</f>
        <v>12.168448407709386</v>
      </c>
      <c r="D85" s="2" cm="1">
        <f t="array" ref="D85">INDEX( ComputeThermoProps($A85, $B85, ParametersRange), 1, COLUMN()-2 )</f>
        <v>4.3899085112858341E-4</v>
      </c>
      <c r="E85" s="2" cm="1">
        <f t="array" ref="E85">INDEX( ComputeThermoProps($A85, $B85, ParametersRange), 1, COLUMN()-2 )</f>
        <v>3.2324879654624763E-4</v>
      </c>
      <c r="F85" s="2" cm="1">
        <f t="array" ref="F85">INDEX( ComputeThermoProps($A85, $B85, ParametersRange), 1, COLUMN()-2 )</f>
        <v>2.1537710725521588E-3</v>
      </c>
      <c r="G85" s="2" cm="1">
        <f t="array" ref="G85">INDEX( ComputeThermoProps($A85, $B85, ParametersRange), 1, COLUMN()-2 )</f>
        <v>30.285496446351573</v>
      </c>
      <c r="H85" s="2" cm="1">
        <f t="array" ref="H85">INDEX( ComputeThermoProps($A85, $B85, ParametersRange), 1, COLUMN()-2 )</f>
        <v>22.300579280686012</v>
      </c>
      <c r="I85" s="2" cm="1">
        <f t="array" ref="I85">INDEX( ComputeThermoProps($A85, $B85, ParametersRange), 1, COLUMN()-2 )</f>
        <v>2.6770909809976486</v>
      </c>
      <c r="J85" s="2" cm="1">
        <f t="array" ref="J85">INDEX( ComputeThermoProps($A85, $B85, ParametersRange), 1, COLUMN()-2 )</f>
        <v>951.86850245378446</v>
      </c>
      <c r="K85" s="2" cm="1">
        <f t="array" ref="K85">INDEX( ComputeThermoProps($A85, $B85, ParametersRange), 1, COLUMN()-2 )</f>
        <v>25.738132036152962</v>
      </c>
      <c r="L85" s="2" cm="1">
        <f t="array" ref="L85">INDEX( ComputeThermoProps($A85, $B85, ParametersRange), 1, COLUMN()-2 )</f>
        <v>-646.46949699131449</v>
      </c>
      <c r="M85" s="2" cm="1">
        <f t="array" ref="M85">INDEX( ComputeThermoProps($A85, $B85, ParametersRange), 1, COLUMN()-2 )</f>
        <v>5159.7672112583841</v>
      </c>
      <c r="N85" s="2" cm="1">
        <f t="array" ref="N85">INDEX( ComputeThermoProps($A85, $B85, ParametersRange), 1, COLUMN()-2 )</f>
        <v>3561.4292118132853</v>
      </c>
      <c r="P85">
        <f t="shared" si="1"/>
        <v>4636.6467500930166</v>
      </c>
    </row>
    <row r="86" spans="1:16" x14ac:dyDescent="0.25">
      <c r="A86" s="2">
        <v>63.1</v>
      </c>
      <c r="B86" s="2">
        <f t="shared" si="0"/>
        <v>357.51422342647209</v>
      </c>
      <c r="C86" s="2" cm="1">
        <f t="array" ref="C86">INDEX( ComputeThermoProps($A86, $B86, ParametersRange), 1, COLUMN()-2 )</f>
        <v>12.132646772936242</v>
      </c>
      <c r="D86" s="2" cm="1">
        <f t="array" ref="D86">INDEX( ComputeThermoProps($A86, $B86, ParametersRange), 1, COLUMN()-2 )</f>
        <v>4.2894733254796394E-4</v>
      </c>
      <c r="E86" s="2" cm="1">
        <f t="array" ref="E86">INDEX( ComputeThermoProps($A86, $B86, ParametersRange), 1, COLUMN()-2 )</f>
        <v>3.1591602985289041E-4</v>
      </c>
      <c r="F86" s="2" cm="1">
        <f t="array" ref="F86">INDEX( ComputeThermoProps($A86, $B86, ParametersRange), 1, COLUMN()-2 )</f>
        <v>2.1161583800886879E-3</v>
      </c>
      <c r="G86" s="2" cm="1">
        <f t="array" ref="G86">INDEX( ComputeThermoProps($A86, $B86, ParametersRange), 1, COLUMN()-2 )</f>
        <v>30.330705855166418</v>
      </c>
      <c r="H86" s="2" cm="1">
        <f t="array" ref="H86">INDEX( ComputeThermoProps($A86, $B86, ParametersRange), 1, COLUMN()-2 )</f>
        <v>22.338304610691477</v>
      </c>
      <c r="I86" s="2" cm="1">
        <f t="array" ref="I86">INDEX( ComputeThermoProps($A86, $B86, ParametersRange), 1, COLUMN()-2 )</f>
        <v>2.6794739684199986</v>
      </c>
      <c r="J86" s="2" cm="1">
        <f t="array" ref="J86">INDEX( ComputeThermoProps($A86, $B86, ParametersRange), 1, COLUMN()-2 )</f>
        <v>975.75119082238552</v>
      </c>
      <c r="K86" s="2" cm="1">
        <f t="array" ref="K86">INDEX( ComputeThermoProps($A86, $B86, ParametersRange), 1, COLUMN()-2 )</f>
        <v>25.918542790617249</v>
      </c>
      <c r="L86" s="2" cm="1">
        <f t="array" ref="L86">INDEX( ComputeThermoProps($A86, $B86, ParametersRange), 1, COLUMN()-2 )</f>
        <v>-659.70885926556286</v>
      </c>
      <c r="M86" s="2" cm="1">
        <f t="array" ref="M86">INDEX( ComputeThermoProps($A86, $B86, ParametersRange), 1, COLUMN()-2 )</f>
        <v>5313.3449799563787</v>
      </c>
      <c r="N86" s="2" cm="1">
        <f t="array" ref="N86">INDEX( ComputeThermoProps($A86, $B86, ParametersRange), 1, COLUMN()-2 )</f>
        <v>3677.8849298684304</v>
      </c>
      <c r="P86">
        <f t="shared" si="1"/>
        <v>4790.2245187910112</v>
      </c>
    </row>
    <row r="87" spans="1:16" x14ac:dyDescent="0.25">
      <c r="A87" s="2">
        <v>64.099999999999994</v>
      </c>
      <c r="B87" s="2">
        <f t="shared" si="0"/>
        <v>369.32922987285292</v>
      </c>
      <c r="C87" s="2" cm="1">
        <f t="array" ref="C87">INDEX( ComputeThermoProps($A87, $B87, ParametersRange), 1, COLUMN()-2 )</f>
        <v>12.0973593330471</v>
      </c>
      <c r="D87" s="2" cm="1">
        <f t="array" ref="D87">INDEX( ComputeThermoProps($A87, $B87, ParametersRange), 1, COLUMN()-2 )</f>
        <v>4.1930484999945039E-4</v>
      </c>
      <c r="E87" s="2" cm="1">
        <f t="array" ref="E87">INDEX( ComputeThermoProps($A87, $B87, ParametersRange), 1, COLUMN()-2 )</f>
        <v>3.0887523038044195E-4</v>
      </c>
      <c r="F87" s="2" cm="1">
        <f t="array" ref="F87">INDEX( ComputeThermoProps($A87, $B87, ParametersRange), 1, COLUMN()-2 )</f>
        <v>2.0798001237261905E-3</v>
      </c>
      <c r="G87" s="2" cm="1">
        <f t="array" ref="G87">INDEX( ComputeThermoProps($A87, $B87, ParametersRange), 1, COLUMN()-2 )</f>
        <v>30.374296889794273</v>
      </c>
      <c r="H87" s="2" cm="1">
        <f t="array" ref="H87">INDEX( ComputeThermoProps($A87, $B87, ParametersRange), 1, COLUMN()-2 )</f>
        <v>22.374813812650736</v>
      </c>
      <c r="I87" s="2" cm="1">
        <f t="array" ref="I87">INDEX( ComputeThermoProps($A87, $B87, ParametersRange), 1, COLUMN()-2 )</f>
        <v>2.6817782528082112</v>
      </c>
      <c r="J87" s="2" cm="1">
        <f t="array" ref="J87">INDEX( ComputeThermoProps($A87, $B87, ParametersRange), 1, COLUMN()-2 )</f>
        <v>999.82949807497687</v>
      </c>
      <c r="K87" s="2" cm="1">
        <f t="array" ref="K87">INDEX( ComputeThermoProps($A87, $B87, ParametersRange), 1, COLUMN()-2 )</f>
        <v>26.095509036678745</v>
      </c>
      <c r="L87" s="2" cm="1">
        <f t="array" ref="L87">INDEX( ComputeThermoProps($A87, $B87, ParametersRange), 1, COLUMN()-2 )</f>
        <v>-672.89263117613052</v>
      </c>
      <c r="M87" s="2" cm="1">
        <f t="array" ref="M87">INDEX( ComputeThermoProps($A87, $B87, ParametersRange), 1, COLUMN()-2 )</f>
        <v>5467.7379040444321</v>
      </c>
      <c r="N87" s="2" cm="1">
        <f t="array" ref="N87">INDEX( ComputeThermoProps($A87, $B87, ParametersRange), 1, COLUMN()-2 )</f>
        <v>3795.0157747933245</v>
      </c>
      <c r="P87">
        <f t="shared" si="1"/>
        <v>4944.6174428790646</v>
      </c>
    </row>
    <row r="88" spans="1:16" x14ac:dyDescent="0.25">
      <c r="A88" s="2">
        <v>65.099999999999994</v>
      </c>
      <c r="B88" s="2">
        <f t="shared" ref="B88:B124" si="2">IF(
  A88 &lt;= $B$5,
  $B$6 * EXP( ($B$5/A88) * ( $B$13*(1 - A88/$B$5) + $B$14*(1 - A88/$B$5)^1.5 + $B$15*(1 - A88/$B$5)^5 ) ),
  $B$6 * ( 1 + $B$17 * MAX(A88/$B$5 - 1, 0)^$B$18 + $B$19 * MAX(A88/$B$5 - 1, 0)^$B$20 )
)</f>
        <v>381.24742125430674</v>
      </c>
      <c r="C88" s="2" cm="1">
        <f t="array" ref="C88">INDEX( ComputeThermoProps($A88, $B88, ParametersRange), 1, COLUMN()-2 )</f>
        <v>12.062574030656283</v>
      </c>
      <c r="D88" s="2" cm="1">
        <f t="array" ref="D88">INDEX( ComputeThermoProps($A88, $B88, ParametersRange), 1, COLUMN()-2 )</f>
        <v>4.100418184610062E-4</v>
      </c>
      <c r="E88" s="2" cm="1">
        <f t="array" ref="E88">INDEX( ComputeThermoProps($A88, $B88, ParametersRange), 1, COLUMN()-2 )</f>
        <v>3.0211051341654085E-4</v>
      </c>
      <c r="F88" s="2" cm="1">
        <f t="array" ref="F88">INDEX( ComputeThermoProps($A88, $B88, ParametersRange), 1, COLUMN()-2 )</f>
        <v>2.0446402819848399E-3</v>
      </c>
      <c r="G88" s="2" cm="1">
        <f t="array" ref="G88">INDEX( ComputeThermoProps($A88, $B88, ParametersRange), 1, COLUMN()-2 )</f>
        <v>30.416369636022864</v>
      </c>
      <c r="H88" s="2" cm="1">
        <f t="array" ref="H88">INDEX( ComputeThermoProps($A88, $B88, ParametersRange), 1, COLUMN()-2 )</f>
        <v>22.410165581391812</v>
      </c>
      <c r="I88" s="2" cm="1">
        <f t="array" ref="I88">INDEX( ComputeThermoProps($A88, $B88, ParametersRange), 1, COLUMN()-2 )</f>
        <v>2.6840072718005961</v>
      </c>
      <c r="J88" s="2" cm="1">
        <f t="array" ref="J88">INDEX( ComputeThermoProps($A88, $B88, ParametersRange), 1, COLUMN()-2 )</f>
        <v>1024.1003502523763</v>
      </c>
      <c r="K88" s="2" cm="1">
        <f t="array" ref="K88">INDEX( ComputeThermoProps($A88, $B88, ParametersRange), 1, COLUMN()-2 )</f>
        <v>26.269151065707295</v>
      </c>
      <c r="L88" s="2" cm="1">
        <f t="array" ref="L88">INDEX( ComputeThermoProps($A88, $B88, ParametersRange), 1, COLUMN()-2 )</f>
        <v>-686.02138412516842</v>
      </c>
      <c r="M88" s="2" cm="1">
        <f t="array" ref="M88">INDEX( ComputeThermoProps($A88, $B88, ParametersRange), 1, COLUMN()-2 )</f>
        <v>5622.9255931292528</v>
      </c>
      <c r="N88" s="2" cm="1">
        <f t="array" ref="N88">INDEX( ComputeThermoProps($A88, $B88, ParametersRange), 1, COLUMN()-2 )</f>
        <v>3912.803858751708</v>
      </c>
      <c r="P88">
        <f t="shared" ref="P88:P124" si="3">M88-$B$11</f>
        <v>5099.8051319638853</v>
      </c>
    </row>
    <row r="89" spans="1:16" x14ac:dyDescent="0.25">
      <c r="A89" s="2">
        <v>66.099999999999994</v>
      </c>
      <c r="B89" s="2">
        <f t="shared" si="2"/>
        <v>393.26721605024255</v>
      </c>
      <c r="C89" s="2" cm="1">
        <f t="array" ref="C89">INDEX( ComputeThermoProps($A89, $B89, ParametersRange), 1, COLUMN()-2 )</f>
        <v>12.028279001068418</v>
      </c>
      <c r="D89" s="2" cm="1">
        <f t="array" ref="D89">INDEX( ComputeThermoProps($A89, $B89, ParametersRange), 1, COLUMN()-2 )</f>
        <v>4.0113803621221941E-4</v>
      </c>
      <c r="E89" s="2" cm="1">
        <f t="array" ref="E89">INDEX( ComputeThermoProps($A89, $B89, ParametersRange), 1, COLUMN()-2 )</f>
        <v>2.9560704408478425E-4</v>
      </c>
      <c r="F89" s="2" cm="1">
        <f t="array" ref="F89">INDEX( ComputeThermoProps($A89, $B89, ParametersRange), 1, COLUMN()-2 )</f>
        <v>2.0106256102305473E-3</v>
      </c>
      <c r="G89" s="2" cm="1">
        <f t="array" ref="G89">INDEX( ComputeThermoProps($A89, $B89, ParametersRange), 1, COLUMN()-2 )</f>
        <v>30.457016017257001</v>
      </c>
      <c r="H89" s="2" cm="1">
        <f t="array" ref="H89">INDEX( ComputeThermoProps($A89, $B89, ParametersRange), 1, COLUMN()-2 )</f>
        <v>22.444414799251618</v>
      </c>
      <c r="I89" s="2" cm="1">
        <f t="array" ref="I89">INDEX( ComputeThermoProps($A89, $B89, ParametersRange), 1, COLUMN()-2 )</f>
        <v>2.6861642994527912</v>
      </c>
      <c r="J89" s="2" cm="1">
        <f t="array" ref="J89">INDEX( ComputeThermoProps($A89, $B89, ParametersRange), 1, COLUMN()-2 )</f>
        <v>1048.5607443599192</v>
      </c>
      <c r="K89" s="2" cm="1">
        <f t="array" ref="K89">INDEX( ComputeThermoProps($A89, $B89, ParametersRange), 1, COLUMN()-2 )</f>
        <v>26.439582575381287</v>
      </c>
      <c r="L89" s="2" cm="1">
        <f t="array" ref="L89">INDEX( ComputeThermoProps($A89, $B89, ParametersRange), 1, COLUMN()-2 )</f>
        <v>-699.09566387278369</v>
      </c>
      <c r="M89" s="2" cm="1">
        <f t="array" ref="M89">INDEX( ComputeThermoProps($A89, $B89, ParametersRange), 1, COLUMN()-2 )</f>
        <v>5778.8885409856885</v>
      </c>
      <c r="N89" s="2" cm="1">
        <f t="array" ref="N89">INDEX( ComputeThermoProps($A89, $B89, ParametersRange), 1, COLUMN()-2 )</f>
        <v>4031.2321327529853</v>
      </c>
      <c r="P89">
        <f t="shared" si="3"/>
        <v>5255.768079820321</v>
      </c>
    </row>
    <row r="90" spans="1:16" x14ac:dyDescent="0.25">
      <c r="A90" s="2">
        <v>67.099999999999994</v>
      </c>
      <c r="B90" s="2">
        <f t="shared" si="2"/>
        <v>405.38709273719024</v>
      </c>
      <c r="C90" s="2" cm="1">
        <f t="array" ref="C90">INDEX( ComputeThermoProps($A90, $B90, ParametersRange), 1, COLUMN()-2 )</f>
        <v>11.994462597835561</v>
      </c>
      <c r="D90" s="2" cm="1">
        <f t="array" ref="D90">INDEX( ComputeThermoProps($A90, $B90, ParametersRange), 1, COLUMN()-2 )</f>
        <v>3.9257458918999467E-4</v>
      </c>
      <c r="E90" s="2" cm="1">
        <f t="array" ref="E90">INDEX( ComputeThermoProps($A90, $B90, ParametersRange), 1, COLUMN()-2 )</f>
        <v>2.8935095966045002E-4</v>
      </c>
      <c r="F90" s="2" cm="1">
        <f t="array" ref="F90">INDEX( ComputeThermoProps($A90, $B90, ParametersRange), 1, COLUMN()-2 )</f>
        <v>1.9777055293463191E-3</v>
      </c>
      <c r="G90" s="2" cm="1">
        <f t="array" ref="G90">INDEX( ComputeThermoProps($A90, $B90, ParametersRange), 1, COLUMN()-2 )</f>
        <v>30.496320601326659</v>
      </c>
      <c r="H90" s="2" cm="1">
        <f t="array" ref="H90">INDEX( ComputeThermoProps($A90, $B90, ParametersRange), 1, COLUMN()-2 )</f>
        <v>22.477612853938428</v>
      </c>
      <c r="I90" s="2" cm="1">
        <f t="array" ref="I90">INDEX( ComputeThermoProps($A90, $B90, ParametersRange), 1, COLUMN()-2 )</f>
        <v>2.6882524518272919</v>
      </c>
      <c r="J90" s="2" cm="1">
        <f t="array" ref="J90">INDEX( ComputeThermoProps($A90, $B90, ParametersRange), 1, COLUMN()-2 )</f>
        <v>1073.2077486761877</v>
      </c>
      <c r="K90" s="2" cm="1">
        <f t="array" ref="K90">INDEX( ComputeThermoProps($A90, $B90, ParametersRange), 1, COLUMN()-2 )</f>
        <v>26.606911172511907</v>
      </c>
      <c r="L90" s="2" cm="1">
        <f t="array" ref="L90">INDEX( ComputeThermoProps($A90, $B90, ParametersRange), 1, COLUMN()-2 )</f>
        <v>-712.11599099936109</v>
      </c>
      <c r="M90" s="2" cm="1">
        <f t="array" ref="M90">INDEX( ComputeThermoProps($A90, $B90, ParametersRange), 1, COLUMN()-2 )</f>
        <v>5935.6080701577121</v>
      </c>
      <c r="N90" s="2" cm="1">
        <f t="array" ref="N90">INDEX( ComputeThermoProps($A90, $B90, ParametersRange), 1, COLUMN()-2 )</f>
        <v>4150.2843304821636</v>
      </c>
      <c r="P90">
        <f t="shared" si="3"/>
        <v>5412.4876089923446</v>
      </c>
    </row>
    <row r="91" spans="1:16" x14ac:dyDescent="0.25">
      <c r="A91" s="2">
        <v>68.099999999999994</v>
      </c>
      <c r="B91" s="2">
        <f t="shared" si="2"/>
        <v>417.60558623139832</v>
      </c>
      <c r="C91" s="2" cm="1">
        <f t="array" ref="C91">INDEX( ComputeThermoProps($A91, $B91, ParametersRange), 1, COLUMN()-2 )</f>
        <v>11.961113412221181</v>
      </c>
      <c r="D91" s="2" cm="1">
        <f t="array" ref="D91">INDEX( ComputeThermoProps($A91, $B91, ParametersRange), 1, COLUMN()-2 )</f>
        <v>3.8433376141183202E-4</v>
      </c>
      <c r="E91" s="2" cm="1">
        <f t="array" ref="E91">INDEX( ComputeThermoProps($A91, $B91, ParametersRange), 1, COLUMN()-2 )</f>
        <v>2.8332929777514929E-4</v>
      </c>
      <c r="F91" s="2" cm="1">
        <f t="array" ref="F91">INDEX( ComputeThermoProps($A91, $B91, ParametersRange), 1, COLUMN()-2 )</f>
        <v>1.9458320091378634E-3</v>
      </c>
      <c r="G91" s="2" cm="1">
        <f t="array" ref="G91">INDEX( ComputeThermoProps($A91, $B91, ParametersRange), 1, COLUMN()-2 )</f>
        <v>30.534361295267349</v>
      </c>
      <c r="H91" s="2" cm="1">
        <f t="array" ref="H91">INDEX( ComputeThermoProps($A91, $B91, ParametersRange), 1, COLUMN()-2 )</f>
        <v>22.509807912843069</v>
      </c>
      <c r="I91" s="2" cm="1">
        <f t="array" ref="I91">INDEX( ComputeThermoProps($A91, $B91, ParametersRange), 1, COLUMN()-2 )</f>
        <v>2.6902746929748238</v>
      </c>
      <c r="J91" s="2" cm="1">
        <f t="array" ref="J91">INDEX( ComputeThermoProps($A91, $B91, ParametersRange), 1, COLUMN()-2 )</f>
        <v>1098.0385025970133</v>
      </c>
      <c r="K91" s="2" cm="1">
        <f t="array" ref="K91">INDEX( ComputeThermoProps($A91, $B91, ParametersRange), 1, COLUMN()-2 )</f>
        <v>26.771238827395379</v>
      </c>
      <c r="L91" s="2" cm="1">
        <f t="array" ref="L91">INDEX( ComputeThermoProps($A91, $B91, ParametersRange), 1, COLUMN()-2 )</f>
        <v>-725.08286154861185</v>
      </c>
      <c r="M91" s="2" cm="1">
        <f t="array" ref="M91">INDEX( ComputeThermoProps($A91, $B91, ParametersRange), 1, COLUMN()-2 )</f>
        <v>6093.0662810878803</v>
      </c>
      <c r="N91" s="2" cm="1">
        <f t="array" ref="N91">INDEX( ComputeThermoProps($A91, $B91, ParametersRange), 1, COLUMN()-2 )</f>
        <v>4269.9449169422551</v>
      </c>
      <c r="P91">
        <f t="shared" si="3"/>
        <v>5569.9458199225128</v>
      </c>
    </row>
    <row r="92" spans="1:16" x14ac:dyDescent="0.25">
      <c r="A92" s="2">
        <v>69.099999999999994</v>
      </c>
      <c r="B92" s="2">
        <f t="shared" si="2"/>
        <v>429.92128461422504</v>
      </c>
      <c r="C92" s="2" cm="1">
        <f t="array" ref="C92">INDEX( ComputeThermoProps($A92, $B92, ParametersRange), 1, COLUMN()-2 )</f>
        <v>11.92822028761884</v>
      </c>
      <c r="D92" s="2" cm="1">
        <f t="array" ref="D92">INDEX( ComputeThermoProps($A92, $B92, ParametersRange), 1, COLUMN()-2 )</f>
        <v>3.7639895155226451E-4</v>
      </c>
      <c r="E92" s="2" cm="1">
        <f t="array" ref="E92">INDEX( ComputeThermoProps($A92, $B92, ParametersRange), 1, COLUMN()-2 )</f>
        <v>2.7752993013178495E-4</v>
      </c>
      <c r="F92" s="2" cm="1">
        <f t="array" ref="F92">INDEX( ComputeThermoProps($A92, $B92, ParametersRange), 1, COLUMN()-2 )</f>
        <v>1.9149594537724217E-3</v>
      </c>
      <c r="G92" s="2" cm="1">
        <f t="array" ref="G92">INDEX( ComputeThermoProps($A92, $B92, ParametersRange), 1, COLUMN()-2 )</f>
        <v>30.571210013245949</v>
      </c>
      <c r="H92" s="2" cm="1">
        <f t="array" ref="H92">INDEX( ComputeThermoProps($A92, $B92, ParametersRange), 1, COLUMN()-2 )</f>
        <v>22.541045196939599</v>
      </c>
      <c r="I92" s="2" cm="1">
        <f t="array" ref="I92">INDEX( ComputeThermoProps($A92, $B92, ParametersRange), 1, COLUMN()-2 )</f>
        <v>2.6922338413211211</v>
      </c>
      <c r="J92" s="2" cm="1">
        <f t="array" ref="J92">INDEX( ComputeThermoProps($A92, $B92, ParametersRange), 1, COLUMN()-2 )</f>
        <v>1123.0502161052041</v>
      </c>
      <c r="K92" s="2" cm="1">
        <f t="array" ref="K92">INDEX( ComputeThermoProps($A92, $B92, ParametersRange), 1, COLUMN()-2 )</f>
        <v>26.932662285198418</v>
      </c>
      <c r="L92" s="2" cm="1">
        <f t="array" ref="L92">INDEX( ComputeThermoProps($A92, $B92, ParametersRange), 1, COLUMN()-2 )</f>
        <v>-737.99674780200644</v>
      </c>
      <c r="M92" s="2" cm="1">
        <f t="array" ref="M92">INDEX( ComputeThermoProps($A92, $B92, ParametersRange), 1, COLUMN()-2 )</f>
        <v>6251.2460053197565</v>
      </c>
      <c r="N92" s="2" cm="1">
        <f t="array" ref="N92">INDEX( ComputeThermoProps($A92, $B92, ParametersRange), 1, COLUMN()-2 )</f>
        <v>4390.1990414125457</v>
      </c>
      <c r="P92">
        <f t="shared" si="3"/>
        <v>5728.125544154389</v>
      </c>
    </row>
    <row r="93" spans="1:16" x14ac:dyDescent="0.25">
      <c r="A93" s="2">
        <v>70.099999999999994</v>
      </c>
      <c r="B93" s="2">
        <f t="shared" si="2"/>
        <v>442.33282611243709</v>
      </c>
      <c r="C93" s="2" cm="1">
        <f t="array" ref="C93">INDEX( ComputeThermoProps($A93, $B93, ParametersRange), 1, COLUMN()-2 )</f>
        <v>11.895772329800606</v>
      </c>
      <c r="D93" s="2" cm="1">
        <f t="array" ref="D93">INDEX( ComputeThermoProps($A93, $B93, ParametersRange), 1, COLUMN()-2 )</f>
        <v>3.68754594963467E-4</v>
      </c>
      <c r="E93" s="2" cm="1">
        <f t="array" ref="E93">INDEX( ComputeThermoProps($A93, $B93, ParametersRange), 1, COLUMN()-2 )</f>
        <v>2.7194150135208809E-4</v>
      </c>
      <c r="F93" s="2" cm="1">
        <f t="array" ref="F93">INDEX( ComputeThermoProps($A93, $B93, ParametersRange), 1, COLUMN()-2 )</f>
        <v>1.8850445822887662E-3</v>
      </c>
      <c r="G93" s="2" cm="1">
        <f t="array" ref="G93">INDEX( ComputeThermoProps($A93, $B93, ParametersRange), 1, COLUMN()-2 )</f>
        <v>30.606933195821156</v>
      </c>
      <c r="H93" s="2" cm="1">
        <f t="array" ref="H93">INDEX( ComputeThermoProps($A93, $B93, ParametersRange), 1, COLUMN()-2 )</f>
        <v>22.571367187652992</v>
      </c>
      <c r="I93" s="2" cm="1">
        <f t="array" ref="I93">INDEX( ComputeThermoProps($A93, $B93, ParametersRange), 1, COLUMN()-2 )</f>
        <v>2.6941325759720844</v>
      </c>
      <c r="J93" s="2" cm="1">
        <f t="array" ref="J93">INDEX( ComputeThermoProps($A93, $B93, ParametersRange), 1, COLUMN()-2 )</f>
        <v>1148.2401689412245</v>
      </c>
      <c r="K93" s="2" cm="1">
        <f t="array" ref="K93">INDEX( ComputeThermoProps($A93, $B93, ParametersRange), 1, COLUMN()-2 )</f>
        <v>27.091273439180423</v>
      </c>
      <c r="L93" s="2" cm="1">
        <f t="array" ref="L93">INDEX( ComputeThermoProps($A93, $B93, ParametersRange), 1, COLUMN()-2 )</f>
        <v>-750.85809914532297</v>
      </c>
      <c r="M93" s="2" cm="1">
        <f t="array" ref="M93">INDEX( ComputeThermoProps($A93, $B93, ParametersRange), 1, COLUMN()-2 )</f>
        <v>6410.1307623720568</v>
      </c>
      <c r="N93" s="2" cm="1">
        <f t="array" ref="N93">INDEX( ComputeThermoProps($A93, $B93, ParametersRange), 1, COLUMN()-2 )</f>
        <v>4511.0324942855095</v>
      </c>
      <c r="P93">
        <f t="shared" si="3"/>
        <v>5887.0103012066893</v>
      </c>
    </row>
    <row r="94" spans="1:16" x14ac:dyDescent="0.25">
      <c r="A94" s="2">
        <v>71.099999999999994</v>
      </c>
      <c r="B94" s="2">
        <f t="shared" si="2"/>
        <v>454.8388963087811</v>
      </c>
      <c r="C94" s="2" cm="1">
        <f t="array" ref="C94">INDEX( ComputeThermoProps($A94, $B94, ParametersRange), 1, COLUMN()-2 )</f>
        <v>11.863758913726182</v>
      </c>
      <c r="D94" s="2" cm="1">
        <f t="array" ref="D94">INDEX( ComputeThermoProps($A94, $B94, ParametersRange), 1, COLUMN()-2 )</f>
        <v>3.6138609135670611E-4</v>
      </c>
      <c r="E94" s="2" cm="1">
        <f t="array" ref="E94">INDEX( ComputeThermoProps($A94, $B94, ParametersRange), 1, COLUMN()-2 )</f>
        <v>2.66553372588882E-4</v>
      </c>
      <c r="F94" s="2" cm="1">
        <f t="array" ref="F94">INDEX( ComputeThermoProps($A94, $B94, ParametersRange), 1, COLUMN()-2 )</f>
        <v>1.8560463146829653E-3</v>
      </c>
      <c r="G94" s="2" cm="1">
        <f t="array" ref="G94">INDEX( ComputeThermoProps($A94, $B94, ParametersRange), 1, COLUMN()-2 )</f>
        <v>30.641592325939804</v>
      </c>
      <c r="H94" s="2" cm="1">
        <f t="array" ref="H94">INDEX( ComputeThermoProps($A94, $B94, ParametersRange), 1, COLUMN()-2 )</f>
        <v>22.600813842365092</v>
      </c>
      <c r="I94" s="2" cm="1">
        <f t="array" ref="I94">INDEX( ComputeThermoProps($A94, $B94, ParametersRange), 1, COLUMN()-2 )</f>
        <v>2.695973443191515</v>
      </c>
      <c r="J94" s="2" cm="1">
        <f t="array" ref="J94">INDEX( ComputeThermoProps($A94, $B94, ParametersRange), 1, COLUMN()-2 )</f>
        <v>1173.6057095373703</v>
      </c>
      <c r="K94" s="2" cm="1">
        <f t="array" ref="K94">INDEX( ComputeThermoProps($A94, $B94, ParametersRange), 1, COLUMN()-2 )</f>
        <v>27.247159669950143</v>
      </c>
      <c r="L94" s="2" cm="1">
        <f t="array" ref="L94">INDEX( ComputeThermoProps($A94, $B94, ParametersRange), 1, COLUMN()-2 )</f>
        <v>-763.6673429960847</v>
      </c>
      <c r="M94" s="2" cm="1">
        <f t="array" ref="M94">INDEX( ComputeThermoProps($A94, $B94, ParametersRange), 1, COLUMN()-2 )</f>
        <v>6569.7047199300505</v>
      </c>
      <c r="N94" s="2" cm="1">
        <f t="array" ref="N94">INDEX( ComputeThermoProps($A94, $B94, ParametersRange), 1, COLUMN()-2 )</f>
        <v>4632.431667396595</v>
      </c>
      <c r="P94">
        <f t="shared" si="3"/>
        <v>6046.584258764683</v>
      </c>
    </row>
    <row r="95" spans="1:16" x14ac:dyDescent="0.25">
      <c r="A95" s="2">
        <v>72.099999999999994</v>
      </c>
      <c r="B95" s="2">
        <f t="shared" si="2"/>
        <v>467.43822556102043</v>
      </c>
      <c r="C95" s="2" cm="1">
        <f t="array" ref="C95">INDEX( ComputeThermoProps($A95, $B95, ParametersRange), 1, COLUMN()-2 )</f>
        <v>11.832169687523761</v>
      </c>
      <c r="D95" s="2" cm="1">
        <f t="array" ref="D95">INDEX( ComputeThermoProps($A95, $B95, ParametersRange), 1, COLUMN()-2 )</f>
        <v>3.542797376623375E-4</v>
      </c>
      <c r="E95" s="2" cm="1">
        <f t="array" ref="E95">INDEX( ComputeThermoProps($A95, $B95, ParametersRange), 1, COLUMN()-2 )</f>
        <v>2.6135556954871793E-4</v>
      </c>
      <c r="F95" s="2" cm="1">
        <f t="array" ref="F95">INDEX( ComputeThermoProps($A95, $B95, ParametersRange), 1, COLUMN()-2 )</f>
        <v>1.827925661177406E-3</v>
      </c>
      <c r="G95" s="2" cm="1">
        <f t="array" ref="G95">INDEX( ComputeThermoProps($A95, $B95, ParametersRange), 1, COLUMN()-2 )</f>
        <v>30.675244401077862</v>
      </c>
      <c r="H95" s="2" cm="1">
        <f t="array" ref="H95">INDEX( ComputeThermoProps($A95, $B95, ParametersRange), 1, COLUMN()-2 )</f>
        <v>22.629422795641034</v>
      </c>
      <c r="I95" s="2" cm="1">
        <f t="array" ref="I95">INDEX( ComputeThermoProps($A95, $B95, ParametersRange), 1, COLUMN()-2 )</f>
        <v>2.6977588628351921</v>
      </c>
      <c r="J95" s="2" cm="1">
        <f t="array" ref="J95">INDEX( ComputeThermoProps($A95, $B95, ParametersRange), 1, COLUMN()-2 )</f>
        <v>1199.1442537673779</v>
      </c>
      <c r="K95" s="2" cm="1">
        <f t="array" ref="K95">INDEX( ComputeThermoProps($A95, $B95, ParametersRange), 1, COLUMN()-2 )</f>
        <v>27.400404154433485</v>
      </c>
      <c r="L95" s="2" cm="1">
        <f t="array" ref="L95">INDEX( ComputeThermoProps($A95, $B95, ParametersRange), 1, COLUMN()-2 )</f>
        <v>-776.42488576727624</v>
      </c>
      <c r="M95" s="2" cm="1">
        <f t="array" ref="M95">INDEX( ComputeThermoProps($A95, $B95, ParametersRange), 1, COLUMN()-2 )</f>
        <v>6729.9526570403787</v>
      </c>
      <c r="N95" s="2" cm="1">
        <f t="array" ref="N95">INDEX( ComputeThermoProps($A95, $B95, ParametersRange), 1, COLUMN()-2 )</f>
        <v>4754.3835175057247</v>
      </c>
      <c r="P95">
        <f t="shared" si="3"/>
        <v>6206.8321958750112</v>
      </c>
    </row>
    <row r="96" spans="1:16" x14ac:dyDescent="0.25">
      <c r="A96" s="2">
        <v>73.099999999999994</v>
      </c>
      <c r="B96" s="2">
        <f t="shared" si="2"/>
        <v>480.12958661006644</v>
      </c>
      <c r="C96" s="2" cm="1">
        <f t="array" ref="C96">INDEX( ComputeThermoProps($A96, $B96, ParametersRange), 1, COLUMN()-2 )</f>
        <v>11.800994574153522</v>
      </c>
      <c r="D96" s="2" cm="1">
        <f t="array" ref="D96">INDEX( ComputeThermoProps($A96, $B96, ParametersRange), 1, COLUMN()-2 )</f>
        <v>3.474226655447607E-4</v>
      </c>
      <c r="E96" s="2" cm="1">
        <f t="array" ref="E96">INDEX( ComputeThermoProps($A96, $B96, ParametersRange), 1, COLUMN()-2 )</f>
        <v>2.5633873458787815E-4</v>
      </c>
      <c r="F96" s="2" cm="1">
        <f t="array" ref="F96">INDEX( ComputeThermoProps($A96, $B96, ParametersRange), 1, COLUMN()-2 )</f>
        <v>1.8006456112245714E-3</v>
      </c>
      <c r="G96" s="2" cm="1">
        <f t="array" ref="G96">INDEX( ComputeThermoProps($A96, $B96, ParametersRange), 1, COLUMN()-2 )</f>
        <v>30.707942299679541</v>
      </c>
      <c r="H96" s="2" cm="1">
        <f t="array" ref="H96">INDEX( ComputeThermoProps($A96, $B96, ParametersRange), 1, COLUMN()-2 )</f>
        <v>22.657229511939477</v>
      </c>
      <c r="I96" s="2" cm="1">
        <f t="array" ref="I96">INDEX( ComputeThermoProps($A96, $B96, ParametersRange), 1, COLUMN()-2 )</f>
        <v>2.6994911345162138</v>
      </c>
      <c r="J96" s="2" cm="1">
        <f t="array" ref="J96">INDEX( ComputeThermoProps($A96, $B96, ParametersRange), 1, COLUMN()-2 )</f>
        <v>1224.8532835545448</v>
      </c>
      <c r="K96" s="2" cm="1">
        <f t="array" ref="K96">INDEX( ComputeThermoProps($A96, $B96, ParametersRange), 1, COLUMN()-2 )</f>
        <v>27.551086147777852</v>
      </c>
      <c r="L96" s="2" cm="1">
        <f t="array" ref="L96">INDEX( ComputeThermoProps($A96, $B96, ParametersRange), 1, COLUMN()-2 )</f>
        <v>-789.13111384801607</v>
      </c>
      <c r="M96" s="2" cm="1">
        <f t="array" ref="M96">INDEX( ComputeThermoProps($A96, $B96, ParametersRange), 1, COLUMN()-2 )</f>
        <v>6890.8599300305123</v>
      </c>
      <c r="N96" s="2" cm="1">
        <f t="array" ref="N96">INDEX( ComputeThermoProps($A96, $B96, ParametersRange), 1, COLUMN()-2 )</f>
        <v>4876.8755326279515</v>
      </c>
      <c r="P96">
        <f t="shared" si="3"/>
        <v>6367.7394688651448</v>
      </c>
    </row>
    <row r="97" spans="1:16" x14ac:dyDescent="0.25">
      <c r="A97" s="2">
        <v>74.099999999999994</v>
      </c>
      <c r="B97" s="2">
        <f t="shared" si="2"/>
        <v>492.91179235997663</v>
      </c>
      <c r="C97" s="2" cm="1">
        <f t="array" ref="C97">INDEX( ComputeThermoProps($A97, $B97, ParametersRange), 1, COLUMN()-2 )</f>
        <v>11.770223771180895</v>
      </c>
      <c r="D97" s="2" cm="1">
        <f t="array" ref="D97">INDEX( ComputeThermoProps($A97, $B97, ParametersRange), 1, COLUMN()-2 )</f>
        <v>3.4080278365794205E-4</v>
      </c>
      <c r="E97" s="2" cm="1">
        <f t="array" ref="E97">INDEX( ComputeThermoProps($A97, $B97, ParametersRange), 1, COLUMN()-2 )</f>
        <v>2.514940825643732E-4</v>
      </c>
      <c r="F97" s="2" cm="1">
        <f t="array" ref="F97">INDEX( ComputeThermoProps($A97, $B97, ParametersRange), 1, COLUMN()-2 )</f>
        <v>1.7741710302036358E-3</v>
      </c>
      <c r="G97" s="2" cm="1">
        <f t="array" ref="G97">INDEX( ComputeThermoProps($A97, $B97, ParametersRange), 1, COLUMN()-2 )</f>
        <v>30.739735166314343</v>
      </c>
      <c r="H97" s="2" cm="1">
        <f t="array" ref="H97">INDEX( ComputeThermoProps($A97, $B97, ParametersRange), 1, COLUMN()-2 )</f>
        <v>22.68426745505506</v>
      </c>
      <c r="I97" s="2" cm="1">
        <f t="array" ref="I97">INDEX( ComputeThermoProps($A97, $B97, ParametersRange), 1, COLUMN()-2 )</f>
        <v>2.7011724437510085</v>
      </c>
      <c r="J97" s="2" cm="1">
        <f t="array" ref="J97">INDEX( ComputeThermoProps($A97, $B97, ParametersRange), 1, COLUMN()-2 )</f>
        <v>1250.7303453740415</v>
      </c>
      <c r="K97" s="2" cm="1">
        <f t="array" ref="K97">INDEX( ComputeThermoProps($A97, $B97, ParametersRange), 1, COLUMN()-2 )</f>
        <v>27.699281241028242</v>
      </c>
      <c r="L97" s="2" cm="1">
        <f t="array" ref="L97">INDEX( ComputeThermoProps($A97, $B97, ParametersRange), 1, COLUMN()-2 )</f>
        <v>-801.78639458615112</v>
      </c>
      <c r="M97" s="2" cm="1">
        <f t="array" ref="M97">INDEX( ComputeThermoProps($A97, $B97, ParametersRange), 1, COLUMN()-2 )</f>
        <v>7052.41244090482</v>
      </c>
      <c r="N97" s="2" cm="1">
        <f t="array" ref="N97">INDEX( ComputeThermoProps($A97, $B97, ParametersRange), 1, COLUMN()-2 )</f>
        <v>4999.8957009446276</v>
      </c>
      <c r="P97">
        <f t="shared" si="3"/>
        <v>6529.2919797394525</v>
      </c>
    </row>
    <row r="98" spans="1:16" x14ac:dyDescent="0.25">
      <c r="A98" s="2">
        <v>75.099999999999994</v>
      </c>
      <c r="B98" s="2">
        <f t="shared" si="2"/>
        <v>505.78369381445168</v>
      </c>
      <c r="C98" s="2" cm="1">
        <f t="array" ref="C98">INDEX( ComputeThermoProps($A98, $B98, ParametersRange), 1, COLUMN()-2 )</f>
        <v>11.739847749016874</v>
      </c>
      <c r="D98" s="2" cm="1">
        <f t="array" ref="D98">INDEX( ComputeThermoProps($A98, $B98, ParametersRange), 1, COLUMN()-2 )</f>
        <v>3.3440872402051174E-4</v>
      </c>
      <c r="E98" s="2" cm="1">
        <f t="array" ref="E98">INDEX( ComputeThermoProps($A98, $B98, ParametersRange), 1, COLUMN()-2 )</f>
        <v>2.4681336014809865E-4</v>
      </c>
      <c r="F98" s="2" cm="1">
        <f t="array" ref="F98">INDEX( ComputeThermoProps($A98, $B98, ParametersRange), 1, COLUMN()-2 )</f>
        <v>1.748468558079431E-3</v>
      </c>
      <c r="G98" s="2" cm="1">
        <f t="array" ref="G98">INDEX( ComputeThermoProps($A98, $B98, ParametersRange), 1, COLUMN()-2 )</f>
        <v>30.770668723754923</v>
      </c>
      <c r="H98" s="2" cm="1">
        <f t="array" ref="H98">INDEX( ComputeThermoProps($A98, $B98, ParametersRange), 1, COLUMN()-2 )</f>
        <v>22.710568224434617</v>
      </c>
      <c r="I98" s="2" cm="1">
        <f t="array" ref="I98">INDEX( ComputeThermoProps($A98, $B98, ParametersRange), 1, COLUMN()-2 )</f>
        <v>2.7028048678155523</v>
      </c>
      <c r="J98" s="2" cm="1">
        <f t="array" ref="J98">INDEX( ComputeThermoProps($A98, $B98, ParametersRange), 1, COLUMN()-2 )</f>
        <v>1276.7730486789112</v>
      </c>
      <c r="K98" s="2" cm="1">
        <f t="array" ref="K98">INDEX( ComputeThermoProps($A98, $B98, ParametersRange), 1, COLUMN()-2 )</f>
        <v>27.845061597071936</v>
      </c>
      <c r="L98" s="2" cm="1">
        <f t="array" ref="L98">INDEX( ComputeThermoProps($A98, $B98, ParametersRange), 1, COLUMN()-2 )</f>
        <v>-814.39107726119107</v>
      </c>
      <c r="M98" s="2" cm="1">
        <f t="array" ref="M98">INDEX( ComputeThermoProps($A98, $B98, ParametersRange), 1, COLUMN()-2 )</f>
        <v>7214.5966079959417</v>
      </c>
      <c r="N98" s="2" cm="1">
        <f t="array" ref="N98">INDEX( ComputeThermoProps($A98, $B98, ParametersRange), 1, COLUMN()-2 )</f>
        <v>5123.4324820558395</v>
      </c>
      <c r="P98">
        <f t="shared" si="3"/>
        <v>6691.4761468305742</v>
      </c>
    </row>
    <row r="99" spans="1:16" x14ac:dyDescent="0.25">
      <c r="A99" s="2">
        <v>76.099999999999994</v>
      </c>
      <c r="B99" s="2">
        <f t="shared" si="2"/>
        <v>518.74417815609024</v>
      </c>
      <c r="C99" s="2" cm="1">
        <f t="array" ref="C99">INDEX( ComputeThermoProps($A99, $B99, ParametersRange), 1, COLUMN()-2 )</f>
        <v>11.70985724792402</v>
      </c>
      <c r="D99" s="2" cm="1">
        <f t="array" ref="D99">INDEX( ComputeThermoProps($A99, $B99, ParametersRange), 1, COLUMN()-2 )</f>
        <v>3.2822979234805282E-4</v>
      </c>
      <c r="E99" s="2" cm="1">
        <f t="array" ref="E99">INDEX( ComputeThermoProps($A99, $B99, ParametersRange), 1, COLUMN()-2 )</f>
        <v>2.4228880831192207E-4</v>
      </c>
      <c r="F99" s="2" cm="1">
        <f t="array" ref="F99">INDEX( ComputeThermoProps($A99, $B99, ParametersRange), 1, COLUMN()-2 )</f>
        <v>1.7235065126790126E-3</v>
      </c>
      <c r="G99" s="2" cm="1">
        <f t="array" ref="G99">INDEX( ComputeThermoProps($A99, $B99, ParametersRange), 1, COLUMN()-2 )</f>
        <v>30.800785554759024</v>
      </c>
      <c r="H99" s="2" cm="1">
        <f t="array" ref="H99">INDEX( ComputeThermoProps($A99, $B99, ParametersRange), 1, COLUMN()-2 )</f>
        <v>22.736161680351799</v>
      </c>
      <c r="I99" s="2" cm="1">
        <f t="array" ref="I99">INDEX( ComputeThermoProps($A99, $B99, ParametersRange), 1, COLUMN()-2 )</f>
        <v>2.704390381387455</v>
      </c>
      <c r="J99" s="2" cm="1">
        <f t="array" ref="J99">INDEX( ComputeThermoProps($A99, $B99, ParametersRange), 1, COLUMN()-2 )</f>
        <v>1302.9790642740654</v>
      </c>
      <c r="K99" s="2" cm="1">
        <f t="array" ref="K99">INDEX( ComputeThermoProps($A99, $B99, ParametersRange), 1, COLUMN()-2 )</f>
        <v>27.988496167054485</v>
      </c>
      <c r="L99" s="2" cm="1">
        <f t="array" ref="L99">INDEX( ComputeThermoProps($A99, $B99, ParametersRange), 1, COLUMN()-2 )</f>
        <v>-826.94549403878079</v>
      </c>
      <c r="M99" s="2" cm="1">
        <f t="array" ref="M99">INDEX( ComputeThermoProps($A99, $B99, ParametersRange), 1, COLUMN()-2 )</f>
        <v>7377.3993386735483</v>
      </c>
      <c r="N99" s="2" cm="1">
        <f t="array" ref="N99">INDEX( ComputeThermoProps($A99, $B99, ParametersRange), 1, COLUMN()-2 )</f>
        <v>5247.4747803607024</v>
      </c>
      <c r="P99">
        <f t="shared" si="3"/>
        <v>6854.2788775081808</v>
      </c>
    </row>
    <row r="100" spans="1:16" x14ac:dyDescent="0.25">
      <c r="A100" s="2">
        <v>77.099999999999994</v>
      </c>
      <c r="B100" s="2">
        <f t="shared" si="2"/>
        <v>531.79216695610103</v>
      </c>
      <c r="C100" s="2" cm="1">
        <f t="array" ref="C100">INDEX( ComputeThermoProps($A100, $B100, ParametersRange), 1, COLUMN()-2 )</f>
        <v>11.680243274037666</v>
      </c>
      <c r="D100" s="2" cm="1">
        <f t="array" ref="D100">INDEX( ComputeThermoProps($A100, $B100, ParametersRange), 1, COLUMN()-2 )</f>
        <v>3.222559222232044E-4</v>
      </c>
      <c r="E100" s="2" cm="1">
        <f t="array" ref="E100">INDEX( ComputeThermoProps($A100, $B100, ParametersRange), 1, COLUMN()-2 )</f>
        <v>2.3791312774643067E-4</v>
      </c>
      <c r="F100" s="2" cm="1">
        <f t="array" ref="F100">INDEX( ComputeThermoProps($A100, $B100, ParametersRange), 1, COLUMN()-2 )</f>
        <v>1.6992548008500463E-3</v>
      </c>
      <c r="G100" s="2" cm="1">
        <f t="array" ref="G100">INDEX( ComputeThermoProps($A100, $B100, ParametersRange), 1, COLUMN()-2 )</f>
        <v>30.830125413783684</v>
      </c>
      <c r="H100" s="2" cm="1">
        <f t="array" ref="H100">INDEX( ComputeThermoProps($A100, $B100, ParametersRange), 1, COLUMN()-2 )</f>
        <v>22.761076089480287</v>
      </c>
      <c r="I100" s="2" cm="1">
        <f t="array" ref="I100">INDEX( ComputeThermoProps($A100, $B100, ParametersRange), 1, COLUMN()-2 )</f>
        <v>2.7059308620845846</v>
      </c>
      <c r="J100" s="2" cm="1">
        <f t="array" ref="J100">INDEX( ComputeThermoProps($A100, $B100, ParametersRange), 1, COLUMN()-2 )</f>
        <v>1329.3461226582708</v>
      </c>
      <c r="K100" s="2" cm="1">
        <f t="array" ref="K100">INDEX( ComputeThermoProps($A100, $B100, ParametersRange), 1, COLUMN()-2 )</f>
        <v>28.129650889214702</v>
      </c>
      <c r="L100" s="2" cm="1">
        <f t="array" ref="L100">INDEX( ComputeThermoProps($A100, $B100, ParametersRange), 1, COLUMN()-2 )</f>
        <v>-839.44996090018253</v>
      </c>
      <c r="M100" s="2" cm="1">
        <f t="array" ref="M100">INDEX( ComputeThermoProps($A100, $B100, ParametersRange), 1, COLUMN()-2 )</f>
        <v>7540.8080039331853</v>
      </c>
      <c r="N100" s="2" cm="1">
        <f t="array" ref="N100">INDEX( ComputeThermoProps($A100, $B100, ParametersRange), 1, COLUMN()-2 )</f>
        <v>5372.0119203747317</v>
      </c>
      <c r="P100">
        <f t="shared" si="3"/>
        <v>7017.6875427678178</v>
      </c>
    </row>
    <row r="101" spans="1:16" x14ac:dyDescent="0.25">
      <c r="A101" s="2">
        <v>78.099999999999994</v>
      </c>
      <c r="B101" s="2">
        <f t="shared" si="2"/>
        <v>544.92661450342757</v>
      </c>
      <c r="C101" s="2" cm="1">
        <f t="array" ref="C101">INDEX( ComputeThermoProps($A101, $B101, ParametersRange), 1, COLUMN()-2 )</f>
        <v>11.650997094610787</v>
      </c>
      <c r="D101" s="2" cm="1">
        <f t="array" ref="D101">INDEX( ComputeThermoProps($A101, $B101, ParametersRange), 1, COLUMN()-2 )</f>
        <v>3.164776323012481E-4</v>
      </c>
      <c r="E101" s="2" cm="1">
        <f t="array" ref="E101">INDEX( ComputeThermoProps($A101, $B101, ParametersRange), 1, COLUMN()-2 )</f>
        <v>2.3367944695993397E-4</v>
      </c>
      <c r="F101" s="2" cm="1">
        <f t="array" ref="F101">INDEX( ComputeThermoProps($A101, $B101, ParametersRange), 1, COLUMN()-2 )</f>
        <v>1.6756848270501644E-3</v>
      </c>
      <c r="G101" s="2" cm="1">
        <f t="array" ref="G101">INDEX( ComputeThermoProps($A101, $B101, ParametersRange), 1, COLUMN()-2 )</f>
        <v>30.858725390345313</v>
      </c>
      <c r="H101" s="2" cm="1">
        <f t="array" ref="H101">INDEX( ComputeThermoProps($A101, $B101, ParametersRange), 1, COLUMN()-2 )</f>
        <v>22.78533819489753</v>
      </c>
      <c r="I101" s="2" cm="1">
        <f t="array" ref="I101">INDEX( ComputeThermoProps($A101, $B101, ParametersRange), 1, COLUMN()-2 )</f>
        <v>2.7074280954828178</v>
      </c>
      <c r="J101" s="2" cm="1">
        <f t="array" ref="J101">INDEX( ComputeThermoProps($A101, $B101, ParametersRange), 1, COLUMN()-2 )</f>
        <v>1355.8720123504845</v>
      </c>
      <c r="K101" s="2" cm="1">
        <f t="array" ref="K101">INDEX( ComputeThermoProps($A101, $B101, ParametersRange), 1, COLUMN()-2 )</f>
        <v>28.268588871862331</v>
      </c>
      <c r="L101" s="2" cm="1">
        <f t="array" ref="L101">INDEX( ComputeThermoProps($A101, $B101, ParametersRange), 1, COLUMN()-2 )</f>
        <v>-851.90477854196342</v>
      </c>
      <c r="M101" s="2" cm="1">
        <f t="array" ref="M101">INDEX( ComputeThermoProps($A101, $B101, ParametersRange), 1, COLUMN()-2 )</f>
        <v>7704.8104147060112</v>
      </c>
      <c r="N101" s="2" cm="1">
        <f t="array" ref="N101">INDEX( ComputeThermoProps($A101, $B101, ParametersRange), 1, COLUMN()-2 )</f>
        <v>5497.0336238135633</v>
      </c>
      <c r="P101">
        <f t="shared" si="3"/>
        <v>7181.6899535406437</v>
      </c>
    </row>
    <row r="102" spans="1:16" x14ac:dyDescent="0.25">
      <c r="A102" s="2">
        <v>79.099999999999994</v>
      </c>
      <c r="B102" s="2">
        <f t="shared" si="2"/>
        <v>558.1465062433499</v>
      </c>
      <c r="C102" s="2" cm="1">
        <f t="array" ref="C102">INDEX( ComputeThermoProps($A102, $B102, ParametersRange), 1, COLUMN()-2 )</f>
        <v>11.622110232656372</v>
      </c>
      <c r="D102" s="2" cm="1">
        <f t="array" ref="D102">INDEX( ComputeThermoProps($A102, $B102, ParametersRange), 1, COLUMN()-2 )</f>
        <v>3.1088598706430567E-4</v>
      </c>
      <c r="E102" s="2" cm="1">
        <f t="array" ref="E102">INDEX( ComputeThermoProps($A102, $B102, ParametersRange), 1, COLUMN()-2 )</f>
        <v>2.295812928446062E-4</v>
      </c>
      <c r="F102" s="2" cm="1">
        <f t="array" ref="F102">INDEX( ComputeThermoProps($A102, $B102, ParametersRange), 1, COLUMN()-2 )</f>
        <v>1.6527694142412415E-3</v>
      </c>
      <c r="G102" s="2" cm="1">
        <f t="array" ref="G102">INDEX( ComputeThermoProps($A102, $B102, ParametersRange), 1, COLUMN()-2 )</f>
        <v>30.886620185499044</v>
      </c>
      <c r="H102" s="2" cm="1">
        <f t="array" ref="H102">INDEX( ComputeThermoProps($A102, $B102, ParametersRange), 1, COLUMN()-2 )</f>
        <v>22.808973349835917</v>
      </c>
      <c r="I102" s="2" cm="1">
        <f t="array" ref="I102">INDEX( ComputeThermoProps($A102, $B102, ParametersRange), 1, COLUMN()-2 )</f>
        <v>2.7088837801953827</v>
      </c>
      <c r="J102" s="2" cm="1">
        <f t="array" ref="J102">INDEX( ComputeThermoProps($A102, $B102, ParametersRange), 1, COLUMN()-2 )</f>
        <v>1382.5545782138909</v>
      </c>
      <c r="K102" s="2" cm="1">
        <f t="array" ref="K102">INDEX( ComputeThermoProps($A102, $B102, ParametersRange), 1, COLUMN()-2 )</f>
        <v>28.405370562028679</v>
      </c>
      <c r="L102" s="2" cm="1">
        <f t="array" ref="L102">INDEX( ComputeThermoProps($A102, $B102, ParametersRange), 1, COLUMN()-2 )</f>
        <v>-864.31023324257751</v>
      </c>
      <c r="M102" s="2" cm="1">
        <f t="array" ref="M102">INDEX( ComputeThermoProps($A102, $B102, ParametersRange), 1, COLUMN()-2 )</f>
        <v>7869.394799746131</v>
      </c>
      <c r="N102" s="2" cm="1">
        <f t="array" ref="N102">INDEX( ComputeThermoProps($A102, $B102, ParametersRange), 1, COLUMN()-2 )</f>
        <v>5622.5299882896625</v>
      </c>
      <c r="P102">
        <f t="shared" si="3"/>
        <v>7346.2743385807635</v>
      </c>
    </row>
    <row r="103" spans="1:16" x14ac:dyDescent="0.25">
      <c r="A103" s="2">
        <v>80.099999999999994</v>
      </c>
      <c r="B103" s="2">
        <f t="shared" si="2"/>
        <v>571.45085731661868</v>
      </c>
      <c r="C103" s="2" cm="1">
        <f t="array" ref="C103">INDEX( ComputeThermoProps($A103, $B103, ParametersRange), 1, COLUMN()-2 )</f>
        <v>11.593574461132123</v>
      </c>
      <c r="D103" s="2" cm="1">
        <f t="array" ref="D103">INDEX( ComputeThermoProps($A103, $B103, ParametersRange), 1, COLUMN()-2 )</f>
        <v>3.0547256018802996E-4</v>
      </c>
      <c r="E103" s="2" cm="1">
        <f t="array" ref="E103">INDEX( ComputeThermoProps($A103, $B103, ParametersRange), 1, COLUMN()-2 )</f>
        <v>2.2561256350616719E-4</v>
      </c>
      <c r="F103" s="2" cm="1">
        <f t="array" ref="F103">INDEX( ComputeThermoProps($A103, $B103, ParametersRange), 1, COLUMN()-2 )</f>
        <v>1.6304827233116341E-3</v>
      </c>
      <c r="G103" s="2" cm="1">
        <f t="array" ref="G103">INDEX( ComputeThermoProps($A103, $B103, ParametersRange), 1, COLUMN()-2 )</f>
        <v>30.913842265580968</v>
      </c>
      <c r="H103" s="2" cm="1">
        <f t="array" ref="H103">INDEX( ComputeThermoProps($A103, $B103, ParametersRange), 1, COLUMN()-2 )</f>
        <v>22.832005588554079</v>
      </c>
      <c r="I103" s="2" cm="1">
        <f t="array" ref="I103">INDEX( ComputeThermoProps($A103, $B103, ParametersRange), 1, COLUMN()-2 )</f>
        <v>2.710299532478694</v>
      </c>
      <c r="J103" s="2" cm="1">
        <f t="array" ref="J103">INDEX( ComputeThermoProps($A103, $B103, ParametersRange), 1, COLUMN()-2 )</f>
        <v>1409.3917197884412</v>
      </c>
      <c r="K103" s="2" cm="1">
        <f t="array" ref="K103">INDEX( ComputeThermoProps($A103, $B103, ParametersRange), 1, COLUMN()-2 )</f>
        <v>28.540053901149658</v>
      </c>
      <c r="L103" s="2" cm="1">
        <f t="array" ref="L103">INDEX( ComputeThermoProps($A103, $B103, ParametersRange), 1, COLUMN()-2 )</f>
        <v>-876.66659769364628</v>
      </c>
      <c r="M103" s="2" cm="1">
        <f t="array" ref="M103">INDEX( ComputeThermoProps($A103, $B103, ParametersRange), 1, COLUMN()-2 )</f>
        <v>8034.549784966448</v>
      </c>
      <c r="N103" s="2" cm="1">
        <f t="array" ref="N103">INDEX( ComputeThermoProps($A103, $B103, ParametersRange), 1, COLUMN()-2 )</f>
        <v>5748.4914674843603</v>
      </c>
      <c r="P103">
        <f t="shared" si="3"/>
        <v>7511.4293238010805</v>
      </c>
    </row>
    <row r="104" spans="1:16" x14ac:dyDescent="0.25">
      <c r="A104" s="2">
        <v>81.099999999999994</v>
      </c>
      <c r="B104" s="2">
        <f t="shared" si="2"/>
        <v>584.83871119103833</v>
      </c>
      <c r="C104" s="2" cm="1">
        <f t="array" ref="C104">INDEX( ComputeThermoProps($A104, $B104, ParametersRange), 1, COLUMN()-2 )</f>
        <v>11.56538179678803</v>
      </c>
      <c r="D104" s="2" cm="1">
        <f t="array" ref="D104">INDEX( ComputeThermoProps($A104, $B104, ParametersRange), 1, COLUMN()-2 )</f>
        <v>3.0022940077261361E-4</v>
      </c>
      <c r="E104" s="2" cm="1">
        <f t="array" ref="E104">INDEX( ComputeThermoProps($A104, $B104, ParametersRange), 1, COLUMN()-2 )</f>
        <v>2.2176750317161746E-4</v>
      </c>
      <c r="F104" s="2" cm="1">
        <f t="array" ref="F104">INDEX( ComputeThermoProps($A104, $B104, ParametersRange), 1, COLUMN()-2 )</f>
        <v>1.6088001801636165E-3</v>
      </c>
      <c r="G104" s="2" cm="1">
        <f t="array" ref="G104">INDEX( ComputeThermoProps($A104, $B104, ParametersRange), 1, COLUMN()-2 )</f>
        <v>30.940422058236397</v>
      </c>
      <c r="H104" s="2" cm="1">
        <f t="array" ref="H104">INDEX( ComputeThermoProps($A104, $B104, ParametersRange), 1, COLUMN()-2 )</f>
        <v>22.854457722239921</v>
      </c>
      <c r="I104" s="2" cm="1">
        <f t="array" ref="I104">INDEX( ComputeThermoProps($A104, $B104, ParametersRange), 1, COLUMN()-2 )</f>
        <v>2.7116768907312689</v>
      </c>
      <c r="J104" s="2" cm="1">
        <f t="array" ref="J104">INDEX( ComputeThermoProps($A104, $B104, ParametersRange), 1, COLUMN()-2 )</f>
        <v>1436.381389640585</v>
      </c>
      <c r="K104" s="2" cm="1">
        <f t="array" ref="K104">INDEX( ComputeThermoProps($A104, $B104, ParametersRange), 1, COLUMN()-2 )</f>
        <v>28.672694468991757</v>
      </c>
      <c r="L104" s="2" cm="1">
        <f t="array" ref="L104">INDEX( ComputeThermoProps($A104, $B104, ParametersRange), 1, COLUMN()-2 )</f>
        <v>-888.97413179464638</v>
      </c>
      <c r="M104" s="2" cm="1">
        <f t="array" ref="M104">INDEX( ComputeThermoProps($A104, $B104, ParametersRange), 1, COLUMN()-2 )</f>
        <v>8200.2643741063912</v>
      </c>
      <c r="N104" s="2" cm="1">
        <f t="array" ref="N104">INDEX( ComputeThermoProps($A104, $B104, ParametersRange), 1, COLUMN()-2 )</f>
        <v>5874.9088526711603</v>
      </c>
      <c r="P104">
        <f t="shared" si="3"/>
        <v>7677.1439129410237</v>
      </c>
    </row>
    <row r="105" spans="1:16" x14ac:dyDescent="0.25">
      <c r="A105" s="2">
        <v>82.1</v>
      </c>
      <c r="B105" s="2">
        <f t="shared" si="2"/>
        <v>598.30913837819639</v>
      </c>
      <c r="C105" s="2" cm="1">
        <f t="array" ref="C105">INDEX( ComputeThermoProps($A105, $B105, ParametersRange), 1, COLUMN()-2 )</f>
        <v>11.537524493776743</v>
      </c>
      <c r="D105" s="2" cm="1">
        <f t="array" ref="D105">INDEX( ComputeThermoProps($A105, $B105, ParametersRange), 1, COLUMN()-2 )</f>
        <v>2.9514900202047382E-4</v>
      </c>
      <c r="E105" s="2" cm="1">
        <f t="array" ref="E105">INDEX( ComputeThermoProps($A105, $B105, ParametersRange), 1, COLUMN()-2 )</f>
        <v>2.1804067900439147E-4</v>
      </c>
      <c r="F105" s="2" cm="1">
        <f t="array" ref="F105">INDEX( ComputeThermoProps($A105, $B105, ParametersRange), 1, COLUMN()-2 )</f>
        <v>1.58769840616486E-3</v>
      </c>
      <c r="G105" s="2" cm="1">
        <f t="array" ref="G105">INDEX( ComputeThermoProps($A105, $B105, ParametersRange), 1, COLUMN()-2 )</f>
        <v>30.966388120048656</v>
      </c>
      <c r="H105" s="2" cm="1">
        <f t="array" ref="H105">INDEX( ComputeThermoProps($A105, $B105, ParametersRange), 1, COLUMN()-2 )</f>
        <v>22.876351421783106</v>
      </c>
      <c r="I105" s="2" cm="1">
        <f t="array" ref="I105">INDEX( ComputeThermoProps($A105, $B105, ParametersRange), 1, COLUMN()-2 )</f>
        <v>2.7130173197289431</v>
      </c>
      <c r="J105" s="2" cm="1">
        <f t="array" ref="J105">INDEX( ComputeThermoProps($A105, $B105, ParametersRange), 1, COLUMN()-2 )</f>
        <v>1463.5215917371315</v>
      </c>
      <c r="K105" s="2" cm="1">
        <f t="array" ref="K105">INDEX( ComputeThermoProps($A105, $B105, ParametersRange), 1, COLUMN()-2 )</f>
        <v>28.803345616900682</v>
      </c>
      <c r="L105" s="2" cm="1">
        <f t="array" ref="L105">INDEX( ComputeThermoProps($A105, $B105, ParametersRange), 1, COLUMN()-2 )</f>
        <v>-901.23308341041434</v>
      </c>
      <c r="M105" s="2" cm="1">
        <f t="array" ref="M105">INDEX( ComputeThermoProps($A105, $B105, ParametersRange), 1, COLUMN()-2 )</f>
        <v>8366.5279306260309</v>
      </c>
      <c r="N105" s="2" cm="1">
        <f t="array" ref="N105">INDEX( ComputeThermoProps($A105, $B105, ParametersRange), 1, COLUMN()-2 )</f>
        <v>6001.7732554784852</v>
      </c>
      <c r="P105">
        <f t="shared" si="3"/>
        <v>7843.4074694606634</v>
      </c>
    </row>
    <row r="106" spans="1:16" x14ac:dyDescent="0.25">
      <c r="A106" s="2">
        <v>83.1</v>
      </c>
      <c r="B106" s="2">
        <f t="shared" si="2"/>
        <v>611.86123522871981</v>
      </c>
      <c r="C106" s="2" cm="1">
        <f t="array" ref="C106">INDEX( ComputeThermoProps($A106, $B106, ParametersRange), 1, COLUMN()-2 )</f>
        <v>11.509995037109579</v>
      </c>
      <c r="D106" s="2" cm="1">
        <f t="array" ref="D106">INDEX( ComputeThermoProps($A106, $B106, ParametersRange), 1, COLUMN()-2 )</f>
        <v>2.9022427206876173E-4</v>
      </c>
      <c r="E106" s="2" cm="1">
        <f t="array" ref="E106">INDEX( ComputeThermoProps($A106, $B106, ParametersRange), 1, COLUMN()-2 )</f>
        <v>2.1442695967056899E-4</v>
      </c>
      <c r="F106" s="2" cm="1">
        <f t="array" ref="F106">INDEX( ComputeThermoProps($A106, $B106, ParametersRange), 1, COLUMN()-2 )</f>
        <v>1.5671551497342859E-3</v>
      </c>
      <c r="G106" s="2" cm="1">
        <f t="array" ref="G106">INDEX( ComputeThermoProps($A106, $B106, ParametersRange), 1, COLUMN()-2 )</f>
        <v>30.991767236136127</v>
      </c>
      <c r="H106" s="2" cm="1">
        <f t="array" ref="H106">INDEX( ComputeThermoProps($A106, $B106, ParametersRange), 1, COLUMN()-2 )</f>
        <v>22.897707265807654</v>
      </c>
      <c r="I106" s="2" cm="1">
        <f t="array" ref="I106">INDEX( ComputeThermoProps($A106, $B106, ParametersRange), 1, COLUMN()-2 )</f>
        <v>2.7143222145237598</v>
      </c>
      <c r="J106" s="2" cm="1">
        <f t="array" ref="J106">INDEX( ComputeThermoProps($A106, $B106, ParametersRange), 1, COLUMN()-2 )</f>
        <v>1490.8103798486857</v>
      </c>
      <c r="K106" s="2" cm="1">
        <f t="array" ref="K106">INDEX( ComputeThermoProps($A106, $B106, ParametersRange), 1, COLUMN()-2 )</f>
        <v>28.932058591337434</v>
      </c>
      <c r="L106" s="2" cm="1">
        <f t="array" ref="L106">INDEX( ComputeThermoProps($A106, $B106, ParametersRange), 1, COLUMN()-2 )</f>
        <v>-913.44368909145487</v>
      </c>
      <c r="M106" s="2" cm="1">
        <f t="array" ref="M106">INDEX( ComputeThermoProps($A106, $B106, ParametersRange), 1, COLUMN()-2 )</f>
        <v>8533.3301607309877</v>
      </c>
      <c r="N106" s="2" cm="1">
        <f t="array" ref="N106">INDEX( ComputeThermoProps($A106, $B106, ParametersRange), 1, COLUMN()-2 )</f>
        <v>6129.0760917908474</v>
      </c>
      <c r="P106">
        <f t="shared" si="3"/>
        <v>8010.2096995656202</v>
      </c>
    </row>
    <row r="107" spans="1:16" x14ac:dyDescent="0.25">
      <c r="A107" s="2">
        <v>84.1</v>
      </c>
      <c r="B107" s="2">
        <f t="shared" si="2"/>
        <v>625.49412280005311</v>
      </c>
      <c r="C107" s="2" cm="1">
        <f t="array" ref="C107">INDEX( ComputeThermoProps($A107, $B107, ParametersRange), 1, COLUMN()-2 )</f>
        <v>11.482786136026427</v>
      </c>
      <c r="D107" s="2" cm="1">
        <f t="array" ref="D107">INDEX( ComputeThermoProps($A107, $B107, ParametersRange), 1, COLUMN()-2 )</f>
        <v>2.8544850725171415E-4</v>
      </c>
      <c r="E107" s="2" cm="1">
        <f t="array" ref="E107">INDEX( ComputeThermoProps($A107, $B107, ParametersRange), 1, COLUMN()-2 )</f>
        <v>2.1092149551317824E-4</v>
      </c>
      <c r="F107" s="2" cm="1">
        <f t="array" ref="F107">INDEX( ComputeThermoProps($A107, $B107, ParametersRange), 1, COLUMN()-2 )</f>
        <v>1.5471492279748788E-3</v>
      </c>
      <c r="G107" s="2" cm="1">
        <f t="array" ref="G107">INDEX( ComputeThermoProps($A107, $B107, ParametersRange), 1, COLUMN()-2 )</f>
        <v>31.016584625975721</v>
      </c>
      <c r="H107" s="2" cm="1">
        <f t="array" ref="H107">INDEX( ComputeThermoProps($A107, $B107, ParametersRange), 1, COLUMN()-2 )</f>
        <v>22.918544847225036</v>
      </c>
      <c r="I107" s="2" cm="1">
        <f t="array" ref="I107">INDEX( ComputeThermoProps($A107, $B107, ParametersRange), 1, COLUMN()-2 )</f>
        <v>2.7155929043683358</v>
      </c>
      <c r="J107" s="2" cm="1">
        <f t="array" ref="J107">INDEX( ComputeThermoProps($A107, $B107, ParametersRange), 1, COLUMN()-2 )</f>
        <v>1518.2458559868944</v>
      </c>
      <c r="K107" s="2" cm="1">
        <f t="array" ref="K107">INDEX( ComputeThermoProps($A107, $B107, ParametersRange), 1, COLUMN()-2 )</f>
        <v>29.058882648564726</v>
      </c>
      <c r="L107" s="2" cm="1">
        <f t="array" ref="L107">INDEX( ComputeThermoProps($A107, $B107, ParametersRange), 1, COLUMN()-2 )</f>
        <v>-925.60617475739889</v>
      </c>
      <c r="M107" s="2" cm="1">
        <f t="array" ref="M107">INDEX( ComputeThermoProps($A107, $B107, ParametersRange), 1, COLUMN()-2 )</f>
        <v>8700.6610974413561</v>
      </c>
      <c r="N107" s="2" cm="1">
        <f t="array" ref="N107">INDEX( ComputeThermoProps($A107, $B107, ParametersRange), 1, COLUMN()-2 )</f>
        <v>6256.8090666970629</v>
      </c>
      <c r="P107">
        <f t="shared" si="3"/>
        <v>8177.5406362759886</v>
      </c>
    </row>
    <row r="108" spans="1:16" x14ac:dyDescent="0.25">
      <c r="A108" s="2">
        <v>85.1</v>
      </c>
      <c r="B108" s="2">
        <f t="shared" si="2"/>
        <v>639.20694579130281</v>
      </c>
      <c r="C108" s="2" cm="1">
        <f t="array" ref="C108">INDEX( ComputeThermoProps($A108, $B108, ParametersRange), 1, COLUMN()-2 )</f>
        <v>11.455890717335606</v>
      </c>
      <c r="D108" s="2" cm="1">
        <f t="array" ref="D108">INDEX( ComputeThermoProps($A108, $B108, ParametersRange), 1, COLUMN()-2 )</f>
        <v>2.8081536689573104E-4</v>
      </c>
      <c r="E108" s="2" cm="1">
        <f t="array" ref="E108">INDEX( ComputeThermoProps($A108, $B108, ParametersRange), 1, COLUMN()-2 )</f>
        <v>2.0751970020311405E-4</v>
      </c>
      <c r="F108" s="2" cm="1">
        <f t="array" ref="F108">INDEX( ComputeThermoProps($A108, $B108, ParametersRange), 1, COLUMN()-2 )</f>
        <v>1.5276604634183585E-3</v>
      </c>
      <c r="G108" s="2" cm="1">
        <f t="array" ref="G108">INDEX( ComputeThermoProps($A108, $B108, ParametersRange), 1, COLUMN()-2 )</f>
        <v>31.040863975495263</v>
      </c>
      <c r="H108" s="2" cm="1">
        <f t="array" ref="H108">INDEX( ComputeThermoProps($A108, $B108, ParametersRange), 1, COLUMN()-2 )</f>
        <v>22.938882787822056</v>
      </c>
      <c r="I108" s="2" cm="1">
        <f t="array" ref="I108">INDEX( ComputeThermoProps($A108, $B108, ParametersRange), 1, COLUMN()-2 )</f>
        <v>2.7168306561008859</v>
      </c>
      <c r="J108" s="2" cm="1">
        <f t="array" ref="J108">INDEX( ComputeThermoProps($A108, $B108, ParametersRange), 1, COLUMN()-2 )</f>
        <v>1545.8261688786943</v>
      </c>
      <c r="K108" s="2" cm="1">
        <f t="array" ref="K108">INDEX( ComputeThermoProps($A108, $B108, ParametersRange), 1, COLUMN()-2 )</f>
        <v>29.183865161258723</v>
      </c>
      <c r="L108" s="2" cm="1">
        <f t="array" ref="L108">INDEX( ComputeThermoProps($A108, $B108, ParametersRange), 1, COLUMN()-2 )</f>
        <v>-937.72075634442285</v>
      </c>
      <c r="M108" s="2" cm="1">
        <f t="array" ref="M108">INDEX( ComputeThermoProps($A108, $B108, ParametersRange), 1, COLUMN()-2 )</f>
        <v>8868.5110856257234</v>
      </c>
      <c r="N108" s="2" cm="1">
        <f t="array" ref="N108">INDEX( ComputeThermoProps($A108, $B108, ParametersRange), 1, COLUMN()-2 )</f>
        <v>6384.9641604026065</v>
      </c>
      <c r="P108">
        <f t="shared" si="3"/>
        <v>8345.390624460355</v>
      </c>
    </row>
    <row r="109" spans="1:16" x14ac:dyDescent="0.25">
      <c r="A109" s="2">
        <v>86.1</v>
      </c>
      <c r="B109" s="2">
        <f t="shared" si="2"/>
        <v>652.99887154017506</v>
      </c>
      <c r="C109" s="2" cm="1">
        <f t="array" ref="C109">INDEX( ComputeThermoProps($A109, $B109, ParametersRange), 1, COLUMN()-2 )</f>
        <v>11.429301918769653</v>
      </c>
      <c r="D109" s="2" cm="1">
        <f t="array" ref="D109">INDEX( ComputeThermoProps($A109, $B109, ParametersRange), 1, COLUMN()-2 )</f>
        <v>2.7631885036063353E-4</v>
      </c>
      <c r="E109" s="2" cm="1">
        <f t="array" ref="E109">INDEX( ComputeThermoProps($A109, $B109, ParametersRange), 1, COLUMN()-2 )</f>
        <v>2.0421723374711967E-4</v>
      </c>
      <c r="F109" s="2" cm="1">
        <f t="array" ref="F109">INDEX( ComputeThermoProps($A109, $B109, ParametersRange), 1, COLUMN()-2 )</f>
        <v>1.5086696331424007E-3</v>
      </c>
      <c r="G109" s="2" cm="1">
        <f t="array" ref="G109">INDEX( ComputeThermoProps($A109, $B109, ParametersRange), 1, COLUMN()-2 )</f>
        <v>31.064627631814712</v>
      </c>
      <c r="H109" s="2" cm="1">
        <f t="array" ref="H109">INDEX( ComputeThermoProps($A109, $B109, ParametersRange), 1, COLUMN()-2 )</f>
        <v>22.958738841283708</v>
      </c>
      <c r="I109" s="2" cm="1">
        <f t="array" ref="I109">INDEX( ComputeThermoProps($A109, $B109, ParametersRange), 1, COLUMN()-2 )</f>
        <v>2.7180366776780094</v>
      </c>
      <c r="J109" s="2" cm="1">
        <f t="array" ref="J109">INDEX( ComputeThermoProps($A109, $B109, ParametersRange), 1, COLUMN()-2 )</f>
        <v>1573.5495124799268</v>
      </c>
      <c r="K109" s="2" cm="1">
        <f t="array" ref="K109">INDEX( ComputeThermoProps($A109, $B109, ParametersRange), 1, COLUMN()-2 )</f>
        <v>29.307051717740091</v>
      </c>
      <c r="L109" s="2" cm="1">
        <f t="array" ref="L109">INDEX( ComputeThermoProps($A109, $B109, ParametersRange), 1, COLUMN()-2 )</f>
        <v>-949.78764041749491</v>
      </c>
      <c r="M109" s="2" cm="1">
        <f t="array" ref="M109">INDEX( ComputeThermoProps($A109, $B109, ParametersRange), 1, COLUMN()-2 )</f>
        <v>9036.8707679284671</v>
      </c>
      <c r="N109" s="2" cm="1">
        <f t="array" ref="N109">INDEX( ComputeThermoProps($A109, $B109, ParametersRange), 1, COLUMN()-2 )</f>
        <v>6513.5336150310459</v>
      </c>
      <c r="P109">
        <f t="shared" si="3"/>
        <v>8513.7503067630987</v>
      </c>
    </row>
    <row r="110" spans="1:16" x14ac:dyDescent="0.25">
      <c r="A110" s="2">
        <v>87.1</v>
      </c>
      <c r="B110" s="2">
        <f t="shared" si="2"/>
        <v>666.86908907748557</v>
      </c>
      <c r="C110" s="2" cm="1">
        <f t="array" ref="C110">INDEX( ComputeThermoProps($A110, $B110, ParametersRange), 1, COLUMN()-2 )</f>
        <v>11.403013082394176</v>
      </c>
      <c r="D110" s="2" cm="1">
        <f t="array" ref="D110">INDEX( ComputeThermoProps($A110, $B110, ParametersRange), 1, COLUMN()-2 )</f>
        <v>2.7195327536575691E-4</v>
      </c>
      <c r="E110" s="2" cm="1">
        <f t="array" ref="E110">INDEX( ComputeThermoProps($A110, $B110, ParametersRange), 1, COLUMN()-2 )</f>
        <v>2.0100998674264602E-4</v>
      </c>
      <c r="F110" s="2" cm="1">
        <f t="array" ref="F110">INDEX( ComputeThermoProps($A110, $B110, ParametersRange), 1, COLUMN()-2 )</f>
        <v>1.490158413457102E-3</v>
      </c>
      <c r="G110" s="2" cm="1">
        <f t="array" ref="G110">INDEX( ComputeThermoProps($A110, $B110, ParametersRange), 1, COLUMN()-2 )</f>
        <v>31.087896639331987</v>
      </c>
      <c r="H110" s="2" cm="1">
        <f t="array" ref="H110">INDEX( ComputeThermoProps($A110, $B110, ParametersRange), 1, COLUMN()-2 )</f>
        <v>22.978129911928669</v>
      </c>
      <c r="I110" s="2" cm="1">
        <f t="array" ref="I110">INDEX( ComputeThermoProps($A110, $B110, ParametersRange), 1, COLUMN()-2 )</f>
        <v>2.7192121212193987</v>
      </c>
      <c r="J110" s="2" cm="1">
        <f t="array" ref="J110">INDEX( ComputeThermoProps($A110, $B110, ParametersRange), 1, COLUMN()-2 )</f>
        <v>1601.4141245299802</v>
      </c>
      <c r="K110" s="2" cm="1">
        <f t="array" ref="K110">INDEX( ComputeThermoProps($A110, $B110, ParametersRange), 1, COLUMN()-2 )</f>
        <v>29.428486214450178</v>
      </c>
      <c r="L110" s="2" cm="1">
        <f t="array" ref="L110">INDEX( ComputeThermoProps($A110, $B110, ParametersRange), 1, COLUMN()-2 )</f>
        <v>-961.80702474863017</v>
      </c>
      <c r="M110" s="2" cm="1">
        <f t="array" ref="M110">INDEX( ComputeThermoProps($A110, $B110, ParametersRange), 1, COLUMN()-2 )</f>
        <v>9205.731071524835</v>
      </c>
      <c r="N110" s="2" cm="1">
        <f t="array" ref="N110">INDEX( ComputeThermoProps($A110, $B110, ParametersRange), 1, COLUMN()-2 )</f>
        <v>6642.509922246225</v>
      </c>
      <c r="P110">
        <f t="shared" si="3"/>
        <v>8682.6106103594666</v>
      </c>
    </row>
    <row r="111" spans="1:16" x14ac:dyDescent="0.25">
      <c r="A111" s="2">
        <v>88.1</v>
      </c>
      <c r="B111" s="2">
        <f t="shared" si="2"/>
        <v>680.81680823509987</v>
      </c>
      <c r="C111" s="2" cm="1">
        <f t="array" ref="C111">INDEX( ComputeThermoProps($A111, $B111, ParametersRange), 1, COLUMN()-2 )</f>
        <v>11.377017748099835</v>
      </c>
      <c r="D111" s="2" cm="1">
        <f t="array" ref="D111">INDEX( ComputeThermoProps($A111, $B111, ParametersRange), 1, COLUMN()-2 )</f>
        <v>2.6771325810290004E-4</v>
      </c>
      <c r="E111" s="2" cm="1">
        <f t="array" ref="E111">INDEX( ComputeThermoProps($A111, $B111, ParametersRange), 1, COLUMN()-2 )</f>
        <v>1.9789406577948049E-4</v>
      </c>
      <c r="F111" s="2" cm="1">
        <f t="array" ref="F111">INDEX( ComputeThermoProps($A111, $B111, ParametersRange), 1, COLUMN()-2 )</f>
        <v>1.4721093327724024E-3</v>
      </c>
      <c r="G111" s="2" cm="1">
        <f t="array" ref="G111">INDEX( ComputeThermoProps($A111, $B111, ParametersRange), 1, COLUMN()-2 )</f>
        <v>31.110690868053165</v>
      </c>
      <c r="H111" s="2" cm="1">
        <f t="array" ref="H111">INDEX( ComputeThermoProps($A111, $B111, ParametersRange), 1, COLUMN()-2 )</f>
        <v>22.997072123791479</v>
      </c>
      <c r="I111" s="2" cm="1">
        <f t="array" ref="I111">INDEX( ComputeThermoProps($A111, $B111, ParametersRange), 1, COLUMN()-2 )</f>
        <v>2.7203580860701244</v>
      </c>
      <c r="J111" s="2" cm="1">
        <f t="array" ref="J111">INDEX( ComputeThermoProps($A111, $B111, ParametersRange), 1, COLUMN()-2 )</f>
        <v>1629.4182851485155</v>
      </c>
      <c r="K111" s="2" cm="1">
        <f t="array" ref="K111">INDEX( ComputeThermoProps($A111, $B111, ParametersRange), 1, COLUMN()-2 )</f>
        <v>29.548210942235542</v>
      </c>
      <c r="L111" s="2" cm="1">
        <f t="array" ref="L111">INDEX( ComputeThermoProps($A111, $B111, ParametersRange), 1, COLUMN()-2 )</f>
        <v>-973.7790988624356</v>
      </c>
      <c r="M111" s="2" cm="1">
        <f t="array" ref="M111">INDEX( ComputeThermoProps($A111, $B111, ParametersRange), 1, COLUMN()-2 )</f>
        <v>9375.0831956439288</v>
      </c>
      <c r="N111" s="2" cm="1">
        <f t="array" ref="N111">INDEX( ComputeThermoProps($A111, $B111, ParametersRange), 1, COLUMN()-2 )</f>
        <v>6771.8858116329775</v>
      </c>
      <c r="P111">
        <f t="shared" si="3"/>
        <v>8851.9627344785604</v>
      </c>
    </row>
    <row r="112" spans="1:16" x14ac:dyDescent="0.25">
      <c r="A112" s="2">
        <v>89.1</v>
      </c>
      <c r="B112" s="2">
        <f t="shared" si="2"/>
        <v>694.84125880352713</v>
      </c>
      <c r="C112" s="2" cm="1">
        <f t="array" ref="C112">INDEX( ComputeThermoProps($A112, $B112, ParametersRange), 1, COLUMN()-2 )</f>
        <v>11.351309647201408</v>
      </c>
      <c r="D112" s="2" cm="1">
        <f t="array" ref="D112">INDEX( ComputeThermoProps($A112, $B112, ParametersRange), 1, COLUMN()-2 )</f>
        <v>2.6359369463196025E-4</v>
      </c>
      <c r="E112" s="2" cm="1">
        <f t="array" ref="E112">INDEX( ComputeThermoProps($A112, $B112, ParametersRange), 1, COLUMN()-2 )</f>
        <v>1.9486577989608501E-4</v>
      </c>
      <c r="F112" s="2" cm="1">
        <f t="array" ref="F112">INDEX( ComputeThermoProps($A112, $B112, ParametersRange), 1, COLUMN()-2 )</f>
        <v>1.4545057246315364E-3</v>
      </c>
      <c r="G112" s="2" cm="1">
        <f t="array" ref="G112">INDEX( ComputeThermoProps($A112, $B112, ParametersRange), 1, COLUMN()-2 )</f>
        <v>31.133029080336634</v>
      </c>
      <c r="H112" s="2" cm="1">
        <f t="array" ref="H112">INDEX( ComputeThermoProps($A112, $B112, ParametersRange), 1, COLUMN()-2 )</f>
        <v>23.015580857265725</v>
      </c>
      <c r="I112" s="2" cm="1">
        <f t="array" ref="I112">INDEX( ComputeThermoProps($A112, $B112, ParametersRange), 1, COLUMN()-2 )</f>
        <v>2.7214756215859484</v>
      </c>
      <c r="J112" s="2" cm="1">
        <f t="array" ref="J112">INDEX( ComputeThermoProps($A112, $B112, ParametersRange), 1, COLUMN()-2 )</f>
        <v>1657.5603154748849</v>
      </c>
      <c r="K112" s="2" cm="1">
        <f t="array" ref="K112">INDEX( ComputeThermoProps($A112, $B112, ParametersRange), 1, COLUMN()-2 )</f>
        <v>29.666266666948683</v>
      </c>
      <c r="L112" s="2" cm="1">
        <f t="array" ref="L112">INDEX( ComputeThermoProps($A112, $B112, ParametersRange), 1, COLUMN()-2 )</f>
        <v>-985.70404455024266</v>
      </c>
      <c r="M112" s="2" cm="1">
        <f t="array" ref="M112">INDEX( ComputeThermoProps($A112, $B112, ParametersRange), 1, COLUMN()-2 )</f>
        <v>9544.9185998049325</v>
      </c>
      <c r="N112" s="2" cm="1">
        <f t="array" ref="N112">INDEX( ComputeThermoProps($A112, $B112, ParametersRange), 1, COLUMN()-2 )</f>
        <v>6901.6542397798048</v>
      </c>
      <c r="P112">
        <f t="shared" si="3"/>
        <v>9021.7981386395641</v>
      </c>
    </row>
    <row r="113" spans="1:18" x14ac:dyDescent="0.25">
      <c r="A113" s="2">
        <v>90.1</v>
      </c>
      <c r="B113" s="2">
        <f t="shared" si="2"/>
        <v>708.94168973570822</v>
      </c>
      <c r="C113" s="2" cm="1">
        <f t="array" ref="C113">INDEX( ComputeThermoProps($A113, $B113, ParametersRange), 1, COLUMN()-2 )</f>
        <v>11.325882696162763</v>
      </c>
      <c r="D113" s="2" cm="1">
        <f t="array" ref="D113">INDEX( ComputeThermoProps($A113, $B113, ParametersRange), 1, COLUMN()-2 )</f>
        <v>2.5958974361151087E-4</v>
      </c>
      <c r="E113" s="2" cm="1">
        <f t="array" ref="E113">INDEX( ComputeThermoProps($A113, $B113, ParametersRange), 1, COLUMN()-2 )</f>
        <v>1.9192162800667792E-4</v>
      </c>
      <c r="F113" s="2" cm="1">
        <f t="array" ref="F113">INDEX( ComputeThermoProps($A113, $B113, ParametersRange), 1, COLUMN()-2 )</f>
        <v>1.4373316840214981E-3</v>
      </c>
      <c r="G113" s="2" cm="1">
        <f t="array" ref="G113">INDEX( ComputeThermoProps($A113, $B113, ParametersRange), 1, COLUMN()-2 )</f>
        <v>31.154929001175983</v>
      </c>
      <c r="H113" s="2" cm="1">
        <f t="array" ref="H113">INDEX( ComputeThermoProps($A113, $B113, ParametersRange), 1, COLUMN()-2 )</f>
        <v>23.033670788189884</v>
      </c>
      <c r="I113" s="2" cm="1">
        <f t="array" ref="I113">INDEX( ComputeThermoProps($A113, $B113, ParametersRange), 1, COLUMN()-2 )</f>
        <v>2.7225657297779629</v>
      </c>
      <c r="J113" s="2" cm="1">
        <f t="array" ref="J113">INDEX( ComputeThermoProps($A113, $B113, ParametersRange), 1, COLUMN()-2 )</f>
        <v>1685.8385763504571</v>
      </c>
      <c r="K113" s="2" cm="1">
        <f t="array" ref="K113">INDEX( ComputeThermoProps($A113, $B113, ParametersRange), 1, COLUMN()-2 )</f>
        <v>29.782692704824473</v>
      </c>
      <c r="L113" s="2" cm="1">
        <f t="array" ref="L113">INDEX( ComputeThermoProps($A113, $B113, ParametersRange), 1, COLUMN()-2 )</f>
        <v>-997.58203635422785</v>
      </c>
      <c r="M113" s="2" cm="1">
        <f t="array" ref="M113">INDEX( ComputeThermoProps($A113, $B113, ParametersRange), 1, COLUMN()-2 )</f>
        <v>9715.2289927165057</v>
      </c>
      <c r="N113" s="2" cm="1">
        <f t="array" ref="N113">INDEX( ComputeThermoProps($A113, $B113, ParametersRange), 1, COLUMN()-2 )</f>
        <v>7031.8083800118211</v>
      </c>
      <c r="P113">
        <f t="shared" si="3"/>
        <v>9192.1085315511373</v>
      </c>
    </row>
    <row r="114" spans="1:18" x14ac:dyDescent="0.25">
      <c r="A114" s="2">
        <v>91.1</v>
      </c>
      <c r="B114" s="2">
        <f t="shared" si="2"/>
        <v>723.11736839382115</v>
      </c>
      <c r="C114" s="2" cm="1">
        <f t="array" ref="C114">INDEX( ComputeThermoProps($A114, $B114, ParametersRange), 1, COLUMN()-2 )</f>
        <v>11.300730990462315</v>
      </c>
      <c r="D114" s="2" cm="1">
        <f t="array" ref="D114">INDEX( ComputeThermoProps($A114, $B114, ParametersRange), 1, COLUMN()-2 )</f>
        <v>2.5569681031223894E-4</v>
      </c>
      <c r="E114" s="2" cm="1">
        <f t="array" ref="E114">INDEX( ComputeThermoProps($A114, $B114, ParametersRange), 1, COLUMN()-2 )</f>
        <v>1.8905828722218807E-4</v>
      </c>
      <c r="F114" s="2" cm="1">
        <f t="array" ref="F114">INDEX( ComputeThermoProps($A114, $B114, ParametersRange), 1, COLUMN()-2 )</f>
        <v>1.4205720278251312E-3</v>
      </c>
      <c r="G114" s="2" cm="1">
        <f t="array" ref="G114">INDEX( ComputeThermoProps($A114, $B114, ParametersRange), 1, COLUMN()-2 )</f>
        <v>31.176407415743761</v>
      </c>
      <c r="H114" s="2" cm="1">
        <f t="array" ref="H114">INDEX( ComputeThermoProps($A114, $B114, ParametersRange), 1, COLUMN()-2 )</f>
        <v>23.05135594207885</v>
      </c>
      <c r="I114" s="2" cm="1">
        <f t="array" ref="I114">INDEX( ComputeThermoProps($A114, $B114, ParametersRange), 1, COLUMN()-2 )</f>
        <v>2.7236293678646288</v>
      </c>
      <c r="J114" s="2" cm="1">
        <f t="array" ref="J114">INDEX( ComputeThermoProps($A114, $B114, ParametersRange), 1, COLUMN()-2 )</f>
        <v>1714.2514670437099</v>
      </c>
      <c r="K114" s="2" cm="1">
        <f t="array" ref="K114">INDEX( ComputeThermoProps($A114, $B114, ParametersRange), 1, COLUMN()-2 )</f>
        <v>29.897526993047947</v>
      </c>
      <c r="L114" s="2" cm="1">
        <f t="array" ref="L114">INDEX( ComputeThermoProps($A114, $B114, ParametersRange), 1, COLUMN()-2 )</f>
        <v>-1009.4132420229579</v>
      </c>
      <c r="M114" s="2" cm="1">
        <f t="array" ref="M114">INDEX( ComputeThermoProps($A114, $B114, ParametersRange), 1, COLUMN()-2 )</f>
        <v>9886.0063217933184</v>
      </c>
      <c r="N114" s="2" cm="1">
        <f t="array" ref="N114">INDEX( ComputeThermoProps($A114, $B114, ParametersRange), 1, COLUMN()-2 )</f>
        <v>7162.341612726651</v>
      </c>
      <c r="P114">
        <f t="shared" si="3"/>
        <v>9362.88586062795</v>
      </c>
    </row>
    <row r="115" spans="1:18" x14ac:dyDescent="0.25">
      <c r="A115" s="2">
        <v>92.1</v>
      </c>
      <c r="B115" s="2">
        <f t="shared" si="2"/>
        <v>737.36757983619725</v>
      </c>
      <c r="C115" s="2" cm="1">
        <f t="array" ref="C115">INDEX( ComputeThermoProps($A115, $B115, ParametersRange), 1, COLUMN()-2 )</f>
        <v>11.275848798610001</v>
      </c>
      <c r="D115" s="2" cm="1">
        <f t="array" ref="D115">INDEX( ComputeThermoProps($A115, $B115, ParametersRange), 1, COLUMN()-2 )</f>
        <v>2.5191053162642576E-4</v>
      </c>
      <c r="E115" s="2" cm="1">
        <f t="array" ref="E115">INDEX( ComputeThermoProps($A115, $B115, ParametersRange), 1, COLUMN()-2 )</f>
        <v>1.8627260199461152E-4</v>
      </c>
      <c r="F115" s="2" cm="1">
        <f t="array" ref="F115">INDEX( ComputeThermoProps($A115, $B115, ParametersRange), 1, COLUMN()-2 )</f>
        <v>1.40421225522661E-3</v>
      </c>
      <c r="G115" s="2" cm="1">
        <f t="array" ref="G115">INDEX( ComputeThermoProps($A115, $B115, ParametersRange), 1, COLUMN()-2 )</f>
        <v>31.197480209892003</v>
      </c>
      <c r="H115" s="2" cm="1">
        <f t="array" ref="H115">INDEX( ComputeThermoProps($A115, $B115, ParametersRange), 1, COLUMN()-2 )</f>
        <v>23.068649718027014</v>
      </c>
      <c r="I115" s="2" cm="1">
        <f t="array" ref="I115">INDEX( ComputeThermoProps($A115, $B115, ParametersRange), 1, COLUMN()-2 )</f>
        <v>2.7246674505845276</v>
      </c>
      <c r="J115" s="2" cm="1">
        <f t="array" ref="J115">INDEX( ComputeThermoProps($A115, $B115, ParametersRange), 1, COLUMN()-2 )</f>
        <v>1742.797424017755</v>
      </c>
      <c r="K115" s="2" cm="1">
        <f t="array" ref="K115">INDEX( ComputeThermoProps($A115, $B115, ParametersRange), 1, COLUMN()-2 )</f>
        <v>30.01080615589014</v>
      </c>
      <c r="L115" s="2" cm="1">
        <f t="array" ref="L115">INDEX( ComputeThermoProps($A115, $B115, ParametersRange), 1, COLUMN()-2 )</f>
        <v>-1021.1978229397267</v>
      </c>
      <c r="M115" s="2" cm="1">
        <f t="array" ref="M115">INDEX( ComputeThermoProps($A115, $B115, ParametersRange), 1, COLUMN()-2 )</f>
        <v>10057.242763247705</v>
      </c>
      <c r="N115" s="2" cm="1">
        <f t="array" ref="N115">INDEX( ComputeThermoProps($A115, $B115, ParametersRange), 1, COLUMN()-2 )</f>
        <v>7293.2475162902228</v>
      </c>
      <c r="P115">
        <f t="shared" si="3"/>
        <v>9534.1223020823363</v>
      </c>
    </row>
    <row r="116" spans="1:18" x14ac:dyDescent="0.25">
      <c r="A116" s="2">
        <v>93.1</v>
      </c>
      <c r="B116" s="2">
        <f t="shared" si="2"/>
        <v>751.69162614166385</v>
      </c>
      <c r="C116" s="2" cm="1">
        <f t="array" ref="C116">INDEX( ComputeThermoProps($A116, $B116, ParametersRange), 1, COLUMN()-2 )</f>
        <v>11.251230556323794</v>
      </c>
      <c r="D116" s="2" cm="1">
        <f t="array" ref="D116">INDEX( ComputeThermoProps($A116, $B116, ParametersRange), 1, COLUMN()-2 )</f>
        <v>2.4822676219029541E-4</v>
      </c>
      <c r="E116" s="2" cm="1">
        <f t="array" ref="E116">INDEX( ComputeThermoProps($A116, $B116, ParametersRange), 1, COLUMN()-2 )</f>
        <v>1.8356157402044744E-4</v>
      </c>
      <c r="F116" s="2" cm="1">
        <f t="array" ref="F116">INDEX( ComputeThermoProps($A116, $B116, ParametersRange), 1, COLUMN()-2 )</f>
        <v>1.3882385121030427E-3</v>
      </c>
      <c r="G116" s="2" cm="1">
        <f t="array" ref="G116">INDEX( ComputeThermoProps($A116, $B116, ParametersRange), 1, COLUMN()-2 )</f>
        <v>31.218162441559354</v>
      </c>
      <c r="H116" s="2" cm="1">
        <f t="array" ref="H116">INDEX( ComputeThermoProps($A116, $B116, ParametersRange), 1, COLUMN()-2 )</f>
        <v>23.085564929560547</v>
      </c>
      <c r="I116" s="2" cm="1">
        <f t="array" ref="I116">INDEX( ComputeThermoProps($A116, $B116, ParametersRange), 1, COLUMN()-2 )</f>
        <v>2.7256808524390364</v>
      </c>
      <c r="J116" s="2" cm="1">
        <f t="array" ref="J116">INDEX( ComputeThermoProps($A116, $B116, ParametersRange), 1, COLUMN()-2 )</f>
        <v>1771.4749197396882</v>
      </c>
      <c r="K116" s="2" cm="1">
        <f t="array" ref="K116">INDEX( ComputeThermoProps($A116, $B116, ParametersRange), 1, COLUMN()-2 )</f>
        <v>30.122565566754087</v>
      </c>
      <c r="L116" s="2" cm="1">
        <f t="array" ref="L116">INDEX( ComputeThermoProps($A116, $B116, ParametersRange), 1, COLUMN()-2 )</f>
        <v>-1032.9359345251171</v>
      </c>
      <c r="M116" s="2" cm="1">
        <f t="array" ref="M116">INDEX( ComputeThermoProps($A116, $B116, ParametersRange), 1, COLUMN()-2 )</f>
        <v>10228.930712717498</v>
      </c>
      <c r="N116" s="2" cm="1">
        <f t="array" ref="N116">INDEX( ComputeThermoProps($A116, $B116, ParametersRange), 1, COLUMN()-2 )</f>
        <v>7424.5198584526925</v>
      </c>
      <c r="P116">
        <f t="shared" si="3"/>
        <v>9705.8102515521296</v>
      </c>
    </row>
    <row r="117" spans="1:18" x14ac:dyDescent="0.25">
      <c r="A117" s="2">
        <v>94.1</v>
      </c>
      <c r="B117" s="2">
        <f t="shared" si="2"/>
        <v>766.08882576885821</v>
      </c>
      <c r="C117" s="2" cm="1">
        <f t="array" ref="C117">INDEX( ComputeThermoProps($A117, $B117, ParametersRange), 1, COLUMN()-2 )</f>
        <v>11.226870860871312</v>
      </c>
      <c r="D117" s="2" cm="1">
        <f t="array" ref="D117">INDEX( ComputeThermoProps($A117, $B117, ParametersRange), 1, COLUMN()-2 )</f>
        <v>2.446415613956835E-4</v>
      </c>
      <c r="E117" s="2" cm="1">
        <f t="array" ref="E117">INDEX( ComputeThermoProps($A117, $B117, ParametersRange), 1, COLUMN()-2 )</f>
        <v>1.8092235284415255E-4</v>
      </c>
      <c r="F117" s="2" cm="1">
        <f t="array" ref="F117">INDEX( ComputeThermoProps($A117, $B117, ParametersRange), 1, COLUMN()-2 )</f>
        <v>1.3726375562376682E-3</v>
      </c>
      <c r="G117" s="2" cm="1">
        <f t="array" ref="G117">INDEX( ComputeThermoProps($A117, $B117, ParametersRange), 1, COLUMN()-2 )</f>
        <v>31.238468379262535</v>
      </c>
      <c r="H117" s="2" cm="1">
        <f t="array" ref="H117">INDEX( ComputeThermoProps($A117, $B117, ParametersRange), 1, COLUMN()-2 )</f>
        <v>23.102113828004526</v>
      </c>
      <c r="I117" s="2" cm="1">
        <f t="array" ref="I117">INDEX( ComputeThermoProps($A117, $B117, ParametersRange), 1, COLUMN()-2 )</f>
        <v>2.7266704097564829</v>
      </c>
      <c r="J117" s="2" cm="1">
        <f t="array" ref="J117">INDEX( ComputeThermoProps($A117, $B117, ParametersRange), 1, COLUMN()-2 )</f>
        <v>1800.2824615310521</v>
      </c>
      <c r="K117" s="2" cm="1">
        <f t="array" ref="K117">INDEX( ComputeThermoProps($A117, $B117, ParametersRange), 1, COLUMN()-2 )</f>
        <v>30.232839406441659</v>
      </c>
      <c r="L117" s="2" cm="1">
        <f t="array" ref="L117">INDEX( ComputeThermoProps($A117, $B117, ParametersRange), 1, COLUMN()-2 )</f>
        <v>-1044.6277266151078</v>
      </c>
      <c r="M117" s="2" cm="1">
        <f t="array" ref="M117">INDEX( ComputeThermoProps($A117, $B117, ParametersRange), 1, COLUMN()-2 )</f>
        <v>10401.062776394567</v>
      </c>
      <c r="N117" s="2" cm="1">
        <f t="array" ref="N117">INDEX( ComputeThermoProps($A117, $B117, ParametersRange), 1, COLUMN()-2 )</f>
        <v>7556.1525882484066</v>
      </c>
      <c r="P117">
        <f t="shared" si="3"/>
        <v>9877.9423152291984</v>
      </c>
    </row>
    <row r="118" spans="1:18" x14ac:dyDescent="0.25">
      <c r="A118" s="2">
        <v>95.1</v>
      </c>
      <c r="B118" s="2">
        <f t="shared" si="2"/>
        <v>780.5585129482397</v>
      </c>
      <c r="C118" s="2" cm="1">
        <f t="array" ref="C118">INDEX( ComputeThermoProps($A118, $B118, ParametersRange), 1, COLUMN()-2 )</f>
        <v>11.202764465580024</v>
      </c>
      <c r="D118" s="2" cm="1">
        <f t="array" ref="D118">INDEX( ComputeThermoProps($A118, $B118, ParametersRange), 1, COLUMN()-2 )</f>
        <v>2.4115118139230634E-4</v>
      </c>
      <c r="E118" s="2" cm="1">
        <f t="array" ref="E118">INDEX( ComputeThermoProps($A118, $B118, ParametersRange), 1, COLUMN()-2 )</f>
        <v>1.7835222710764901E-4</v>
      </c>
      <c r="F118" s="2" cm="1">
        <f t="array" ref="F118">INDEX( ComputeThermoProps($A118, $B118, ParametersRange), 1, COLUMN()-2 )</f>
        <v>1.3573967268590505E-3</v>
      </c>
      <c r="G118" s="2" cm="1">
        <f t="array" ref="G118">INDEX( ComputeThermoProps($A118, $B118, ParametersRange), 1, COLUMN()-2 )</f>
        <v>31.258411587705403</v>
      </c>
      <c r="H118" s="2" cm="1">
        <f t="array" ref="H118">INDEX( ComputeThermoProps($A118, $B118, ParametersRange), 1, COLUMN()-2 )</f>
        <v>23.118308151455178</v>
      </c>
      <c r="I118" s="2" cm="1">
        <f t="array" ref="I118">INDEX( ComputeThermoProps($A118, $B118, ParametersRange), 1, COLUMN()-2 )</f>
        <v>2.7276369227245674</v>
      </c>
      <c r="J118" s="2" cm="1">
        <f t="array" ref="J118">INDEX( ComputeThermoProps($A118, $B118, ParametersRange), 1, COLUMN()-2 )</f>
        <v>1829.2185904585212</v>
      </c>
      <c r="K118" s="2" cm="1">
        <f t="array" ref="K118">INDEX( ComputeThermoProps($A118, $B118, ParametersRange), 1, COLUMN()-2 )</f>
        <v>30.341660717924455</v>
      </c>
      <c r="L118" s="2" cm="1">
        <f t="array" ref="L118">INDEX( ComputeThermoProps($A118, $B118, ParametersRange), 1, COLUMN()-2 )</f>
        <v>-1056.2733438160942</v>
      </c>
      <c r="M118" s="2" cm="1">
        <f t="array" ref="M118">INDEX( ComputeThermoProps($A118, $B118, ParametersRange), 1, COLUMN()-2 )</f>
        <v>10573.631762621046</v>
      </c>
      <c r="N118" s="2" cm="1">
        <f t="array" ref="N118">INDEX( ComputeThermoProps($A118, $B118, ParametersRange), 1, COLUMN()-2 )</f>
        <v>7688.1398283464305</v>
      </c>
      <c r="P118">
        <f t="shared" si="3"/>
        <v>10050.511301455677</v>
      </c>
    </row>
    <row r="119" spans="1:18" x14ac:dyDescent="0.25">
      <c r="A119" s="2">
        <v>96.1</v>
      </c>
      <c r="B119" s="2">
        <f t="shared" si="2"/>
        <v>795.10003710470664</v>
      </c>
      <c r="C119" s="2" cm="1">
        <f t="array" ref="C119">INDEX( ComputeThermoProps($A119, $B119, ParametersRange), 1, COLUMN()-2 )</f>
        <v>11.178906274517846</v>
      </c>
      <c r="D119" s="2" cm="1">
        <f t="array" ref="D119">INDEX( ComputeThermoProps($A119, $B119, ParametersRange), 1, COLUMN()-2 )</f>
        <v>2.37752055728188E-4</v>
      </c>
      <c r="E119" s="2" cm="1">
        <f t="array" ref="E119">INDEX( ComputeThermoProps($A119, $B119, ParametersRange), 1, COLUMN()-2 )</f>
        <v>1.7584861639625374E-4</v>
      </c>
      <c r="F119" s="2" cm="1">
        <f t="array" ref="F119">INDEX( ComputeThermoProps($A119, $B119, ParametersRange), 1, COLUMN()-2 )</f>
        <v>1.3425039123483487E-3</v>
      </c>
      <c r="G119" s="2" cm="1">
        <f t="array" ref="G119">INDEX( ComputeThermoProps($A119, $B119, ParametersRange), 1, COLUMN()-2 )</f>
        <v>31.278004927339929</v>
      </c>
      <c r="H119" s="2" cm="1">
        <f t="array" ref="H119">INDEX( ComputeThermoProps($A119, $B119, ParametersRange), 1, COLUMN()-2 )</f>
        <v>23.134159127507505</v>
      </c>
      <c r="I119" s="2" cm="1">
        <f t="array" ref="I119">INDEX( ComputeThermoProps($A119, $B119, ParametersRange), 1, COLUMN()-2 )</f>
        <v>2.7285811571673895</v>
      </c>
      <c r="J119" s="2" cm="1">
        <f t="array" ref="J119">INDEX( ComputeThermoProps($A119, $B119, ParametersRange), 1, COLUMN()-2 )</f>
        <v>1858.2818802638601</v>
      </c>
      <c r="K119" s="2" cm="1">
        <f t="array" ref="K119">INDEX( ComputeThermoProps($A119, $B119, ParametersRange), 1, COLUMN()-2 )</f>
        <v>30.449061457876788</v>
      </c>
      <c r="L119" s="2" cm="1">
        <f t="array" ref="L119">INDEX( ComputeThermoProps($A119, $B119, ParametersRange), 1, COLUMN()-2 )</f>
        <v>-1067.872925838099</v>
      </c>
      <c r="M119" s="2" cm="1">
        <f t="array" ref="M119">INDEX( ComputeThermoProps($A119, $B119, ParametersRange), 1, COLUMN()-2 )</f>
        <v>10746.630673923037</v>
      </c>
      <c r="N119" s="2" cm="1">
        <f t="array" ref="N119">INDEX( ComputeThermoProps($A119, $B119, ParametersRange), 1, COLUMN()-2 )</f>
        <v>7820.4758678210774</v>
      </c>
      <c r="P119">
        <f t="shared" si="3"/>
        <v>10223.510212757668</v>
      </c>
    </row>
    <row r="120" spans="1:18" x14ac:dyDescent="0.25">
      <c r="A120" s="2">
        <v>97.1</v>
      </c>
      <c r="B120" s="2">
        <f t="shared" si="2"/>
        <v>809.71276230888361</v>
      </c>
      <c r="C120" s="2" cm="1">
        <f t="array" ref="C120">INDEX( ComputeThermoProps($A120, $B120, ParametersRange), 1, COLUMN()-2 )</f>
        <v>11.155291337344567</v>
      </c>
      <c r="D120" s="2" cm="1">
        <f t="array" ref="D120">INDEX( ComputeThermoProps($A120, $B120, ParametersRange), 1, COLUMN()-2 )</f>
        <v>2.3444078891368778E-4</v>
      </c>
      <c r="E120" s="2" cm="1">
        <f t="array" ref="E120">INDEX( ComputeThermoProps($A120, $B120, ParametersRange), 1, COLUMN()-2 )</f>
        <v>1.7340906363575717E-4</v>
      </c>
      <c r="F120" s="2" cm="1">
        <f t="array" ref="F120">INDEX( ComputeThermoProps($A120, $B120, ParametersRange), 1, COLUMN()-2 )</f>
        <v>1.3279475232963981E-3</v>
      </c>
      <c r="G120" s="2" cm="1">
        <f t="array" ref="G120">INDEX( ComputeThermoProps($A120, $B120, ParametersRange), 1, COLUMN()-2 )</f>
        <v>31.297260629977519</v>
      </c>
      <c r="H120" s="2" cm="1">
        <f t="array" ref="H120">INDEX( ComputeThermoProps($A120, $B120, ParametersRange), 1, COLUMN()-2 )</f>
        <v>23.149677517109655</v>
      </c>
      <c r="I120" s="2" cm="1">
        <f t="array" ref="I120">INDEX( ComputeThermoProps($A120, $B120, ParametersRange), 1, COLUMN()-2 )</f>
        <v>2.7295038463529515</v>
      </c>
      <c r="J120" s="2" cm="1">
        <f t="array" ref="J120">INDEX( ComputeThermoProps($A120, $B120, ParametersRange), 1, COLUMN()-2 )</f>
        <v>1887.4709363321099</v>
      </c>
      <c r="K120" s="2" cm="1">
        <f t="array" ref="K120">INDEX( ComputeThermoProps($A120, $B120, ParametersRange), 1, COLUMN()-2 )</f>
        <v>30.555072545205824</v>
      </c>
      <c r="L120" s="2" cm="1">
        <f t="array" ref="L120">INDEX( ComputeThermoProps($A120, $B120, ParametersRange), 1, COLUMN()-2 )</f>
        <v>-1079.4266078073756</v>
      </c>
      <c r="M120" s="2" cm="1">
        <f t="array" ref="M120">INDEX( ComputeThermoProps($A120, $B120, ParametersRange), 1, COLUMN()-2 )</f>
        <v>10920.052699453739</v>
      </c>
      <c r="N120" s="2" cm="1">
        <f t="array" ref="N120">INDEX( ComputeThermoProps($A120, $B120, ParametersRange), 1, COLUMN()-2 )</f>
        <v>7953.1551553142544</v>
      </c>
      <c r="P120">
        <f t="shared" si="3"/>
        <v>10396.932238288371</v>
      </c>
    </row>
    <row r="121" spans="1:18" x14ac:dyDescent="0.25">
      <c r="A121" s="2">
        <v>98.1</v>
      </c>
      <c r="B121" s="2">
        <f t="shared" si="2"/>
        <v>824.39606675529956</v>
      </c>
      <c r="C121" s="2" cm="1">
        <f t="array" ref="C121">INDEX( ComputeThermoProps($A121, $B121, ParametersRange), 1, COLUMN()-2 )</f>
        <v>11.131914844333281</v>
      </c>
      <c r="D121" s="2" cm="1">
        <f t="array" ref="D121">INDEX( ComputeThermoProps($A121, $B121, ParametersRange), 1, COLUMN()-2 )</f>
        <v>2.3121414661522765E-4</v>
      </c>
      <c r="E121" s="2" cm="1">
        <f t="array" ref="E121">INDEX( ComputeThermoProps($A121, $B121, ParametersRange), 1, COLUMN()-2 )</f>
        <v>1.71031227998922E-4</v>
      </c>
      <c r="F121" s="2" cm="1">
        <f t="array" ref="F121">INDEX( ComputeThermoProps($A121, $B121, ParametersRange), 1, COLUMN()-2 )</f>
        <v>1.3137164657914303E-3</v>
      </c>
      <c r="G121" s="2" cm="1">
        <f t="array" ref="G121">INDEX( ComputeThermoProps($A121, $B121, ParametersRange), 1, COLUMN()-2 )</f>
        <v>31.316190340318681</v>
      </c>
      <c r="H121" s="2" cm="1">
        <f t="array" ref="H121">INDEX( ComputeThermoProps($A121, $B121, ParametersRange), 1, COLUMN()-2 )</f>
        <v>23.164873640131916</v>
      </c>
      <c r="I121" s="2" cm="1">
        <f t="array" ref="I121">INDEX( ComputeThermoProps($A121, $B121, ParametersRange), 1, COLUMN()-2 )</f>
        <v>2.730405692645844</v>
      </c>
      <c r="J121" s="2" cm="1">
        <f t="array" ref="J121">INDEX( ComputeThermoProps($A121, $B121, ParametersRange), 1, COLUMN()-2 )</f>
        <v>1916.7843946969124</v>
      </c>
      <c r="K121" s="2" cm="1">
        <f t="array" ref="K121">INDEX( ComputeThermoProps($A121, $B121, ParametersRange), 1, COLUMN()-2 )</f>
        <v>30.659723906794703</v>
      </c>
      <c r="L121" s="2" cm="1">
        <f t="array" ref="L121">INDEX( ComputeThermoProps($A121, $B121, ParametersRange), 1, COLUMN()-2 )</f>
        <v>-1090.9345205596478</v>
      </c>
      <c r="M121" s="2" cm="1">
        <f t="array" ref="M121">INDEX( ComputeThermoProps($A121, $B121, ParametersRange), 1, COLUMN()-2 )</f>
        <v>11093.891207820201</v>
      </c>
      <c r="N121" s="2" cm="1">
        <f t="array" ref="N121">INDEX( ComputeThermoProps($A121, $B121, ParametersRange), 1, COLUMN()-2 )</f>
        <v>8086.1722925636413</v>
      </c>
      <c r="P121">
        <f t="shared" si="3"/>
        <v>10570.770746654833</v>
      </c>
    </row>
    <row r="122" spans="1:18" x14ac:dyDescent="0.25">
      <c r="A122" s="2">
        <v>99.1</v>
      </c>
      <c r="B122" s="2">
        <f t="shared" si="2"/>
        <v>839.14934226579544</v>
      </c>
      <c r="C122" s="2" cm="1">
        <f t="array" ref="C122">INDEX( ComputeThermoProps($A122, $B122, ParametersRange), 1, COLUMN()-2 )</f>
        <v>11.108772121560238</v>
      </c>
      <c r="D122" s="2" cm="1">
        <f t="array" ref="D122">INDEX( ComputeThermoProps($A122, $B122, ParametersRange), 1, COLUMN()-2 )</f>
        <v>2.2806904644446491E-4</v>
      </c>
      <c r="E122" s="2" cm="1">
        <f t="array" ref="E122">INDEX( ComputeThermoProps($A122, $B122, ParametersRange), 1, COLUMN()-2 )</f>
        <v>1.6871287828319311E-4</v>
      </c>
      <c r="F122" s="2" cm="1">
        <f t="array" ref="F122">INDEX( ComputeThermoProps($A122, $B122, ParametersRange), 1, COLUMN()-2 )</f>
        <v>1.2998001151677675E-3</v>
      </c>
      <c r="G122" s="2" cm="1">
        <f t="array" ref="G122">INDEX( ComputeThermoProps($A122, $B122, ParametersRange), 1, COLUMN()-2 )</f>
        <v>31.334805128861856</v>
      </c>
      <c r="H122" s="2" cm="1">
        <f t="array" ref="H122">INDEX( ComputeThermoProps($A122, $B122, ParametersRange), 1, COLUMN()-2 )</f>
        <v>23.179757385536032</v>
      </c>
      <c r="I122" s="2" cm="1">
        <f t="array" ref="I122">INDEX( ComputeThermoProps($A122, $B122, ParametersRange), 1, COLUMN()-2 )</f>
        <v>2.7312873690244146</v>
      </c>
      <c r="J122" s="2" cm="1">
        <f t="array" ref="J122">INDEX( ComputeThermoProps($A122, $B122, ParametersRange), 1, COLUMN()-2 )</f>
        <v>1946.2209210818467</v>
      </c>
      <c r="K122" s="2" cm="1">
        <f t="array" ref="K122">INDEX( ComputeThermoProps($A122, $B122, ParametersRange), 1, COLUMN()-2 )</f>
        <v>30.763044520654976</v>
      </c>
      <c r="L122" s="2" cm="1">
        <f t="array" ref="L122">INDEX( ComputeThermoProps($A122, $B122, ParametersRange), 1, COLUMN()-2 )</f>
        <v>-1102.3967909150613</v>
      </c>
      <c r="M122" s="2" cm="1">
        <f t="array" ref="M122">INDEX( ComputeThermoProps($A122, $B122, ParametersRange), 1, COLUMN()-2 )</f>
        <v>11268.139740269726</v>
      </c>
      <c r="N122" s="2" cm="1">
        <f t="array" ref="N122">INDEX( ComputeThermoProps($A122, $B122, ParametersRange), 1, COLUMN()-2 )</f>
        <v>8219.5220282728169</v>
      </c>
      <c r="P122">
        <f t="shared" si="3"/>
        <v>10745.019279104357</v>
      </c>
    </row>
    <row r="123" spans="1:18" x14ac:dyDescent="0.25">
      <c r="A123" s="8">
        <v>7.55</v>
      </c>
      <c r="B123" s="2">
        <f t="shared" si="2"/>
        <v>5.3292287723346674E-12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 cm="1">
        <f t="array" ref="M123">INDEX( ComputeThermoProps($A123, $B123, ParametersRange), 1, COLUMN()-2 )</f>
        <v>4.7985278268498863</v>
      </c>
      <c r="N123" s="2" cm="1">
        <f t="array" ref="N123">INDEX( ComputeThermoProps($A123, $B123, ParametersRange), 1, COLUMN()-2 )</f>
        <v>-1.5209072540050597</v>
      </c>
      <c r="P123">
        <f t="shared" si="3"/>
        <v>-518.32193333851785</v>
      </c>
    </row>
    <row r="124" spans="1:18" x14ac:dyDescent="0.25">
      <c r="A124" s="8">
        <v>8.9</v>
      </c>
      <c r="B124" s="2">
        <f t="shared" si="2"/>
        <v>5.8482768654407568E-10</v>
      </c>
      <c r="M124" s="2" cm="1">
        <f t="array" ref="M124">INDEX( ComputeThermoProps($A124, $B124, ParametersRange), 1, COLUMN()-2 )</f>
        <v>9.2204611653675919</v>
      </c>
      <c r="N124" s="2" cm="1">
        <f t="array" ref="N124">INDEX( ComputeThermoProps($A124, $B124, ParametersRange), 1, COLUMN()-2 )</f>
        <v>-2.9953875128866718</v>
      </c>
      <c r="P124">
        <f t="shared" si="3"/>
        <v>-513.90000000000009</v>
      </c>
      <c r="Q124">
        <v>-513.90000000000009</v>
      </c>
      <c r="R124">
        <f>P124-Q124</f>
        <v>0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Parameters</vt:lpstr>
      <vt:lpstr>Inputs</vt:lpstr>
      <vt:lpstr>Outputs</vt:lpstr>
      <vt:lpstr>Experimental</vt:lpstr>
      <vt:lpstr>Sweep</vt:lpstr>
      <vt:lpstr>p_in</vt:lpstr>
      <vt:lpstr>ParametersRange</vt:lpstr>
      <vt:lpstr>T_in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2025-10-07T22:01:17Z</dcterms:modified>
</cp:coreProperties>
</file>